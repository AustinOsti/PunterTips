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definedNames>
    <definedName name="_xlnm._FilterDatabase" localSheetId="1" hidden="1">BetList!$A$14:$AP$1086</definedName>
    <definedName name="betanalysis_2019_06_07T21" localSheetId="1">BetList!$B$15:$AF$308</definedName>
  </definedNames>
  <calcPr calcId="145621"/>
</workbook>
</file>

<file path=xl/calcChain.xml><?xml version="1.0" encoding="utf-8"?>
<calcChain xmlns="http://schemas.openxmlformats.org/spreadsheetml/2006/main">
  <c r="AI10" i="1" l="1"/>
  <c r="AI8" i="1"/>
  <c r="AI6" i="1"/>
  <c r="AJ6" i="1"/>
  <c r="AJ5" i="1"/>
  <c r="AJ10" i="1"/>
  <c r="AJ9" i="1"/>
  <c r="AG15" i="1"/>
  <c r="AI15" i="1" s="1"/>
  <c r="AH15" i="1"/>
  <c r="AJ15" i="1" s="1"/>
  <c r="AK15" i="1"/>
  <c r="AN15" i="1" s="1"/>
  <c r="AL15" i="1"/>
  <c r="AO15" i="1" s="1"/>
  <c r="AM15" i="1"/>
  <c r="AP15" i="1" s="1"/>
  <c r="AG16" i="1"/>
  <c r="AI16" i="1" s="1"/>
  <c r="AH16" i="1"/>
  <c r="AJ16" i="1" s="1"/>
  <c r="AK16" i="1"/>
  <c r="AN16" i="1" s="1"/>
  <c r="AL16" i="1"/>
  <c r="AO16" i="1" s="1"/>
  <c r="AM16" i="1"/>
  <c r="AP16" i="1" s="1"/>
  <c r="AG17" i="1"/>
  <c r="AI17" i="1" s="1"/>
  <c r="AH17" i="1"/>
  <c r="AJ17" i="1" s="1"/>
  <c r="AK17" i="1"/>
  <c r="AN17" i="1" s="1"/>
  <c r="AL17" i="1"/>
  <c r="AM17" i="1"/>
  <c r="AP17" i="1" s="1"/>
  <c r="AO17" i="1"/>
  <c r="AG18" i="1"/>
  <c r="AI18" i="1" s="1"/>
  <c r="AH18" i="1"/>
  <c r="AJ18" i="1" s="1"/>
  <c r="AK18" i="1"/>
  <c r="AN18" i="1" s="1"/>
  <c r="AL18" i="1"/>
  <c r="AM18" i="1"/>
  <c r="AP18" i="1" s="1"/>
  <c r="AO18" i="1"/>
  <c r="AG19" i="1"/>
  <c r="AI19" i="1" s="1"/>
  <c r="AH19" i="1"/>
  <c r="AJ19" i="1" s="1"/>
  <c r="AK19" i="1"/>
  <c r="AN19" i="1" s="1"/>
  <c r="AL19" i="1"/>
  <c r="AM19" i="1"/>
  <c r="AP19" i="1" s="1"/>
  <c r="AO19" i="1"/>
  <c r="AG20" i="1"/>
  <c r="AI20" i="1" s="1"/>
  <c r="AH20" i="1"/>
  <c r="AJ20" i="1" s="1"/>
  <c r="AK20" i="1"/>
  <c r="AN20" i="1" s="1"/>
  <c r="AL20" i="1"/>
  <c r="AM20" i="1"/>
  <c r="AP20" i="1" s="1"/>
  <c r="AO20" i="1"/>
  <c r="AG21" i="1"/>
  <c r="AI21" i="1" s="1"/>
  <c r="AH21" i="1"/>
  <c r="AJ21" i="1" s="1"/>
  <c r="AK21" i="1"/>
  <c r="AN21" i="1" s="1"/>
  <c r="AL21" i="1"/>
  <c r="AM21" i="1"/>
  <c r="AP21" i="1" s="1"/>
  <c r="AO21" i="1"/>
  <c r="AG22" i="1"/>
  <c r="AI22" i="1" s="1"/>
  <c r="AH22" i="1"/>
  <c r="AJ22" i="1" s="1"/>
  <c r="AK22" i="1"/>
  <c r="AN22" i="1" s="1"/>
  <c r="AL22" i="1"/>
  <c r="AM22" i="1"/>
  <c r="AP22" i="1" s="1"/>
  <c r="AO22" i="1"/>
  <c r="AG23" i="1"/>
  <c r="AI23" i="1" s="1"/>
  <c r="AH23" i="1"/>
  <c r="AJ23" i="1" s="1"/>
  <c r="AK23" i="1"/>
  <c r="AN23" i="1" s="1"/>
  <c r="AL23" i="1"/>
  <c r="AM23" i="1"/>
  <c r="AP23" i="1" s="1"/>
  <c r="AO23" i="1"/>
  <c r="AG24" i="1"/>
  <c r="AI24" i="1" s="1"/>
  <c r="AH24" i="1"/>
  <c r="AJ24" i="1" s="1"/>
  <c r="AK24" i="1"/>
  <c r="AN24" i="1" s="1"/>
  <c r="AL24" i="1"/>
  <c r="AM24" i="1"/>
  <c r="AP24" i="1" s="1"/>
  <c r="AO24" i="1"/>
  <c r="AG25" i="1"/>
  <c r="AI25" i="1" s="1"/>
  <c r="AH25" i="1"/>
  <c r="AJ25" i="1" s="1"/>
  <c r="AK25" i="1"/>
  <c r="AN25" i="1" s="1"/>
  <c r="AL25" i="1"/>
  <c r="AM25" i="1"/>
  <c r="AP25" i="1" s="1"/>
  <c r="AO25" i="1"/>
  <c r="AG26" i="1"/>
  <c r="AI26" i="1" s="1"/>
  <c r="AH26" i="1"/>
  <c r="AJ26" i="1" s="1"/>
  <c r="AK26" i="1"/>
  <c r="AN26" i="1" s="1"/>
  <c r="AL26" i="1"/>
  <c r="AM26" i="1"/>
  <c r="AP26" i="1" s="1"/>
  <c r="AO26" i="1"/>
  <c r="AG27" i="1"/>
  <c r="AI27" i="1" s="1"/>
  <c r="AH27" i="1"/>
  <c r="AJ27" i="1" s="1"/>
  <c r="AK27" i="1"/>
  <c r="AN27" i="1" s="1"/>
  <c r="AL27" i="1"/>
  <c r="AM27" i="1"/>
  <c r="AP27" i="1" s="1"/>
  <c r="AO27" i="1"/>
  <c r="AG28" i="1"/>
  <c r="AI28" i="1" s="1"/>
  <c r="AH28" i="1"/>
  <c r="AJ28" i="1" s="1"/>
  <c r="AK28" i="1"/>
  <c r="AN28" i="1" s="1"/>
  <c r="AL28" i="1"/>
  <c r="AO28" i="1" s="1"/>
  <c r="AM28" i="1"/>
  <c r="AP28" i="1" s="1"/>
  <c r="AG29" i="1"/>
  <c r="AI29" i="1" s="1"/>
  <c r="AH29" i="1"/>
  <c r="AJ29" i="1" s="1"/>
  <c r="AK29" i="1"/>
  <c r="AN29" i="1" s="1"/>
  <c r="AL29" i="1"/>
  <c r="AO29" i="1" s="1"/>
  <c r="AM29" i="1"/>
  <c r="AP29" i="1" s="1"/>
  <c r="AG30" i="1"/>
  <c r="AI30" i="1" s="1"/>
  <c r="AH30" i="1"/>
  <c r="AJ30" i="1" s="1"/>
  <c r="AK30" i="1"/>
  <c r="AN30" i="1" s="1"/>
  <c r="AL30" i="1"/>
  <c r="AO30" i="1" s="1"/>
  <c r="AM30" i="1"/>
  <c r="AP30" i="1" s="1"/>
  <c r="AG31" i="1"/>
  <c r="AI31" i="1" s="1"/>
  <c r="AH31" i="1"/>
  <c r="AJ31" i="1" s="1"/>
  <c r="AK31" i="1"/>
  <c r="AN31" i="1" s="1"/>
  <c r="AL31" i="1"/>
  <c r="AO31" i="1" s="1"/>
  <c r="AM31" i="1"/>
  <c r="AP31" i="1" s="1"/>
  <c r="AG32" i="1"/>
  <c r="AI32" i="1" s="1"/>
  <c r="AH32" i="1"/>
  <c r="AJ32" i="1" s="1"/>
  <c r="AK32" i="1"/>
  <c r="AN32" i="1" s="1"/>
  <c r="AL32" i="1"/>
  <c r="AO32" i="1" s="1"/>
  <c r="AM32" i="1"/>
  <c r="AP32" i="1" s="1"/>
  <c r="AG33" i="1"/>
  <c r="AI33" i="1" s="1"/>
  <c r="AH33" i="1"/>
  <c r="AJ33" i="1" s="1"/>
  <c r="AK33" i="1"/>
  <c r="AN33" i="1" s="1"/>
  <c r="AL33" i="1"/>
  <c r="AO33" i="1" s="1"/>
  <c r="AM33" i="1"/>
  <c r="AP33" i="1" s="1"/>
  <c r="AG34" i="1"/>
  <c r="AI34" i="1" s="1"/>
  <c r="AH34" i="1"/>
  <c r="AJ34" i="1" s="1"/>
  <c r="AK34" i="1"/>
  <c r="AN34" i="1" s="1"/>
  <c r="AL34" i="1"/>
  <c r="AO34" i="1" s="1"/>
  <c r="AM34" i="1"/>
  <c r="AP34" i="1" s="1"/>
  <c r="AG35" i="1"/>
  <c r="AI35" i="1" s="1"/>
  <c r="AH35" i="1"/>
  <c r="AJ35" i="1" s="1"/>
  <c r="AK35" i="1"/>
  <c r="AN35" i="1" s="1"/>
  <c r="AL35" i="1"/>
  <c r="AO35" i="1" s="1"/>
  <c r="AM35" i="1"/>
  <c r="AP35" i="1" s="1"/>
  <c r="AG36" i="1"/>
  <c r="AI36" i="1" s="1"/>
  <c r="AH36" i="1"/>
  <c r="AJ36" i="1" s="1"/>
  <c r="AK36" i="1"/>
  <c r="AN36" i="1" s="1"/>
  <c r="AL36" i="1"/>
  <c r="AO36" i="1" s="1"/>
  <c r="AM36" i="1"/>
  <c r="AP36" i="1" s="1"/>
  <c r="AG37" i="1"/>
  <c r="AI37" i="1" s="1"/>
  <c r="AH37" i="1"/>
  <c r="AJ37" i="1" s="1"/>
  <c r="AK37" i="1"/>
  <c r="AN37" i="1" s="1"/>
  <c r="AL37" i="1"/>
  <c r="AO37" i="1" s="1"/>
  <c r="AM37" i="1"/>
  <c r="AP37" i="1" s="1"/>
  <c r="AG38" i="1"/>
  <c r="AI38" i="1" s="1"/>
  <c r="AH38" i="1"/>
  <c r="AJ38" i="1" s="1"/>
  <c r="AK38" i="1"/>
  <c r="AN38" i="1" s="1"/>
  <c r="AL38" i="1"/>
  <c r="AO38" i="1" s="1"/>
  <c r="AM38" i="1"/>
  <c r="AP38" i="1" s="1"/>
  <c r="AG39" i="1"/>
  <c r="AI39" i="1" s="1"/>
  <c r="AH39" i="1"/>
  <c r="AJ39" i="1" s="1"/>
  <c r="AK39" i="1"/>
  <c r="AN39" i="1" s="1"/>
  <c r="AL39" i="1"/>
  <c r="AO39" i="1" s="1"/>
  <c r="AM39" i="1"/>
  <c r="AP39" i="1" s="1"/>
  <c r="AG40" i="1"/>
  <c r="AI40" i="1" s="1"/>
  <c r="AH40" i="1"/>
  <c r="AJ40" i="1" s="1"/>
  <c r="AK40" i="1"/>
  <c r="AN40" i="1" s="1"/>
  <c r="AL40" i="1"/>
  <c r="AO40" i="1" s="1"/>
  <c r="AM40" i="1"/>
  <c r="AP40" i="1" s="1"/>
  <c r="AG41" i="1"/>
  <c r="AI41" i="1" s="1"/>
  <c r="AH41" i="1"/>
  <c r="AJ41" i="1" s="1"/>
  <c r="AK41" i="1"/>
  <c r="AN41" i="1" s="1"/>
  <c r="AL41" i="1"/>
  <c r="AO41" i="1" s="1"/>
  <c r="AM41" i="1"/>
  <c r="AP41" i="1" s="1"/>
  <c r="AG42" i="1"/>
  <c r="AI42" i="1" s="1"/>
  <c r="AH42" i="1"/>
  <c r="AJ42" i="1" s="1"/>
  <c r="AK42" i="1"/>
  <c r="AN42" i="1" s="1"/>
  <c r="AL42" i="1"/>
  <c r="AO42" i="1" s="1"/>
  <c r="AM42" i="1"/>
  <c r="AP42" i="1" s="1"/>
  <c r="AG43" i="1"/>
  <c r="AI43" i="1" s="1"/>
  <c r="AH43" i="1"/>
  <c r="AJ43" i="1" s="1"/>
  <c r="AK43" i="1"/>
  <c r="AN43" i="1" s="1"/>
  <c r="AL43" i="1"/>
  <c r="AO43" i="1" s="1"/>
  <c r="AM43" i="1"/>
  <c r="AP43" i="1" s="1"/>
  <c r="AG44" i="1"/>
  <c r="AI44" i="1" s="1"/>
  <c r="AH44" i="1"/>
  <c r="AJ44" i="1" s="1"/>
  <c r="AK44" i="1"/>
  <c r="AN44" i="1" s="1"/>
  <c r="AL44" i="1"/>
  <c r="AO44" i="1" s="1"/>
  <c r="AM44" i="1"/>
  <c r="AP44" i="1" s="1"/>
  <c r="AG45" i="1"/>
  <c r="AI45" i="1" s="1"/>
  <c r="AH45" i="1"/>
  <c r="AJ45" i="1" s="1"/>
  <c r="AK45" i="1"/>
  <c r="AN45" i="1" s="1"/>
  <c r="AL45" i="1"/>
  <c r="AO45" i="1" s="1"/>
  <c r="AM45" i="1"/>
  <c r="AP45" i="1" s="1"/>
  <c r="AG46" i="1"/>
  <c r="AI46" i="1" s="1"/>
  <c r="AH46" i="1"/>
  <c r="AJ46" i="1" s="1"/>
  <c r="AK46" i="1"/>
  <c r="AN46" i="1" s="1"/>
  <c r="AL46" i="1"/>
  <c r="AO46" i="1" s="1"/>
  <c r="AM46" i="1"/>
  <c r="AP46" i="1" s="1"/>
  <c r="AG47" i="1"/>
  <c r="AI47" i="1" s="1"/>
  <c r="AH47" i="1"/>
  <c r="AJ47" i="1" s="1"/>
  <c r="AK47" i="1"/>
  <c r="AN47" i="1" s="1"/>
  <c r="AL47" i="1"/>
  <c r="AO47" i="1" s="1"/>
  <c r="AM47" i="1"/>
  <c r="AP47" i="1" s="1"/>
  <c r="AG48" i="1"/>
  <c r="AI48" i="1" s="1"/>
  <c r="AH48" i="1"/>
  <c r="AJ48" i="1" s="1"/>
  <c r="AK48" i="1"/>
  <c r="AN48" i="1" s="1"/>
  <c r="AL48" i="1"/>
  <c r="AO48" i="1" s="1"/>
  <c r="AM48" i="1"/>
  <c r="AP48" i="1" s="1"/>
  <c r="AG49" i="1"/>
  <c r="AI49" i="1" s="1"/>
  <c r="AH49" i="1"/>
  <c r="AJ49" i="1" s="1"/>
  <c r="AK49" i="1"/>
  <c r="AN49" i="1" s="1"/>
  <c r="AL49" i="1"/>
  <c r="AO49" i="1" s="1"/>
  <c r="AM49" i="1"/>
  <c r="AP49" i="1" s="1"/>
  <c r="AG50" i="1"/>
  <c r="AI50" i="1" s="1"/>
  <c r="AH50" i="1"/>
  <c r="AJ50" i="1" s="1"/>
  <c r="AK50" i="1"/>
  <c r="AN50" i="1" s="1"/>
  <c r="AL50" i="1"/>
  <c r="AO50" i="1" s="1"/>
  <c r="AM50" i="1"/>
  <c r="AP50" i="1" s="1"/>
  <c r="AG51" i="1"/>
  <c r="AI51" i="1" s="1"/>
  <c r="AH51" i="1"/>
  <c r="AJ51" i="1" s="1"/>
  <c r="AK51" i="1"/>
  <c r="AN51" i="1" s="1"/>
  <c r="AL51" i="1"/>
  <c r="AO51" i="1" s="1"/>
  <c r="AM51" i="1"/>
  <c r="AP51" i="1" s="1"/>
  <c r="AG52" i="1"/>
  <c r="AI52" i="1" s="1"/>
  <c r="AH52" i="1"/>
  <c r="AJ52" i="1" s="1"/>
  <c r="AK52" i="1"/>
  <c r="AN52" i="1" s="1"/>
  <c r="AL52" i="1"/>
  <c r="AO52" i="1" s="1"/>
  <c r="AM52" i="1"/>
  <c r="AP52" i="1" s="1"/>
  <c r="AG53" i="1"/>
  <c r="AI53" i="1" s="1"/>
  <c r="AH53" i="1"/>
  <c r="AJ53" i="1" s="1"/>
  <c r="AK53" i="1"/>
  <c r="AN53" i="1" s="1"/>
  <c r="AL53" i="1"/>
  <c r="AO53" i="1" s="1"/>
  <c r="AM53" i="1"/>
  <c r="AP53" i="1" s="1"/>
  <c r="AG54" i="1"/>
  <c r="AI54" i="1" s="1"/>
  <c r="AH54" i="1"/>
  <c r="AJ54" i="1" s="1"/>
  <c r="AK54" i="1"/>
  <c r="AN54" i="1" s="1"/>
  <c r="AL54" i="1"/>
  <c r="AO54" i="1" s="1"/>
  <c r="AM54" i="1"/>
  <c r="AP54" i="1" s="1"/>
  <c r="AG55" i="1"/>
  <c r="AI55" i="1" s="1"/>
  <c r="AH55" i="1"/>
  <c r="AJ55" i="1" s="1"/>
  <c r="AK55" i="1"/>
  <c r="AN55" i="1" s="1"/>
  <c r="AL55" i="1"/>
  <c r="AO55" i="1" s="1"/>
  <c r="AM55" i="1"/>
  <c r="AP55" i="1" s="1"/>
  <c r="AG56" i="1"/>
  <c r="AI56" i="1" s="1"/>
  <c r="AH56" i="1"/>
  <c r="AJ56" i="1" s="1"/>
  <c r="AK56" i="1"/>
  <c r="AN56" i="1" s="1"/>
  <c r="AL56" i="1"/>
  <c r="AO56" i="1" s="1"/>
  <c r="AM56" i="1"/>
  <c r="AP56" i="1" s="1"/>
  <c r="AG57" i="1"/>
  <c r="AI57" i="1" s="1"/>
  <c r="AH57" i="1"/>
  <c r="AJ57" i="1" s="1"/>
  <c r="AK57" i="1"/>
  <c r="AN57" i="1" s="1"/>
  <c r="AL57" i="1"/>
  <c r="AO57" i="1" s="1"/>
  <c r="AM57" i="1"/>
  <c r="AP57" i="1" s="1"/>
  <c r="AG58" i="1"/>
  <c r="AI58" i="1" s="1"/>
  <c r="AH58" i="1"/>
  <c r="AJ58" i="1" s="1"/>
  <c r="AK58" i="1"/>
  <c r="AN58" i="1" s="1"/>
  <c r="AL58" i="1"/>
  <c r="AO58" i="1" s="1"/>
  <c r="AM58" i="1"/>
  <c r="AP58" i="1" s="1"/>
  <c r="AG59" i="1"/>
  <c r="AI59" i="1" s="1"/>
  <c r="AH59" i="1"/>
  <c r="AJ59" i="1" s="1"/>
  <c r="AK59" i="1"/>
  <c r="AN59" i="1" s="1"/>
  <c r="AL59" i="1"/>
  <c r="AO59" i="1" s="1"/>
  <c r="AM59" i="1"/>
  <c r="AP59" i="1" s="1"/>
  <c r="AG60" i="1"/>
  <c r="AI60" i="1" s="1"/>
  <c r="AH60" i="1"/>
  <c r="AJ60" i="1" s="1"/>
  <c r="AK60" i="1"/>
  <c r="AN60" i="1" s="1"/>
  <c r="AL60" i="1"/>
  <c r="AO60" i="1" s="1"/>
  <c r="AM60" i="1"/>
  <c r="AP60" i="1" s="1"/>
  <c r="AG61" i="1"/>
  <c r="AI61" i="1" s="1"/>
  <c r="AH61" i="1"/>
  <c r="AJ61" i="1" s="1"/>
  <c r="AK61" i="1"/>
  <c r="AN61" i="1" s="1"/>
  <c r="AL61" i="1"/>
  <c r="AO61" i="1" s="1"/>
  <c r="AM61" i="1"/>
  <c r="AP61" i="1" s="1"/>
  <c r="AG62" i="1"/>
  <c r="AI62" i="1" s="1"/>
  <c r="AH62" i="1"/>
  <c r="AJ62" i="1" s="1"/>
  <c r="AK62" i="1"/>
  <c r="AN62" i="1" s="1"/>
  <c r="AL62" i="1"/>
  <c r="AO62" i="1" s="1"/>
  <c r="AM62" i="1"/>
  <c r="AP62" i="1" s="1"/>
  <c r="AG63" i="1"/>
  <c r="AI63" i="1" s="1"/>
  <c r="AH63" i="1"/>
  <c r="AJ63" i="1" s="1"/>
  <c r="AK63" i="1"/>
  <c r="AN63" i="1" s="1"/>
  <c r="AL63" i="1"/>
  <c r="AO63" i="1" s="1"/>
  <c r="AM63" i="1"/>
  <c r="AP63" i="1" s="1"/>
  <c r="AG64" i="1"/>
  <c r="AI64" i="1" s="1"/>
  <c r="AH64" i="1"/>
  <c r="AJ64" i="1" s="1"/>
  <c r="AK64" i="1"/>
  <c r="AN64" i="1" s="1"/>
  <c r="AL64" i="1"/>
  <c r="AO64" i="1" s="1"/>
  <c r="AM64" i="1"/>
  <c r="AP64" i="1" s="1"/>
  <c r="AG65" i="1"/>
  <c r="AI65" i="1" s="1"/>
  <c r="AH65" i="1"/>
  <c r="AJ65" i="1" s="1"/>
  <c r="AK65" i="1"/>
  <c r="AN65" i="1" s="1"/>
  <c r="AL65" i="1"/>
  <c r="AO65" i="1" s="1"/>
  <c r="AM65" i="1"/>
  <c r="AP65" i="1" s="1"/>
  <c r="AG66" i="1"/>
  <c r="AI66" i="1" s="1"/>
  <c r="AH66" i="1"/>
  <c r="AJ66" i="1" s="1"/>
  <c r="AK66" i="1"/>
  <c r="AN66" i="1" s="1"/>
  <c r="AL66" i="1"/>
  <c r="AO66" i="1" s="1"/>
  <c r="AM66" i="1"/>
  <c r="AP66" i="1" s="1"/>
  <c r="AG67" i="1"/>
  <c r="AI67" i="1" s="1"/>
  <c r="AH67" i="1"/>
  <c r="AJ67" i="1" s="1"/>
  <c r="AK67" i="1"/>
  <c r="AN67" i="1" s="1"/>
  <c r="AL67" i="1"/>
  <c r="AO67" i="1" s="1"/>
  <c r="AM67" i="1"/>
  <c r="AP67" i="1" s="1"/>
  <c r="AG68" i="1"/>
  <c r="AI68" i="1" s="1"/>
  <c r="AH68" i="1"/>
  <c r="AJ68" i="1" s="1"/>
  <c r="AK68" i="1"/>
  <c r="AN68" i="1" s="1"/>
  <c r="AL68" i="1"/>
  <c r="AO68" i="1" s="1"/>
  <c r="AM68" i="1"/>
  <c r="AP68" i="1" s="1"/>
  <c r="AG69" i="1"/>
  <c r="AI69" i="1" s="1"/>
  <c r="AH69" i="1"/>
  <c r="AJ69" i="1" s="1"/>
  <c r="AK69" i="1"/>
  <c r="AN69" i="1" s="1"/>
  <c r="AL69" i="1"/>
  <c r="AO69" i="1" s="1"/>
  <c r="AM69" i="1"/>
  <c r="AP69" i="1" s="1"/>
  <c r="AG70" i="1"/>
  <c r="AI70" i="1" s="1"/>
  <c r="AH70" i="1"/>
  <c r="AJ70" i="1" s="1"/>
  <c r="AK70" i="1"/>
  <c r="AN70" i="1" s="1"/>
  <c r="AL70" i="1"/>
  <c r="AO70" i="1" s="1"/>
  <c r="AM70" i="1"/>
  <c r="AP70" i="1" s="1"/>
  <c r="AG71" i="1"/>
  <c r="AI71" i="1" s="1"/>
  <c r="AH71" i="1"/>
  <c r="AJ71" i="1" s="1"/>
  <c r="AK71" i="1"/>
  <c r="AN71" i="1" s="1"/>
  <c r="AL71" i="1"/>
  <c r="AO71" i="1" s="1"/>
  <c r="AM71" i="1"/>
  <c r="AP71" i="1" s="1"/>
  <c r="AG72" i="1"/>
  <c r="AI72" i="1" s="1"/>
  <c r="AH72" i="1"/>
  <c r="AJ72" i="1" s="1"/>
  <c r="AK72" i="1"/>
  <c r="AN72" i="1" s="1"/>
  <c r="AL72" i="1"/>
  <c r="AO72" i="1" s="1"/>
  <c r="AM72" i="1"/>
  <c r="AP72" i="1" s="1"/>
  <c r="AG73" i="1"/>
  <c r="AI73" i="1" s="1"/>
  <c r="AH73" i="1"/>
  <c r="AJ73" i="1" s="1"/>
  <c r="AK73" i="1"/>
  <c r="AN73" i="1" s="1"/>
  <c r="AL73" i="1"/>
  <c r="AO73" i="1" s="1"/>
  <c r="AM73" i="1"/>
  <c r="AP73" i="1" s="1"/>
  <c r="AG74" i="1"/>
  <c r="AI74" i="1" s="1"/>
  <c r="AH74" i="1"/>
  <c r="AJ74" i="1" s="1"/>
  <c r="AK74" i="1"/>
  <c r="AN74" i="1" s="1"/>
  <c r="AL74" i="1"/>
  <c r="AO74" i="1" s="1"/>
  <c r="AM74" i="1"/>
  <c r="AP74" i="1" s="1"/>
  <c r="AG75" i="1"/>
  <c r="AI75" i="1" s="1"/>
  <c r="AH75" i="1"/>
  <c r="AJ75" i="1" s="1"/>
  <c r="AK75" i="1"/>
  <c r="AN75" i="1" s="1"/>
  <c r="AL75" i="1"/>
  <c r="AO75" i="1" s="1"/>
  <c r="AM75" i="1"/>
  <c r="AP75" i="1" s="1"/>
  <c r="AG76" i="1"/>
  <c r="AI76" i="1" s="1"/>
  <c r="AH76" i="1"/>
  <c r="AJ76" i="1" s="1"/>
  <c r="AK76" i="1"/>
  <c r="AN76" i="1" s="1"/>
  <c r="AL76" i="1"/>
  <c r="AO76" i="1" s="1"/>
  <c r="AM76" i="1"/>
  <c r="AP76" i="1" s="1"/>
  <c r="AG77" i="1"/>
  <c r="AI77" i="1" s="1"/>
  <c r="AH77" i="1"/>
  <c r="AJ77" i="1" s="1"/>
  <c r="AK77" i="1"/>
  <c r="AN77" i="1" s="1"/>
  <c r="AL77" i="1"/>
  <c r="AO77" i="1" s="1"/>
  <c r="AM77" i="1"/>
  <c r="AP77" i="1" s="1"/>
  <c r="AG78" i="1"/>
  <c r="AI78" i="1" s="1"/>
  <c r="AH78" i="1"/>
  <c r="AJ78" i="1" s="1"/>
  <c r="AK78" i="1"/>
  <c r="AN78" i="1" s="1"/>
  <c r="AL78" i="1"/>
  <c r="AO78" i="1" s="1"/>
  <c r="AM78" i="1"/>
  <c r="AP78" i="1" s="1"/>
  <c r="AG79" i="1"/>
  <c r="AI79" i="1" s="1"/>
  <c r="AH79" i="1"/>
  <c r="AJ79" i="1" s="1"/>
  <c r="AK79" i="1"/>
  <c r="AN79" i="1" s="1"/>
  <c r="AL79" i="1"/>
  <c r="AO79" i="1" s="1"/>
  <c r="AM79" i="1"/>
  <c r="AP79" i="1" s="1"/>
  <c r="AG80" i="1"/>
  <c r="AI80" i="1" s="1"/>
  <c r="AH80" i="1"/>
  <c r="AJ80" i="1" s="1"/>
  <c r="AK80" i="1"/>
  <c r="AN80" i="1" s="1"/>
  <c r="AL80" i="1"/>
  <c r="AO80" i="1" s="1"/>
  <c r="AM80" i="1"/>
  <c r="AP80" i="1" s="1"/>
  <c r="AG81" i="1"/>
  <c r="AI81" i="1" s="1"/>
  <c r="AH81" i="1"/>
  <c r="AJ81" i="1" s="1"/>
  <c r="AK81" i="1"/>
  <c r="AN81" i="1" s="1"/>
  <c r="AL81" i="1"/>
  <c r="AO81" i="1" s="1"/>
  <c r="AM81" i="1"/>
  <c r="AP81" i="1" s="1"/>
  <c r="AG82" i="1"/>
  <c r="AI82" i="1" s="1"/>
  <c r="AH82" i="1"/>
  <c r="AJ82" i="1" s="1"/>
  <c r="AK82" i="1"/>
  <c r="AN82" i="1" s="1"/>
  <c r="AL82" i="1"/>
  <c r="AO82" i="1" s="1"/>
  <c r="AM82" i="1"/>
  <c r="AP82" i="1" s="1"/>
  <c r="AG83" i="1"/>
  <c r="AI83" i="1" s="1"/>
  <c r="AH83" i="1"/>
  <c r="AJ83" i="1" s="1"/>
  <c r="AK83" i="1"/>
  <c r="AN83" i="1" s="1"/>
  <c r="AL83" i="1"/>
  <c r="AO83" i="1" s="1"/>
  <c r="AM83" i="1"/>
  <c r="AP83" i="1" s="1"/>
  <c r="AG84" i="1"/>
  <c r="AI84" i="1" s="1"/>
  <c r="AH84" i="1"/>
  <c r="AJ84" i="1" s="1"/>
  <c r="AK84" i="1"/>
  <c r="AN84" i="1" s="1"/>
  <c r="AL84" i="1"/>
  <c r="AO84" i="1" s="1"/>
  <c r="AM84" i="1"/>
  <c r="AP84" i="1" s="1"/>
  <c r="AG85" i="1"/>
  <c r="AI85" i="1" s="1"/>
  <c r="AH85" i="1"/>
  <c r="AJ85" i="1" s="1"/>
  <c r="AK85" i="1"/>
  <c r="AN85" i="1" s="1"/>
  <c r="AL85" i="1"/>
  <c r="AO85" i="1" s="1"/>
  <c r="AM85" i="1"/>
  <c r="AP85" i="1" s="1"/>
  <c r="AG86" i="1"/>
  <c r="AI86" i="1" s="1"/>
  <c r="AH86" i="1"/>
  <c r="AJ86" i="1" s="1"/>
  <c r="AK86" i="1"/>
  <c r="AN86" i="1" s="1"/>
  <c r="AL86" i="1"/>
  <c r="AO86" i="1" s="1"/>
  <c r="AM86" i="1"/>
  <c r="AP86" i="1" s="1"/>
  <c r="AG87" i="1"/>
  <c r="AI87" i="1" s="1"/>
  <c r="AH87" i="1"/>
  <c r="AJ87" i="1" s="1"/>
  <c r="AK87" i="1"/>
  <c r="AN87" i="1" s="1"/>
  <c r="AL87" i="1"/>
  <c r="AO87" i="1" s="1"/>
  <c r="AM87" i="1"/>
  <c r="AP87" i="1" s="1"/>
  <c r="AG88" i="1"/>
  <c r="AI88" i="1" s="1"/>
  <c r="AH88" i="1"/>
  <c r="AJ88" i="1" s="1"/>
  <c r="AK88" i="1"/>
  <c r="AN88" i="1" s="1"/>
  <c r="AL88" i="1"/>
  <c r="AO88" i="1" s="1"/>
  <c r="AM88" i="1"/>
  <c r="AP88" i="1" s="1"/>
  <c r="AG89" i="1"/>
  <c r="AI89" i="1" s="1"/>
  <c r="AH89" i="1"/>
  <c r="AJ89" i="1" s="1"/>
  <c r="AK89" i="1"/>
  <c r="AN89" i="1" s="1"/>
  <c r="AL89" i="1"/>
  <c r="AO89" i="1" s="1"/>
  <c r="AM89" i="1"/>
  <c r="AP89" i="1" s="1"/>
  <c r="AG90" i="1"/>
  <c r="AI90" i="1" s="1"/>
  <c r="AH90" i="1"/>
  <c r="AJ90" i="1" s="1"/>
  <c r="AK90" i="1"/>
  <c r="AN90" i="1" s="1"/>
  <c r="AL90" i="1"/>
  <c r="AO90" i="1" s="1"/>
  <c r="AM90" i="1"/>
  <c r="AP90" i="1" s="1"/>
  <c r="AG91" i="1"/>
  <c r="AI91" i="1" s="1"/>
  <c r="AH91" i="1"/>
  <c r="AJ91" i="1" s="1"/>
  <c r="AK91" i="1"/>
  <c r="AN91" i="1" s="1"/>
  <c r="AL91" i="1"/>
  <c r="AO91" i="1" s="1"/>
  <c r="AM91" i="1"/>
  <c r="AP91" i="1" s="1"/>
  <c r="AG92" i="1"/>
  <c r="AI92" i="1" s="1"/>
  <c r="AH92" i="1"/>
  <c r="AJ92" i="1" s="1"/>
  <c r="AK92" i="1"/>
  <c r="AN92" i="1" s="1"/>
  <c r="AL92" i="1"/>
  <c r="AO92" i="1" s="1"/>
  <c r="AM92" i="1"/>
  <c r="AP92" i="1" s="1"/>
  <c r="AG93" i="1"/>
  <c r="AI93" i="1" s="1"/>
  <c r="AH93" i="1"/>
  <c r="AJ93" i="1" s="1"/>
  <c r="AK93" i="1"/>
  <c r="AN93" i="1" s="1"/>
  <c r="AL93" i="1"/>
  <c r="AO93" i="1" s="1"/>
  <c r="AM93" i="1"/>
  <c r="AP93" i="1" s="1"/>
  <c r="AG94" i="1"/>
  <c r="AI94" i="1" s="1"/>
  <c r="AH94" i="1"/>
  <c r="AJ94" i="1" s="1"/>
  <c r="AK94" i="1"/>
  <c r="AN94" i="1" s="1"/>
  <c r="AL94" i="1"/>
  <c r="AO94" i="1" s="1"/>
  <c r="AM94" i="1"/>
  <c r="AP94" i="1" s="1"/>
  <c r="AG95" i="1"/>
  <c r="AI95" i="1" s="1"/>
  <c r="AH95" i="1"/>
  <c r="AJ95" i="1" s="1"/>
  <c r="AK95" i="1"/>
  <c r="AN95" i="1" s="1"/>
  <c r="AL95" i="1"/>
  <c r="AO95" i="1" s="1"/>
  <c r="AM95" i="1"/>
  <c r="AP95" i="1" s="1"/>
  <c r="AG96" i="1"/>
  <c r="AI96" i="1" s="1"/>
  <c r="AH96" i="1"/>
  <c r="AJ96" i="1" s="1"/>
  <c r="AK96" i="1"/>
  <c r="AN96" i="1" s="1"/>
  <c r="AL96" i="1"/>
  <c r="AO96" i="1" s="1"/>
  <c r="AM96" i="1"/>
  <c r="AP96" i="1" s="1"/>
  <c r="AG97" i="1"/>
  <c r="AI97" i="1" s="1"/>
  <c r="AH97" i="1"/>
  <c r="AJ97" i="1" s="1"/>
  <c r="AK97" i="1"/>
  <c r="AN97" i="1" s="1"/>
  <c r="AL97" i="1"/>
  <c r="AO97" i="1" s="1"/>
  <c r="AM97" i="1"/>
  <c r="AP97" i="1" s="1"/>
  <c r="AG98" i="1"/>
  <c r="AI98" i="1" s="1"/>
  <c r="AH98" i="1"/>
  <c r="AJ98" i="1" s="1"/>
  <c r="AK98" i="1"/>
  <c r="AN98" i="1" s="1"/>
  <c r="AL98" i="1"/>
  <c r="AO98" i="1" s="1"/>
  <c r="AM98" i="1"/>
  <c r="AP98" i="1" s="1"/>
  <c r="AG99" i="1"/>
  <c r="AI99" i="1" s="1"/>
  <c r="AH99" i="1"/>
  <c r="AJ99" i="1" s="1"/>
  <c r="AK99" i="1"/>
  <c r="AN99" i="1" s="1"/>
  <c r="AL99" i="1"/>
  <c r="AO99" i="1" s="1"/>
  <c r="AM99" i="1"/>
  <c r="AP99" i="1" s="1"/>
  <c r="AG100" i="1"/>
  <c r="AI100" i="1" s="1"/>
  <c r="AH100" i="1"/>
  <c r="AJ100" i="1" s="1"/>
  <c r="AK100" i="1"/>
  <c r="AN100" i="1" s="1"/>
  <c r="AL100" i="1"/>
  <c r="AO100" i="1" s="1"/>
  <c r="AM100" i="1"/>
  <c r="AP100" i="1" s="1"/>
  <c r="AG101" i="1"/>
  <c r="AI101" i="1" s="1"/>
  <c r="AH101" i="1"/>
  <c r="AJ101" i="1" s="1"/>
  <c r="AK101" i="1"/>
  <c r="AN101" i="1" s="1"/>
  <c r="AL101" i="1"/>
  <c r="AO101" i="1" s="1"/>
  <c r="AM101" i="1"/>
  <c r="AP101" i="1" s="1"/>
  <c r="AG102" i="1"/>
  <c r="AI102" i="1" s="1"/>
  <c r="AH102" i="1"/>
  <c r="AJ102" i="1" s="1"/>
  <c r="AK102" i="1"/>
  <c r="AN102" i="1" s="1"/>
  <c r="AL102" i="1"/>
  <c r="AO102" i="1" s="1"/>
  <c r="AM102" i="1"/>
  <c r="AP102" i="1" s="1"/>
  <c r="AG103" i="1"/>
  <c r="AI103" i="1" s="1"/>
  <c r="AH103" i="1"/>
  <c r="AJ103" i="1" s="1"/>
  <c r="AK103" i="1"/>
  <c r="AN103" i="1" s="1"/>
  <c r="AL103" i="1"/>
  <c r="AO103" i="1" s="1"/>
  <c r="AM103" i="1"/>
  <c r="AP103" i="1" s="1"/>
  <c r="AG104" i="1"/>
  <c r="AI104" i="1" s="1"/>
  <c r="AH104" i="1"/>
  <c r="AJ104" i="1" s="1"/>
  <c r="AK104" i="1"/>
  <c r="AN104" i="1" s="1"/>
  <c r="AL104" i="1"/>
  <c r="AO104" i="1" s="1"/>
  <c r="AM104" i="1"/>
  <c r="AP104" i="1" s="1"/>
  <c r="AG105" i="1"/>
  <c r="AI105" i="1" s="1"/>
  <c r="AH105" i="1"/>
  <c r="AJ105" i="1" s="1"/>
  <c r="AK105" i="1"/>
  <c r="AN105" i="1" s="1"/>
  <c r="AL105" i="1"/>
  <c r="AO105" i="1" s="1"/>
  <c r="AM105" i="1"/>
  <c r="AP105" i="1" s="1"/>
  <c r="AG106" i="1"/>
  <c r="AI106" i="1" s="1"/>
  <c r="AH106" i="1"/>
  <c r="AJ106" i="1" s="1"/>
  <c r="AK106" i="1"/>
  <c r="AN106" i="1" s="1"/>
  <c r="AL106" i="1"/>
  <c r="AO106" i="1" s="1"/>
  <c r="AM106" i="1"/>
  <c r="AP106" i="1" s="1"/>
  <c r="AG107" i="1"/>
  <c r="AI107" i="1" s="1"/>
  <c r="AH107" i="1"/>
  <c r="AJ107" i="1" s="1"/>
  <c r="AK107" i="1"/>
  <c r="AN107" i="1" s="1"/>
  <c r="AL107" i="1"/>
  <c r="AO107" i="1" s="1"/>
  <c r="AM107" i="1"/>
  <c r="AP107" i="1" s="1"/>
  <c r="AG108" i="1"/>
  <c r="AI108" i="1" s="1"/>
  <c r="AH108" i="1"/>
  <c r="AJ108" i="1" s="1"/>
  <c r="AK108" i="1"/>
  <c r="AN108" i="1" s="1"/>
  <c r="AL108" i="1"/>
  <c r="AO108" i="1" s="1"/>
  <c r="AM108" i="1"/>
  <c r="AP108" i="1" s="1"/>
  <c r="AG109" i="1"/>
  <c r="AI109" i="1" s="1"/>
  <c r="AH109" i="1"/>
  <c r="AJ109" i="1" s="1"/>
  <c r="AK109" i="1"/>
  <c r="AN109" i="1" s="1"/>
  <c r="AL109" i="1"/>
  <c r="AO109" i="1" s="1"/>
  <c r="AM109" i="1"/>
  <c r="AP109" i="1" s="1"/>
  <c r="AG110" i="1"/>
  <c r="AI110" i="1" s="1"/>
  <c r="AH110" i="1"/>
  <c r="AJ110" i="1" s="1"/>
  <c r="AK110" i="1"/>
  <c r="AN110" i="1" s="1"/>
  <c r="AL110" i="1"/>
  <c r="AO110" i="1" s="1"/>
  <c r="AM110" i="1"/>
  <c r="AP110" i="1" s="1"/>
  <c r="AG111" i="1"/>
  <c r="AI111" i="1" s="1"/>
  <c r="AH111" i="1"/>
  <c r="AJ111" i="1" s="1"/>
  <c r="AK111" i="1"/>
  <c r="AN111" i="1" s="1"/>
  <c r="AL111" i="1"/>
  <c r="AO111" i="1" s="1"/>
  <c r="AM111" i="1"/>
  <c r="AP111" i="1" s="1"/>
  <c r="AG112" i="1"/>
  <c r="AI112" i="1" s="1"/>
  <c r="AH112" i="1"/>
  <c r="AJ112" i="1" s="1"/>
  <c r="AK112" i="1"/>
  <c r="AN112" i="1" s="1"/>
  <c r="AL112" i="1"/>
  <c r="AM112" i="1"/>
  <c r="AP112" i="1" s="1"/>
  <c r="AO112" i="1"/>
  <c r="AG113" i="1"/>
  <c r="AI113" i="1" s="1"/>
  <c r="AH113" i="1"/>
  <c r="AJ113" i="1" s="1"/>
  <c r="AK113" i="1"/>
  <c r="AN113" i="1" s="1"/>
  <c r="AL113" i="1"/>
  <c r="AM113" i="1"/>
  <c r="AP113" i="1" s="1"/>
  <c r="AO113" i="1"/>
  <c r="AG114" i="1"/>
  <c r="AI114" i="1" s="1"/>
  <c r="AH114" i="1"/>
  <c r="AJ114" i="1" s="1"/>
  <c r="AK114" i="1"/>
  <c r="AN114" i="1" s="1"/>
  <c r="AL114" i="1"/>
  <c r="AM114" i="1"/>
  <c r="AP114" i="1" s="1"/>
  <c r="AO114" i="1"/>
  <c r="AG115" i="1"/>
  <c r="AI115" i="1" s="1"/>
  <c r="AH115" i="1"/>
  <c r="AJ115" i="1" s="1"/>
  <c r="AK115" i="1"/>
  <c r="AN115" i="1" s="1"/>
  <c r="AL115" i="1"/>
  <c r="AM115" i="1"/>
  <c r="AP115" i="1" s="1"/>
  <c r="AO115" i="1"/>
  <c r="AG116" i="1"/>
  <c r="AI116" i="1" s="1"/>
  <c r="AH116" i="1"/>
  <c r="AJ116" i="1" s="1"/>
  <c r="AK116" i="1"/>
  <c r="AN116" i="1" s="1"/>
  <c r="AL116" i="1"/>
  <c r="AM116" i="1"/>
  <c r="AP116" i="1" s="1"/>
  <c r="AO116" i="1"/>
  <c r="AG117" i="1"/>
  <c r="AI117" i="1" s="1"/>
  <c r="AH117" i="1"/>
  <c r="AJ117" i="1" s="1"/>
  <c r="AK117" i="1"/>
  <c r="AN117" i="1" s="1"/>
  <c r="AL117" i="1"/>
  <c r="AM117" i="1"/>
  <c r="AP117" i="1" s="1"/>
  <c r="AO117" i="1"/>
  <c r="AG118" i="1"/>
  <c r="AI118" i="1" s="1"/>
  <c r="AH118" i="1"/>
  <c r="AJ118" i="1" s="1"/>
  <c r="AK118" i="1"/>
  <c r="AN118" i="1" s="1"/>
  <c r="AL118" i="1"/>
  <c r="AM118" i="1"/>
  <c r="AP118" i="1" s="1"/>
  <c r="AO118" i="1"/>
  <c r="AG119" i="1"/>
  <c r="AI119" i="1" s="1"/>
  <c r="AH119" i="1"/>
  <c r="AJ119" i="1" s="1"/>
  <c r="AK119" i="1"/>
  <c r="AN119" i="1" s="1"/>
  <c r="AL119" i="1"/>
  <c r="AM119" i="1"/>
  <c r="AP119" i="1" s="1"/>
  <c r="AO119" i="1"/>
  <c r="AG120" i="1"/>
  <c r="AI120" i="1" s="1"/>
  <c r="AH120" i="1"/>
  <c r="AJ120" i="1" s="1"/>
  <c r="AK120" i="1"/>
  <c r="AN120" i="1" s="1"/>
  <c r="AL120" i="1"/>
  <c r="AM120" i="1"/>
  <c r="AP120" i="1" s="1"/>
  <c r="AO120" i="1"/>
  <c r="AG121" i="1"/>
  <c r="AI121" i="1" s="1"/>
  <c r="AH121" i="1"/>
  <c r="AJ121" i="1" s="1"/>
  <c r="AK121" i="1"/>
  <c r="AN121" i="1" s="1"/>
  <c r="AL121" i="1"/>
  <c r="AM121" i="1"/>
  <c r="AP121" i="1" s="1"/>
  <c r="AO121" i="1"/>
  <c r="AG122" i="1"/>
  <c r="AI122" i="1" s="1"/>
  <c r="AH122" i="1"/>
  <c r="AJ122" i="1" s="1"/>
  <c r="AK122" i="1"/>
  <c r="AN122" i="1" s="1"/>
  <c r="AL122" i="1"/>
  <c r="AM122" i="1"/>
  <c r="AP122" i="1" s="1"/>
  <c r="AO122" i="1"/>
  <c r="AG123" i="1"/>
  <c r="AI123" i="1" s="1"/>
  <c r="AH123" i="1"/>
  <c r="AJ123" i="1" s="1"/>
  <c r="AK123" i="1"/>
  <c r="AN123" i="1" s="1"/>
  <c r="AL123" i="1"/>
  <c r="AM123" i="1"/>
  <c r="AP123" i="1" s="1"/>
  <c r="AO123" i="1"/>
  <c r="AG124" i="1"/>
  <c r="AI124" i="1" s="1"/>
  <c r="AH124" i="1"/>
  <c r="AJ124" i="1" s="1"/>
  <c r="AK124" i="1"/>
  <c r="AN124" i="1" s="1"/>
  <c r="AL124" i="1"/>
  <c r="AM124" i="1"/>
  <c r="AP124" i="1" s="1"/>
  <c r="AO124" i="1"/>
  <c r="AG125" i="1"/>
  <c r="AI125" i="1" s="1"/>
  <c r="AH125" i="1"/>
  <c r="AJ125" i="1" s="1"/>
  <c r="AK125" i="1"/>
  <c r="AN125" i="1" s="1"/>
  <c r="AL125" i="1"/>
  <c r="AM125" i="1"/>
  <c r="AP125" i="1" s="1"/>
  <c r="AO125" i="1"/>
  <c r="AG126" i="1"/>
  <c r="AI126" i="1" s="1"/>
  <c r="AH126" i="1"/>
  <c r="AJ126" i="1" s="1"/>
  <c r="AK126" i="1"/>
  <c r="AN126" i="1" s="1"/>
  <c r="AL126" i="1"/>
  <c r="AM126" i="1"/>
  <c r="AP126" i="1" s="1"/>
  <c r="AO126" i="1"/>
  <c r="AG127" i="1"/>
  <c r="AI127" i="1" s="1"/>
  <c r="AH127" i="1"/>
  <c r="AJ127" i="1" s="1"/>
  <c r="AK127" i="1"/>
  <c r="AN127" i="1" s="1"/>
  <c r="AL127" i="1"/>
  <c r="AM127" i="1"/>
  <c r="AP127" i="1" s="1"/>
  <c r="AO127" i="1"/>
  <c r="AG128" i="1"/>
  <c r="AI128" i="1" s="1"/>
  <c r="AH128" i="1"/>
  <c r="AJ128" i="1" s="1"/>
  <c r="AK128" i="1"/>
  <c r="AN128" i="1" s="1"/>
  <c r="AL128" i="1"/>
  <c r="AM128" i="1"/>
  <c r="AP128" i="1" s="1"/>
  <c r="AO128" i="1"/>
  <c r="AG129" i="1"/>
  <c r="AI129" i="1" s="1"/>
  <c r="AH129" i="1"/>
  <c r="AJ129" i="1" s="1"/>
  <c r="AK129" i="1"/>
  <c r="AN129" i="1" s="1"/>
  <c r="AL129" i="1"/>
  <c r="AM129" i="1"/>
  <c r="AP129" i="1" s="1"/>
  <c r="AO129" i="1"/>
  <c r="AG130" i="1"/>
  <c r="AI130" i="1" s="1"/>
  <c r="AH130" i="1"/>
  <c r="AJ130" i="1" s="1"/>
  <c r="AK130" i="1"/>
  <c r="AN130" i="1" s="1"/>
  <c r="AL130" i="1"/>
  <c r="AM130" i="1"/>
  <c r="AP130" i="1" s="1"/>
  <c r="AO130" i="1"/>
  <c r="AG131" i="1"/>
  <c r="AI131" i="1" s="1"/>
  <c r="AH131" i="1"/>
  <c r="AJ131" i="1" s="1"/>
  <c r="AK131" i="1"/>
  <c r="AN131" i="1" s="1"/>
  <c r="AL131" i="1"/>
  <c r="AM131" i="1"/>
  <c r="AP131" i="1" s="1"/>
  <c r="AO131" i="1"/>
  <c r="AG132" i="1"/>
  <c r="AI132" i="1" s="1"/>
  <c r="AH132" i="1"/>
  <c r="AJ132" i="1" s="1"/>
  <c r="AK132" i="1"/>
  <c r="AN132" i="1" s="1"/>
  <c r="AL132" i="1"/>
  <c r="AM132" i="1"/>
  <c r="AP132" i="1" s="1"/>
  <c r="AO132" i="1"/>
  <c r="AG133" i="1"/>
  <c r="AI133" i="1" s="1"/>
  <c r="AH133" i="1"/>
  <c r="AJ133" i="1" s="1"/>
  <c r="AK133" i="1"/>
  <c r="AN133" i="1" s="1"/>
  <c r="AL133" i="1"/>
  <c r="AM133" i="1"/>
  <c r="AP133" i="1" s="1"/>
  <c r="AO133" i="1"/>
  <c r="AG134" i="1"/>
  <c r="AI134" i="1" s="1"/>
  <c r="AH134" i="1"/>
  <c r="AJ134" i="1" s="1"/>
  <c r="AK134" i="1"/>
  <c r="AN134" i="1" s="1"/>
  <c r="AL134" i="1"/>
  <c r="AM134" i="1"/>
  <c r="AP134" i="1" s="1"/>
  <c r="AO134" i="1"/>
  <c r="AG135" i="1"/>
  <c r="AI135" i="1" s="1"/>
  <c r="AH135" i="1"/>
  <c r="AJ135" i="1" s="1"/>
  <c r="AK135" i="1"/>
  <c r="AN135" i="1" s="1"/>
  <c r="AL135" i="1"/>
  <c r="AM135" i="1"/>
  <c r="AP135" i="1" s="1"/>
  <c r="AO135" i="1"/>
  <c r="AG136" i="1"/>
  <c r="AI136" i="1" s="1"/>
  <c r="AH136" i="1"/>
  <c r="AJ136" i="1" s="1"/>
  <c r="AK136" i="1"/>
  <c r="AN136" i="1" s="1"/>
  <c r="AL136" i="1"/>
  <c r="AM136" i="1"/>
  <c r="AP136" i="1" s="1"/>
  <c r="AO136" i="1"/>
  <c r="AG137" i="1"/>
  <c r="AI137" i="1" s="1"/>
  <c r="AH137" i="1"/>
  <c r="AJ137" i="1" s="1"/>
  <c r="AK137" i="1"/>
  <c r="AN137" i="1" s="1"/>
  <c r="AL137" i="1"/>
  <c r="AM137" i="1"/>
  <c r="AP137" i="1" s="1"/>
  <c r="AO137" i="1"/>
  <c r="AG138" i="1"/>
  <c r="AI138" i="1" s="1"/>
  <c r="AH138" i="1"/>
  <c r="AJ138" i="1" s="1"/>
  <c r="AK138" i="1"/>
  <c r="AN138" i="1" s="1"/>
  <c r="AL138" i="1"/>
  <c r="AM138" i="1"/>
  <c r="AP138" i="1" s="1"/>
  <c r="AO138" i="1"/>
  <c r="AG139" i="1"/>
  <c r="AI139" i="1" s="1"/>
  <c r="AH139" i="1"/>
  <c r="AJ139" i="1" s="1"/>
  <c r="AK139" i="1"/>
  <c r="AN139" i="1" s="1"/>
  <c r="AL139" i="1"/>
  <c r="AM139" i="1"/>
  <c r="AP139" i="1" s="1"/>
  <c r="AO139" i="1"/>
  <c r="AG140" i="1"/>
  <c r="AI140" i="1" s="1"/>
  <c r="AH140" i="1"/>
  <c r="AJ140" i="1" s="1"/>
  <c r="AK140" i="1"/>
  <c r="AN140" i="1" s="1"/>
  <c r="AL140" i="1"/>
  <c r="AM140" i="1"/>
  <c r="AP140" i="1" s="1"/>
  <c r="AO140" i="1"/>
  <c r="AG141" i="1"/>
  <c r="AI141" i="1" s="1"/>
  <c r="AH141" i="1"/>
  <c r="AJ141" i="1" s="1"/>
  <c r="AK141" i="1"/>
  <c r="AN141" i="1" s="1"/>
  <c r="AL141" i="1"/>
  <c r="AM141" i="1"/>
  <c r="AP141" i="1" s="1"/>
  <c r="AO141" i="1"/>
  <c r="AG142" i="1"/>
  <c r="AI142" i="1" s="1"/>
  <c r="AH142" i="1"/>
  <c r="AJ142" i="1" s="1"/>
  <c r="AK142" i="1"/>
  <c r="AN142" i="1" s="1"/>
  <c r="AL142" i="1"/>
  <c r="AM142" i="1"/>
  <c r="AP142" i="1" s="1"/>
  <c r="AO142" i="1"/>
  <c r="AG143" i="1"/>
  <c r="AI143" i="1" s="1"/>
  <c r="AH143" i="1"/>
  <c r="AJ143" i="1" s="1"/>
  <c r="AK143" i="1"/>
  <c r="AN143" i="1" s="1"/>
  <c r="AL143" i="1"/>
  <c r="AM143" i="1"/>
  <c r="AP143" i="1" s="1"/>
  <c r="AO143" i="1"/>
  <c r="AG144" i="1"/>
  <c r="AI144" i="1" s="1"/>
  <c r="AH144" i="1"/>
  <c r="AJ144" i="1" s="1"/>
  <c r="AK144" i="1"/>
  <c r="AN144" i="1" s="1"/>
  <c r="AL144" i="1"/>
  <c r="AM144" i="1"/>
  <c r="AP144" i="1" s="1"/>
  <c r="AO144" i="1"/>
  <c r="AG145" i="1"/>
  <c r="AI145" i="1" s="1"/>
  <c r="AH145" i="1"/>
  <c r="AJ145" i="1" s="1"/>
  <c r="AK145" i="1"/>
  <c r="AN145" i="1" s="1"/>
  <c r="AL145" i="1"/>
  <c r="AM145" i="1"/>
  <c r="AP145" i="1" s="1"/>
  <c r="AO145" i="1"/>
  <c r="AG146" i="1"/>
  <c r="AI146" i="1" s="1"/>
  <c r="AH146" i="1"/>
  <c r="AJ146" i="1" s="1"/>
  <c r="AK146" i="1"/>
  <c r="AN146" i="1" s="1"/>
  <c r="AL146" i="1"/>
  <c r="AM146" i="1"/>
  <c r="AP146" i="1" s="1"/>
  <c r="AO146" i="1"/>
  <c r="AG147" i="1"/>
  <c r="AI147" i="1" s="1"/>
  <c r="AH147" i="1"/>
  <c r="AJ147" i="1" s="1"/>
  <c r="AK147" i="1"/>
  <c r="AN147" i="1" s="1"/>
  <c r="AL147" i="1"/>
  <c r="AM147" i="1"/>
  <c r="AP147" i="1" s="1"/>
  <c r="AO147" i="1"/>
  <c r="AG148" i="1"/>
  <c r="AI148" i="1" s="1"/>
  <c r="AH148" i="1"/>
  <c r="AJ148" i="1" s="1"/>
  <c r="AK148" i="1"/>
  <c r="AN148" i="1" s="1"/>
  <c r="AL148" i="1"/>
  <c r="AM148" i="1"/>
  <c r="AP148" i="1" s="1"/>
  <c r="AO148" i="1"/>
  <c r="AG149" i="1"/>
  <c r="AI149" i="1" s="1"/>
  <c r="AH149" i="1"/>
  <c r="AJ149" i="1" s="1"/>
  <c r="AK149" i="1"/>
  <c r="AN149" i="1" s="1"/>
  <c r="AL149" i="1"/>
  <c r="AM149" i="1"/>
  <c r="AP149" i="1" s="1"/>
  <c r="AO149" i="1"/>
  <c r="AG150" i="1"/>
  <c r="AI150" i="1" s="1"/>
  <c r="AH150" i="1"/>
  <c r="AJ150" i="1" s="1"/>
  <c r="AK150" i="1"/>
  <c r="AN150" i="1" s="1"/>
  <c r="AL150" i="1"/>
  <c r="AM150" i="1"/>
  <c r="AP150" i="1" s="1"/>
  <c r="AO150" i="1"/>
  <c r="AG151" i="1"/>
  <c r="AI151" i="1" s="1"/>
  <c r="AH151" i="1"/>
  <c r="AJ151" i="1" s="1"/>
  <c r="AK151" i="1"/>
  <c r="AN151" i="1" s="1"/>
  <c r="AL151" i="1"/>
  <c r="AM151" i="1"/>
  <c r="AP151" i="1" s="1"/>
  <c r="AO151" i="1"/>
  <c r="AG152" i="1"/>
  <c r="AI152" i="1" s="1"/>
  <c r="AH152" i="1"/>
  <c r="AJ152" i="1" s="1"/>
  <c r="AK152" i="1"/>
  <c r="AN152" i="1" s="1"/>
  <c r="AL152" i="1"/>
  <c r="AM152" i="1"/>
  <c r="AP152" i="1" s="1"/>
  <c r="AO152" i="1"/>
  <c r="AG153" i="1"/>
  <c r="AI153" i="1" s="1"/>
  <c r="AH153" i="1"/>
  <c r="AJ153" i="1" s="1"/>
  <c r="AK153" i="1"/>
  <c r="AN153" i="1" s="1"/>
  <c r="AL153" i="1"/>
  <c r="AM153" i="1"/>
  <c r="AP153" i="1" s="1"/>
  <c r="AO153" i="1"/>
  <c r="AG154" i="1"/>
  <c r="AI154" i="1" s="1"/>
  <c r="AH154" i="1"/>
  <c r="AJ154" i="1" s="1"/>
  <c r="AK154" i="1"/>
  <c r="AN154" i="1" s="1"/>
  <c r="AL154" i="1"/>
  <c r="AM154" i="1"/>
  <c r="AP154" i="1" s="1"/>
  <c r="AO154" i="1"/>
  <c r="AG155" i="1"/>
  <c r="AI155" i="1" s="1"/>
  <c r="AH155" i="1"/>
  <c r="AJ155" i="1" s="1"/>
  <c r="AK155" i="1"/>
  <c r="AN155" i="1" s="1"/>
  <c r="AL155" i="1"/>
  <c r="AM155" i="1"/>
  <c r="AP155" i="1" s="1"/>
  <c r="AO155" i="1"/>
  <c r="AG156" i="1"/>
  <c r="AI156" i="1" s="1"/>
  <c r="AH156" i="1"/>
  <c r="AJ156" i="1" s="1"/>
  <c r="AK156" i="1"/>
  <c r="AN156" i="1" s="1"/>
  <c r="AL156" i="1"/>
  <c r="AM156" i="1"/>
  <c r="AP156" i="1" s="1"/>
  <c r="AO156" i="1"/>
  <c r="AG157" i="1"/>
  <c r="AI157" i="1" s="1"/>
  <c r="AH157" i="1"/>
  <c r="AJ157" i="1" s="1"/>
  <c r="AK157" i="1"/>
  <c r="AN157" i="1" s="1"/>
  <c r="AL157" i="1"/>
  <c r="AM157" i="1"/>
  <c r="AP157" i="1" s="1"/>
  <c r="AO157" i="1"/>
  <c r="AG158" i="1"/>
  <c r="AI158" i="1" s="1"/>
  <c r="AH158" i="1"/>
  <c r="AJ158" i="1" s="1"/>
  <c r="AK158" i="1"/>
  <c r="AN158" i="1" s="1"/>
  <c r="AL158" i="1"/>
  <c r="AM158" i="1"/>
  <c r="AP158" i="1" s="1"/>
  <c r="AO158" i="1"/>
  <c r="AG159" i="1"/>
  <c r="AI159" i="1" s="1"/>
  <c r="AH159" i="1"/>
  <c r="AJ159" i="1" s="1"/>
  <c r="AK159" i="1"/>
  <c r="AN159" i="1" s="1"/>
  <c r="AL159" i="1"/>
  <c r="AM159" i="1"/>
  <c r="AP159" i="1" s="1"/>
  <c r="AO159" i="1"/>
  <c r="AG160" i="1"/>
  <c r="AI160" i="1" s="1"/>
  <c r="AH160" i="1"/>
  <c r="AJ160" i="1" s="1"/>
  <c r="AK160" i="1"/>
  <c r="AN160" i="1" s="1"/>
  <c r="AL160" i="1"/>
  <c r="AM160" i="1"/>
  <c r="AP160" i="1" s="1"/>
  <c r="AO160" i="1"/>
  <c r="AG161" i="1"/>
  <c r="AI161" i="1" s="1"/>
  <c r="AH161" i="1"/>
  <c r="AJ161" i="1" s="1"/>
  <c r="AK161" i="1"/>
  <c r="AN161" i="1" s="1"/>
  <c r="AL161" i="1"/>
  <c r="AO161" i="1" s="1"/>
  <c r="AM161" i="1"/>
  <c r="AP161" i="1" s="1"/>
  <c r="AG162" i="1"/>
  <c r="AI162" i="1" s="1"/>
  <c r="AH162" i="1"/>
  <c r="AJ162" i="1" s="1"/>
  <c r="AK162" i="1"/>
  <c r="AN162" i="1" s="1"/>
  <c r="AL162" i="1"/>
  <c r="AM162" i="1"/>
  <c r="AP162" i="1" s="1"/>
  <c r="AO162" i="1"/>
  <c r="AG163" i="1"/>
  <c r="AI163" i="1" s="1"/>
  <c r="AH163" i="1"/>
  <c r="AJ163" i="1" s="1"/>
  <c r="AK163" i="1"/>
  <c r="AN163" i="1" s="1"/>
  <c r="AL163" i="1"/>
  <c r="AM163" i="1"/>
  <c r="AP163" i="1" s="1"/>
  <c r="AO163" i="1"/>
  <c r="AG164" i="1"/>
  <c r="AI164" i="1" s="1"/>
  <c r="AH164" i="1"/>
  <c r="AJ164" i="1" s="1"/>
  <c r="AK164" i="1"/>
  <c r="AN164" i="1" s="1"/>
  <c r="AL164" i="1"/>
  <c r="AM164" i="1"/>
  <c r="AP164" i="1" s="1"/>
  <c r="AO164" i="1"/>
  <c r="AG165" i="1"/>
  <c r="AI165" i="1" s="1"/>
  <c r="AH165" i="1"/>
  <c r="AJ165" i="1" s="1"/>
  <c r="AK165" i="1"/>
  <c r="AN165" i="1" s="1"/>
  <c r="AL165" i="1"/>
  <c r="AM165" i="1"/>
  <c r="AP165" i="1" s="1"/>
  <c r="AO165" i="1"/>
  <c r="AG166" i="1"/>
  <c r="AI166" i="1" s="1"/>
  <c r="AH166" i="1"/>
  <c r="AJ166" i="1" s="1"/>
  <c r="AK166" i="1"/>
  <c r="AN166" i="1" s="1"/>
  <c r="AL166" i="1"/>
  <c r="AO166" i="1" s="1"/>
  <c r="AM166" i="1"/>
  <c r="AP166" i="1" s="1"/>
  <c r="AG167" i="1"/>
  <c r="AI167" i="1" s="1"/>
  <c r="AH167" i="1"/>
  <c r="AJ167" i="1" s="1"/>
  <c r="AK167" i="1"/>
  <c r="AN167" i="1" s="1"/>
  <c r="AL167" i="1"/>
  <c r="AM167" i="1"/>
  <c r="AP167" i="1" s="1"/>
  <c r="AO167" i="1"/>
  <c r="AG168" i="1"/>
  <c r="AI168" i="1" s="1"/>
  <c r="AH168" i="1"/>
  <c r="AJ168" i="1" s="1"/>
  <c r="AK168" i="1"/>
  <c r="AN168" i="1" s="1"/>
  <c r="AL168" i="1"/>
  <c r="AO168" i="1" s="1"/>
  <c r="AM168" i="1"/>
  <c r="AP168" i="1" s="1"/>
  <c r="AG169" i="1"/>
  <c r="AI169" i="1" s="1"/>
  <c r="AH169" i="1"/>
  <c r="AJ169" i="1" s="1"/>
  <c r="AK169" i="1"/>
  <c r="AN169" i="1" s="1"/>
  <c r="AL169" i="1"/>
  <c r="AM169" i="1"/>
  <c r="AP169" i="1" s="1"/>
  <c r="AO169" i="1"/>
  <c r="AG170" i="1"/>
  <c r="AI170" i="1" s="1"/>
  <c r="AH170" i="1"/>
  <c r="AJ170" i="1" s="1"/>
  <c r="AK170" i="1"/>
  <c r="AN170" i="1" s="1"/>
  <c r="AL170" i="1"/>
  <c r="AM170" i="1"/>
  <c r="AP170" i="1" s="1"/>
  <c r="AO170" i="1"/>
  <c r="AG171" i="1"/>
  <c r="AI171" i="1" s="1"/>
  <c r="AH171" i="1"/>
  <c r="AJ171" i="1" s="1"/>
  <c r="AK171" i="1"/>
  <c r="AN171" i="1" s="1"/>
  <c r="AL171" i="1"/>
  <c r="AM171" i="1"/>
  <c r="AP171" i="1" s="1"/>
  <c r="AO171" i="1"/>
  <c r="AG172" i="1"/>
  <c r="AI172" i="1" s="1"/>
  <c r="AH172" i="1"/>
  <c r="AJ172" i="1" s="1"/>
  <c r="AK172" i="1"/>
  <c r="AN172" i="1" s="1"/>
  <c r="AL172" i="1"/>
  <c r="AM172" i="1"/>
  <c r="AP172" i="1" s="1"/>
  <c r="AO172" i="1"/>
  <c r="AG173" i="1"/>
  <c r="AI173" i="1" s="1"/>
  <c r="AH173" i="1"/>
  <c r="AJ173" i="1" s="1"/>
  <c r="AK173" i="1"/>
  <c r="AN173" i="1" s="1"/>
  <c r="AL173" i="1"/>
  <c r="AM173" i="1"/>
  <c r="AP173" i="1" s="1"/>
  <c r="AO173" i="1"/>
  <c r="AG174" i="1"/>
  <c r="AI174" i="1" s="1"/>
  <c r="AH174" i="1"/>
  <c r="AJ174" i="1" s="1"/>
  <c r="AK174" i="1"/>
  <c r="AN174" i="1" s="1"/>
  <c r="AL174" i="1"/>
  <c r="AM174" i="1"/>
  <c r="AP174" i="1" s="1"/>
  <c r="AO174" i="1"/>
  <c r="AG175" i="1"/>
  <c r="AI175" i="1" s="1"/>
  <c r="AH175" i="1"/>
  <c r="AJ175" i="1" s="1"/>
  <c r="AK175" i="1"/>
  <c r="AN175" i="1" s="1"/>
  <c r="AL175" i="1"/>
  <c r="AM175" i="1"/>
  <c r="AP175" i="1" s="1"/>
  <c r="AO175" i="1"/>
  <c r="AG176" i="1"/>
  <c r="AI176" i="1" s="1"/>
  <c r="AH176" i="1"/>
  <c r="AJ176" i="1" s="1"/>
  <c r="AK176" i="1"/>
  <c r="AN176" i="1" s="1"/>
  <c r="AL176" i="1"/>
  <c r="AM176" i="1"/>
  <c r="AP176" i="1" s="1"/>
  <c r="AO176" i="1"/>
  <c r="AG177" i="1"/>
  <c r="AI177" i="1" s="1"/>
  <c r="AH177" i="1"/>
  <c r="AJ177" i="1" s="1"/>
  <c r="AK177" i="1"/>
  <c r="AN177" i="1" s="1"/>
  <c r="AL177" i="1"/>
  <c r="AM177" i="1"/>
  <c r="AP177" i="1" s="1"/>
  <c r="AO177" i="1"/>
  <c r="AG178" i="1"/>
  <c r="AI178" i="1" s="1"/>
  <c r="AH178" i="1"/>
  <c r="AJ178" i="1" s="1"/>
  <c r="AK178" i="1"/>
  <c r="AN178" i="1" s="1"/>
  <c r="AL178" i="1"/>
  <c r="AM178" i="1"/>
  <c r="AP178" i="1" s="1"/>
  <c r="AO178" i="1"/>
  <c r="AG179" i="1"/>
  <c r="AI179" i="1" s="1"/>
  <c r="AH179" i="1"/>
  <c r="AJ179" i="1" s="1"/>
  <c r="AK179" i="1"/>
  <c r="AN179" i="1" s="1"/>
  <c r="AL179" i="1"/>
  <c r="AM179" i="1"/>
  <c r="AP179" i="1" s="1"/>
  <c r="AO179" i="1"/>
  <c r="AG180" i="1"/>
  <c r="AI180" i="1" s="1"/>
  <c r="AH180" i="1"/>
  <c r="AJ180" i="1" s="1"/>
  <c r="AK180" i="1"/>
  <c r="AN180" i="1" s="1"/>
  <c r="AL180" i="1"/>
  <c r="AM180" i="1"/>
  <c r="AP180" i="1" s="1"/>
  <c r="AO180" i="1"/>
  <c r="AG181" i="1"/>
  <c r="AI181" i="1" s="1"/>
  <c r="AH181" i="1"/>
  <c r="AJ181" i="1" s="1"/>
  <c r="AK181" i="1"/>
  <c r="AN181" i="1" s="1"/>
  <c r="AL181" i="1"/>
  <c r="AM181" i="1"/>
  <c r="AP181" i="1" s="1"/>
  <c r="AO181" i="1"/>
  <c r="AG182" i="1"/>
  <c r="AI182" i="1" s="1"/>
  <c r="AH182" i="1"/>
  <c r="AJ182" i="1" s="1"/>
  <c r="AK182" i="1"/>
  <c r="AN182" i="1" s="1"/>
  <c r="AL182" i="1"/>
  <c r="AM182" i="1"/>
  <c r="AP182" i="1" s="1"/>
  <c r="AO182" i="1"/>
  <c r="AG183" i="1"/>
  <c r="AI183" i="1" s="1"/>
  <c r="AH183" i="1"/>
  <c r="AJ183" i="1" s="1"/>
  <c r="AK183" i="1"/>
  <c r="AN183" i="1" s="1"/>
  <c r="AL183" i="1"/>
  <c r="AM183" i="1"/>
  <c r="AP183" i="1" s="1"/>
  <c r="AO183" i="1"/>
  <c r="AG184" i="1"/>
  <c r="AI184" i="1" s="1"/>
  <c r="AH184" i="1"/>
  <c r="AJ184" i="1" s="1"/>
  <c r="AK184" i="1"/>
  <c r="AN184" i="1" s="1"/>
  <c r="AL184" i="1"/>
  <c r="AM184" i="1"/>
  <c r="AP184" i="1" s="1"/>
  <c r="AO184" i="1"/>
  <c r="AG185" i="1"/>
  <c r="AI185" i="1" s="1"/>
  <c r="AH185" i="1"/>
  <c r="AJ185" i="1" s="1"/>
  <c r="AK185" i="1"/>
  <c r="AN185" i="1" s="1"/>
  <c r="AL185" i="1"/>
  <c r="AM185" i="1"/>
  <c r="AP185" i="1" s="1"/>
  <c r="AO185" i="1"/>
  <c r="AG186" i="1"/>
  <c r="AI186" i="1" s="1"/>
  <c r="AH186" i="1"/>
  <c r="AJ186" i="1" s="1"/>
  <c r="AK186" i="1"/>
  <c r="AN186" i="1" s="1"/>
  <c r="AL186" i="1"/>
  <c r="AM186" i="1"/>
  <c r="AP186" i="1" s="1"/>
  <c r="AO186" i="1"/>
  <c r="AG187" i="1"/>
  <c r="AI187" i="1" s="1"/>
  <c r="AH187" i="1"/>
  <c r="AJ187" i="1" s="1"/>
  <c r="AK187" i="1"/>
  <c r="AN187" i="1" s="1"/>
  <c r="AL187" i="1"/>
  <c r="AM187" i="1"/>
  <c r="AP187" i="1" s="1"/>
  <c r="AO187" i="1"/>
  <c r="AG188" i="1"/>
  <c r="AI188" i="1" s="1"/>
  <c r="AH188" i="1"/>
  <c r="AJ188" i="1" s="1"/>
  <c r="AK188" i="1"/>
  <c r="AN188" i="1" s="1"/>
  <c r="AL188" i="1"/>
  <c r="AM188" i="1"/>
  <c r="AP188" i="1" s="1"/>
  <c r="AO188" i="1"/>
  <c r="AG189" i="1"/>
  <c r="AI189" i="1" s="1"/>
  <c r="AH189" i="1"/>
  <c r="AJ189" i="1" s="1"/>
  <c r="AK189" i="1"/>
  <c r="AN189" i="1" s="1"/>
  <c r="AL189" i="1"/>
  <c r="AM189" i="1"/>
  <c r="AP189" i="1" s="1"/>
  <c r="AO189" i="1"/>
  <c r="AG190" i="1"/>
  <c r="AI190" i="1" s="1"/>
  <c r="AH190" i="1"/>
  <c r="AJ190" i="1" s="1"/>
  <c r="AK190" i="1"/>
  <c r="AN190" i="1" s="1"/>
  <c r="AL190" i="1"/>
  <c r="AM190" i="1"/>
  <c r="AP190" i="1" s="1"/>
  <c r="AO190" i="1"/>
  <c r="AG191" i="1"/>
  <c r="AI191" i="1" s="1"/>
  <c r="AH191" i="1"/>
  <c r="AJ191" i="1" s="1"/>
  <c r="AK191" i="1"/>
  <c r="AN191" i="1" s="1"/>
  <c r="AL191" i="1"/>
  <c r="AM191" i="1"/>
  <c r="AP191" i="1" s="1"/>
  <c r="AO191" i="1"/>
  <c r="AG192" i="1"/>
  <c r="AI192" i="1" s="1"/>
  <c r="AH192" i="1"/>
  <c r="AJ192" i="1" s="1"/>
  <c r="AK192" i="1"/>
  <c r="AN192" i="1" s="1"/>
  <c r="AL192" i="1"/>
  <c r="AM192" i="1"/>
  <c r="AP192" i="1" s="1"/>
  <c r="AO192" i="1"/>
  <c r="AG193" i="1"/>
  <c r="AI193" i="1" s="1"/>
  <c r="AH193" i="1"/>
  <c r="AJ193" i="1" s="1"/>
  <c r="AK193" i="1"/>
  <c r="AN193" i="1" s="1"/>
  <c r="AL193" i="1"/>
  <c r="AM193" i="1"/>
  <c r="AP193" i="1" s="1"/>
  <c r="AO193" i="1"/>
  <c r="AG194" i="1"/>
  <c r="AI194" i="1" s="1"/>
  <c r="AH194" i="1"/>
  <c r="AJ194" i="1" s="1"/>
  <c r="AK194" i="1"/>
  <c r="AN194" i="1" s="1"/>
  <c r="AL194" i="1"/>
  <c r="AM194" i="1"/>
  <c r="AP194" i="1" s="1"/>
  <c r="AO194" i="1"/>
  <c r="AG195" i="1"/>
  <c r="AI195" i="1" s="1"/>
  <c r="AH195" i="1"/>
  <c r="AJ195" i="1" s="1"/>
  <c r="AK195" i="1"/>
  <c r="AN195" i="1" s="1"/>
  <c r="AL195" i="1"/>
  <c r="AM195" i="1"/>
  <c r="AP195" i="1" s="1"/>
  <c r="AO195" i="1"/>
  <c r="AG196" i="1"/>
  <c r="AI196" i="1" s="1"/>
  <c r="AH196" i="1"/>
  <c r="AJ196" i="1" s="1"/>
  <c r="AK196" i="1"/>
  <c r="AN196" i="1" s="1"/>
  <c r="AL196" i="1"/>
  <c r="AM196" i="1"/>
  <c r="AP196" i="1" s="1"/>
  <c r="AO196" i="1"/>
  <c r="AG197" i="1"/>
  <c r="AI197" i="1" s="1"/>
  <c r="AH197" i="1"/>
  <c r="AJ197" i="1" s="1"/>
  <c r="AK197" i="1"/>
  <c r="AN197" i="1" s="1"/>
  <c r="AL197" i="1"/>
  <c r="AO197" i="1" s="1"/>
  <c r="AM197" i="1"/>
  <c r="AP197" i="1" s="1"/>
  <c r="AG198" i="1"/>
  <c r="AI198" i="1" s="1"/>
  <c r="AH198" i="1"/>
  <c r="AJ198" i="1" s="1"/>
  <c r="AK198" i="1"/>
  <c r="AN198" i="1" s="1"/>
  <c r="AL198" i="1"/>
  <c r="AM198" i="1"/>
  <c r="AP198" i="1" s="1"/>
  <c r="AO198" i="1"/>
  <c r="AG199" i="1"/>
  <c r="AI199" i="1" s="1"/>
  <c r="AH199" i="1"/>
  <c r="AJ199" i="1" s="1"/>
  <c r="AK199" i="1"/>
  <c r="AN199" i="1" s="1"/>
  <c r="AL199" i="1"/>
  <c r="AM199" i="1"/>
  <c r="AP199" i="1" s="1"/>
  <c r="AO199" i="1"/>
  <c r="AG200" i="1"/>
  <c r="AI200" i="1" s="1"/>
  <c r="AH200" i="1"/>
  <c r="AJ200" i="1" s="1"/>
  <c r="AK200" i="1"/>
  <c r="AN200" i="1" s="1"/>
  <c r="AL200" i="1"/>
  <c r="AM200" i="1"/>
  <c r="AP200" i="1" s="1"/>
  <c r="AO200" i="1"/>
  <c r="AG201" i="1"/>
  <c r="AI201" i="1" s="1"/>
  <c r="AH201" i="1"/>
  <c r="AJ201" i="1" s="1"/>
  <c r="AK201" i="1"/>
  <c r="AN201" i="1" s="1"/>
  <c r="AL201" i="1"/>
  <c r="AM201" i="1"/>
  <c r="AP201" i="1" s="1"/>
  <c r="AO201" i="1"/>
  <c r="AG202" i="1"/>
  <c r="AI202" i="1" s="1"/>
  <c r="AH202" i="1"/>
  <c r="AJ202" i="1" s="1"/>
  <c r="AK202" i="1"/>
  <c r="AN202" i="1" s="1"/>
  <c r="AL202" i="1"/>
  <c r="AM202" i="1"/>
  <c r="AP202" i="1" s="1"/>
  <c r="AO202" i="1"/>
  <c r="AG203" i="1"/>
  <c r="AI203" i="1" s="1"/>
  <c r="AH203" i="1"/>
  <c r="AJ203" i="1" s="1"/>
  <c r="AK203" i="1"/>
  <c r="AN203" i="1" s="1"/>
  <c r="AL203" i="1"/>
  <c r="AO203" i="1" s="1"/>
  <c r="AM203" i="1"/>
  <c r="AP203" i="1" s="1"/>
  <c r="AG204" i="1"/>
  <c r="AI204" i="1" s="1"/>
  <c r="AH204" i="1"/>
  <c r="AJ204" i="1" s="1"/>
  <c r="AK204" i="1"/>
  <c r="AN204" i="1" s="1"/>
  <c r="AL204" i="1"/>
  <c r="AM204" i="1"/>
  <c r="AP204" i="1" s="1"/>
  <c r="AO204" i="1"/>
  <c r="AG205" i="1"/>
  <c r="AI205" i="1" s="1"/>
  <c r="AH205" i="1"/>
  <c r="AJ205" i="1" s="1"/>
  <c r="AK205" i="1"/>
  <c r="AN205" i="1" s="1"/>
  <c r="AL205" i="1"/>
  <c r="AM205" i="1"/>
  <c r="AP205" i="1" s="1"/>
  <c r="AO205" i="1"/>
  <c r="AG206" i="1"/>
  <c r="AI206" i="1" s="1"/>
  <c r="AH206" i="1"/>
  <c r="AJ206" i="1" s="1"/>
  <c r="AK206" i="1"/>
  <c r="AN206" i="1" s="1"/>
  <c r="AL206" i="1"/>
  <c r="AM206" i="1"/>
  <c r="AP206" i="1" s="1"/>
  <c r="AO206" i="1"/>
  <c r="AG207" i="1"/>
  <c r="AI207" i="1" s="1"/>
  <c r="AH207" i="1"/>
  <c r="AJ207" i="1" s="1"/>
  <c r="AK207" i="1"/>
  <c r="AN207" i="1" s="1"/>
  <c r="AL207" i="1"/>
  <c r="AM207" i="1"/>
  <c r="AP207" i="1" s="1"/>
  <c r="AO207" i="1"/>
  <c r="AG208" i="1"/>
  <c r="AI208" i="1" s="1"/>
  <c r="AH208" i="1"/>
  <c r="AJ208" i="1" s="1"/>
  <c r="AK208" i="1"/>
  <c r="AN208" i="1" s="1"/>
  <c r="AL208" i="1"/>
  <c r="AO208" i="1" s="1"/>
  <c r="AM208" i="1"/>
  <c r="AP208" i="1" s="1"/>
  <c r="AG209" i="1"/>
  <c r="AI209" i="1" s="1"/>
  <c r="AH209" i="1"/>
  <c r="AJ209" i="1" s="1"/>
  <c r="AK209" i="1"/>
  <c r="AN209" i="1" s="1"/>
  <c r="AL209" i="1"/>
  <c r="AO209" i="1" s="1"/>
  <c r="AM209" i="1"/>
  <c r="AP209" i="1" s="1"/>
  <c r="AG210" i="1"/>
  <c r="AI210" i="1" s="1"/>
  <c r="AH210" i="1"/>
  <c r="AJ210" i="1" s="1"/>
  <c r="AK210" i="1"/>
  <c r="AN210" i="1" s="1"/>
  <c r="AL210" i="1"/>
  <c r="AO210" i="1" s="1"/>
  <c r="AM210" i="1"/>
  <c r="AP210" i="1" s="1"/>
  <c r="AG211" i="1"/>
  <c r="AI211" i="1" s="1"/>
  <c r="AH211" i="1"/>
  <c r="AJ211" i="1" s="1"/>
  <c r="AK211" i="1"/>
  <c r="AN211" i="1" s="1"/>
  <c r="AL211" i="1"/>
  <c r="AO211" i="1" s="1"/>
  <c r="AM211" i="1"/>
  <c r="AP211" i="1" s="1"/>
  <c r="AG212" i="1"/>
  <c r="AI212" i="1" s="1"/>
  <c r="AH212" i="1"/>
  <c r="AJ212" i="1" s="1"/>
  <c r="AK212" i="1"/>
  <c r="AN212" i="1" s="1"/>
  <c r="AL212" i="1"/>
  <c r="AM212" i="1"/>
  <c r="AP212" i="1" s="1"/>
  <c r="AO212" i="1"/>
  <c r="AG213" i="1"/>
  <c r="AI213" i="1" s="1"/>
  <c r="AH213" i="1"/>
  <c r="AJ213" i="1" s="1"/>
  <c r="AK213" i="1"/>
  <c r="AN213" i="1" s="1"/>
  <c r="AL213" i="1"/>
  <c r="AM213" i="1"/>
  <c r="AP213" i="1" s="1"/>
  <c r="AO213" i="1"/>
  <c r="AG214" i="1"/>
  <c r="AI214" i="1" s="1"/>
  <c r="AH214" i="1"/>
  <c r="AJ214" i="1" s="1"/>
  <c r="AK214" i="1"/>
  <c r="AN214" i="1" s="1"/>
  <c r="AL214" i="1"/>
  <c r="AM214" i="1"/>
  <c r="AP214" i="1" s="1"/>
  <c r="AO214" i="1"/>
  <c r="AG215" i="1"/>
  <c r="AI215" i="1" s="1"/>
  <c r="AH215" i="1"/>
  <c r="AJ215" i="1" s="1"/>
  <c r="AK215" i="1"/>
  <c r="AN215" i="1" s="1"/>
  <c r="AL215" i="1"/>
  <c r="AM215" i="1"/>
  <c r="AP215" i="1" s="1"/>
  <c r="AO215" i="1"/>
  <c r="AG216" i="1"/>
  <c r="AI216" i="1" s="1"/>
  <c r="AH216" i="1"/>
  <c r="AJ216" i="1" s="1"/>
  <c r="AK216" i="1"/>
  <c r="AN216" i="1" s="1"/>
  <c r="AL216" i="1"/>
  <c r="AM216" i="1"/>
  <c r="AP216" i="1" s="1"/>
  <c r="AO216" i="1"/>
  <c r="AG217" i="1"/>
  <c r="AI217" i="1" s="1"/>
  <c r="AH217" i="1"/>
  <c r="AJ217" i="1" s="1"/>
  <c r="AK217" i="1"/>
  <c r="AN217" i="1" s="1"/>
  <c r="AL217" i="1"/>
  <c r="AM217" i="1"/>
  <c r="AP217" i="1" s="1"/>
  <c r="AO217" i="1"/>
  <c r="AG218" i="1"/>
  <c r="AI218" i="1" s="1"/>
  <c r="AH218" i="1"/>
  <c r="AJ218" i="1" s="1"/>
  <c r="AK218" i="1"/>
  <c r="AN218" i="1" s="1"/>
  <c r="AL218" i="1"/>
  <c r="AM218" i="1"/>
  <c r="AP218" i="1" s="1"/>
  <c r="AO218" i="1"/>
  <c r="AG219" i="1"/>
  <c r="AI219" i="1" s="1"/>
  <c r="AH219" i="1"/>
  <c r="AJ219" i="1" s="1"/>
  <c r="AK219" i="1"/>
  <c r="AN219" i="1" s="1"/>
  <c r="AL219" i="1"/>
  <c r="AM219" i="1"/>
  <c r="AP219" i="1" s="1"/>
  <c r="AO219" i="1"/>
  <c r="AG220" i="1"/>
  <c r="AI220" i="1" s="1"/>
  <c r="AH220" i="1"/>
  <c r="AJ220" i="1" s="1"/>
  <c r="AK220" i="1"/>
  <c r="AN220" i="1" s="1"/>
  <c r="AL220" i="1"/>
  <c r="AM220" i="1"/>
  <c r="AP220" i="1" s="1"/>
  <c r="AO220" i="1"/>
  <c r="AG221" i="1"/>
  <c r="AI221" i="1" s="1"/>
  <c r="AH221" i="1"/>
  <c r="AJ221" i="1" s="1"/>
  <c r="AK221" i="1"/>
  <c r="AN221" i="1" s="1"/>
  <c r="AL221" i="1"/>
  <c r="AM221" i="1"/>
  <c r="AP221" i="1" s="1"/>
  <c r="AO221" i="1"/>
  <c r="AG222" i="1"/>
  <c r="AI222" i="1" s="1"/>
  <c r="AH222" i="1"/>
  <c r="AJ222" i="1" s="1"/>
  <c r="AK222" i="1"/>
  <c r="AN222" i="1" s="1"/>
  <c r="AL222" i="1"/>
  <c r="AM222" i="1"/>
  <c r="AP222" i="1" s="1"/>
  <c r="AO222" i="1"/>
  <c r="AG223" i="1"/>
  <c r="AI223" i="1" s="1"/>
  <c r="AH223" i="1"/>
  <c r="AJ223" i="1" s="1"/>
  <c r="AK223" i="1"/>
  <c r="AN223" i="1" s="1"/>
  <c r="AL223" i="1"/>
  <c r="AM223" i="1"/>
  <c r="AP223" i="1" s="1"/>
  <c r="AO223" i="1"/>
  <c r="AG224" i="1"/>
  <c r="AI224" i="1" s="1"/>
  <c r="AH224" i="1"/>
  <c r="AJ224" i="1" s="1"/>
  <c r="AK224" i="1"/>
  <c r="AN224" i="1" s="1"/>
  <c r="AL224" i="1"/>
  <c r="AM224" i="1"/>
  <c r="AP224" i="1" s="1"/>
  <c r="AO224" i="1"/>
  <c r="AG225" i="1"/>
  <c r="AI225" i="1" s="1"/>
  <c r="AH225" i="1"/>
  <c r="AJ225" i="1" s="1"/>
  <c r="AK225" i="1"/>
  <c r="AN225" i="1" s="1"/>
  <c r="AL225" i="1"/>
  <c r="AM225" i="1"/>
  <c r="AP225" i="1" s="1"/>
  <c r="AO225" i="1"/>
  <c r="AG226" i="1"/>
  <c r="AI226" i="1" s="1"/>
  <c r="AH226" i="1"/>
  <c r="AJ226" i="1" s="1"/>
  <c r="AK226" i="1"/>
  <c r="AN226" i="1" s="1"/>
  <c r="AL226" i="1"/>
  <c r="AM226" i="1"/>
  <c r="AP226" i="1" s="1"/>
  <c r="AO226" i="1"/>
  <c r="AG227" i="1"/>
  <c r="AI227" i="1" s="1"/>
  <c r="AH227" i="1"/>
  <c r="AJ227" i="1" s="1"/>
  <c r="AK227" i="1"/>
  <c r="AN227" i="1" s="1"/>
  <c r="AL227" i="1"/>
  <c r="AM227" i="1"/>
  <c r="AP227" i="1" s="1"/>
  <c r="AO227" i="1"/>
  <c r="AG228" i="1"/>
  <c r="AI228" i="1" s="1"/>
  <c r="AH228" i="1"/>
  <c r="AJ228" i="1" s="1"/>
  <c r="AK228" i="1"/>
  <c r="AN228" i="1" s="1"/>
  <c r="AL228" i="1"/>
  <c r="AM228" i="1"/>
  <c r="AP228" i="1" s="1"/>
  <c r="AO228" i="1"/>
  <c r="AG229" i="1"/>
  <c r="AI229" i="1" s="1"/>
  <c r="AH229" i="1"/>
  <c r="AJ229" i="1" s="1"/>
  <c r="AK229" i="1"/>
  <c r="AN229" i="1" s="1"/>
  <c r="AL229" i="1"/>
  <c r="AM229" i="1"/>
  <c r="AP229" i="1" s="1"/>
  <c r="AO229" i="1"/>
  <c r="AG230" i="1"/>
  <c r="AI230" i="1" s="1"/>
  <c r="AH230" i="1"/>
  <c r="AJ230" i="1" s="1"/>
  <c r="AK230" i="1"/>
  <c r="AN230" i="1" s="1"/>
  <c r="AL230" i="1"/>
  <c r="AM230" i="1"/>
  <c r="AP230" i="1" s="1"/>
  <c r="AO230" i="1"/>
  <c r="AG231" i="1"/>
  <c r="AI231" i="1" s="1"/>
  <c r="AH231" i="1"/>
  <c r="AJ231" i="1" s="1"/>
  <c r="AK231" i="1"/>
  <c r="AN231" i="1" s="1"/>
  <c r="AL231" i="1"/>
  <c r="AM231" i="1"/>
  <c r="AP231" i="1" s="1"/>
  <c r="AO231" i="1"/>
  <c r="AG232" i="1"/>
  <c r="AI232" i="1" s="1"/>
  <c r="AH232" i="1"/>
  <c r="AJ232" i="1" s="1"/>
  <c r="AK232" i="1"/>
  <c r="AN232" i="1" s="1"/>
  <c r="AL232" i="1"/>
  <c r="AM232" i="1"/>
  <c r="AP232" i="1" s="1"/>
  <c r="AO232" i="1"/>
  <c r="AG233" i="1"/>
  <c r="AI233" i="1" s="1"/>
  <c r="AH233" i="1"/>
  <c r="AJ233" i="1" s="1"/>
  <c r="AK233" i="1"/>
  <c r="AN233" i="1" s="1"/>
  <c r="AL233" i="1"/>
  <c r="AM233" i="1"/>
  <c r="AP233" i="1" s="1"/>
  <c r="AO233" i="1"/>
  <c r="AG234" i="1"/>
  <c r="AI234" i="1" s="1"/>
  <c r="AH234" i="1"/>
  <c r="AJ234" i="1" s="1"/>
  <c r="AK234" i="1"/>
  <c r="AN234" i="1" s="1"/>
  <c r="AL234" i="1"/>
  <c r="AM234" i="1"/>
  <c r="AP234" i="1" s="1"/>
  <c r="AO234" i="1"/>
  <c r="AG235" i="1"/>
  <c r="AI235" i="1" s="1"/>
  <c r="AH235" i="1"/>
  <c r="AJ235" i="1" s="1"/>
  <c r="AK235" i="1"/>
  <c r="AN235" i="1" s="1"/>
  <c r="AL235" i="1"/>
  <c r="AO235" i="1" s="1"/>
  <c r="AM235" i="1"/>
  <c r="AP235" i="1" s="1"/>
  <c r="AG236" i="1"/>
  <c r="AI236" i="1" s="1"/>
  <c r="AH236" i="1"/>
  <c r="AJ236" i="1" s="1"/>
  <c r="AK236" i="1"/>
  <c r="AN236" i="1" s="1"/>
  <c r="AL236" i="1"/>
  <c r="AO236" i="1" s="1"/>
  <c r="AM236" i="1"/>
  <c r="AP236" i="1" s="1"/>
  <c r="AG237" i="1"/>
  <c r="AI237" i="1" s="1"/>
  <c r="AH237" i="1"/>
  <c r="AJ237" i="1" s="1"/>
  <c r="AK237" i="1"/>
  <c r="AN237" i="1" s="1"/>
  <c r="AL237" i="1"/>
  <c r="AO237" i="1" s="1"/>
  <c r="AM237" i="1"/>
  <c r="AP237" i="1" s="1"/>
  <c r="AG238" i="1"/>
  <c r="AI238" i="1" s="1"/>
  <c r="AH238" i="1"/>
  <c r="AJ238" i="1" s="1"/>
  <c r="AK238" i="1"/>
  <c r="AN238" i="1" s="1"/>
  <c r="AL238" i="1"/>
  <c r="AM238" i="1"/>
  <c r="AP238" i="1" s="1"/>
  <c r="AO238" i="1"/>
  <c r="AG239" i="1"/>
  <c r="AI239" i="1" s="1"/>
  <c r="AH239" i="1"/>
  <c r="AJ239" i="1" s="1"/>
  <c r="AK239" i="1"/>
  <c r="AN239" i="1" s="1"/>
  <c r="AL239" i="1"/>
  <c r="AO239" i="1" s="1"/>
  <c r="AM239" i="1"/>
  <c r="AP239" i="1" s="1"/>
  <c r="AG240" i="1"/>
  <c r="AI240" i="1" s="1"/>
  <c r="AH240" i="1"/>
  <c r="AJ240" i="1" s="1"/>
  <c r="AK240" i="1"/>
  <c r="AN240" i="1" s="1"/>
  <c r="AL240" i="1"/>
  <c r="AM240" i="1"/>
  <c r="AP240" i="1" s="1"/>
  <c r="AO240" i="1"/>
  <c r="AG241" i="1"/>
  <c r="AI241" i="1" s="1"/>
  <c r="AH241" i="1"/>
  <c r="AJ241" i="1" s="1"/>
  <c r="AK241" i="1"/>
  <c r="AN241" i="1" s="1"/>
  <c r="AL241" i="1"/>
  <c r="AO241" i="1" s="1"/>
  <c r="AM241" i="1"/>
  <c r="AP241" i="1" s="1"/>
  <c r="AG242" i="1"/>
  <c r="AI242" i="1" s="1"/>
  <c r="AH242" i="1"/>
  <c r="AJ242" i="1" s="1"/>
  <c r="AK242" i="1"/>
  <c r="AN242" i="1" s="1"/>
  <c r="AL242" i="1"/>
  <c r="AM242" i="1"/>
  <c r="AP242" i="1" s="1"/>
  <c r="AO242" i="1"/>
  <c r="AG243" i="1"/>
  <c r="AI243" i="1" s="1"/>
  <c r="AH243" i="1"/>
  <c r="AJ243" i="1" s="1"/>
  <c r="AK243" i="1"/>
  <c r="AN243" i="1" s="1"/>
  <c r="AL243" i="1"/>
  <c r="AO243" i="1" s="1"/>
  <c r="AM243" i="1"/>
  <c r="AP243" i="1" s="1"/>
  <c r="AG244" i="1"/>
  <c r="AI244" i="1" s="1"/>
  <c r="AH244" i="1"/>
  <c r="AJ244" i="1" s="1"/>
  <c r="AK244" i="1"/>
  <c r="AN244" i="1" s="1"/>
  <c r="AL244" i="1"/>
  <c r="AO244" i="1" s="1"/>
  <c r="AM244" i="1"/>
  <c r="AP244" i="1" s="1"/>
  <c r="AG245" i="1"/>
  <c r="AI245" i="1" s="1"/>
  <c r="AH245" i="1"/>
  <c r="AJ245" i="1" s="1"/>
  <c r="AK245" i="1"/>
  <c r="AN245" i="1" s="1"/>
  <c r="AL245" i="1"/>
  <c r="AO245" i="1" s="1"/>
  <c r="AM245" i="1"/>
  <c r="AP245" i="1" s="1"/>
  <c r="AG246" i="1"/>
  <c r="AI246" i="1" s="1"/>
  <c r="AH246" i="1"/>
  <c r="AJ246" i="1" s="1"/>
  <c r="AK246" i="1"/>
  <c r="AN246" i="1" s="1"/>
  <c r="AL246" i="1"/>
  <c r="AM246" i="1"/>
  <c r="AP246" i="1" s="1"/>
  <c r="AO246" i="1"/>
  <c r="AG247" i="1"/>
  <c r="AI247" i="1" s="1"/>
  <c r="AH247" i="1"/>
  <c r="AJ247" i="1" s="1"/>
  <c r="AK247" i="1"/>
  <c r="AN247" i="1" s="1"/>
  <c r="AL247" i="1"/>
  <c r="AM247" i="1"/>
  <c r="AP247" i="1" s="1"/>
  <c r="AO247" i="1"/>
  <c r="AG248" i="1"/>
  <c r="AI248" i="1" s="1"/>
  <c r="AH248" i="1"/>
  <c r="AJ248" i="1" s="1"/>
  <c r="AK248" i="1"/>
  <c r="AN248" i="1" s="1"/>
  <c r="AL248" i="1"/>
  <c r="AM248" i="1"/>
  <c r="AP248" i="1" s="1"/>
  <c r="AO248" i="1"/>
  <c r="AG249" i="1"/>
  <c r="AI249" i="1" s="1"/>
  <c r="AH249" i="1"/>
  <c r="AJ249" i="1" s="1"/>
  <c r="AK249" i="1"/>
  <c r="AN249" i="1" s="1"/>
  <c r="AL249" i="1"/>
  <c r="AM249" i="1"/>
  <c r="AP249" i="1" s="1"/>
  <c r="AO249" i="1"/>
  <c r="AG250" i="1"/>
  <c r="AI250" i="1" s="1"/>
  <c r="AH250" i="1"/>
  <c r="AJ250" i="1" s="1"/>
  <c r="AK250" i="1"/>
  <c r="AN250" i="1" s="1"/>
  <c r="AL250" i="1"/>
  <c r="AM250" i="1"/>
  <c r="AP250" i="1" s="1"/>
  <c r="AO250" i="1"/>
  <c r="AG251" i="1"/>
  <c r="AI251" i="1" s="1"/>
  <c r="AH251" i="1"/>
  <c r="AJ251" i="1" s="1"/>
  <c r="AK251" i="1"/>
  <c r="AN251" i="1" s="1"/>
  <c r="AL251" i="1"/>
  <c r="AM251" i="1"/>
  <c r="AP251" i="1" s="1"/>
  <c r="AO251" i="1"/>
  <c r="AG252" i="1"/>
  <c r="AI252" i="1" s="1"/>
  <c r="AH252" i="1"/>
  <c r="AJ252" i="1" s="1"/>
  <c r="AK252" i="1"/>
  <c r="AN252" i="1" s="1"/>
  <c r="AL252" i="1"/>
  <c r="AM252" i="1"/>
  <c r="AP252" i="1" s="1"/>
  <c r="AO252" i="1"/>
  <c r="AG253" i="1"/>
  <c r="AI253" i="1" s="1"/>
  <c r="AH253" i="1"/>
  <c r="AJ253" i="1" s="1"/>
  <c r="AK253" i="1"/>
  <c r="AN253" i="1" s="1"/>
  <c r="AL253" i="1"/>
  <c r="AM253" i="1"/>
  <c r="AP253" i="1" s="1"/>
  <c r="AO253" i="1"/>
  <c r="AG254" i="1"/>
  <c r="AI254" i="1" s="1"/>
  <c r="AH254" i="1"/>
  <c r="AJ254" i="1" s="1"/>
  <c r="AK254" i="1"/>
  <c r="AN254" i="1" s="1"/>
  <c r="AL254" i="1"/>
  <c r="AM254" i="1"/>
  <c r="AP254" i="1" s="1"/>
  <c r="AO254" i="1"/>
  <c r="AG255" i="1"/>
  <c r="AI255" i="1" s="1"/>
  <c r="AH255" i="1"/>
  <c r="AJ255" i="1" s="1"/>
  <c r="AK255" i="1"/>
  <c r="AN255" i="1" s="1"/>
  <c r="AL255" i="1"/>
  <c r="AO255" i="1" s="1"/>
  <c r="AM255" i="1"/>
  <c r="AP255" i="1" s="1"/>
  <c r="AG256" i="1"/>
  <c r="AI256" i="1" s="1"/>
  <c r="AH256" i="1"/>
  <c r="AJ256" i="1" s="1"/>
  <c r="AK256" i="1"/>
  <c r="AN256" i="1" s="1"/>
  <c r="AL256" i="1"/>
  <c r="AM256" i="1"/>
  <c r="AP256" i="1" s="1"/>
  <c r="AO256" i="1"/>
  <c r="AG257" i="1"/>
  <c r="AI257" i="1" s="1"/>
  <c r="AH257" i="1"/>
  <c r="AJ257" i="1" s="1"/>
  <c r="AK257" i="1"/>
  <c r="AN257" i="1" s="1"/>
  <c r="AL257" i="1"/>
  <c r="AO257" i="1" s="1"/>
  <c r="AM257" i="1"/>
  <c r="AP257" i="1" s="1"/>
  <c r="AG258" i="1"/>
  <c r="AI258" i="1" s="1"/>
  <c r="AH258" i="1"/>
  <c r="AJ258" i="1" s="1"/>
  <c r="AK258" i="1"/>
  <c r="AN258" i="1" s="1"/>
  <c r="AL258" i="1"/>
  <c r="AO258" i="1" s="1"/>
  <c r="AM258" i="1"/>
  <c r="AP258" i="1" s="1"/>
  <c r="AG259" i="1"/>
  <c r="AI259" i="1" s="1"/>
  <c r="AH259" i="1"/>
  <c r="AJ259" i="1" s="1"/>
  <c r="AK259" i="1"/>
  <c r="AN259" i="1" s="1"/>
  <c r="AL259" i="1"/>
  <c r="AO259" i="1" s="1"/>
  <c r="AM259" i="1"/>
  <c r="AP259" i="1" s="1"/>
  <c r="AG260" i="1"/>
  <c r="AI260" i="1" s="1"/>
  <c r="AH260" i="1"/>
  <c r="AJ260" i="1" s="1"/>
  <c r="AK260" i="1"/>
  <c r="AN260" i="1" s="1"/>
  <c r="AL260" i="1"/>
  <c r="AO260" i="1" s="1"/>
  <c r="AM260" i="1"/>
  <c r="AP260" i="1" s="1"/>
  <c r="AG261" i="1"/>
  <c r="AI261" i="1" s="1"/>
  <c r="AH261" i="1"/>
  <c r="AJ261" i="1" s="1"/>
  <c r="AK261" i="1"/>
  <c r="AN261" i="1" s="1"/>
  <c r="AL261" i="1"/>
  <c r="AM261" i="1"/>
  <c r="AP261" i="1" s="1"/>
  <c r="AO261" i="1"/>
  <c r="AG262" i="1"/>
  <c r="AI262" i="1" s="1"/>
  <c r="AH262" i="1"/>
  <c r="AJ262" i="1" s="1"/>
  <c r="AK262" i="1"/>
  <c r="AN262" i="1" s="1"/>
  <c r="AL262" i="1"/>
  <c r="AO262" i="1" s="1"/>
  <c r="AM262" i="1"/>
  <c r="AP262" i="1" s="1"/>
  <c r="AG263" i="1"/>
  <c r="AI263" i="1" s="1"/>
  <c r="AH263" i="1"/>
  <c r="AJ263" i="1" s="1"/>
  <c r="AK263" i="1"/>
  <c r="AN263" i="1" s="1"/>
  <c r="AL263" i="1"/>
  <c r="AM263" i="1"/>
  <c r="AP263" i="1" s="1"/>
  <c r="AO263" i="1"/>
  <c r="AG264" i="1"/>
  <c r="AI264" i="1" s="1"/>
  <c r="AH264" i="1"/>
  <c r="AJ264" i="1" s="1"/>
  <c r="AK264" i="1"/>
  <c r="AN264" i="1" s="1"/>
  <c r="AL264" i="1"/>
  <c r="AM264" i="1"/>
  <c r="AP264" i="1" s="1"/>
  <c r="AO264" i="1"/>
  <c r="AG265" i="1"/>
  <c r="AI265" i="1" s="1"/>
  <c r="AH265" i="1"/>
  <c r="AJ265" i="1" s="1"/>
  <c r="AK265" i="1"/>
  <c r="AN265" i="1" s="1"/>
  <c r="AL265" i="1"/>
  <c r="AM265" i="1"/>
  <c r="AP265" i="1" s="1"/>
  <c r="AO265" i="1"/>
  <c r="AG266" i="1"/>
  <c r="AI266" i="1" s="1"/>
  <c r="AH266" i="1"/>
  <c r="AJ266" i="1" s="1"/>
  <c r="AK266" i="1"/>
  <c r="AN266" i="1" s="1"/>
  <c r="AL266" i="1"/>
  <c r="AM266" i="1"/>
  <c r="AP266" i="1" s="1"/>
  <c r="AO266" i="1"/>
  <c r="AG267" i="1"/>
  <c r="AI267" i="1" s="1"/>
  <c r="AH267" i="1"/>
  <c r="AJ267" i="1" s="1"/>
  <c r="AK267" i="1"/>
  <c r="AN267" i="1" s="1"/>
  <c r="AL267" i="1"/>
  <c r="AM267" i="1"/>
  <c r="AP267" i="1" s="1"/>
  <c r="AO267" i="1"/>
  <c r="AG268" i="1"/>
  <c r="AI268" i="1" s="1"/>
  <c r="AH268" i="1"/>
  <c r="AJ268" i="1" s="1"/>
  <c r="AK268" i="1"/>
  <c r="AN268" i="1" s="1"/>
  <c r="AL268" i="1"/>
  <c r="AM268" i="1"/>
  <c r="AP268" i="1" s="1"/>
  <c r="AO268" i="1"/>
  <c r="AG269" i="1"/>
  <c r="AI269" i="1" s="1"/>
  <c r="AH269" i="1"/>
  <c r="AJ269" i="1" s="1"/>
  <c r="AK269" i="1"/>
  <c r="AN269" i="1" s="1"/>
  <c r="AL269" i="1"/>
  <c r="AM269" i="1"/>
  <c r="AP269" i="1" s="1"/>
  <c r="AO269" i="1"/>
  <c r="AG270" i="1"/>
  <c r="AI270" i="1" s="1"/>
  <c r="AH270" i="1"/>
  <c r="AJ270" i="1" s="1"/>
  <c r="AK270" i="1"/>
  <c r="AN270" i="1" s="1"/>
  <c r="AL270" i="1"/>
  <c r="AM270" i="1"/>
  <c r="AP270" i="1" s="1"/>
  <c r="AO270" i="1"/>
  <c r="AG271" i="1"/>
  <c r="AI271" i="1" s="1"/>
  <c r="AH271" i="1"/>
  <c r="AJ271" i="1" s="1"/>
  <c r="AK271" i="1"/>
  <c r="AN271" i="1" s="1"/>
  <c r="AL271" i="1"/>
  <c r="AM271" i="1"/>
  <c r="AP271" i="1" s="1"/>
  <c r="AO271" i="1"/>
  <c r="AG272" i="1"/>
  <c r="AI272" i="1" s="1"/>
  <c r="AH272" i="1"/>
  <c r="AJ272" i="1" s="1"/>
  <c r="AK272" i="1"/>
  <c r="AN272" i="1" s="1"/>
  <c r="AL272" i="1"/>
  <c r="AM272" i="1"/>
  <c r="AP272" i="1" s="1"/>
  <c r="AO272" i="1"/>
  <c r="AG273" i="1"/>
  <c r="AI273" i="1" s="1"/>
  <c r="AH273" i="1"/>
  <c r="AJ273" i="1" s="1"/>
  <c r="AK273" i="1"/>
  <c r="AN273" i="1" s="1"/>
  <c r="AL273" i="1"/>
  <c r="AM273" i="1"/>
  <c r="AP273" i="1" s="1"/>
  <c r="AO273" i="1"/>
  <c r="AG274" i="1"/>
  <c r="AI274" i="1" s="1"/>
  <c r="AH274" i="1"/>
  <c r="AJ274" i="1" s="1"/>
  <c r="AK274" i="1"/>
  <c r="AN274" i="1" s="1"/>
  <c r="AL274" i="1"/>
  <c r="AM274" i="1"/>
  <c r="AP274" i="1" s="1"/>
  <c r="AO274" i="1"/>
  <c r="AG275" i="1"/>
  <c r="AI275" i="1" s="1"/>
  <c r="AH275" i="1"/>
  <c r="AJ275" i="1" s="1"/>
  <c r="AK275" i="1"/>
  <c r="AN275" i="1" s="1"/>
  <c r="AL275" i="1"/>
  <c r="AM275" i="1"/>
  <c r="AP275" i="1" s="1"/>
  <c r="AO275" i="1"/>
  <c r="AG276" i="1"/>
  <c r="AI276" i="1" s="1"/>
  <c r="AH276" i="1"/>
  <c r="AJ276" i="1" s="1"/>
  <c r="AK276" i="1"/>
  <c r="AN276" i="1" s="1"/>
  <c r="AL276" i="1"/>
  <c r="AM276" i="1"/>
  <c r="AP276" i="1" s="1"/>
  <c r="AO276" i="1"/>
  <c r="AG277" i="1"/>
  <c r="AI277" i="1" s="1"/>
  <c r="AH277" i="1"/>
  <c r="AJ277" i="1" s="1"/>
  <c r="AK277" i="1"/>
  <c r="AN277" i="1" s="1"/>
  <c r="AL277" i="1"/>
  <c r="AO277" i="1" s="1"/>
  <c r="AM277" i="1"/>
  <c r="AP277" i="1" s="1"/>
  <c r="AG278" i="1"/>
  <c r="AI278" i="1" s="1"/>
  <c r="AH278" i="1"/>
  <c r="AJ278" i="1" s="1"/>
  <c r="AK278" i="1"/>
  <c r="AN278" i="1" s="1"/>
  <c r="AL278" i="1"/>
  <c r="AM278" i="1"/>
  <c r="AP278" i="1" s="1"/>
  <c r="AO278" i="1"/>
  <c r="AG279" i="1"/>
  <c r="AI279" i="1" s="1"/>
  <c r="AH279" i="1"/>
  <c r="AJ279" i="1" s="1"/>
  <c r="AK279" i="1"/>
  <c r="AN279" i="1" s="1"/>
  <c r="AL279" i="1"/>
  <c r="AM279" i="1"/>
  <c r="AP279" i="1" s="1"/>
  <c r="AO279" i="1"/>
  <c r="AG280" i="1"/>
  <c r="AI280" i="1" s="1"/>
  <c r="AH280" i="1"/>
  <c r="AJ280" i="1" s="1"/>
  <c r="AK280" i="1"/>
  <c r="AN280" i="1" s="1"/>
  <c r="AL280" i="1"/>
  <c r="AM280" i="1"/>
  <c r="AP280" i="1" s="1"/>
  <c r="AO280" i="1"/>
  <c r="AG281" i="1"/>
  <c r="AI281" i="1" s="1"/>
  <c r="AH281" i="1"/>
  <c r="AJ281" i="1" s="1"/>
  <c r="AK281" i="1"/>
  <c r="AN281" i="1" s="1"/>
  <c r="AL281" i="1"/>
  <c r="AO281" i="1" s="1"/>
  <c r="AM281" i="1"/>
  <c r="AP281" i="1" s="1"/>
  <c r="AG282" i="1"/>
  <c r="AI282" i="1" s="1"/>
  <c r="AH282" i="1"/>
  <c r="AJ282" i="1" s="1"/>
  <c r="AK282" i="1"/>
  <c r="AN282" i="1" s="1"/>
  <c r="AL282" i="1"/>
  <c r="AM282" i="1"/>
  <c r="AP282" i="1" s="1"/>
  <c r="AO282" i="1"/>
  <c r="AG283" i="1"/>
  <c r="AI283" i="1" s="1"/>
  <c r="AH283" i="1"/>
  <c r="AJ283" i="1" s="1"/>
  <c r="AK283" i="1"/>
  <c r="AN283" i="1" s="1"/>
  <c r="AL283" i="1"/>
  <c r="AO283" i="1" s="1"/>
  <c r="AM283" i="1"/>
  <c r="AP283" i="1" s="1"/>
  <c r="AG284" i="1"/>
  <c r="AI284" i="1" s="1"/>
  <c r="AH284" i="1"/>
  <c r="AJ284" i="1" s="1"/>
  <c r="AK284" i="1"/>
  <c r="AN284" i="1" s="1"/>
  <c r="AL284" i="1"/>
  <c r="AM284" i="1"/>
  <c r="AP284" i="1" s="1"/>
  <c r="AO284" i="1"/>
  <c r="AG285" i="1"/>
  <c r="AI285" i="1" s="1"/>
  <c r="AH285" i="1"/>
  <c r="AJ285" i="1" s="1"/>
  <c r="AK285" i="1"/>
  <c r="AN285" i="1" s="1"/>
  <c r="AL285" i="1"/>
  <c r="AO285" i="1" s="1"/>
  <c r="AM285" i="1"/>
  <c r="AP285" i="1" s="1"/>
  <c r="AG286" i="1"/>
  <c r="AI286" i="1" s="1"/>
  <c r="AH286" i="1"/>
  <c r="AJ286" i="1" s="1"/>
  <c r="AK286" i="1"/>
  <c r="AN286" i="1" s="1"/>
  <c r="AL286" i="1"/>
  <c r="AM286" i="1"/>
  <c r="AP286" i="1" s="1"/>
  <c r="AO286" i="1"/>
  <c r="AG287" i="1"/>
  <c r="AI287" i="1" s="1"/>
  <c r="AH287" i="1"/>
  <c r="AJ287" i="1" s="1"/>
  <c r="AK287" i="1"/>
  <c r="AN287" i="1" s="1"/>
  <c r="AL287" i="1"/>
  <c r="AO287" i="1" s="1"/>
  <c r="AM287" i="1"/>
  <c r="AP287" i="1" s="1"/>
  <c r="AG288" i="1"/>
  <c r="AI288" i="1" s="1"/>
  <c r="AH288" i="1"/>
  <c r="AJ288" i="1" s="1"/>
  <c r="AK288" i="1"/>
  <c r="AN288" i="1" s="1"/>
  <c r="AL288" i="1"/>
  <c r="AM288" i="1"/>
  <c r="AP288" i="1" s="1"/>
  <c r="AO288" i="1"/>
  <c r="AG289" i="1"/>
  <c r="AI289" i="1" s="1"/>
  <c r="AH289" i="1"/>
  <c r="AJ289" i="1" s="1"/>
  <c r="AK289" i="1"/>
  <c r="AN289" i="1" s="1"/>
  <c r="AL289" i="1"/>
  <c r="AO289" i="1" s="1"/>
  <c r="AM289" i="1"/>
  <c r="AP289" i="1" s="1"/>
  <c r="AG290" i="1"/>
  <c r="AI290" i="1" s="1"/>
  <c r="AH290" i="1"/>
  <c r="AJ290" i="1" s="1"/>
  <c r="AK290" i="1"/>
  <c r="AN290" i="1" s="1"/>
  <c r="AL290" i="1"/>
  <c r="AM290" i="1"/>
  <c r="AP290" i="1" s="1"/>
  <c r="AO290" i="1"/>
  <c r="AG291" i="1"/>
  <c r="AI291" i="1" s="1"/>
  <c r="AH291" i="1"/>
  <c r="AJ291" i="1" s="1"/>
  <c r="AK291" i="1"/>
  <c r="AN291" i="1" s="1"/>
  <c r="AL291" i="1"/>
  <c r="AM291" i="1"/>
  <c r="AP291" i="1" s="1"/>
  <c r="AO291" i="1"/>
  <c r="AG292" i="1"/>
  <c r="AI292" i="1" s="1"/>
  <c r="AH292" i="1"/>
  <c r="AJ292" i="1" s="1"/>
  <c r="AK292" i="1"/>
  <c r="AN292" i="1" s="1"/>
  <c r="AL292" i="1"/>
  <c r="AM292" i="1"/>
  <c r="AP292" i="1" s="1"/>
  <c r="AO292" i="1"/>
  <c r="AG293" i="1"/>
  <c r="AI293" i="1" s="1"/>
  <c r="AH293" i="1"/>
  <c r="AJ293" i="1" s="1"/>
  <c r="AK293" i="1"/>
  <c r="AN293" i="1" s="1"/>
  <c r="AL293" i="1"/>
  <c r="AO293" i="1" s="1"/>
  <c r="AM293" i="1"/>
  <c r="AP293" i="1" s="1"/>
  <c r="AG294" i="1"/>
  <c r="AI294" i="1" s="1"/>
  <c r="AH294" i="1"/>
  <c r="AJ294" i="1" s="1"/>
  <c r="AK294" i="1"/>
  <c r="AN294" i="1" s="1"/>
  <c r="AL294" i="1"/>
  <c r="AM294" i="1"/>
  <c r="AP294" i="1" s="1"/>
  <c r="AO294" i="1"/>
  <c r="AG295" i="1"/>
  <c r="AI295" i="1" s="1"/>
  <c r="AH295" i="1"/>
  <c r="AJ295" i="1" s="1"/>
  <c r="AK295" i="1"/>
  <c r="AN295" i="1" s="1"/>
  <c r="AL295" i="1"/>
  <c r="AM295" i="1"/>
  <c r="AP295" i="1" s="1"/>
  <c r="AO295" i="1"/>
  <c r="AG296" i="1"/>
  <c r="AI296" i="1" s="1"/>
  <c r="AH296" i="1"/>
  <c r="AJ296" i="1" s="1"/>
  <c r="AK296" i="1"/>
  <c r="AN296" i="1" s="1"/>
  <c r="AL296" i="1"/>
  <c r="AM296" i="1"/>
  <c r="AP296" i="1" s="1"/>
  <c r="AO296" i="1"/>
  <c r="AG297" i="1"/>
  <c r="AI297" i="1" s="1"/>
  <c r="AH297" i="1"/>
  <c r="AJ297" i="1" s="1"/>
  <c r="AK297" i="1"/>
  <c r="AN297" i="1" s="1"/>
  <c r="AL297" i="1"/>
  <c r="AM297" i="1"/>
  <c r="AP297" i="1" s="1"/>
  <c r="AO297" i="1"/>
  <c r="AG298" i="1"/>
  <c r="AI298" i="1" s="1"/>
  <c r="AH298" i="1"/>
  <c r="AJ298" i="1" s="1"/>
  <c r="AK298" i="1"/>
  <c r="AN298" i="1" s="1"/>
  <c r="AL298" i="1"/>
  <c r="AO298" i="1" s="1"/>
  <c r="AM298" i="1"/>
  <c r="AP298" i="1" s="1"/>
  <c r="AG299" i="1"/>
  <c r="AI299" i="1" s="1"/>
  <c r="AH299" i="1"/>
  <c r="AJ299" i="1" s="1"/>
  <c r="AK299" i="1"/>
  <c r="AN299" i="1" s="1"/>
  <c r="AL299" i="1"/>
  <c r="AO299" i="1" s="1"/>
  <c r="AM299" i="1"/>
  <c r="AP299" i="1" s="1"/>
  <c r="AG300" i="1"/>
  <c r="AI300" i="1" s="1"/>
  <c r="AH300" i="1"/>
  <c r="AJ300" i="1" s="1"/>
  <c r="AK300" i="1"/>
  <c r="AN300" i="1" s="1"/>
  <c r="AL300" i="1"/>
  <c r="AM300" i="1"/>
  <c r="AP300" i="1" s="1"/>
  <c r="AO300" i="1"/>
  <c r="AG301" i="1"/>
  <c r="AI301" i="1" s="1"/>
  <c r="AH301" i="1"/>
  <c r="AJ301" i="1" s="1"/>
  <c r="AK301" i="1"/>
  <c r="AN301" i="1" s="1"/>
  <c r="AL301" i="1"/>
  <c r="AO301" i="1" s="1"/>
  <c r="AM301" i="1"/>
  <c r="AP301" i="1" s="1"/>
  <c r="AG302" i="1"/>
  <c r="AI302" i="1" s="1"/>
  <c r="AH302" i="1"/>
  <c r="AJ302" i="1" s="1"/>
  <c r="AK302" i="1"/>
  <c r="AN302" i="1" s="1"/>
  <c r="AL302" i="1"/>
  <c r="AM302" i="1"/>
  <c r="AP302" i="1" s="1"/>
  <c r="AO302" i="1"/>
  <c r="AG303" i="1"/>
  <c r="AI303" i="1" s="1"/>
  <c r="AH303" i="1"/>
  <c r="AJ303" i="1" s="1"/>
  <c r="AK303" i="1"/>
  <c r="AN303" i="1" s="1"/>
  <c r="AL303" i="1"/>
  <c r="AO303" i="1" s="1"/>
  <c r="AM303" i="1"/>
  <c r="AP303" i="1" s="1"/>
  <c r="AG304" i="1"/>
  <c r="AI304" i="1" s="1"/>
  <c r="AH304" i="1"/>
  <c r="AJ304" i="1" s="1"/>
  <c r="AK304" i="1"/>
  <c r="AN304" i="1" s="1"/>
  <c r="AL304" i="1"/>
  <c r="AM304" i="1"/>
  <c r="AP304" i="1" s="1"/>
  <c r="AO304" i="1"/>
  <c r="AG305" i="1"/>
  <c r="AI305" i="1" s="1"/>
  <c r="AH305" i="1"/>
  <c r="AJ305" i="1" s="1"/>
  <c r="AK305" i="1"/>
  <c r="AN305" i="1" s="1"/>
  <c r="AL305" i="1"/>
  <c r="AO305" i="1" s="1"/>
  <c r="AM305" i="1"/>
  <c r="AP305" i="1" s="1"/>
  <c r="AG306" i="1"/>
  <c r="AI306" i="1" s="1"/>
  <c r="AH306" i="1"/>
  <c r="AJ306" i="1" s="1"/>
  <c r="AK306" i="1"/>
  <c r="AN306" i="1" s="1"/>
  <c r="AL306" i="1"/>
  <c r="AM306" i="1"/>
  <c r="AP306" i="1" s="1"/>
  <c r="AO306" i="1"/>
  <c r="AG307" i="1"/>
  <c r="AI307" i="1" s="1"/>
  <c r="AH307" i="1"/>
  <c r="AJ307" i="1" s="1"/>
  <c r="AK307" i="1"/>
  <c r="AN307" i="1" s="1"/>
  <c r="AL307" i="1"/>
  <c r="AM307" i="1"/>
  <c r="AP307" i="1" s="1"/>
  <c r="AO307" i="1"/>
  <c r="AG308" i="1"/>
  <c r="AI308" i="1" s="1"/>
  <c r="AH308" i="1"/>
  <c r="AJ308" i="1" s="1"/>
  <c r="AK308" i="1"/>
  <c r="AN308" i="1" s="1"/>
  <c r="AL308" i="1"/>
  <c r="AO308" i="1" s="1"/>
  <c r="AM308" i="1"/>
  <c r="AP308" i="1" s="1"/>
  <c r="AJ13" i="1"/>
  <c r="AJ12" i="1"/>
  <c r="AI13" i="1"/>
  <c r="AI12" i="1"/>
  <c r="B1" i="1" l="1"/>
  <c r="AM13" i="1" l="1"/>
  <c r="AP13" i="1" s="1"/>
  <c r="AL13" i="1"/>
  <c r="AO13" i="1" s="1"/>
  <c r="AK13" i="1"/>
  <c r="AN13" i="1" s="1"/>
  <c r="AH13" i="1"/>
  <c r="AG13" i="1"/>
  <c r="AL3" i="1"/>
  <c r="AK3" i="1"/>
  <c r="AJ7" i="1" l="1"/>
  <c r="AJ8" i="1"/>
  <c r="AM3" i="1"/>
  <c r="AO3" i="1"/>
  <c r="AO2" i="1"/>
  <c r="AL2" i="1"/>
  <c r="AL4" i="1" s="1"/>
  <c r="AN3" i="1"/>
  <c r="AN2" i="1"/>
  <c r="AK2" i="1"/>
  <c r="AK4" i="1" s="1"/>
  <c r="AP3" i="1"/>
  <c r="AP2" i="1"/>
  <c r="AM2" i="1"/>
  <c r="AN4" i="1" l="1"/>
  <c r="AM4" i="1"/>
  <c r="AO4" i="1"/>
  <c r="AP4" i="1"/>
</calcChain>
</file>

<file path=xl/connections.xml><?xml version="1.0" encoding="utf-8"?>
<connections xmlns="http://schemas.openxmlformats.org/spreadsheetml/2006/main">
  <connection id="1" name="betanalysis_2019-06-07T21" type="6" refreshedVersion="4" background="1" saveData="1">
    <textPr sourceFile="D:\PunterTips\extracts - Analysis\betanalysis_2019-06-07T21.txt" delimiter="»">
      <textFields count="32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<sst xmlns="http://schemas.openxmlformats.org/spreadsheetml/2006/main" count="1605" uniqueCount="1106">
  <si>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</si>
  <si>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</si>
  <si>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</si>
  <si>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</si>
  <si>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</si>
  <si>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</si>
  <si>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</si>
  <si>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</si>
  <si>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</si>
  <si>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</si>
  <si>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</si>
  <si>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</si>
  <si>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</si>
  <si>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</si>
  <si>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</si>
  <si>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</si>
  <si>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</si>
  <si>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</si>
  <si>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</si>
  <si>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</si>
  <si>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</si>
  <si>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</si>
  <si>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</si>
  <si>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</si>
  <si>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</si>
  <si>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</si>
  <si>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</si>
  <si>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</si>
  <si>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</si>
  <si>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</si>
  <si>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</si>
  <si>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</si>
  <si>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</si>
  <si>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</si>
  <si>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</si>
  <si>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</si>
  <si>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</si>
  <si>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</si>
  <si>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</si>
  <si>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</si>
  <si>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</si>
  <si>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</si>
  <si>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</si>
  <si>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</si>
  <si>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</si>
  <si>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</si>
  <si>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</si>
  <si>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</si>
  <si>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</si>
  <si>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</si>
  <si>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</si>
  <si>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</si>
  <si>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</si>
  <si>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</si>
  <si>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</si>
  <si>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</si>
  <si>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</si>
  <si>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</si>
  <si>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</si>
  <si>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</si>
  <si>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</si>
  <si>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</si>
  <si>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</si>
  <si>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</si>
  <si>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</si>
  <si>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</si>
  <si>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</si>
  <si>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</si>
  <si>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</si>
  <si>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</si>
  <si>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</si>
  <si>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</si>
  <si>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</si>
  <si>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</si>
  <si>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</si>
  <si>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</si>
  <si>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</si>
  <si>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</si>
  <si>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</si>
  <si>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</si>
  <si>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</si>
  <si>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</si>
  <si>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</si>
  <si>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</si>
  <si>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</si>
  <si>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</si>
  <si>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</si>
  <si>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</si>
  <si>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</si>
  <si>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</si>
  <si>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</si>
  <si>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</si>
  <si>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</si>
  <si>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</si>
  <si>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</si>
  <si>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</si>
  <si>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</si>
  <si>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</si>
  <si>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</si>
  <si>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</si>
  <si>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</si>
  <si>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</si>
  <si>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</si>
  <si>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</si>
  <si>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</si>
  <si>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Games</t>
  </si>
  <si>
    <t>tpghtodds</t>
  </si>
  <si>
    <t>tpgatodds</t>
  </si>
  <si>
    <t>tpghtoddswin</t>
  </si>
  <si>
    <t>tpgatoddswin</t>
  </si>
  <si>
    <t>Brazil</t>
  </si>
  <si>
    <t>Serie B</t>
  </si>
  <si>
    <t>Londrina-Cuiaba Esporte</t>
  </si>
  <si>
    <t>Londrina</t>
  </si>
  <si>
    <t>Cuiaba Esporte</t>
  </si>
  <si>
    <t>USA</t>
  </si>
  <si>
    <t>USL League Two 2019</t>
  </si>
  <si>
    <t>Cincinnati Dutch Lions-Chicago United</t>
  </si>
  <si>
    <t>Cincinnati Dutch Lions</t>
  </si>
  <si>
    <t>Chicago United</t>
  </si>
  <si>
    <t>MLS</t>
  </si>
  <si>
    <t>Toronto FC-Sporting Kansas City</t>
  </si>
  <si>
    <t>Toronto FC</t>
  </si>
  <si>
    <t>Sporting Kansas City</t>
  </si>
  <si>
    <t>North Carolina II-Lionsbridge</t>
  </si>
  <si>
    <t>North Carolina II</t>
  </si>
  <si>
    <t>Lionsbridge</t>
  </si>
  <si>
    <t>Dalton-Discoveries</t>
  </si>
  <si>
    <t>Dalton</t>
  </si>
  <si>
    <t>Discoveries</t>
  </si>
  <si>
    <t>Serie A</t>
  </si>
  <si>
    <t>Vasco-Internacional</t>
  </si>
  <si>
    <t>Vasco</t>
  </si>
  <si>
    <t>Internacional</t>
  </si>
  <si>
    <t>USL Championship</t>
  </si>
  <si>
    <t>Atlanta United 2-New York Red Bulls 2</t>
  </si>
  <si>
    <t>Atlanta United 2</t>
  </si>
  <si>
    <t>New York Red Bulls 2</t>
  </si>
  <si>
    <t>USL League One 2019</t>
  </si>
  <si>
    <t>Orlando City B-Forward Madison</t>
  </si>
  <si>
    <t>Orlando City B</t>
  </si>
  <si>
    <t>Forward Madison</t>
  </si>
  <si>
    <t>Albuquerque Sol-Colorado Pride Switchbacks U23</t>
  </si>
  <si>
    <t>Albuquerque Sol</t>
  </si>
  <si>
    <t>Colorado Pride Switchbacks U23</t>
  </si>
  <si>
    <t>Orange County SC II-San Francisco City</t>
  </si>
  <si>
    <t>Orange County SC II</t>
  </si>
  <si>
    <t>San Francisco City</t>
  </si>
  <si>
    <t>Ponte Preta-Botafogo SP</t>
  </si>
  <si>
    <t>Ponte Preta</t>
  </si>
  <si>
    <t>Botafogo SP</t>
  </si>
  <si>
    <t>Ecuador</t>
  </si>
  <si>
    <t>LDU Loja-Santa Rita</t>
  </si>
  <si>
    <t>LDU Loja</t>
  </si>
  <si>
    <t>Santa Rita</t>
  </si>
  <si>
    <t>Kaw Valley-Green Bay Voyageurs</t>
  </si>
  <si>
    <t>Kaw Valley</t>
  </si>
  <si>
    <t>Green Bay Voyageurs</t>
  </si>
  <si>
    <t>LDU Portoviejo-Ind. Juniors</t>
  </si>
  <si>
    <t>LDU Portoviejo</t>
  </si>
  <si>
    <t>Ind. Juniors</t>
  </si>
  <si>
    <t>Peru</t>
  </si>
  <si>
    <t>Liga 1</t>
  </si>
  <si>
    <t>Cesar Vallejo-Alianza Huanuco</t>
  </si>
  <si>
    <t>Cesar Vallejo</t>
  </si>
  <si>
    <t>Alianza Huanuco</t>
  </si>
  <si>
    <t>Calgary Foothills-Seattle U23</t>
  </si>
  <si>
    <t>Calgary Foothills</t>
  </si>
  <si>
    <t>Seattle U23</t>
  </si>
  <si>
    <t>Southern California-Breakers FC</t>
  </si>
  <si>
    <t>Southern California</t>
  </si>
  <si>
    <t>Breakers FC</t>
  </si>
  <si>
    <t>TSS Rovers-Victoria Highlanders</t>
  </si>
  <si>
    <t>TSS Rovers</t>
  </si>
  <si>
    <t>Victoria Highlanders</t>
  </si>
  <si>
    <t>Phoenix Rising-Tulsa Roughnecks</t>
  </si>
  <si>
    <t>Phoenix Rising</t>
  </si>
  <si>
    <t>Tulsa Roughnecks</t>
  </si>
  <si>
    <t>Australia</t>
  </si>
  <si>
    <t>NPL Tasmania</t>
  </si>
  <si>
    <t>Glenorchy Knights-Launceston</t>
  </si>
  <si>
    <t>Glenorchy Knights</t>
  </si>
  <si>
    <t>Launceston</t>
  </si>
  <si>
    <t>Riverside Olympic-Kingborough Lions</t>
  </si>
  <si>
    <t>Riverside Olympic</t>
  </si>
  <si>
    <t>Kingborough Lions</t>
  </si>
  <si>
    <t>NPL Victoria</t>
  </si>
  <si>
    <t>Green Gully-Bentleigh Greens</t>
  </si>
  <si>
    <t>Green Gully</t>
  </si>
  <si>
    <t>Bentleigh Greens</t>
  </si>
  <si>
    <t>Japan</t>
  </si>
  <si>
    <t>J-League Division 2</t>
  </si>
  <si>
    <t>Kofu-Montedio Yamagata</t>
  </si>
  <si>
    <t>Kofu</t>
  </si>
  <si>
    <t>Montedio Yamagata</t>
  </si>
  <si>
    <t>V Varen Nagasaki-Okayama</t>
  </si>
  <si>
    <t>V Varen Nagasaki</t>
  </si>
  <si>
    <t>Okayama</t>
  </si>
  <si>
    <t>NPL South Australian</t>
  </si>
  <si>
    <t>Adelaide Raiders-Adelaide Olympic</t>
  </si>
  <si>
    <t>Adelaide Raiders</t>
  </si>
  <si>
    <t>Adelaide Olympic</t>
  </si>
  <si>
    <t>Blue Eagles-Adelaide Comets</t>
  </si>
  <si>
    <t>Blue Eagles</t>
  </si>
  <si>
    <t>Adelaide Comets</t>
  </si>
  <si>
    <t>Campbelltown City-Para</t>
  </si>
  <si>
    <t>Campbelltown City</t>
  </si>
  <si>
    <t>Para</t>
  </si>
  <si>
    <t>NE Metrostars-Adelaide U21</t>
  </si>
  <si>
    <t>NE Metrostars</t>
  </si>
  <si>
    <t>Adelaide U21</t>
  </si>
  <si>
    <t>Gifu-Albirex Niigata</t>
  </si>
  <si>
    <t>Gifu</t>
  </si>
  <si>
    <t>Albirex Niigata</t>
  </si>
  <si>
    <t>Clarence Utd.-Olympia Warriors</t>
  </si>
  <si>
    <t>Clarence Utd.</t>
  </si>
  <si>
    <t>Olympia Warriors</t>
  </si>
  <si>
    <t>Brisbane Premier League</t>
  </si>
  <si>
    <t>Acacia Ridge-Brisbane K.</t>
  </si>
  <si>
    <t>Acacia Ridge</t>
  </si>
  <si>
    <t>Brisbane K.</t>
  </si>
  <si>
    <t>University of Queensland-The Gap</t>
  </si>
  <si>
    <t>University of Queensland</t>
  </si>
  <si>
    <t>The Gap</t>
  </si>
  <si>
    <t>Capital Territory</t>
  </si>
  <si>
    <t>Tuggeranong Utd-Riverina</t>
  </si>
  <si>
    <t>Tuggeranong Utd</t>
  </si>
  <si>
    <t>Riverina</t>
  </si>
  <si>
    <t>NPL Western Australia</t>
  </si>
  <si>
    <t>Armadale-Stirling Lions</t>
  </si>
  <si>
    <t>Armadale</t>
  </si>
  <si>
    <t>Stirling Lions</t>
  </si>
  <si>
    <t>Cockburn City-Sorrento</t>
  </si>
  <si>
    <t>Cockburn City</t>
  </si>
  <si>
    <t>Sorrento</t>
  </si>
  <si>
    <t>Perth Glory U21-Floreat Athena</t>
  </si>
  <si>
    <t>Perth Glory U21</t>
  </si>
  <si>
    <t>Floreat Athena</t>
  </si>
  <si>
    <t>ECU Joondalup-Perth SC</t>
  </si>
  <si>
    <t>ECU Joondalup</t>
  </si>
  <si>
    <t>Perth SC</t>
  </si>
  <si>
    <t>Rockingham City-Balcatta</t>
  </si>
  <si>
    <t>Rockingham City</t>
  </si>
  <si>
    <t>Balcatta</t>
  </si>
  <si>
    <t>Bayswater-Inglewood Utd</t>
  </si>
  <si>
    <t>Bayswater</t>
  </si>
  <si>
    <t>Inglewood Utd</t>
  </si>
  <si>
    <t>Monaro Panthers-Woden Weston</t>
  </si>
  <si>
    <t>Monaro Panthers</t>
  </si>
  <si>
    <t>Woden Weston</t>
  </si>
  <si>
    <t>Hume City-Altona Magic</t>
  </si>
  <si>
    <t>Hume City</t>
  </si>
  <si>
    <t>Altona Magic</t>
  </si>
  <si>
    <t>China</t>
  </si>
  <si>
    <t>Yi League</t>
  </si>
  <si>
    <t>Qingdao Jonoon-Hebei Elite</t>
  </si>
  <si>
    <t>Qingdao Jonoon</t>
  </si>
  <si>
    <t>Hebei Elite</t>
  </si>
  <si>
    <t>Shanxi Xindu-Xian Daxing Chongde</t>
  </si>
  <si>
    <t>Shanxi Xindu</t>
  </si>
  <si>
    <t>Xian Daxing Chongde</t>
  </si>
  <si>
    <t>Yinchuan Helanshan-Shenyang Urban FC</t>
  </si>
  <si>
    <t>Yinchuan Helanshan</t>
  </si>
  <si>
    <t>Shenyang Urban FC</t>
  </si>
  <si>
    <t>Jilin Baijia-Jiangsu Yancheng</t>
  </si>
  <si>
    <t>Jilin Baijia</t>
  </si>
  <si>
    <t>Jiangsu Yancheng</t>
  </si>
  <si>
    <t>Philippines</t>
  </si>
  <si>
    <t>PFL</t>
  </si>
  <si>
    <t>Mendiola FC 1991-Philippine Air Force</t>
  </si>
  <si>
    <t>Mendiola FC 1991</t>
  </si>
  <si>
    <t>Philippine Air Force</t>
  </si>
  <si>
    <t>Bayside-North Pine</t>
  </si>
  <si>
    <t>Bayside</t>
  </si>
  <si>
    <t>North Pine</t>
  </si>
  <si>
    <t>Caboolture-Toowong</t>
  </si>
  <si>
    <t>Caboolture</t>
  </si>
  <si>
    <t>Toowong</t>
  </si>
  <si>
    <t>NPL Queensland</t>
  </si>
  <si>
    <t>Gold Coast-SWQ Thunder</t>
  </si>
  <si>
    <t>Gold Coast</t>
  </si>
  <si>
    <t>SWQ Thunder</t>
  </si>
  <si>
    <t>Baoding Yingli Yitong-Qingdao Red Lions</t>
  </si>
  <si>
    <t>Baoding Yingli Yitong</t>
  </si>
  <si>
    <t>Qingdao Red Lions</t>
  </si>
  <si>
    <t>Beijing Technology-Zibo Sunday</t>
  </si>
  <si>
    <t>Beijing Technology</t>
  </si>
  <si>
    <t>Zibo Sunday</t>
  </si>
  <si>
    <t>Inner Mongolia-Yanbian Beiguo</t>
  </si>
  <si>
    <t>Inner Mongolia</t>
  </si>
  <si>
    <t>Yanbian Beiguo</t>
  </si>
  <si>
    <t>Hunan Billows-Guangxi Baoyun</t>
  </si>
  <si>
    <t>Hunan Billows</t>
  </si>
  <si>
    <t>Guangxi Baoyun</t>
  </si>
  <si>
    <t>Shenzhen Pengcheng-Lhasa Chengtou</t>
  </si>
  <si>
    <t>Shenzhen Pengcheng</t>
  </si>
  <si>
    <t>Lhasa Chengtou</t>
  </si>
  <si>
    <t>Sichuan Jiuniu-Kunshan</t>
  </si>
  <si>
    <t>Sichuan Jiuniu</t>
  </si>
  <si>
    <t>Kunshan</t>
  </si>
  <si>
    <t>Yunnan Kunlu-Nanjing Shaye</t>
  </si>
  <si>
    <t>Yunnan Kunlu</t>
  </si>
  <si>
    <t>Nanjing Shaye</t>
  </si>
  <si>
    <t>Czech Republic</t>
  </si>
  <si>
    <t>CFL</t>
  </si>
  <si>
    <t>Prevysov-Kraluv Dvur</t>
  </si>
  <si>
    <t>Prevysov</t>
  </si>
  <si>
    <t>Kraluv Dvur</t>
  </si>
  <si>
    <t>Pisek-Olympia Radotin</t>
  </si>
  <si>
    <t>Pisek</t>
  </si>
  <si>
    <t>Olympia Radotin</t>
  </si>
  <si>
    <t>Hubei Chufeng Heli-Hangzhou Wuyue</t>
  </si>
  <si>
    <t>Hubei Chufeng Heli</t>
  </si>
  <si>
    <t>Hangzhou Wuyue</t>
  </si>
  <si>
    <t>Division D</t>
  </si>
  <si>
    <t>Havlickuv Brod-Humpolec</t>
  </si>
  <si>
    <t>Havlickuv Brod</t>
  </si>
  <si>
    <t>Humpolec</t>
  </si>
  <si>
    <t>World</t>
  </si>
  <si>
    <t>Kings Cup (Thailand)</t>
  </si>
  <si>
    <t>India-Thailand</t>
  </si>
  <si>
    <t>India</t>
  </si>
  <si>
    <t>Thailand</t>
  </si>
  <si>
    <t>Centenary Stormers-Grange Thistle</t>
  </si>
  <si>
    <t>Centenary Stormers</t>
  </si>
  <si>
    <t>Grange Thistle</t>
  </si>
  <si>
    <t>NPL NSW</t>
  </si>
  <si>
    <t>Druitt Town Rangers-Manly Utd</t>
  </si>
  <si>
    <t>Druitt Town Rangers</t>
  </si>
  <si>
    <t>Manly Utd</t>
  </si>
  <si>
    <t>Peninsula-Eastern Suburbs</t>
  </si>
  <si>
    <t>Peninsula</t>
  </si>
  <si>
    <t>Eastern Suburbs</t>
  </si>
  <si>
    <t>Dandenong Thunder-Oakleigh Cannons</t>
  </si>
  <si>
    <t>Dandenong Thunder</t>
  </si>
  <si>
    <t>Oakleigh Cannons</t>
  </si>
  <si>
    <t>Omiya Ardija-Kyoto</t>
  </si>
  <si>
    <t>Omiya Ardija</t>
  </si>
  <si>
    <t>Kyoto</t>
  </si>
  <si>
    <t>Tokushima-Machida</t>
  </si>
  <si>
    <t>Tokushima</t>
  </si>
  <si>
    <t>Machida</t>
  </si>
  <si>
    <t>Poland</t>
  </si>
  <si>
    <t>Ekstraliga Women</t>
  </si>
  <si>
    <t>UJ Krakow W-Biala Podlaska W</t>
  </si>
  <si>
    <t>UJ Krakow W</t>
  </si>
  <si>
    <t>Biala Podlaska W</t>
  </si>
  <si>
    <t>III Liga - Group I 2018/2019</t>
  </si>
  <si>
    <t>Legia II-Ursus Warszawa</t>
  </si>
  <si>
    <t>Legia II</t>
  </si>
  <si>
    <t>Ursus Warszawa</t>
  </si>
  <si>
    <t>III Liga - Group II 2018/2019</t>
  </si>
  <si>
    <t>KP Starogard Gdanski-Mieszko</t>
  </si>
  <si>
    <t>KP Starogard Gdanski</t>
  </si>
  <si>
    <t>Mieszko</t>
  </si>
  <si>
    <t>Kingston City-Avondale FC</t>
  </si>
  <si>
    <t>Kingston City</t>
  </si>
  <si>
    <t>Avondale FC</t>
  </si>
  <si>
    <t>Renofa Yamaguchi-Yokohama</t>
  </si>
  <si>
    <t>Renofa Yamaguchi</t>
  </si>
  <si>
    <t>Yokohama</t>
  </si>
  <si>
    <t>Lech Poznan 2-Stezyca</t>
  </si>
  <si>
    <t>Lech Poznan 2</t>
  </si>
  <si>
    <t>Stezyca</t>
  </si>
  <si>
    <t>Sweden</t>
  </si>
  <si>
    <t>Division 2 - VÃ¤stra GÃ¶taland</t>
  </si>
  <si>
    <t>Hittarps-Angelholms</t>
  </si>
  <si>
    <t>Hittarps</t>
  </si>
  <si>
    <t>Angelholms</t>
  </si>
  <si>
    <t>Svenska Cupen</t>
  </si>
  <si>
    <t>BK Astrio-Hoganas</t>
  </si>
  <si>
    <t>BK Astrio</t>
  </si>
  <si>
    <t>Hoganas</t>
  </si>
  <si>
    <t>Ryukyu-Kanazawa</t>
  </si>
  <si>
    <t>Ryukyu</t>
  </si>
  <si>
    <t>Kanazawa</t>
  </si>
  <si>
    <t>Norway</t>
  </si>
  <si>
    <t>Division 3 - Group 6 2019</t>
  </si>
  <si>
    <t>Floya-Leknes</t>
  </si>
  <si>
    <t>Floya</t>
  </si>
  <si>
    <t>Leknes</t>
  </si>
  <si>
    <t>Jiangxi Liansheng-Wuhan Three Towns</t>
  </si>
  <si>
    <t>Jiangxi Liansheng</t>
  </si>
  <si>
    <t>Wuhan Three Towns</t>
  </si>
  <si>
    <t>Europe</t>
  </si>
  <si>
    <t>Euro U21 2021</t>
  </si>
  <si>
    <t>Belarus U21-Gibraltar U21</t>
  </si>
  <si>
    <t>Belarus U21</t>
  </si>
  <si>
    <t>Gibraltar U21</t>
  </si>
  <si>
    <t>Finland</t>
  </si>
  <si>
    <t>Liiga Women</t>
  </si>
  <si>
    <t>Myran W-Jypk W</t>
  </si>
  <si>
    <t>Myran W</t>
  </si>
  <si>
    <t>Jypk W</t>
  </si>
  <si>
    <t>Latvia</t>
  </si>
  <si>
    <t>1. Liga 2019</t>
  </si>
  <si>
    <t>Auda-FK Smiltene</t>
  </si>
  <si>
    <t>Auda</t>
  </si>
  <si>
    <t>FK Smiltene</t>
  </si>
  <si>
    <t>Grobina-Alberts JDFS</t>
  </si>
  <si>
    <t>Grobina</t>
  </si>
  <si>
    <t>Alberts JDFS</t>
  </si>
  <si>
    <t>Lithuania</t>
  </si>
  <si>
    <t>I Lyga</t>
  </si>
  <si>
    <t>Hegelmann Litauen-Kupiskis</t>
  </si>
  <si>
    <t>Hegelmann Litauen</t>
  </si>
  <si>
    <t>Kupiskis</t>
  </si>
  <si>
    <t>Division 3 - Group 1 2019</t>
  </si>
  <si>
    <t>Sunndal-Rommen SK</t>
  </si>
  <si>
    <t>Sunndal</t>
  </si>
  <si>
    <t>Rommen SK</t>
  </si>
  <si>
    <t>Division 3 - Group 3 2019</t>
  </si>
  <si>
    <t>Pors Grenland-Viking 2</t>
  </si>
  <si>
    <t>Pors Grenland</t>
  </si>
  <si>
    <t>Viking 2</t>
  </si>
  <si>
    <t>Vardeneset-Flint</t>
  </si>
  <si>
    <t>Vardeneset</t>
  </si>
  <si>
    <t>Flint</t>
  </si>
  <si>
    <t>Division 3 - Group 4 2019</t>
  </si>
  <si>
    <t>Djerv 1919-Sogndal 2</t>
  </si>
  <si>
    <t>Djerv 1919</t>
  </si>
  <si>
    <t>Sogndal 2</t>
  </si>
  <si>
    <t>Stromsgodset 2-Stord</t>
  </si>
  <si>
    <t>Stromsgodset 2</t>
  </si>
  <si>
    <t>Stord</t>
  </si>
  <si>
    <t>Division 2 - Ã–stra GÃ¶taland</t>
  </si>
  <si>
    <t>Nassjo-Rappe GOIF</t>
  </si>
  <si>
    <t>Nassjo</t>
  </si>
  <si>
    <t>Rappe GOIF</t>
  </si>
  <si>
    <t>Elitettan Women 2019</t>
  </si>
  <si>
    <t>Sundsvall W-Assi W</t>
  </si>
  <si>
    <t>Sundsvall W</t>
  </si>
  <si>
    <t>Assi W</t>
  </si>
  <si>
    <t>Jia League</t>
  </si>
  <si>
    <t>Zhejiang Greentown-Shanghai Shenxin</t>
  </si>
  <si>
    <t>Zhejiang Greentown</t>
  </si>
  <si>
    <t>Shanghai Shenxin</t>
  </si>
  <si>
    <t>Zhejiang Yiteng-Fujian Tianxin</t>
  </si>
  <si>
    <t>Zhejiang Yiteng</t>
  </si>
  <si>
    <t>Fujian Tianxin</t>
  </si>
  <si>
    <t>Sarpsborg 2-Traeff</t>
  </si>
  <si>
    <t>Sarpsborg 2</t>
  </si>
  <si>
    <t>Traeff</t>
  </si>
  <si>
    <t>Division 2 - Norra GÃ¶taland</t>
  </si>
  <si>
    <t>Savedalens-Amal</t>
  </si>
  <si>
    <t>Savedalens</t>
  </si>
  <si>
    <t>Amal</t>
  </si>
  <si>
    <t>Super League</t>
  </si>
  <si>
    <t>Wuhan Zall-Henan Jianye</t>
  </si>
  <si>
    <t>Wuhan Zall</t>
  </si>
  <si>
    <t>Henan Jianye</t>
  </si>
  <si>
    <t>Denmark</t>
  </si>
  <si>
    <t>2nd Division - Relegation Group</t>
  </si>
  <si>
    <t>Hillerod-Tarup Paarup</t>
  </si>
  <si>
    <t>Hillerod</t>
  </si>
  <si>
    <t>Tarup Paarup</t>
  </si>
  <si>
    <t>Germany</t>
  </si>
  <si>
    <t>Oberliga NOFV-Nord</t>
  </si>
  <si>
    <t>Brandenburger-Hansa Rostock II</t>
  </si>
  <si>
    <t>Brandenburger</t>
  </si>
  <si>
    <t>Hansa Rostock II</t>
  </si>
  <si>
    <t>Hertha Zehlendorf-Neustrelitz</t>
  </si>
  <si>
    <t>Hertha Zehlendorf</t>
  </si>
  <si>
    <t>Neustrelitz</t>
  </si>
  <si>
    <t>Altludersdorf-Torgelower Greif</t>
  </si>
  <si>
    <t>Altludersdorf</t>
  </si>
  <si>
    <t>Torgelower Greif</t>
  </si>
  <si>
    <t>Lichtenberg-CFC Hertha</t>
  </si>
  <si>
    <t>Lichtenberg</t>
  </si>
  <si>
    <t>CFC Hertha</t>
  </si>
  <si>
    <t>Wismar-Strausberg</t>
  </si>
  <si>
    <t>Wismar</t>
  </si>
  <si>
    <t>Strausberg</t>
  </si>
  <si>
    <t>Malchower-TB Berlin</t>
  </si>
  <si>
    <t>Malchower</t>
  </si>
  <si>
    <t>TB Berlin</t>
  </si>
  <si>
    <t>Blau Weiss Berlin-Stendal</t>
  </si>
  <si>
    <t>Blau Weiss Berlin</t>
  </si>
  <si>
    <t>Stendal</t>
  </si>
  <si>
    <t>Greifswald-Staaken</t>
  </si>
  <si>
    <t>Greifswald</t>
  </si>
  <si>
    <t>Staaken</t>
  </si>
  <si>
    <t>Division 2 - Group 2</t>
  </si>
  <si>
    <t>Senja-Baerum Sportsklubb</t>
  </si>
  <si>
    <t>Senja</t>
  </si>
  <si>
    <t>Baerum Sportsklubb</t>
  </si>
  <si>
    <t>Lorenskog-Spjelkavik</t>
  </si>
  <si>
    <t>Lorenskog</t>
  </si>
  <si>
    <t>Spjelkavik</t>
  </si>
  <si>
    <t>Brodd-Mandalskameratene</t>
  </si>
  <si>
    <t>Brodd</t>
  </si>
  <si>
    <t>Mandalskameratene</t>
  </si>
  <si>
    <t>III Liga - Group IV 2018/2019</t>
  </si>
  <si>
    <t>Sokol Sieniawa-Avia Swidnik</t>
  </si>
  <si>
    <t>Sokol Sieniawa</t>
  </si>
  <si>
    <t>Avia Swidnik</t>
  </si>
  <si>
    <t>Russia</t>
  </si>
  <si>
    <t>Supreme Division Women 2019</t>
  </si>
  <si>
    <t>Zvezda 2005 W-Chertanovo M. W</t>
  </si>
  <si>
    <t>Zvezda 2005 W</t>
  </si>
  <si>
    <t>Chertanovo M. W</t>
  </si>
  <si>
    <t>Torslanda-Lidkopings FK</t>
  </si>
  <si>
    <t>Torslanda</t>
  </si>
  <si>
    <t>Lidkopings FK</t>
  </si>
  <si>
    <t>Division 2 - Norra Svealand</t>
  </si>
  <si>
    <t>Sundbybergs-Upsala</t>
  </si>
  <si>
    <t>Sundbybergs</t>
  </si>
  <si>
    <t>Upsala</t>
  </si>
  <si>
    <t>Gute-Valbo FF</t>
  </si>
  <si>
    <t>Gute</t>
  </si>
  <si>
    <t>Valbo FF</t>
  </si>
  <si>
    <t>Division 2 - Norrland</t>
  </si>
  <si>
    <t>Sandviks-IFK Umea</t>
  </si>
  <si>
    <t>Sandviks</t>
  </si>
  <si>
    <t>IFK Umea</t>
  </si>
  <si>
    <t>IFK Ostersund-Anundsjo</t>
  </si>
  <si>
    <t>IFK Ostersund</t>
  </si>
  <si>
    <t>Anundsjo</t>
  </si>
  <si>
    <t>IFK Lulea-Ytterhogdals</t>
  </si>
  <si>
    <t>IFK Lulea</t>
  </si>
  <si>
    <t>Ytterhogdals</t>
  </si>
  <si>
    <t>Karlskrona-Osterlen FF</t>
  </si>
  <si>
    <t>Karlskrona</t>
  </si>
  <si>
    <t>Osterlen FF</t>
  </si>
  <si>
    <t>Raslatts-IFK Hassleholm</t>
  </si>
  <si>
    <t>Raslatts</t>
  </si>
  <si>
    <t>IFK Hassleholm</t>
  </si>
  <si>
    <t>Husqvarna-IFK Berga</t>
  </si>
  <si>
    <t>Husqvarna</t>
  </si>
  <si>
    <t>IFK Berga</t>
  </si>
  <si>
    <t>Division 2 - SÃ¶dra Svealand</t>
  </si>
  <si>
    <t>Enskede-Assyriska FF</t>
  </si>
  <si>
    <t>Enskede</t>
  </si>
  <si>
    <t>Assyriska FF</t>
  </si>
  <si>
    <t>Huddinge-Haninge</t>
  </si>
  <si>
    <t>Huddinge</t>
  </si>
  <si>
    <t>Haninge</t>
  </si>
  <si>
    <t>Assyriska BK-Onsala</t>
  </si>
  <si>
    <t>Assyriska BK</t>
  </si>
  <si>
    <t>Onsala</t>
  </si>
  <si>
    <t>Ullareds IK-IFK Malmo</t>
  </si>
  <si>
    <t>Ullareds IK</t>
  </si>
  <si>
    <t>IFK Malmo</t>
  </si>
  <si>
    <t>Malawi</t>
  </si>
  <si>
    <t>Kamuzu Barracks-Mlatho Mponela</t>
  </si>
  <si>
    <t>Kamuzu Barracks</t>
  </si>
  <si>
    <t>Mlatho Mponela</t>
  </si>
  <si>
    <t>Chitipa United-Masters Security</t>
  </si>
  <si>
    <t>Chitipa United</t>
  </si>
  <si>
    <t>Masters Security</t>
  </si>
  <si>
    <t>Mighty Wanderers-Dwangwa United</t>
  </si>
  <si>
    <t>Mighty Wanderers</t>
  </si>
  <si>
    <t>Dwangwa United</t>
  </si>
  <si>
    <t>Mzuni-Azam Tigers</t>
  </si>
  <si>
    <t>Mzuni</t>
  </si>
  <si>
    <t>Azam Tigers</t>
  </si>
  <si>
    <t>Netherlands</t>
  </si>
  <si>
    <t>Tweede Divisie 2018/2019</t>
  </si>
  <si>
    <t>Lienden-ASWH</t>
  </si>
  <si>
    <t>Lienden</t>
  </si>
  <si>
    <t>ASWH</t>
  </si>
  <si>
    <t>Curacao-Vietnam</t>
  </si>
  <si>
    <t>Curacao</t>
  </si>
  <si>
    <t>Vietnam</t>
  </si>
  <si>
    <t>Africa</t>
  </si>
  <si>
    <t>COSAFA Cup</t>
  </si>
  <si>
    <t>Botswana-Zambia</t>
  </si>
  <si>
    <t>Botswana</t>
  </si>
  <si>
    <t>Zambia</t>
  </si>
  <si>
    <t>Belarus</t>
  </si>
  <si>
    <t>Pershaya Liga</t>
  </si>
  <si>
    <t>Mikashevichi-Belshina</t>
  </si>
  <si>
    <t>Mikashevichi</t>
  </si>
  <si>
    <t>Belshina</t>
  </si>
  <si>
    <t>Euro 2020</t>
  </si>
  <si>
    <t>Croatia-Wales</t>
  </si>
  <si>
    <t>Croatia</t>
  </si>
  <si>
    <t>Wales</t>
  </si>
  <si>
    <t>Iceland-Albania</t>
  </si>
  <si>
    <t>Iceland</t>
  </si>
  <si>
    <t>Albania</t>
  </si>
  <si>
    <t>ONS Oulu W-Honka W</t>
  </si>
  <si>
    <t>ONS Oulu W</t>
  </si>
  <si>
    <t>Honka W</t>
  </si>
  <si>
    <t>Rezekne-Riga/Staicele</t>
  </si>
  <si>
    <t>Rezekne</t>
  </si>
  <si>
    <t>Riga/Staicele</t>
  </si>
  <si>
    <t>Mjolner-Floro</t>
  </si>
  <si>
    <t>Mjolner</t>
  </si>
  <si>
    <t>Floro</t>
  </si>
  <si>
    <t>Division 3 - Group 2 2019</t>
  </si>
  <si>
    <t>Valerenga 2-Tonsberg</t>
  </si>
  <si>
    <t>Valerenga 2</t>
  </si>
  <si>
    <t>Tonsberg</t>
  </si>
  <si>
    <t>Donn-Bryne 2</t>
  </si>
  <si>
    <t>Donn</t>
  </si>
  <si>
    <t>Bryne 2</t>
  </si>
  <si>
    <t>Staal Jorpeland-Start 2</t>
  </si>
  <si>
    <t>Staal Jorpeland</t>
  </si>
  <si>
    <t>Start 2</t>
  </si>
  <si>
    <t>Division 3 - Group 5 2019</t>
  </si>
  <si>
    <t>Raufoss 2-Verdal</t>
  </si>
  <si>
    <t>Raufoss 2</t>
  </si>
  <si>
    <t>Verdal</t>
  </si>
  <si>
    <t>Leczna W-Medyk Konin W</t>
  </si>
  <si>
    <t>Leczna W</t>
  </si>
  <si>
    <t>Medyk Konin W</t>
  </si>
  <si>
    <t>Grebbestads-Stenungsunds</t>
  </si>
  <si>
    <t>Grebbestads</t>
  </si>
  <si>
    <t>Stenungsunds</t>
  </si>
  <si>
    <t>Toulon Tournament</t>
  </si>
  <si>
    <t>France U18-Guatemala U23</t>
  </si>
  <si>
    <t>France U18</t>
  </si>
  <si>
    <t>Guatemala U23</t>
  </si>
  <si>
    <t>World Cup Women</t>
  </si>
  <si>
    <t>Germany W-China W</t>
  </si>
  <si>
    <t>Germany W</t>
  </si>
  <si>
    <t>China W</t>
  </si>
  <si>
    <t>Tanzania</t>
  </si>
  <si>
    <t>Ligi Kuu Bara</t>
  </si>
  <si>
    <t>Kagera Sugar-Pamba</t>
  </si>
  <si>
    <t>Kagera Sugar</t>
  </si>
  <si>
    <t>Pamba</t>
  </si>
  <si>
    <t>Baranovici-Rukh Brest</t>
  </si>
  <si>
    <t>Baranovici</t>
  </si>
  <si>
    <t>Rukh Brest</t>
  </si>
  <si>
    <t>Smolevichi-Orsha</t>
  </si>
  <si>
    <t>Smolevichi</t>
  </si>
  <si>
    <t>Orsha</t>
  </si>
  <si>
    <t>Oeste-Figueirense</t>
  </si>
  <si>
    <t>Oeste</t>
  </si>
  <si>
    <t>Figueirense</t>
  </si>
  <si>
    <t>Cameroon</t>
  </si>
  <si>
    <t>Elite One</t>
  </si>
  <si>
    <t>Feutcheu-APEJES Academy</t>
  </si>
  <si>
    <t>Feutcheu</t>
  </si>
  <si>
    <t>APEJES Academy</t>
  </si>
  <si>
    <t>Dragon de Yaounde-Stade Renard</t>
  </si>
  <si>
    <t>Dragon de Yaounde</t>
  </si>
  <si>
    <t>Stade Renard</t>
  </si>
  <si>
    <t>Oberliga Mittelrhein</t>
  </si>
  <si>
    <t>Duren-Wegberg Beeck</t>
  </si>
  <si>
    <t>Duren</t>
  </si>
  <si>
    <t>Wegberg Beeck</t>
  </si>
  <si>
    <t>Regionalliga Bayern</t>
  </si>
  <si>
    <t>Rain/Lech-Gebenbach</t>
  </si>
  <si>
    <t>Rain/Lech</t>
  </si>
  <si>
    <t>Gebenbach</t>
  </si>
  <si>
    <t>Ireland</t>
  </si>
  <si>
    <t>Division 1</t>
  </si>
  <si>
    <t>Bray-Shelbourne</t>
  </si>
  <si>
    <t>Bray</t>
  </si>
  <si>
    <t>Shelbourne</t>
  </si>
  <si>
    <t>Mazeikiai-Banga</t>
  </si>
  <si>
    <t>Mazeikiai</t>
  </si>
  <si>
    <t>Banga</t>
  </si>
  <si>
    <t>Nigeria</t>
  </si>
  <si>
    <t>NPFL</t>
  </si>
  <si>
    <t>Kano Pillars-Ifeanyi Ubah</t>
  </si>
  <si>
    <t>Kano Pillars</t>
  </si>
  <si>
    <t>Ifeanyi Ubah</t>
  </si>
  <si>
    <t>Asane-Oppsal</t>
  </si>
  <si>
    <t>Asane</t>
  </si>
  <si>
    <t>Oppsal</t>
  </si>
  <si>
    <t>Aalesund 2-Herd</t>
  </si>
  <si>
    <t>Aalesund 2</t>
  </si>
  <si>
    <t>Herd</t>
  </si>
  <si>
    <t>Fana-Valdres</t>
  </si>
  <si>
    <t>Fana</t>
  </si>
  <si>
    <t>Valdres</t>
  </si>
  <si>
    <t>Fjora-Fyllingsdalen</t>
  </si>
  <si>
    <t>Fjora</t>
  </si>
  <si>
    <t>Fyllingsdalen</t>
  </si>
  <si>
    <t>Kolstad-Brumunddal</t>
  </si>
  <si>
    <t>Kolstad</t>
  </si>
  <si>
    <t>Brumunddal</t>
  </si>
  <si>
    <t>Czarni Sosnowiec W-AZS PWSZ Walbrzych W</t>
  </si>
  <si>
    <t>Czarni Sosnowiec W</t>
  </si>
  <si>
    <t>AZS PWSZ Walbrzych W</t>
  </si>
  <si>
    <t>UKS SMS Lodz W-GKS Katowice W</t>
  </si>
  <si>
    <t>UKS SMS Lodz W</t>
  </si>
  <si>
    <t>GKS Katowice W</t>
  </si>
  <si>
    <t>Olimpia Szczecin W-AZS Wroclaw W</t>
  </si>
  <si>
    <t>Olimpia Szczecin W</t>
  </si>
  <si>
    <t>AZS Wroclaw W</t>
  </si>
  <si>
    <t>Chemik Bydgoszcz-Wierzyca</t>
  </si>
  <si>
    <t>Chemik Bydgoszcz</t>
  </si>
  <si>
    <t>Wierzyca</t>
  </si>
  <si>
    <t>Sroda-Kotwica Kolobrzeg</t>
  </si>
  <si>
    <t>Sroda</t>
  </si>
  <si>
    <t>Kotwica Kolobrzeg</t>
  </si>
  <si>
    <t>Division 1 - Norra</t>
  </si>
  <si>
    <t>Karlslunds-Linkoping City</t>
  </si>
  <si>
    <t>Karlslunds</t>
  </si>
  <si>
    <t>Linkoping City</t>
  </si>
  <si>
    <t>Gefle-Sollentuna</t>
  </si>
  <si>
    <t>Gefle</t>
  </si>
  <si>
    <t>Sollentuna</t>
  </si>
  <si>
    <t>Forward-Rynninge</t>
  </si>
  <si>
    <t>Forward</t>
  </si>
  <si>
    <t>Rynninge</t>
  </si>
  <si>
    <t>Akropolis-Nykopings</t>
  </si>
  <si>
    <t>Akropolis</t>
  </si>
  <si>
    <t>Nykopings</t>
  </si>
  <si>
    <t>Division 1 - SÃ¶dra</t>
  </si>
  <si>
    <t>Eskilsminne-Varnamo</t>
  </si>
  <si>
    <t>Eskilsminne</t>
  </si>
  <si>
    <t>Varnamo</t>
  </si>
  <si>
    <t>Torns-Assyriska IK</t>
  </si>
  <si>
    <t>Torns</t>
  </si>
  <si>
    <t>Assyriska IK</t>
  </si>
  <si>
    <t>Kristianstads-Utsiktens</t>
  </si>
  <si>
    <t>Kristianstads</t>
  </si>
  <si>
    <t>Utsiktens</t>
  </si>
  <si>
    <t>Ljungskile-Landskrona</t>
  </si>
  <si>
    <t>Ljungskile</t>
  </si>
  <si>
    <t>Landskrona</t>
  </si>
  <si>
    <t>Orebro Syr.-Vargarda IK</t>
  </si>
  <si>
    <t>Orebro Syr.</t>
  </si>
  <si>
    <t>Vargarda IK</t>
  </si>
  <si>
    <t>Gauthiod-Vanersborgs IF</t>
  </si>
  <si>
    <t>Gauthiod</t>
  </si>
  <si>
    <t>Vanersborgs IF</t>
  </si>
  <si>
    <t>Vanersborgs FK-Uddevalla</t>
  </si>
  <si>
    <t>Vanersborgs FK</t>
  </si>
  <si>
    <t>Uddevalla</t>
  </si>
  <si>
    <t>Tidaholm IFK-Nordvarmland</t>
  </si>
  <si>
    <t>Tidaholm IFK</t>
  </si>
  <si>
    <t>Nordvarmland</t>
  </si>
  <si>
    <t>IFK Stocksund-Enkopings SK</t>
  </si>
  <si>
    <t>IFK Stocksund</t>
  </si>
  <si>
    <t>Enkopings SK</t>
  </si>
  <si>
    <t>Timra-Umea FC</t>
  </si>
  <si>
    <t>Timra</t>
  </si>
  <si>
    <t>Umea FC</t>
  </si>
  <si>
    <t>Arameisk Syrianska-Tyreso</t>
  </si>
  <si>
    <t>Arameisk Syrianska</t>
  </si>
  <si>
    <t>Tyreso</t>
  </si>
  <si>
    <t>Assyriska IF-Varmbols</t>
  </si>
  <si>
    <t>Assyriska IF</t>
  </si>
  <si>
    <t>Varmbols</t>
  </si>
  <si>
    <t>Halmia-Olympic</t>
  </si>
  <si>
    <t>Halmia</t>
  </si>
  <si>
    <t>Olympic</t>
  </si>
  <si>
    <t>Eslovs-Qviding</t>
  </si>
  <si>
    <t>Eslovs</t>
  </si>
  <si>
    <t>Qviding</t>
  </si>
  <si>
    <t>Superettan</t>
  </si>
  <si>
    <t>Vasteras SK-Frej</t>
  </si>
  <si>
    <t>Vasteras SK</t>
  </si>
  <si>
    <t>Frej</t>
  </si>
  <si>
    <t>Trelleborgs-Degerfors</t>
  </si>
  <si>
    <t>Trelleborgs</t>
  </si>
  <si>
    <t>Degerfors</t>
  </si>
  <si>
    <t>Brommapojkarna-Mjallby</t>
  </si>
  <si>
    <t>Brommapojkarna</t>
  </si>
  <si>
    <t>Mjallby</t>
  </si>
  <si>
    <t>Ukraine</t>
  </si>
  <si>
    <t>Premier League</t>
  </si>
  <si>
    <t>Kolos Kovalyovka-Ch. Odessa</t>
  </si>
  <si>
    <t>Kolos Kovalyovka</t>
  </si>
  <si>
    <t>Ch. Odessa</t>
  </si>
  <si>
    <t>Lokomotiv Gomel-Smorgon</t>
  </si>
  <si>
    <t>Lokomotiv Gomel</t>
  </si>
  <si>
    <t>Smorgon</t>
  </si>
  <si>
    <t>FC Slonim-Lida</t>
  </si>
  <si>
    <t>FC Slonim</t>
  </si>
  <si>
    <t>Lida</t>
  </si>
  <si>
    <t>Bafang-Fovu Baham</t>
  </si>
  <si>
    <t>Bafang</t>
  </si>
  <si>
    <t>Fovu Baham</t>
  </si>
  <si>
    <t>New Star-Les Astres</t>
  </si>
  <si>
    <t>New Star</t>
  </si>
  <si>
    <t>Les Astres</t>
  </si>
  <si>
    <t>Union Douala-Bamenda</t>
  </si>
  <si>
    <t>Union Douala</t>
  </si>
  <si>
    <t>Bamenda</t>
  </si>
  <si>
    <t>Zivanice-Usti nad Orlici</t>
  </si>
  <si>
    <t>Zivanice</t>
  </si>
  <si>
    <t>Usti nad Orlici</t>
  </si>
  <si>
    <t>Brozany-Vltavin</t>
  </si>
  <si>
    <t>Brozany</t>
  </si>
  <si>
    <t>Vltavin</t>
  </si>
  <si>
    <t>Vysehrad-Litomericko</t>
  </si>
  <si>
    <t>Vysehrad</t>
  </si>
  <si>
    <t>Litomericko</t>
  </si>
  <si>
    <t>Dobrovice-Benesov</t>
  </si>
  <si>
    <t>Dobrovice</t>
  </si>
  <si>
    <t>Benesov</t>
  </si>
  <si>
    <t>MSFL</t>
  </si>
  <si>
    <t>Velke Mezirici-Kromeriz</t>
  </si>
  <si>
    <t>Velke Mezirici</t>
  </si>
  <si>
    <t>Kromeriz</t>
  </si>
  <si>
    <t>Valasske Mezirici-Odra Petrkovice</t>
  </si>
  <si>
    <t>Valasske Mezirici</t>
  </si>
  <si>
    <t>Odra Petrkovice</t>
  </si>
  <si>
    <t>Hulin-Hodonin</t>
  </si>
  <si>
    <t>Hulin</t>
  </si>
  <si>
    <t>Hodonin</t>
  </si>
  <si>
    <t>Unicov-Lisen</t>
  </si>
  <si>
    <t>Unicov</t>
  </si>
  <si>
    <t>Lisen</t>
  </si>
  <si>
    <t>Rymarov-Hlucin</t>
  </si>
  <si>
    <t>Rymarov</t>
  </si>
  <si>
    <t>Hlucin</t>
  </si>
  <si>
    <t>Uhersky Brod-Otrokovice</t>
  </si>
  <si>
    <t>Uhersky Brod</t>
  </si>
  <si>
    <t>Otrokovice</t>
  </si>
  <si>
    <t>Vrchovina-Dolni Benesov</t>
  </si>
  <si>
    <t>Vrchovina</t>
  </si>
  <si>
    <t>Dolni Benesov</t>
  </si>
  <si>
    <t>Frydek Mistek-Vyskov</t>
  </si>
  <si>
    <t>Frydek Mistek</t>
  </si>
  <si>
    <t>Vyskov</t>
  </si>
  <si>
    <t>Siauliai FA-Nevezis Kedainiai</t>
  </si>
  <si>
    <t>Siauliai FA</t>
  </si>
  <si>
    <t>Nevezis Kedainiai</t>
  </si>
  <si>
    <t>Quick Boys-VVSB</t>
  </si>
  <si>
    <t>Quick Boys</t>
  </si>
  <si>
    <t>VVSB</t>
  </si>
  <si>
    <t>Norild-Lokomotiv Oslo</t>
  </si>
  <si>
    <t>Norild</t>
  </si>
  <si>
    <t>Lokomotiv Oslo</t>
  </si>
  <si>
    <t>Huragan Morag-W. Mazowieckie</t>
  </si>
  <si>
    <t>Huragan Morag</t>
  </si>
  <si>
    <t>W. Mazowieckie</t>
  </si>
  <si>
    <t>Biala Piska-Pelikan</t>
  </si>
  <si>
    <t>Biala Piska</t>
  </si>
  <si>
    <t>Pelikan</t>
  </si>
  <si>
    <t>Gornik Konin-Jarocin</t>
  </si>
  <si>
    <t>Gornik Konin</t>
  </si>
  <si>
    <t>Jarocin</t>
  </si>
  <si>
    <t>Kleczew-Koszalin</t>
  </si>
  <si>
    <t>Kleczew</t>
  </si>
  <si>
    <t>Koszalin</t>
  </si>
  <si>
    <t>III Liga - Group III 2018/2019</t>
  </si>
  <si>
    <t>Gornik Z. 2-Ruch Zdzieszowice</t>
  </si>
  <si>
    <t>Gornik Z. 2</t>
  </si>
  <si>
    <t>Ruch Zdzieszowice</t>
  </si>
  <si>
    <t>Lechia Dzierzoniow-Sleza Wroclaw</t>
  </si>
  <si>
    <t>Lechia Dzierzoniow</t>
  </si>
  <si>
    <t>Sleza Wroclaw</t>
  </si>
  <si>
    <t>KS Polkowice-Brzeg</t>
  </si>
  <si>
    <t>KS Polkowice</t>
  </si>
  <si>
    <t>Brzeg</t>
  </si>
  <si>
    <t>Radzionkow-Zaglebie 2</t>
  </si>
  <si>
    <t>Radzionkow</t>
  </si>
  <si>
    <t>Zaglebie 2</t>
  </si>
  <si>
    <t>LZS Agroplon Gluszyna-Legnica 2</t>
  </si>
  <si>
    <t>LZS Agroplon Gluszyna</t>
  </si>
  <si>
    <t>Legnica 2</t>
  </si>
  <si>
    <t>Piast Zmigrod-Gwarek Tarnowskie Gory</t>
  </si>
  <si>
    <t>Piast Zmigrod</t>
  </si>
  <si>
    <t>Gwarek Tarnowskie Gory</t>
  </si>
  <si>
    <t>Bielsko Biala-Pniowek</t>
  </si>
  <si>
    <t>Bielsko Biala</t>
  </si>
  <si>
    <t>Pniowek</t>
  </si>
  <si>
    <t>Foto Higiena Gac-Stilon Gorzow</t>
  </si>
  <si>
    <t>Foto Higiena Gac</t>
  </si>
  <si>
    <t>Stilon Gorzow</t>
  </si>
  <si>
    <t>Sandomierz-Chelmianka Chelm</t>
  </si>
  <si>
    <t>Sandomierz</t>
  </si>
  <si>
    <t>Chelmianka Chelm</t>
  </si>
  <si>
    <t>S. Rzeszow-NKP Podhale Nowy Targ</t>
  </si>
  <si>
    <t>S. Rzeszow</t>
  </si>
  <si>
    <t>NKP Podhale Nowy Targ</t>
  </si>
  <si>
    <t>Ostrowiec Swietokrzyski-Wolka Pelkinska</t>
  </si>
  <si>
    <t>Ostrowiec Swietokrzyski</t>
  </si>
  <si>
    <t>Wolka Pelkinska</t>
  </si>
  <si>
    <t>Lublin-Wislanie Jaskowice</t>
  </si>
  <si>
    <t>Lublin</t>
  </si>
  <si>
    <t>Wislanie Jaskowice</t>
  </si>
  <si>
    <t>Stal Krasnik-Orleta Radzyn</t>
  </si>
  <si>
    <t>Stal Krasnik</t>
  </si>
  <si>
    <t>Orleta Radzyn</t>
  </si>
  <si>
    <t>Hutnik Krakow-Sola Oswiecim</t>
  </si>
  <si>
    <t>Hutnik Krakow</t>
  </si>
  <si>
    <t>Sola Oswiecim</t>
  </si>
  <si>
    <t>Czarni Polaniec-Spartakus Daleszyce</t>
  </si>
  <si>
    <t>Czarni Polaniec</t>
  </si>
  <si>
    <t>Spartakus Daleszyce</t>
  </si>
  <si>
    <t>Wisla Pulawy-Biala Podlaska</t>
  </si>
  <si>
    <t>Wisla Pulawy</t>
  </si>
  <si>
    <t>Biala Podlaska</t>
  </si>
  <si>
    <t>Brazil U22-Qatar U23</t>
  </si>
  <si>
    <t>Brazil U22</t>
  </si>
  <si>
    <t>Qatar U23</t>
  </si>
  <si>
    <t>World Cup U20</t>
  </si>
  <si>
    <t>USA U20-Ecuador U20</t>
  </si>
  <si>
    <t>USA U20</t>
  </si>
  <si>
    <t>Ecuador U20</t>
  </si>
  <si>
    <t>Algeria</t>
  </si>
  <si>
    <t>Algeria Cup</t>
  </si>
  <si>
    <t>CR Belouizdad-Bejaia</t>
  </si>
  <si>
    <t>CR Belouizdad</t>
  </si>
  <si>
    <t>Bejaia</t>
  </si>
  <si>
    <t>Moldova-Andorra</t>
  </si>
  <si>
    <t>Moldova</t>
  </si>
  <si>
    <t>Andorra</t>
  </si>
  <si>
    <t>Estonia-Northern Ireland</t>
  </si>
  <si>
    <t>Estonia</t>
  </si>
  <si>
    <t>Northern Ireland</t>
  </si>
  <si>
    <t>Azerbaijan-Hungary</t>
  </si>
  <si>
    <t>Azerbaijan</t>
  </si>
  <si>
    <t>Hungary</t>
  </si>
  <si>
    <t>Russia-San Marino</t>
  </si>
  <si>
    <t>San Marino</t>
  </si>
  <si>
    <t>Armenia-Liechtenstein</t>
  </si>
  <si>
    <t>Armenia</t>
  </si>
  <si>
    <t>Liechtenstein</t>
  </si>
  <si>
    <t>Finland-Bosnia &amp; Herzegovina</t>
  </si>
  <si>
    <t>Bosnia &amp; Herzegovina</t>
  </si>
  <si>
    <t>Drogheda-Athlone</t>
  </si>
  <si>
    <t>Drogheda</t>
  </si>
  <si>
    <t>Athlone</t>
  </si>
  <si>
    <t>Lobi Stars-Enyimba</t>
  </si>
  <si>
    <t>Lobi Stars</t>
  </si>
  <si>
    <t>Enyimba</t>
  </si>
  <si>
    <t>LKS Lomza-Polonia Warszawa</t>
  </si>
  <si>
    <t>LKS Lomza</t>
  </si>
  <si>
    <t>Polonia Warszawa</t>
  </si>
  <si>
    <t>Ostroda-Zambrow</t>
  </si>
  <si>
    <t>Ostroda</t>
  </si>
  <si>
    <t>Zambrow</t>
  </si>
  <si>
    <t>KKS Kalisz-B. Gdynia</t>
  </si>
  <si>
    <t>KKS Kalisz</t>
  </si>
  <si>
    <t>B. Gdynia</t>
  </si>
  <si>
    <t>Spain</t>
  </si>
  <si>
    <t>Tercera Division - Promotion Play Offs</t>
  </si>
  <si>
    <t>Mutilvera-Marino de Luanco</t>
  </si>
  <si>
    <t>Mutilvera</t>
  </si>
  <si>
    <t>Marino de Luanco</t>
  </si>
  <si>
    <t>Volyn Lutsk-Karpaty</t>
  </si>
  <si>
    <t>Volyn Lutsk</t>
  </si>
  <si>
    <t>Karpaty</t>
  </si>
  <si>
    <t>Spain W-South Africa W</t>
  </si>
  <si>
    <t>Spain W</t>
  </si>
  <si>
    <t>South Africa W</t>
  </si>
  <si>
    <t>Sulejowek-Skierniewice</t>
  </si>
  <si>
    <t>Sulejowek</t>
  </si>
  <si>
    <t>Skierniewice</t>
  </si>
  <si>
    <t>Las Rozas-SD Logrones</t>
  </si>
  <si>
    <t>Las Rozas</t>
  </si>
  <si>
    <t>SD Logrones</t>
  </si>
  <si>
    <t>Argentina</t>
  </si>
  <si>
    <t>Primera C Metropolitana</t>
  </si>
  <si>
    <t>Dock Sud-Villa San Carlos</t>
  </si>
  <si>
    <t>Dock Sud</t>
  </si>
  <si>
    <t>Villa San Carlos</t>
  </si>
  <si>
    <t>Laferrere-Excursionistas</t>
  </si>
  <si>
    <t>Laferrere</t>
  </si>
  <si>
    <t>Excursionistas</t>
  </si>
  <si>
    <t>Limerick-Galway</t>
  </si>
  <si>
    <t>Limerick</t>
  </si>
  <si>
    <t>Galway</t>
  </si>
  <si>
    <t>Villarrobledo-G. Segoviana</t>
  </si>
  <si>
    <t>Villarrobledo</t>
  </si>
  <si>
    <t>G. Segoviana</t>
  </si>
  <si>
    <t>Primera D Metropolitana</t>
  </si>
  <si>
    <t>Real Pilar-Liniers</t>
  </si>
  <si>
    <t>Real Pilar</t>
  </si>
  <si>
    <t>Liniers</t>
  </si>
  <si>
    <t>Serie D</t>
  </si>
  <si>
    <t>Sergipe-Coruripe</t>
  </si>
  <si>
    <t>Sergipe</t>
  </si>
  <si>
    <t>Coruripe</t>
  </si>
  <si>
    <t>Cabinteely-Cobh Ramblers</t>
  </si>
  <si>
    <t>Cabinteely</t>
  </si>
  <si>
    <t>Cobh Ramblers</t>
  </si>
  <si>
    <t>Premier Division</t>
  </si>
  <si>
    <t>Shamrock Rovers-Derry City</t>
  </si>
  <si>
    <t>Shamrock Rovers</t>
  </si>
  <si>
    <t>Derry City</t>
  </si>
  <si>
    <t>Akwa United-Enugu Rangers</t>
  </si>
  <si>
    <t>Akwa United</t>
  </si>
  <si>
    <t>Enugu Rangers</t>
  </si>
  <si>
    <t>Dep. Municipal-Carlos Mannucci</t>
  </si>
  <si>
    <t>Dep. Municipal</t>
  </si>
  <si>
    <t>Carlos Mannucci</t>
  </si>
  <si>
    <t>Longford-Wexford</t>
  </si>
  <si>
    <t>Longford</t>
  </si>
  <si>
    <t>Wexford</t>
  </si>
  <si>
    <t>Italy</t>
  </si>
  <si>
    <t>Serie C - Play Out</t>
  </si>
  <si>
    <t>Bisceglie-Lucchese</t>
  </si>
  <si>
    <t>Bisceglie</t>
  </si>
  <si>
    <t>Lucchese</t>
  </si>
  <si>
    <t>Serie C - Promotion - Play Offs</t>
  </si>
  <si>
    <t>Piacenza-Trapani</t>
  </si>
  <si>
    <t>Piacenza</t>
  </si>
  <si>
    <t>Trapani</t>
  </si>
  <si>
    <t>LaLiga2</t>
  </si>
  <si>
    <t>Extremadura UD-Mallorca</t>
  </si>
  <si>
    <t>Extremadura UD</t>
  </si>
  <si>
    <t>Mallorca</t>
  </si>
  <si>
    <t>Osasuna-R. Oviedo</t>
  </si>
  <si>
    <t>Osasuna</t>
  </si>
  <si>
    <t>R. Oviedo</t>
  </si>
  <si>
    <t>Almeria-Albacete</t>
  </si>
  <si>
    <t>Almeria</t>
  </si>
  <si>
    <t>Albacete</t>
  </si>
  <si>
    <t>Granada CF-Alcorcon</t>
  </si>
  <si>
    <t>Granada CF</t>
  </si>
  <si>
    <t>Alcorcon</t>
  </si>
  <si>
    <t>Gijon-Cadiz CF</t>
  </si>
  <si>
    <t>Gijon</t>
  </si>
  <si>
    <t>Cadiz CF</t>
  </si>
  <si>
    <t>Dep. La Coruna-Cordoba</t>
  </si>
  <si>
    <t>Dep. La Coruna</t>
  </si>
  <si>
    <t>Cordoba</t>
  </si>
  <si>
    <t>Malaga-Elche</t>
  </si>
  <si>
    <t>Malaga</t>
  </si>
  <si>
    <t>Elche</t>
  </si>
  <si>
    <t>South Korea U20-Senegal U20</t>
  </si>
  <si>
    <t>South Korea U20</t>
  </si>
  <si>
    <t>Senegal U20</t>
  </si>
  <si>
    <t>Scotland-Cyprus</t>
  </si>
  <si>
    <t>Scotland</t>
  </si>
  <si>
    <t>Cyprus</t>
  </si>
  <si>
    <t>Belarus-Germany</t>
  </si>
  <si>
    <t>Turkey-France</t>
  </si>
  <si>
    <t>Turkey</t>
  </si>
  <si>
    <t>France</t>
  </si>
  <si>
    <t>Belgium-Kazakhstan</t>
  </si>
  <si>
    <t>Belgium</t>
  </si>
  <si>
    <t>Kazakhstan</t>
  </si>
  <si>
    <t>Greece-Italy</t>
  </si>
  <si>
    <t>Greece</t>
  </si>
  <si>
    <t>Sligo Rovers-St. Patricks</t>
  </si>
  <si>
    <t>Sligo Rovers</t>
  </si>
  <si>
    <t>St. Patricks</t>
  </si>
  <si>
    <t>Serie C</t>
  </si>
  <si>
    <t>ABC-Imperatriz</t>
  </si>
  <si>
    <t>ABC</t>
  </si>
  <si>
    <t>Imperatriz</t>
  </si>
  <si>
    <t>EC Sao Jose-Boa</t>
  </si>
  <si>
    <t>EC Sao Jose</t>
  </si>
  <si>
    <t>Boa</t>
  </si>
  <si>
    <t>Chile</t>
  </si>
  <si>
    <t>Chilean Cup</t>
  </si>
  <si>
    <t>Trasandino-Everton</t>
  </si>
  <si>
    <t>Trasandino</t>
  </si>
  <si>
    <t>Everton</t>
  </si>
  <si>
    <t>Rangers-U. De Chile</t>
  </si>
  <si>
    <t>Rangers</t>
  </si>
  <si>
    <t>U. De Chile</t>
  </si>
  <si>
    <t>Finn Harps-Dundalk</t>
  </si>
  <si>
    <t>Finn Harps</t>
  </si>
  <si>
    <t>Dundalk</t>
  </si>
  <si>
    <t>Morocco</t>
  </si>
  <si>
    <t>Botola Pro</t>
  </si>
  <si>
    <t>Rapide Oued Zem-Olympique Khouribga</t>
  </si>
  <si>
    <t>Rapide Oued Zem</t>
  </si>
  <si>
    <t>Olympique Khouribga</t>
  </si>
  <si>
    <t>Moralo-Linares</t>
  </si>
  <si>
    <t>Moralo</t>
  </si>
  <si>
    <t>Linares</t>
  </si>
  <si>
    <t>Norway W-Nigeria W</t>
  </si>
  <si>
    <t>Norway W</t>
  </si>
  <si>
    <t>Nigeria W</t>
  </si>
  <si>
    <t>Palmeiras-Athletico PR</t>
  </si>
  <si>
    <t>Palmeiras</t>
  </si>
  <si>
    <t>Athletico PR</t>
  </si>
  <si>
    <t>Criciuma-Vila Nova FC</t>
  </si>
  <si>
    <t>Criciuma</t>
  </si>
  <si>
    <t>Vila Nova FC</t>
  </si>
  <si>
    <t>Brasil de Pelotas-Operario</t>
  </si>
  <si>
    <t>Brasil de Pelotas</t>
  </si>
  <si>
    <t>Operario</t>
  </si>
  <si>
    <t>Magallanes-Union La Calera</t>
  </si>
  <si>
    <t>Magallanes</t>
  </si>
  <si>
    <t>Union La Calera</t>
  </si>
  <si>
    <t>Melipilla-U. Espanola</t>
  </si>
  <si>
    <t>Melipilla</t>
  </si>
  <si>
    <t>U. Espanola</t>
  </si>
  <si>
    <t>San Jose Earthquakes-FC Dallas</t>
  </si>
  <si>
    <t>San Jose Earthquakes</t>
  </si>
  <si>
    <t>FC Dallas</t>
  </si>
  <si>
    <t>Venezuela</t>
  </si>
  <si>
    <t>Segunda Division</t>
  </si>
  <si>
    <t>Titanes-Yaracuy</t>
  </si>
  <si>
    <t>Titanes</t>
  </si>
  <si>
    <t>Yaracuy</t>
  </si>
  <si>
    <t>Remo-Volta Redonda</t>
  </si>
  <si>
    <t>Remo</t>
  </si>
  <si>
    <t>Volta Redonda</t>
  </si>
  <si>
    <t>Orense-Clan Juvenil</t>
  </si>
  <si>
    <t>Orense</t>
  </si>
  <si>
    <t>Clan Juvenil</t>
  </si>
  <si>
    <t>Puerto Quito-Manta</t>
  </si>
  <si>
    <t>Puerto Quito</t>
  </si>
  <si>
    <t>Manta</t>
  </si>
  <si>
    <t>Toronto FC II-Lansing</t>
  </si>
  <si>
    <t>Toronto FC II</t>
  </si>
  <si>
    <t>Lansing</t>
  </si>
  <si>
    <t>Primera B Nacional</t>
  </si>
  <si>
    <t>Sarmiento Junin-Central Cordoba</t>
  </si>
  <si>
    <t>Sarmiento Junin</t>
  </si>
  <si>
    <t>Central Cordoba</t>
  </si>
  <si>
    <t>Sporting Cristal-Binacional</t>
  </si>
  <si>
    <t>Sporting Cristal</t>
  </si>
  <si>
    <t>Binacional</t>
  </si>
  <si>
    <t>Liga 2</t>
  </si>
  <si>
    <t>Deportivo Coopsol-Juan Aurich</t>
  </si>
  <si>
    <t>Deportivo Coopsol</t>
  </si>
  <si>
    <t>Juan Aurich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</si>
</sst>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Arial Unicode MS"/>
      <family val="2"/>
    </font>
    <font>
      <b/>
      <sz val="9"/>
      <color theme="1"/>
      <name val="Arial Unicode MS"/>
      <family val="2"/>
    </font>
    <font>
      <sz val="9"/>
      <color rgb="FFFF0000"/>
      <name val="Arial Unicode MS"/>
      <family val="2"/>
    </font>
    <font>
      <sz val="9"/>
      <name val="Arial Unicode MS"/>
      <family val="2"/>
    </font>
    <font>
      <sz val="9"/>
      <color theme="0"/>
      <name val="Arial Unicode MS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7" borderId="1" xfId="0" applyFont="1" applyFill="1" applyBorder="1"/>
    <xf numFmtId="0" fontId="2" fillId="8" borderId="1" xfId="0" applyFont="1" applyFill="1" applyBorder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4" fillId="0" borderId="1" xfId="0" applyFont="1" applyBorder="1" applyAlignment="1">
      <alignment horizontal="center"/>
    </xf>
    <xf numFmtId="0" fontId="5" fillId="0" borderId="1" xfId="0" applyFont="1" applyBorder="1"/>
    <xf numFmtId="9" fontId="2" fillId="0" borderId="0" xfId="2" applyFont="1" applyAlignment="1">
      <alignment horizontal="center"/>
    </xf>
    <xf numFmtId="0" fontId="6" fillId="2" borderId="1" xfId="0" applyFont="1" applyFill="1" applyBorder="1"/>
    <xf numFmtId="0" fontId="6" fillId="0" borderId="1" xfId="0" applyNumberFormat="1" applyFont="1" applyBorder="1"/>
    <xf numFmtId="0" fontId="6" fillId="0" borderId="0" xfId="0" applyFont="1"/>
    <xf numFmtId="0" fontId="7" fillId="0" borderId="0" xfId="0" applyFont="1" applyAlignment="1">
      <alignment horizontal="left"/>
    </xf>
    <xf numFmtId="9" fontId="6" fillId="0" borderId="0" xfId="0" applyNumberFormat="1" applyFont="1"/>
    <xf numFmtId="164" fontId="6" fillId="0" borderId="0" xfId="2" applyNumberFormat="1" applyFont="1"/>
    <xf numFmtId="0" fontId="6" fillId="0" borderId="0" xfId="0" applyFont="1" applyAlignment="1">
      <alignment horizontal="center"/>
    </xf>
    <xf numFmtId="0" fontId="7" fillId="2" borderId="1" xfId="0" applyNumberFormat="1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6" fillId="0" borderId="0" xfId="0" applyFont="1" applyFill="1"/>
    <xf numFmtId="0" fontId="7" fillId="2" borderId="1" xfId="0" applyFont="1" applyFill="1" applyBorder="1" applyAlignment="1">
      <alignment horizontal="center"/>
    </xf>
    <xf numFmtId="165" fontId="6" fillId="0" borderId="1" xfId="1" applyNumberFormat="1" applyFont="1" applyBorder="1"/>
    <xf numFmtId="43" fontId="6" fillId="0" borderId="1" xfId="1" applyFont="1" applyBorder="1"/>
    <xf numFmtId="0" fontId="6" fillId="0" borderId="1" xfId="0" quotePrefix="1" applyFont="1" applyBorder="1" applyAlignment="1">
      <alignment horizontal="center"/>
    </xf>
    <xf numFmtId="10" fontId="6" fillId="0" borderId="1" xfId="2" applyNumberFormat="1" applyFont="1" applyBorder="1"/>
    <xf numFmtId="165" fontId="6" fillId="0" borderId="0" xfId="1" applyNumberFormat="1" applyFont="1"/>
    <xf numFmtId="2" fontId="6" fillId="0" borderId="0" xfId="0" applyNumberFormat="1" applyFont="1"/>
    <xf numFmtId="43" fontId="6" fillId="0" borderId="0" xfId="1" applyFont="1"/>
    <xf numFmtId="10" fontId="6" fillId="0" borderId="0" xfId="2" applyNumberFormat="1" applyFont="1"/>
    <xf numFmtId="0" fontId="6" fillId="0" borderId="0" xfId="0" applyFont="1" applyFill="1" applyAlignment="1">
      <alignment horizontal="center"/>
    </xf>
    <xf numFmtId="9" fontId="6" fillId="3" borderId="1" xfId="2" applyFont="1" applyFill="1" applyBorder="1" applyAlignment="1">
      <alignment horizontal="center"/>
    </xf>
    <xf numFmtId="9" fontId="6" fillId="4" borderId="1" xfId="2" applyFont="1" applyFill="1" applyBorder="1" applyAlignment="1">
      <alignment horizontal="center"/>
    </xf>
    <xf numFmtId="9" fontId="6" fillId="5" borderId="1" xfId="2" applyFont="1" applyFill="1" applyBorder="1" applyAlignment="1">
      <alignment horizontal="center"/>
    </xf>
    <xf numFmtId="0" fontId="6" fillId="8" borderId="1" xfId="0" applyFont="1" applyFill="1" applyBorder="1"/>
    <xf numFmtId="9" fontId="6" fillId="10" borderId="1" xfId="2" applyFont="1" applyFill="1" applyBorder="1" applyAlignment="1">
      <alignment horizontal="center"/>
    </xf>
    <xf numFmtId="0" fontId="8" fillId="0" borderId="0" xfId="0" applyFont="1"/>
    <xf numFmtId="2" fontId="9" fillId="0" borderId="0" xfId="1" applyNumberFormat="1" applyFont="1" applyFill="1"/>
    <xf numFmtId="2" fontId="9" fillId="0" borderId="0" xfId="1" applyNumberFormat="1" applyFont="1" applyFill="1" applyAlignment="1">
      <alignment horizontal="center"/>
    </xf>
    <xf numFmtId="0" fontId="9" fillId="0" borderId="0" xfId="0" applyFont="1"/>
    <xf numFmtId="0" fontId="6" fillId="0" borderId="1" xfId="0" applyFont="1" applyBorder="1"/>
    <xf numFmtId="0" fontId="6" fillId="0" borderId="1" xfId="0" applyFont="1" applyFill="1" applyBorder="1"/>
    <xf numFmtId="0" fontId="6" fillId="6" borderId="1" xfId="0" applyFont="1" applyFill="1" applyBorder="1"/>
    <xf numFmtId="0" fontId="6" fillId="7" borderId="1" xfId="0" applyFont="1" applyFill="1" applyBorder="1"/>
    <xf numFmtId="0" fontId="6" fillId="3" borderId="1" xfId="0" applyFont="1" applyFill="1" applyBorder="1"/>
    <xf numFmtId="0" fontId="6" fillId="9" borderId="1" xfId="0" applyFont="1" applyFill="1" applyBorder="1"/>
    <xf numFmtId="0" fontId="6" fillId="5" borderId="1" xfId="0" applyFont="1" applyFill="1" applyBorder="1"/>
    <xf numFmtId="0" fontId="6" fillId="10" borderId="1" xfId="0" applyFont="1" applyFill="1" applyBorder="1"/>
    <xf numFmtId="0" fontId="6" fillId="0" borderId="1" xfId="0" applyNumberFormat="1" applyFont="1" applyBorder="1" applyAlignment="1">
      <alignment horizontal="center"/>
    </xf>
    <xf numFmtId="166" fontId="9" fillId="0" borderId="0" xfId="0" applyNumberFormat="1" applyFont="1" applyFill="1"/>
    <xf numFmtId="0" fontId="9" fillId="0" borderId="0" xfId="0" applyFont="1" applyFill="1"/>
    <xf numFmtId="0" fontId="10" fillId="11" borderId="1" xfId="0" applyFont="1" applyFill="1" applyBorder="1"/>
    <xf numFmtId="0" fontId="6" fillId="6" borderId="1" xfId="0" applyFont="1" applyFill="1" applyBorder="1" applyAlignment="1">
      <alignment horizontal="center"/>
    </xf>
    <xf numFmtId="43" fontId="6" fillId="8" borderId="1" xfId="1" applyFont="1" applyFill="1" applyBorder="1" applyAlignment="1">
      <alignment horizontal="center"/>
    </xf>
    <xf numFmtId="43" fontId="6" fillId="10" borderId="1" xfId="1" applyFont="1" applyFill="1" applyBorder="1" applyAlignment="1">
      <alignment horizontal="center"/>
    </xf>
    <xf numFmtId="43" fontId="6" fillId="0" borderId="0" xfId="1" applyFont="1" applyBorder="1"/>
    <xf numFmtId="43" fontId="6" fillId="12" borderId="1" xfId="1" applyFont="1" applyFill="1" applyBorder="1" applyAlignment="1">
      <alignment horizontal="center"/>
    </xf>
    <xf numFmtId="43" fontId="6" fillId="13" borderId="1" xfId="1" applyFont="1" applyFill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2" fontId="9" fillId="12" borderId="1" xfId="1" applyNumberFormat="1" applyFont="1" applyFill="1" applyBorder="1" applyAlignment="1">
      <alignment horizontal="center"/>
    </xf>
    <xf numFmtId="2" fontId="9" fillId="13" borderId="1" xfId="1" applyNumberFormat="1" applyFont="1" applyFill="1" applyBorder="1" applyAlignment="1">
      <alignment horizontal="center"/>
    </xf>
    <xf numFmtId="0" fontId="6" fillId="2" borderId="0" xfId="0" applyFont="1" applyFill="1" applyBorder="1"/>
    <xf numFmtId="0" fontId="6" fillId="0" borderId="0" xfId="0" quotePrefix="1" applyFont="1" applyBorder="1" applyAlignment="1">
      <alignment horizontal="center"/>
    </xf>
    <xf numFmtId="10" fontId="6" fillId="0" borderId="0" xfId="2" applyNumberFormat="1" applyFont="1" applyBorder="1"/>
    <xf numFmtId="43" fontId="6" fillId="6" borderId="1" xfId="0" applyNumberFormat="1" applyFont="1" applyFill="1" applyBorder="1" applyAlignment="1">
      <alignment horizontal="center"/>
    </xf>
    <xf numFmtId="9" fontId="6" fillId="0" borderId="0" xfId="2" applyFo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betanalysis_2019-06-07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1" customWidth="1"/>
    <col min="2" max="2" width="51.28515625" style="1" bestFit="1" customWidth="1"/>
    <col min="3" max="3" width="27.7109375" style="1" customWidth="1"/>
    <col min="4" max="4" width="21.42578125" style="2" bestFit="1" customWidth="1"/>
    <col min="5" max="5" width="21.42578125" style="2" customWidth="1"/>
    <col min="6" max="6" width="49.28515625" style="1" bestFit="1" customWidth="1"/>
    <col min="7" max="7" width="9.140625" style="2"/>
    <col min="8" max="16384" width="9.140625" style="1"/>
  </cols>
  <sheetData>
    <row r="1" spans="1:6" x14ac:dyDescent="0.2">
      <c r="A1" s="6" t="s">
        <v>50</v>
      </c>
    </row>
    <row r="2" spans="1:6" x14ac:dyDescent="0.2">
      <c r="A2" s="7" t="s">
        <v>51</v>
      </c>
      <c r="B2" s="7" t="s">
        <v>52</v>
      </c>
      <c r="C2" s="7" t="s">
        <v>53</v>
      </c>
      <c r="D2" s="8" t="s">
        <v>54</v>
      </c>
      <c r="E2" s="8" t="s">
        <v>55</v>
      </c>
      <c r="F2" s="7" t="s">
        <v>56</v>
      </c>
    </row>
    <row r="3" spans="1:6" x14ac:dyDescent="0.2">
      <c r="A3" s="7"/>
      <c r="B3" s="7"/>
      <c r="C3" s="7"/>
      <c r="D3" s="8" t="s">
        <v>57</v>
      </c>
      <c r="E3" s="8" t="s">
        <v>57</v>
      </c>
      <c r="F3" s="7"/>
    </row>
    <row r="4" spans="1:6" x14ac:dyDescent="0.2">
      <c r="A4" s="9">
        <v>1</v>
      </c>
      <c r="B4" s="3" t="s">
        <v>58</v>
      </c>
      <c r="C4" s="10" t="s">
        <v>14</v>
      </c>
      <c r="D4" s="11"/>
      <c r="E4" s="11"/>
      <c r="F4" s="3"/>
    </row>
    <row r="5" spans="1:6" x14ac:dyDescent="0.2">
      <c r="A5" s="9">
        <v>2</v>
      </c>
      <c r="B5" s="3" t="s">
        <v>59</v>
      </c>
      <c r="C5" s="10" t="s">
        <v>15</v>
      </c>
      <c r="D5" s="11"/>
      <c r="E5" s="11"/>
      <c r="F5" s="3"/>
    </row>
    <row r="6" spans="1:6" x14ac:dyDescent="0.2">
      <c r="A6" s="9">
        <v>3</v>
      </c>
      <c r="B6" s="3" t="s">
        <v>60</v>
      </c>
      <c r="C6" s="10" t="s">
        <v>16</v>
      </c>
      <c r="D6" s="11" t="s">
        <v>61</v>
      </c>
      <c r="E6" s="11"/>
      <c r="F6" s="3"/>
    </row>
    <row r="7" spans="1:6" x14ac:dyDescent="0.2">
      <c r="A7" s="9">
        <v>4</v>
      </c>
      <c r="B7" s="3" t="s">
        <v>62</v>
      </c>
      <c r="C7" s="10" t="s">
        <v>17</v>
      </c>
      <c r="D7" s="11"/>
      <c r="E7" s="11"/>
      <c r="F7" s="3"/>
    </row>
    <row r="8" spans="1:6" x14ac:dyDescent="0.2">
      <c r="A8" s="9">
        <v>5</v>
      </c>
      <c r="B8" s="3" t="s">
        <v>63</v>
      </c>
      <c r="C8" s="10" t="s">
        <v>18</v>
      </c>
      <c r="D8" s="11"/>
      <c r="E8" s="11"/>
      <c r="F8" s="3"/>
    </row>
    <row r="9" spans="1:6" x14ac:dyDescent="0.2">
      <c r="A9" s="9">
        <v>6</v>
      </c>
      <c r="B9" s="3" t="s">
        <v>64</v>
      </c>
      <c r="C9" s="10" t="s">
        <v>19</v>
      </c>
      <c r="D9" s="11"/>
      <c r="E9" s="11"/>
      <c r="F9" s="3"/>
    </row>
    <row r="10" spans="1:6" x14ac:dyDescent="0.2">
      <c r="A10" s="9">
        <v>7</v>
      </c>
      <c r="B10" s="3" t="s">
        <v>65</v>
      </c>
      <c r="C10" s="12" t="s">
        <v>22</v>
      </c>
      <c r="D10" s="13" t="s">
        <v>66</v>
      </c>
      <c r="E10" s="13"/>
      <c r="F10" s="3"/>
    </row>
    <row r="11" spans="1:6" x14ac:dyDescent="0.2">
      <c r="A11" s="9">
        <v>8</v>
      </c>
      <c r="B11" s="3" t="s">
        <v>67</v>
      </c>
      <c r="C11" s="10" t="s">
        <v>23</v>
      </c>
      <c r="D11" s="11"/>
      <c r="E11" s="11"/>
      <c r="F11" s="3"/>
    </row>
    <row r="12" spans="1:6" x14ac:dyDescent="0.2">
      <c r="A12" s="9">
        <v>9</v>
      </c>
      <c r="B12" s="3" t="s">
        <v>68</v>
      </c>
      <c r="C12" s="12" t="s">
        <v>24</v>
      </c>
      <c r="D12" s="13" t="s">
        <v>66</v>
      </c>
      <c r="E12" s="13"/>
      <c r="F12" s="3"/>
    </row>
    <row r="13" spans="1:6" x14ac:dyDescent="0.2">
      <c r="A13" s="9">
        <v>10</v>
      </c>
      <c r="B13" s="3" t="s">
        <v>69</v>
      </c>
      <c r="C13" s="14" t="s">
        <v>25</v>
      </c>
      <c r="D13" s="11"/>
      <c r="E13" s="11"/>
      <c r="F13" s="3"/>
    </row>
    <row r="14" spans="1:6" x14ac:dyDescent="0.2">
      <c r="A14" s="9">
        <v>11</v>
      </c>
      <c r="B14" s="3" t="s">
        <v>70</v>
      </c>
      <c r="C14" s="15" t="s">
        <v>26</v>
      </c>
      <c r="D14" s="11"/>
      <c r="E14" s="11"/>
      <c r="F14" s="3"/>
    </row>
    <row r="15" spans="1:6" x14ac:dyDescent="0.2">
      <c r="A15" s="9">
        <v>12</v>
      </c>
      <c r="B15" s="3" t="s">
        <v>71</v>
      </c>
      <c r="C15" s="15" t="s">
        <v>27</v>
      </c>
      <c r="D15" s="11"/>
      <c r="E15" s="11"/>
      <c r="F15" s="3"/>
    </row>
    <row r="16" spans="1:6" x14ac:dyDescent="0.2">
      <c r="A16" s="9">
        <v>13</v>
      </c>
      <c r="B16" s="3" t="s">
        <v>72</v>
      </c>
      <c r="C16" s="15" t="s">
        <v>28</v>
      </c>
      <c r="D16" s="11"/>
      <c r="E16" s="11"/>
      <c r="F16" s="3"/>
    </row>
    <row r="17" spans="1:6" x14ac:dyDescent="0.2">
      <c r="A17" s="9">
        <v>14</v>
      </c>
      <c r="B17" s="3" t="s">
        <v>73</v>
      </c>
      <c r="C17" s="4" t="s">
        <v>29</v>
      </c>
      <c r="D17" s="11"/>
      <c r="E17" s="11"/>
      <c r="F17" s="3"/>
    </row>
    <row r="18" spans="1:6" x14ac:dyDescent="0.2">
      <c r="A18" s="9">
        <v>15</v>
      </c>
      <c r="B18" s="3" t="s">
        <v>74</v>
      </c>
      <c r="C18" s="4" t="s">
        <v>30</v>
      </c>
      <c r="D18" s="11"/>
      <c r="E18" s="11"/>
      <c r="F18" s="3"/>
    </row>
    <row r="19" spans="1:6" x14ac:dyDescent="0.2">
      <c r="A19" s="9">
        <v>16</v>
      </c>
      <c r="B19" s="3" t="s">
        <v>75</v>
      </c>
      <c r="C19" s="16" t="s">
        <v>76</v>
      </c>
      <c r="D19" s="17">
        <v>0.3</v>
      </c>
      <c r="E19" s="17"/>
      <c r="F19" s="3"/>
    </row>
    <row r="20" spans="1:6" x14ac:dyDescent="0.2">
      <c r="A20" s="9">
        <v>17</v>
      </c>
      <c r="B20" s="3" t="s">
        <v>77</v>
      </c>
      <c r="C20" s="16" t="s">
        <v>78</v>
      </c>
      <c r="D20" s="17">
        <v>0.1</v>
      </c>
      <c r="E20" s="17"/>
      <c r="F20" s="3"/>
    </row>
    <row r="21" spans="1:6" x14ac:dyDescent="0.2">
      <c r="A21" s="9">
        <v>18</v>
      </c>
      <c r="B21" s="3" t="s">
        <v>79</v>
      </c>
      <c r="C21" s="16" t="s">
        <v>80</v>
      </c>
      <c r="D21" s="17">
        <v>0.3</v>
      </c>
      <c r="E21" s="17"/>
      <c r="F21" s="3"/>
    </row>
    <row r="22" spans="1:6" x14ac:dyDescent="0.2">
      <c r="A22" s="9">
        <v>19</v>
      </c>
      <c r="B22" s="3" t="s">
        <v>81</v>
      </c>
      <c r="C22" s="18" t="s">
        <v>82</v>
      </c>
      <c r="D22" s="17">
        <v>0.2</v>
      </c>
      <c r="E22" s="17"/>
      <c r="F22" s="3"/>
    </row>
    <row r="23" spans="1:6" x14ac:dyDescent="0.2">
      <c r="A23" s="9">
        <v>20</v>
      </c>
      <c r="B23" s="3" t="s">
        <v>83</v>
      </c>
      <c r="C23" s="18" t="s">
        <v>84</v>
      </c>
      <c r="D23" s="17">
        <v>0.1</v>
      </c>
      <c r="E23" s="17"/>
      <c r="F23" s="3"/>
    </row>
    <row r="24" spans="1:6" x14ac:dyDescent="0.2">
      <c r="A24" s="9">
        <v>21</v>
      </c>
      <c r="B24" s="3" t="s">
        <v>85</v>
      </c>
      <c r="C24" s="18" t="s">
        <v>86</v>
      </c>
      <c r="D24" s="17">
        <v>0.2</v>
      </c>
      <c r="E24" s="17"/>
      <c r="F24" s="3"/>
    </row>
    <row r="25" spans="1:6" x14ac:dyDescent="0.2">
      <c r="A25" s="9">
        <v>22</v>
      </c>
      <c r="B25" s="3" t="s">
        <v>87</v>
      </c>
      <c r="C25" s="19" t="s">
        <v>88</v>
      </c>
      <c r="D25" s="17">
        <v>0.2</v>
      </c>
      <c r="E25" s="17"/>
      <c r="F25" s="3"/>
    </row>
    <row r="26" spans="1:6" x14ac:dyDescent="0.2">
      <c r="A26" s="9">
        <v>23</v>
      </c>
      <c r="B26" s="3" t="s">
        <v>89</v>
      </c>
      <c r="C26" s="19" t="s">
        <v>90</v>
      </c>
      <c r="D26" s="17">
        <v>0.1</v>
      </c>
      <c r="E26" s="17"/>
      <c r="F26" s="3"/>
    </row>
    <row r="27" spans="1:6" x14ac:dyDescent="0.2">
      <c r="A27" s="9">
        <v>24</v>
      </c>
      <c r="B27" s="3" t="s">
        <v>91</v>
      </c>
      <c r="C27" s="19" t="s">
        <v>92</v>
      </c>
      <c r="D27" s="17">
        <v>0.2</v>
      </c>
      <c r="E27" s="17"/>
      <c r="F27" s="3"/>
    </row>
    <row r="28" spans="1:6" x14ac:dyDescent="0.2">
      <c r="A28" s="9">
        <v>25</v>
      </c>
      <c r="B28" s="3" t="s">
        <v>93</v>
      </c>
      <c r="C28" s="5" t="s">
        <v>40</v>
      </c>
      <c r="D28" s="20" t="s">
        <v>94</v>
      </c>
      <c r="E28" s="20"/>
      <c r="F28" s="21" t="s">
        <v>95</v>
      </c>
    </row>
    <row r="29" spans="1:6" x14ac:dyDescent="0.2">
      <c r="A29" s="9">
        <v>26</v>
      </c>
      <c r="B29" s="3" t="s">
        <v>96</v>
      </c>
      <c r="C29" s="5" t="s">
        <v>41</v>
      </c>
      <c r="D29" s="20" t="s">
        <v>94</v>
      </c>
      <c r="E29" s="20"/>
      <c r="F29" s="21" t="s">
        <v>95</v>
      </c>
    </row>
    <row r="30" spans="1:6" x14ac:dyDescent="0.2">
      <c r="A30" s="9">
        <v>27</v>
      </c>
      <c r="B30" s="3" t="s">
        <v>97</v>
      </c>
      <c r="C30" s="12" t="s">
        <v>42</v>
      </c>
      <c r="D30" s="20" t="s">
        <v>98</v>
      </c>
      <c r="E30" s="20"/>
      <c r="F30" s="21" t="s">
        <v>95</v>
      </c>
    </row>
    <row r="31" spans="1:6" x14ac:dyDescent="0.2">
      <c r="A31" s="9">
        <v>28</v>
      </c>
      <c r="B31" s="3" t="s">
        <v>99</v>
      </c>
      <c r="C31" s="12" t="s">
        <v>43</v>
      </c>
      <c r="D31" s="20" t="s">
        <v>98</v>
      </c>
      <c r="E31" s="20"/>
      <c r="F31" s="21" t="s">
        <v>100</v>
      </c>
    </row>
    <row r="32" spans="1:6" x14ac:dyDescent="0.2">
      <c r="D32" s="22"/>
      <c r="E32" s="22"/>
    </row>
    <row r="33" spans="1:2" x14ac:dyDescent="0.2">
      <c r="A33" s="1" t="s">
        <v>101</v>
      </c>
    </row>
    <row r="34" spans="1:2" x14ac:dyDescent="0.2">
      <c r="A34" s="1">
        <v>1</v>
      </c>
      <c r="B34" s="1" t="s">
        <v>102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5002"/>
  <sheetViews>
    <sheetView tabSelected="1" topLeftCell="B1" zoomScale="75" zoomScaleNormal="75" workbookViewId="0">
      <pane ySplit="14" topLeftCell="A15" activePane="bottomLeft" state="frozen"/>
      <selection pane="bottomLeft" activeCell="Y85" sqref="Y85"/>
    </sheetView>
  </sheetViews>
  <sheetFormatPr defaultRowHeight="13.5" x14ac:dyDescent="0.25"/>
  <cols>
    <col min="1" max="1" width="7.7109375" style="64" customWidth="1"/>
    <col min="2" max="6" width="6.42578125" style="64" customWidth="1"/>
    <col min="7" max="8" width="3" style="64" customWidth="1"/>
    <col min="9" max="12" width="6" style="64" customWidth="1"/>
    <col min="13" max="14" width="4.42578125" style="64" customWidth="1"/>
    <col min="15" max="15" width="3.42578125" style="64" customWidth="1"/>
    <col min="16" max="17" width="4" style="64" customWidth="1"/>
    <col min="18" max="28" width="6.28515625" style="64" customWidth="1"/>
    <col min="29" max="30" width="6.28515625" style="64" hidden="1" customWidth="1"/>
    <col min="31" max="32" width="6.28515625" style="64" customWidth="1"/>
    <col min="33" max="34" width="7" style="64" customWidth="1"/>
    <col min="35" max="35" width="6.140625" style="64" customWidth="1"/>
    <col min="36" max="36" width="8.7109375" style="64" customWidth="1"/>
    <col min="37" max="37" width="7.85546875" style="64" customWidth="1"/>
    <col min="38" max="38" width="7.28515625" style="64" customWidth="1"/>
    <col min="39" max="39" width="8.85546875" style="64" customWidth="1"/>
    <col min="40" max="40" width="9.85546875" style="64" customWidth="1"/>
    <col min="41" max="16384" width="9.140625" style="64"/>
  </cols>
  <sheetData>
    <row r="1" spans="1:45" s="25" customFormat="1" x14ac:dyDescent="0.25">
      <c r="A1" s="23" t="s">
        <v>105</v>
      </c>
      <c r="B1" s="24">
        <f>SUMPRODUCT(MAX(($A:$A&lt;&gt;"")*(ROW(A:A))))-10</f>
        <v>298</v>
      </c>
      <c r="D1" s="26" t="s">
        <v>0</v>
      </c>
      <c r="H1" s="27"/>
      <c r="I1" s="28"/>
      <c r="AH1" s="29"/>
      <c r="AK1" s="30" t="s">
        <v>1</v>
      </c>
      <c r="AL1" s="30" t="s">
        <v>2</v>
      </c>
      <c r="AM1" s="30" t="s">
        <v>3</v>
      </c>
      <c r="AN1" s="31" t="s">
        <v>4</v>
      </c>
      <c r="AO1" s="32"/>
      <c r="AP1" s="33"/>
    </row>
    <row r="2" spans="1:45" s="25" customFormat="1" x14ac:dyDescent="0.25">
      <c r="A2" s="23" t="s">
        <v>5</v>
      </c>
      <c r="B2" s="24">
        <v>50</v>
      </c>
      <c r="D2" s="25" t="s">
        <v>6</v>
      </c>
      <c r="H2" s="27"/>
      <c r="I2" s="28"/>
      <c r="AB2" s="34"/>
      <c r="AC2" s="34"/>
      <c r="AD2" s="34"/>
      <c r="AE2" s="34"/>
      <c r="AF2" s="34"/>
      <c r="AJ2" s="35" t="s">
        <v>7</v>
      </c>
      <c r="AK2" s="36">
        <f>SUBTOTAL(2,AN15:AN30391)</f>
        <v>294</v>
      </c>
      <c r="AL2" s="36">
        <f>SUBTOTAL(2,AO15:AO30391)</f>
        <v>294</v>
      </c>
      <c r="AM2" s="36">
        <f>SUBTOTAL(2,AP15:AP30391)</f>
        <v>294</v>
      </c>
      <c r="AN2" s="37">
        <f>SUBTOTAL(2,AN15:AN30391)*$B$2</f>
        <v>14700</v>
      </c>
      <c r="AO2" s="37">
        <f>SUBTOTAL(2,AO15:AO30391)*$B$2</f>
        <v>14700</v>
      </c>
      <c r="AP2" s="37">
        <f>SUBTOTAL(2,AP15:AP30391)*$B$2</f>
        <v>14700</v>
      </c>
    </row>
    <row r="3" spans="1:45" s="25" customFormat="1" x14ac:dyDescent="0.25">
      <c r="A3" s="23" t="s">
        <v>8</v>
      </c>
      <c r="B3" s="38" t="s">
        <v>9</v>
      </c>
      <c r="D3" s="25" t="s">
        <v>10</v>
      </c>
      <c r="H3" s="27"/>
      <c r="I3" s="28"/>
      <c r="AB3" s="34"/>
      <c r="AC3" s="34"/>
      <c r="AD3" s="34"/>
      <c r="AE3" s="34"/>
      <c r="AF3" s="34"/>
      <c r="AJ3" s="35" t="s">
        <v>11</v>
      </c>
      <c r="AK3" s="36">
        <f ca="1">SUMPRODUCT(SUBTOTAL(3,OFFSET(AK15:AK30391,ROW(AK15:AK30391)-MIN(ROW(AK15:AK30391)),,1)), --(AK15:AK30391=$AJ$3))</f>
        <v>141</v>
      </c>
      <c r="AL3" s="36">
        <f ca="1">SUMPRODUCT(SUBTOTAL(3,OFFSET(AL15:AL30391,ROW(AL15:AL30391)-MIN(ROW(AL15:AL30391)),,1)), --(AL15:AL30391=$AJ$3))</f>
        <v>60</v>
      </c>
      <c r="AM3" s="36">
        <f ca="1">SUMPRODUCT(SUBTOTAL(3,OFFSET(AM15:AM30391,ROW(AM15:AM30391)-MIN(ROW(AM15:AM30391)),,1)), --(AM15:AM30391=$AJ$3))</f>
        <v>93</v>
      </c>
      <c r="AN3" s="37">
        <f>SUBTOTAL(9,AN15:AN30391)</f>
        <v>-475.5</v>
      </c>
      <c r="AO3" s="37">
        <f>SUBTOTAL(9,AO15:AO30391)</f>
        <v>-3958.5</v>
      </c>
      <c r="AP3" s="37">
        <f>SUBTOTAL(9,AP15:AP30391)</f>
        <v>-2520.5</v>
      </c>
    </row>
    <row r="4" spans="1:45" s="25" customFormat="1" x14ac:dyDescent="0.25">
      <c r="A4" s="23" t="s">
        <v>104</v>
      </c>
      <c r="B4" s="38" t="s">
        <v>103</v>
      </c>
      <c r="D4" s="25" t="s">
        <v>12</v>
      </c>
      <c r="H4" s="27"/>
      <c r="I4" s="28"/>
      <c r="AB4" s="34"/>
      <c r="AC4" s="34"/>
      <c r="AD4" s="34"/>
      <c r="AE4" s="34"/>
      <c r="AF4" s="34"/>
      <c r="AJ4" s="35" t="s">
        <v>13</v>
      </c>
      <c r="AK4" s="39">
        <f t="shared" ref="AK4:AP4" ca="1" si="0">+AK3/AK2</f>
        <v>0.47959183673469385</v>
      </c>
      <c r="AL4" s="39">
        <f t="shared" ca="1" si="0"/>
        <v>0.20408163265306123</v>
      </c>
      <c r="AM4" s="39">
        <f t="shared" ca="1" si="0"/>
        <v>0.31632653061224492</v>
      </c>
      <c r="AN4" s="39">
        <f t="shared" si="0"/>
        <v>-3.2346938775510203E-2</v>
      </c>
      <c r="AO4" s="39">
        <f t="shared" si="0"/>
        <v>-0.26928571428571429</v>
      </c>
      <c r="AP4" s="39">
        <f t="shared" si="0"/>
        <v>-0.1714625850340136</v>
      </c>
    </row>
    <row r="5" spans="1:45" s="25" customFormat="1" x14ac:dyDescent="0.25">
      <c r="A5" s="75"/>
      <c r="B5" s="76"/>
      <c r="H5" s="27"/>
      <c r="I5" s="28"/>
      <c r="AB5" s="34"/>
      <c r="AC5" s="34"/>
      <c r="AD5" s="34"/>
      <c r="AE5" s="34"/>
      <c r="AF5" s="34"/>
      <c r="AJ5" s="78">
        <f>+AN5+AP5</f>
        <v>400</v>
      </c>
      <c r="AK5" s="77"/>
      <c r="AL5" s="77"/>
      <c r="AM5" s="77"/>
      <c r="AN5" s="37">
        <v>50</v>
      </c>
      <c r="AO5" s="77"/>
      <c r="AP5" s="37">
        <v>350</v>
      </c>
    </row>
    <row r="6" spans="1:45" s="25" customFormat="1" x14ac:dyDescent="0.25">
      <c r="A6" s="75"/>
      <c r="B6" s="76"/>
      <c r="H6" s="27"/>
      <c r="I6" s="28"/>
      <c r="AB6" s="34"/>
      <c r="AC6" s="34"/>
      <c r="AD6" s="34"/>
      <c r="AE6" s="34"/>
      <c r="AF6" s="34"/>
      <c r="AI6" s="79">
        <f>+AJ6/AJ5</f>
        <v>0.47</v>
      </c>
      <c r="AJ6" s="78">
        <f>+AN6+AP6</f>
        <v>188</v>
      </c>
      <c r="AK6" s="77"/>
      <c r="AL6" s="77"/>
      <c r="AM6" s="77"/>
      <c r="AN6" s="37">
        <v>49</v>
      </c>
      <c r="AO6" s="77"/>
      <c r="AP6" s="37">
        <v>139</v>
      </c>
    </row>
    <row r="7" spans="1:45" s="25" customFormat="1" x14ac:dyDescent="0.25">
      <c r="B7" s="40"/>
      <c r="C7" s="41"/>
      <c r="D7" s="34"/>
      <c r="H7" s="27"/>
      <c r="I7" s="28"/>
      <c r="AJ7" s="70">
        <f>+AN7+AP7</f>
        <v>2100</v>
      </c>
      <c r="AN7" s="37">
        <v>1050</v>
      </c>
      <c r="AP7" s="37">
        <v>1050</v>
      </c>
    </row>
    <row r="8" spans="1:45" s="25" customFormat="1" x14ac:dyDescent="0.25">
      <c r="C8" s="41"/>
      <c r="H8" s="27"/>
      <c r="I8" s="42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I8" s="79">
        <f>+AJ8/AJ7</f>
        <v>2.9285714285714286E-2</v>
      </c>
      <c r="AJ8" s="70">
        <f>+AN8+AP8</f>
        <v>61.5</v>
      </c>
      <c r="AN8" s="37">
        <v>54.5</v>
      </c>
      <c r="AP8" s="37">
        <v>7</v>
      </c>
    </row>
    <row r="9" spans="1:45" s="25" customFormat="1" x14ac:dyDescent="0.25">
      <c r="C9" s="41"/>
      <c r="H9" s="27"/>
      <c r="I9" s="42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J9" s="71">
        <f>+AN9+AP9</f>
        <v>1100</v>
      </c>
      <c r="AN9" s="37">
        <v>600</v>
      </c>
      <c r="AP9" s="37">
        <v>500</v>
      </c>
    </row>
    <row r="10" spans="1:45" s="25" customFormat="1" x14ac:dyDescent="0.25">
      <c r="B10" s="43"/>
      <c r="C10" s="43"/>
      <c r="I10" s="28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44"/>
      <c r="AI10" s="79">
        <f>+AJ10/AJ9</f>
        <v>0.24681818181818183</v>
      </c>
      <c r="AJ10" s="71">
        <f>+AN10+AP10</f>
        <v>271.5</v>
      </c>
      <c r="AN10" s="37">
        <v>199.5</v>
      </c>
      <c r="AP10" s="37">
        <v>72</v>
      </c>
    </row>
    <row r="11" spans="1:45" s="25" customFormat="1" x14ac:dyDescent="0.25">
      <c r="B11" s="43"/>
      <c r="C11" s="43"/>
      <c r="I11" s="28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44"/>
      <c r="AI11" s="44"/>
      <c r="AN11" s="69"/>
      <c r="AP11" s="69"/>
    </row>
    <row r="12" spans="1:45" s="25" customFormat="1" x14ac:dyDescent="0.25">
      <c r="R12" s="45">
        <v>0.3</v>
      </c>
      <c r="S12" s="45">
        <v>0.1</v>
      </c>
      <c r="T12" s="45">
        <v>0.3</v>
      </c>
      <c r="U12" s="46">
        <v>0.2</v>
      </c>
      <c r="V12" s="46">
        <v>0.1</v>
      </c>
      <c r="W12" s="46">
        <v>0.2</v>
      </c>
      <c r="X12" s="47">
        <v>0.2</v>
      </c>
      <c r="Y12" s="47">
        <v>0.1</v>
      </c>
      <c r="Z12" s="47">
        <v>0.2</v>
      </c>
      <c r="AA12" s="67">
        <v>80</v>
      </c>
      <c r="AB12" s="67">
        <v>80</v>
      </c>
      <c r="AC12" s="49"/>
      <c r="AD12" s="49"/>
      <c r="AE12" s="68">
        <v>80</v>
      </c>
      <c r="AF12" s="68">
        <v>80</v>
      </c>
      <c r="AG12" s="66">
        <v>41</v>
      </c>
      <c r="AH12" s="72">
        <v>41</v>
      </c>
      <c r="AI12" s="73" t="str">
        <f>IF(AG12&gt;=$AG$12,"Y",IF(AA12&gt;=$AA$12,"Y",IF(L12&lt;0,IF(AE12&gt;=$AE$12,"Y","N"),"N")))</f>
        <v>Y</v>
      </c>
      <c r="AJ12" s="73" t="str">
        <f>IF(AH12&gt;=$AH$12,"Y",IF(AB12&gt;=$AB$12,"Y",IF(L12&gt;0,IF(AF12&gt;=$AF$12,"Y","N"),"N")))</f>
        <v>Y</v>
      </c>
      <c r="AO12" s="34"/>
    </row>
    <row r="13" spans="1:45" s="25" customFormat="1" x14ac:dyDescent="0.25"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  <c r="AB13" s="50"/>
      <c r="AC13" s="50"/>
      <c r="AD13" s="50"/>
      <c r="AE13" s="50"/>
      <c r="AF13" s="50"/>
      <c r="AG13" s="51">
        <f>(+R13*$R$12)+(S13*$S$12)-(T13*$T$12)+(U13*$U$12)+(V13*$V$12)-(W13*$W$12)-(X13*$X$12)-(Y13*$Y$12)+(Z13*$Z$12)</f>
        <v>0</v>
      </c>
      <c r="AH13" s="52">
        <f>(-R13*$R$12)+(S13*$S$12)+(T13*$T$12)-(U13*$U$12)-(V13*$V$12)+(W13*$W$12)+(X13*$X$12)+(Y13*$Y$12)-(Z13*$Z$12)</f>
        <v>0</v>
      </c>
      <c r="AI13" s="74" t="str">
        <f>IF(AG13&gt;=$AG$12,"Y",IF(AA13&gt;=$AA$12,"Y","N"))</f>
        <v>N</v>
      </c>
      <c r="AJ13" s="74" t="str">
        <f>IF(AH13&gt;=$AH$12,"Y",IF(AB13&gt;=$AB$12,"Y","N"))</f>
        <v>N</v>
      </c>
      <c r="AK13" s="50" t="str">
        <f>IF(G13&gt;H13,"Win","Loss")</f>
        <v>Loss</v>
      </c>
      <c r="AL13" s="50" t="str">
        <f>IF(G13=H13,"Win","Loss")</f>
        <v>Win</v>
      </c>
      <c r="AM13" s="50" t="str">
        <f>IF(G13&lt;H13,"Win","Loss")</f>
        <v>Loss</v>
      </c>
      <c r="AN13" s="50">
        <f>IF(AK13="Win",(I13*$B$2)-$B$2,-$B$2)</f>
        <v>-50</v>
      </c>
      <c r="AO13" s="50">
        <f>IF(AL13="Win",(J13*$B$2)-$B$2,-$B$2)</f>
        <v>-50</v>
      </c>
      <c r="AP13" s="50">
        <f>IF(AM13="Win",(K13*$B$2)-$B$2,-$B$2)</f>
        <v>-50</v>
      </c>
      <c r="AQ13" s="53"/>
      <c r="AR13" s="53"/>
      <c r="AS13" s="53"/>
    </row>
    <row r="14" spans="1:45" s="25" customFormat="1" x14ac:dyDescent="0.25">
      <c r="A14" s="54" t="s">
        <v>14</v>
      </c>
      <c r="B14" s="54" t="s">
        <v>15</v>
      </c>
      <c r="C14" s="55" t="s">
        <v>16</v>
      </c>
      <c r="D14" s="54" t="s">
        <v>17</v>
      </c>
      <c r="E14" s="54" t="s">
        <v>18</v>
      </c>
      <c r="F14" s="54" t="s">
        <v>19</v>
      </c>
      <c r="G14" s="54" t="s">
        <v>20</v>
      </c>
      <c r="H14" s="54" t="s">
        <v>21</v>
      </c>
      <c r="I14" s="56" t="s">
        <v>22</v>
      </c>
      <c r="J14" s="54" t="s">
        <v>23</v>
      </c>
      <c r="K14" s="56" t="s">
        <v>24</v>
      </c>
      <c r="L14" s="55" t="s">
        <v>25</v>
      </c>
      <c r="M14" s="57" t="s">
        <v>26</v>
      </c>
      <c r="N14" s="57" t="s">
        <v>27</v>
      </c>
      <c r="O14" s="57" t="s">
        <v>28</v>
      </c>
      <c r="P14" s="48" t="s">
        <v>29</v>
      </c>
      <c r="Q14" s="48" t="s">
        <v>30</v>
      </c>
      <c r="R14" s="58" t="s">
        <v>31</v>
      </c>
      <c r="S14" s="58" t="s">
        <v>32</v>
      </c>
      <c r="T14" s="58" t="s">
        <v>33</v>
      </c>
      <c r="U14" s="59" t="s">
        <v>34</v>
      </c>
      <c r="V14" s="59" t="s">
        <v>35</v>
      </c>
      <c r="W14" s="59" t="s">
        <v>36</v>
      </c>
      <c r="X14" s="60" t="s">
        <v>37</v>
      </c>
      <c r="Y14" s="60" t="s">
        <v>38</v>
      </c>
      <c r="Z14" s="60" t="s">
        <v>39</v>
      </c>
      <c r="AA14" s="48" t="s">
        <v>40</v>
      </c>
      <c r="AB14" s="48" t="s">
        <v>41</v>
      </c>
      <c r="AC14" s="61" t="s">
        <v>106</v>
      </c>
      <c r="AD14" s="61" t="s">
        <v>107</v>
      </c>
      <c r="AE14" s="61" t="s">
        <v>108</v>
      </c>
      <c r="AF14" s="61" t="s">
        <v>109</v>
      </c>
      <c r="AG14" s="56" t="s">
        <v>42</v>
      </c>
      <c r="AH14" s="56" t="s">
        <v>43</v>
      </c>
      <c r="AI14" s="65"/>
      <c r="AJ14" s="65"/>
      <c r="AK14" s="62" t="s">
        <v>44</v>
      </c>
      <c r="AL14" s="62" t="s">
        <v>45</v>
      </c>
      <c r="AM14" s="62" t="s">
        <v>46</v>
      </c>
      <c r="AN14" s="62" t="s">
        <v>47</v>
      </c>
      <c r="AO14" s="62" t="s">
        <v>48</v>
      </c>
      <c r="AP14" s="62" t="s">
        <v>49</v>
      </c>
    </row>
    <row r="15" spans="1:45" x14ac:dyDescent="0.25">
      <c r="A15" s="63">
        <v>43624</v>
      </c>
      <c r="B15" s="64" t="s">
        <v>110</v>
      </c>
      <c r="C15" s="64" t="s">
        <v>111</v>
      </c>
      <c r="D15" s="64" t="s">
        <v>112</v>
      </c>
      <c r="E15" s="64" t="s">
        <v>113</v>
      </c>
      <c r="F15" s="64" t="s">
        <v>114</v>
      </c>
      <c r="G15" s="64">
        <v>1</v>
      </c>
      <c r="H15" s="64">
        <v>0</v>
      </c>
      <c r="I15" s="64">
        <v>2.02</v>
      </c>
      <c r="J15" s="64">
        <v>3.19</v>
      </c>
      <c r="K15" s="64">
        <v>3.75</v>
      </c>
      <c r="L15" s="64">
        <v>-1.73</v>
      </c>
      <c r="M15" s="64">
        <v>68</v>
      </c>
      <c r="N15" s="64">
        <v>48</v>
      </c>
      <c r="O15" s="64">
        <v>0</v>
      </c>
      <c r="P15" s="64">
        <v>33</v>
      </c>
      <c r="Q15" s="64">
        <v>24</v>
      </c>
      <c r="R15" s="64">
        <v>0</v>
      </c>
      <c r="S15" s="64">
        <v>0</v>
      </c>
      <c r="T15" s="64">
        <v>0</v>
      </c>
      <c r="U15" s="64">
        <v>50</v>
      </c>
      <c r="V15" s="64">
        <v>23.53</v>
      </c>
      <c r="W15" s="64">
        <v>26.47</v>
      </c>
      <c r="X15" s="64">
        <v>52.08</v>
      </c>
      <c r="Y15" s="64">
        <v>20.83</v>
      </c>
      <c r="Z15" s="64">
        <v>27.08</v>
      </c>
      <c r="AA15" s="64">
        <v>66.67</v>
      </c>
      <c r="AB15" s="64">
        <v>37.5</v>
      </c>
      <c r="AC15" s="64">
        <v>34</v>
      </c>
      <c r="AD15" s="64">
        <v>33</v>
      </c>
      <c r="AE15" s="64">
        <v>61.76</v>
      </c>
      <c r="AF15" s="64">
        <v>60.61</v>
      </c>
      <c r="AG15" s="51">
        <f t="shared" ref="AG15:AG78" si="1">(+R15*$R$12)+(S15*$S$12)-(T15*$T$12)+(U15*$U$12)+(V15*$V$12)-(W15*$W$12)-(X15*$X$12)-(Y15*$Y$12)+(Z15*$Z$12)</f>
        <v>-2.4000000000000909E-2</v>
      </c>
      <c r="AH15" s="52">
        <f t="shared" ref="AH15:AH78" si="2">(-R15*$R$12)+(S15*$S$12)+(T15*$T$12)-(U15*$U$12)-(V15*$V$12)+(W15*$W$12)+(X15*$X$12)+(Y15*$Y$12)-(Z15*$Z$12)</f>
        <v>2.4000000000000909E-2</v>
      </c>
      <c r="AI15" s="52" t="str">
        <f t="shared" ref="AI15:AI78" si="3">IF(AG15&gt;=$AG$12,"Y",IF(AA15&gt;=$AA$12,"Y","N"))</f>
        <v>N</v>
      </c>
      <c r="AJ15" s="52" t="str">
        <f t="shared" ref="AJ15:AJ78" si="4">IF(AH15&gt;=$AH$12,"Y",IF(AB15&gt;=$AB$12,"Y","N"))</f>
        <v>N</v>
      </c>
      <c r="AK15" s="50" t="str">
        <f t="shared" ref="AK15:AK78" si="5">IF(G15&gt;H15,"Win","Loss")</f>
        <v>Win</v>
      </c>
      <c r="AL15" s="50" t="str">
        <f t="shared" ref="AL15:AL78" si="6">IF(G15=H15,"Win","Loss")</f>
        <v>Loss</v>
      </c>
      <c r="AM15" s="50" t="str">
        <f t="shared" ref="AM15:AM78" si="7">IF(G15&lt;H15,"Win","Loss")</f>
        <v>Loss</v>
      </c>
      <c r="AN15" s="50">
        <f t="shared" ref="AN15:AN78" si="8">IF(AK15="Win",(I15*$B$2)-$B$2,-$B$2)</f>
        <v>51</v>
      </c>
      <c r="AO15" s="50">
        <f t="shared" ref="AO15:AO78" si="9">IF(AL15="Win",(J15*$B$2)-$B$2,-$B$2)</f>
        <v>-50</v>
      </c>
      <c r="AP15" s="50">
        <f t="shared" ref="AP15:AP78" si="10">IF(AM15="Win",(K15*$B$2)-$B$2,-$B$2)</f>
        <v>-50</v>
      </c>
    </row>
    <row r="16" spans="1:45" x14ac:dyDescent="0.25">
      <c r="A16" s="63">
        <v>43624</v>
      </c>
      <c r="B16" s="64" t="s">
        <v>115</v>
      </c>
      <c r="C16" s="64" t="s">
        <v>116</v>
      </c>
      <c r="D16" s="64" t="s">
        <v>117</v>
      </c>
      <c r="E16" s="64" t="s">
        <v>118</v>
      </c>
      <c r="F16" s="64" t="s">
        <v>119</v>
      </c>
      <c r="G16" s="64">
        <v>0</v>
      </c>
      <c r="H16" s="64">
        <v>3</v>
      </c>
      <c r="I16" s="64">
        <v>3.24</v>
      </c>
      <c r="J16" s="64">
        <v>3.63</v>
      </c>
      <c r="K16" s="64">
        <v>1.9</v>
      </c>
      <c r="L16" s="64">
        <v>1.34</v>
      </c>
      <c r="M16" s="64">
        <v>3</v>
      </c>
      <c r="N16" s="64">
        <v>4</v>
      </c>
      <c r="O16" s="64">
        <v>0</v>
      </c>
      <c r="P16" s="64">
        <v>2</v>
      </c>
      <c r="Q16" s="64">
        <v>0</v>
      </c>
      <c r="R16" s="64">
        <v>0</v>
      </c>
      <c r="S16" s="64">
        <v>0</v>
      </c>
      <c r="T16" s="64">
        <v>0</v>
      </c>
      <c r="U16" s="64">
        <v>33.33</v>
      </c>
      <c r="V16" s="64">
        <v>66.67</v>
      </c>
      <c r="W16" s="64">
        <v>0</v>
      </c>
      <c r="X16" s="64">
        <v>100</v>
      </c>
      <c r="Y16" s="64">
        <v>0</v>
      </c>
      <c r="Z16" s="64">
        <v>0</v>
      </c>
      <c r="AA16" s="64">
        <v>50</v>
      </c>
      <c r="AB16" s="64">
        <v>0</v>
      </c>
      <c r="AC16" s="64">
        <v>2</v>
      </c>
      <c r="AD16" s="64">
        <v>4</v>
      </c>
      <c r="AE16" s="64">
        <v>50</v>
      </c>
      <c r="AF16" s="64">
        <v>100</v>
      </c>
      <c r="AG16" s="51">
        <f t="shared" si="1"/>
        <v>-6.666999999999998</v>
      </c>
      <c r="AH16" s="52">
        <f t="shared" si="2"/>
        <v>6.666999999999998</v>
      </c>
      <c r="AI16" s="52" t="str">
        <f t="shared" si="3"/>
        <v>N</v>
      </c>
      <c r="AJ16" s="52" t="str">
        <f t="shared" si="4"/>
        <v>N</v>
      </c>
      <c r="AK16" s="50" t="str">
        <f t="shared" si="5"/>
        <v>Loss</v>
      </c>
      <c r="AL16" s="50" t="str">
        <f t="shared" si="6"/>
        <v>Loss</v>
      </c>
      <c r="AM16" s="50" t="str">
        <f t="shared" si="7"/>
        <v>Win</v>
      </c>
      <c r="AN16" s="50">
        <f t="shared" si="8"/>
        <v>-50</v>
      </c>
      <c r="AO16" s="50">
        <f t="shared" si="9"/>
        <v>-50</v>
      </c>
      <c r="AP16" s="50">
        <f t="shared" si="10"/>
        <v>45</v>
      </c>
    </row>
    <row r="17" spans="1:42" x14ac:dyDescent="0.25">
      <c r="A17" s="63">
        <v>43624</v>
      </c>
      <c r="B17" s="64" t="s">
        <v>115</v>
      </c>
      <c r="C17" s="64" t="s">
        <v>120</v>
      </c>
      <c r="D17" s="64" t="s">
        <v>121</v>
      </c>
      <c r="E17" s="64" t="s">
        <v>122</v>
      </c>
      <c r="F17" s="64" t="s">
        <v>123</v>
      </c>
      <c r="G17" s="64">
        <v>2</v>
      </c>
      <c r="H17" s="64">
        <v>2</v>
      </c>
      <c r="I17" s="64">
        <v>2.09</v>
      </c>
      <c r="J17" s="64">
        <v>3.64</v>
      </c>
      <c r="K17" s="64">
        <v>3.28</v>
      </c>
      <c r="L17" s="64">
        <v>-1.19</v>
      </c>
      <c r="M17" s="64">
        <v>14</v>
      </c>
      <c r="N17" s="64">
        <v>17</v>
      </c>
      <c r="O17" s="64">
        <v>0</v>
      </c>
      <c r="P17" s="64">
        <v>8</v>
      </c>
      <c r="Q17" s="64">
        <v>8</v>
      </c>
      <c r="R17" s="64">
        <v>0</v>
      </c>
      <c r="S17" s="64">
        <v>0</v>
      </c>
      <c r="T17" s="64">
        <v>0</v>
      </c>
      <c r="U17" s="64">
        <v>35.71</v>
      </c>
      <c r="V17" s="64">
        <v>21.43</v>
      </c>
      <c r="W17" s="64">
        <v>42.86</v>
      </c>
      <c r="X17" s="64">
        <v>29.41</v>
      </c>
      <c r="Y17" s="64">
        <v>35.29</v>
      </c>
      <c r="Z17" s="64">
        <v>35.29</v>
      </c>
      <c r="AA17" s="64">
        <v>37.5</v>
      </c>
      <c r="AB17" s="64">
        <v>12.5</v>
      </c>
      <c r="AC17" s="64">
        <v>9</v>
      </c>
      <c r="AD17" s="64">
        <v>11</v>
      </c>
      <c r="AE17" s="64">
        <v>33.33</v>
      </c>
      <c r="AF17" s="64">
        <v>36.36</v>
      </c>
      <c r="AG17" s="51">
        <f t="shared" si="1"/>
        <v>-1.6400000000000006</v>
      </c>
      <c r="AH17" s="52">
        <f t="shared" si="2"/>
        <v>1.6400000000000006</v>
      </c>
      <c r="AI17" s="52" t="str">
        <f t="shared" si="3"/>
        <v>N</v>
      </c>
      <c r="AJ17" s="52" t="str">
        <f t="shared" si="4"/>
        <v>N</v>
      </c>
      <c r="AK17" s="50" t="str">
        <f t="shared" si="5"/>
        <v>Loss</v>
      </c>
      <c r="AL17" s="50" t="str">
        <f t="shared" si="6"/>
        <v>Win</v>
      </c>
      <c r="AM17" s="50" t="str">
        <f t="shared" si="7"/>
        <v>Loss</v>
      </c>
      <c r="AN17" s="50">
        <f t="shared" si="8"/>
        <v>-50</v>
      </c>
      <c r="AO17" s="50">
        <f t="shared" si="9"/>
        <v>132</v>
      </c>
      <c r="AP17" s="50">
        <f t="shared" si="10"/>
        <v>-50</v>
      </c>
    </row>
    <row r="18" spans="1:42" x14ac:dyDescent="0.25">
      <c r="A18" s="63">
        <v>43624</v>
      </c>
      <c r="B18" s="64" t="s">
        <v>115</v>
      </c>
      <c r="C18" s="64" t="s">
        <v>116</v>
      </c>
      <c r="D18" s="64" t="s">
        <v>124</v>
      </c>
      <c r="E18" s="64" t="s">
        <v>125</v>
      </c>
      <c r="F18" s="64" t="s">
        <v>126</v>
      </c>
      <c r="G18" s="64">
        <v>2</v>
      </c>
      <c r="H18" s="64">
        <v>1</v>
      </c>
      <c r="I18" s="64">
        <v>2.15</v>
      </c>
      <c r="J18" s="64">
        <v>3.51</v>
      </c>
      <c r="K18" s="64">
        <v>2.79</v>
      </c>
      <c r="L18" s="64">
        <v>-0.64</v>
      </c>
      <c r="M18" s="64">
        <v>2</v>
      </c>
      <c r="N18" s="64">
        <v>1</v>
      </c>
      <c r="O18" s="64">
        <v>0</v>
      </c>
      <c r="P18" s="64">
        <v>1</v>
      </c>
      <c r="Q18" s="64">
        <v>1</v>
      </c>
      <c r="R18" s="64">
        <v>0</v>
      </c>
      <c r="S18" s="64">
        <v>0</v>
      </c>
      <c r="T18" s="64">
        <v>0</v>
      </c>
      <c r="U18" s="64">
        <v>50</v>
      </c>
      <c r="V18" s="64">
        <v>0</v>
      </c>
      <c r="W18" s="64">
        <v>50</v>
      </c>
      <c r="X18" s="64">
        <v>0</v>
      </c>
      <c r="Y18" s="64">
        <v>100</v>
      </c>
      <c r="Z18" s="64">
        <v>0</v>
      </c>
      <c r="AA18" s="64">
        <v>100</v>
      </c>
      <c r="AB18" s="64">
        <v>0</v>
      </c>
      <c r="AC18" s="64">
        <v>2</v>
      </c>
      <c r="AD18" s="64">
        <v>1</v>
      </c>
      <c r="AE18" s="64">
        <v>50</v>
      </c>
      <c r="AF18" s="64">
        <v>0</v>
      </c>
      <c r="AG18" s="51">
        <f t="shared" si="1"/>
        <v>-10</v>
      </c>
      <c r="AH18" s="52">
        <f t="shared" si="2"/>
        <v>10</v>
      </c>
      <c r="AI18" s="52" t="str">
        <f t="shared" si="3"/>
        <v>Y</v>
      </c>
      <c r="AJ18" s="52" t="str">
        <f t="shared" si="4"/>
        <v>N</v>
      </c>
      <c r="AK18" s="50" t="str">
        <f t="shared" si="5"/>
        <v>Win</v>
      </c>
      <c r="AL18" s="50" t="str">
        <f t="shared" si="6"/>
        <v>Loss</v>
      </c>
      <c r="AM18" s="50" t="str">
        <f t="shared" si="7"/>
        <v>Loss</v>
      </c>
      <c r="AN18" s="50">
        <f t="shared" si="8"/>
        <v>57.5</v>
      </c>
      <c r="AO18" s="50">
        <f t="shared" si="9"/>
        <v>-50</v>
      </c>
      <c r="AP18" s="50">
        <f t="shared" si="10"/>
        <v>-50</v>
      </c>
    </row>
    <row r="19" spans="1:42" x14ac:dyDescent="0.25">
      <c r="A19" s="63">
        <v>43624</v>
      </c>
      <c r="B19" s="64" t="s">
        <v>115</v>
      </c>
      <c r="C19" s="64" t="s">
        <v>116</v>
      </c>
      <c r="D19" s="64" t="s">
        <v>127</v>
      </c>
      <c r="E19" s="64" t="s">
        <v>128</v>
      </c>
      <c r="F19" s="64" t="s">
        <v>129</v>
      </c>
      <c r="G19" s="64">
        <v>1</v>
      </c>
      <c r="H19" s="64">
        <v>0</v>
      </c>
      <c r="I19" s="64">
        <v>2.12</v>
      </c>
      <c r="J19" s="64">
        <v>3.44</v>
      </c>
      <c r="K19" s="64">
        <v>2.86</v>
      </c>
      <c r="L19" s="64">
        <v>-0.74</v>
      </c>
      <c r="M19" s="64">
        <v>0</v>
      </c>
      <c r="N19" s="64">
        <v>2</v>
      </c>
      <c r="O19" s="64">
        <v>0</v>
      </c>
      <c r="P19" s="64">
        <v>0</v>
      </c>
      <c r="Q19" s="64">
        <v>2</v>
      </c>
      <c r="R19" s="64">
        <v>0</v>
      </c>
      <c r="S19" s="64">
        <v>0</v>
      </c>
      <c r="T19" s="64">
        <v>0</v>
      </c>
      <c r="U19" s="64">
        <v>0</v>
      </c>
      <c r="V19" s="64">
        <v>0</v>
      </c>
      <c r="W19" s="64">
        <v>0</v>
      </c>
      <c r="X19" s="64">
        <v>0</v>
      </c>
      <c r="Y19" s="64">
        <v>50</v>
      </c>
      <c r="Z19" s="64">
        <v>50</v>
      </c>
      <c r="AA19" s="64">
        <v>0</v>
      </c>
      <c r="AB19" s="64">
        <v>0</v>
      </c>
      <c r="AC19" s="64">
        <v>0</v>
      </c>
      <c r="AD19" s="64">
        <v>0</v>
      </c>
      <c r="AE19" s="64">
        <v>0</v>
      </c>
      <c r="AF19" s="64">
        <v>0</v>
      </c>
      <c r="AG19" s="51">
        <f t="shared" si="1"/>
        <v>5</v>
      </c>
      <c r="AH19" s="52">
        <f t="shared" si="2"/>
        <v>-5</v>
      </c>
      <c r="AI19" s="52" t="str">
        <f t="shared" si="3"/>
        <v>N</v>
      </c>
      <c r="AJ19" s="52" t="str">
        <f t="shared" si="4"/>
        <v>N</v>
      </c>
      <c r="AK19" s="50" t="str">
        <f t="shared" si="5"/>
        <v>Win</v>
      </c>
      <c r="AL19" s="50" t="str">
        <f t="shared" si="6"/>
        <v>Loss</v>
      </c>
      <c r="AM19" s="50" t="str">
        <f t="shared" si="7"/>
        <v>Loss</v>
      </c>
      <c r="AN19" s="50">
        <f t="shared" si="8"/>
        <v>56</v>
      </c>
      <c r="AO19" s="50">
        <f t="shared" si="9"/>
        <v>-50</v>
      </c>
      <c r="AP19" s="50">
        <f t="shared" si="10"/>
        <v>-50</v>
      </c>
    </row>
    <row r="20" spans="1:42" x14ac:dyDescent="0.25">
      <c r="A20" s="63">
        <v>43624</v>
      </c>
      <c r="B20" s="64" t="s">
        <v>110</v>
      </c>
      <c r="C20" s="64" t="s">
        <v>130</v>
      </c>
      <c r="D20" s="64" t="s">
        <v>131</v>
      </c>
      <c r="E20" s="64" t="s">
        <v>132</v>
      </c>
      <c r="F20" s="64" t="s">
        <v>133</v>
      </c>
      <c r="G20" s="64">
        <v>2</v>
      </c>
      <c r="H20" s="64">
        <v>1</v>
      </c>
      <c r="I20" s="64">
        <v>3.03</v>
      </c>
      <c r="J20" s="64">
        <v>3.07</v>
      </c>
      <c r="K20" s="64">
        <v>2.4700000000000002</v>
      </c>
      <c r="L20" s="64">
        <v>0.56000000000000005</v>
      </c>
      <c r="M20" s="64">
        <v>64</v>
      </c>
      <c r="N20" s="64">
        <v>60</v>
      </c>
      <c r="O20" s="64">
        <v>1</v>
      </c>
      <c r="P20" s="64">
        <v>33</v>
      </c>
      <c r="Q20" s="64">
        <v>31</v>
      </c>
      <c r="R20" s="64">
        <v>0</v>
      </c>
      <c r="S20" s="64">
        <v>0</v>
      </c>
      <c r="T20" s="64">
        <v>100</v>
      </c>
      <c r="U20" s="64">
        <v>35.94</v>
      </c>
      <c r="V20" s="64">
        <v>28.13</v>
      </c>
      <c r="W20" s="64">
        <v>35.94</v>
      </c>
      <c r="X20" s="64">
        <v>58.33</v>
      </c>
      <c r="Y20" s="64">
        <v>20</v>
      </c>
      <c r="Z20" s="64">
        <v>21.67</v>
      </c>
      <c r="AA20" s="64">
        <v>51.52</v>
      </c>
      <c r="AB20" s="64">
        <v>38.71</v>
      </c>
      <c r="AC20" s="64">
        <v>30</v>
      </c>
      <c r="AD20" s="64">
        <v>45</v>
      </c>
      <c r="AE20" s="64">
        <v>63.33</v>
      </c>
      <c r="AF20" s="64">
        <v>68.89</v>
      </c>
      <c r="AG20" s="51">
        <f t="shared" si="1"/>
        <v>-36.518999999999998</v>
      </c>
      <c r="AH20" s="52">
        <f t="shared" si="2"/>
        <v>36.518999999999998</v>
      </c>
      <c r="AI20" s="52" t="str">
        <f t="shared" si="3"/>
        <v>N</v>
      </c>
      <c r="AJ20" s="52" t="str">
        <f t="shared" si="4"/>
        <v>N</v>
      </c>
      <c r="AK20" s="50" t="str">
        <f t="shared" si="5"/>
        <v>Win</v>
      </c>
      <c r="AL20" s="50" t="str">
        <f t="shared" si="6"/>
        <v>Loss</v>
      </c>
      <c r="AM20" s="50" t="str">
        <f t="shared" si="7"/>
        <v>Loss</v>
      </c>
      <c r="AN20" s="50">
        <f t="shared" si="8"/>
        <v>101.5</v>
      </c>
      <c r="AO20" s="50">
        <f t="shared" si="9"/>
        <v>-50</v>
      </c>
      <c r="AP20" s="50">
        <f t="shared" si="10"/>
        <v>-50</v>
      </c>
    </row>
    <row r="21" spans="1:42" x14ac:dyDescent="0.25">
      <c r="A21" s="63">
        <v>43624</v>
      </c>
      <c r="B21" s="64" t="s">
        <v>115</v>
      </c>
      <c r="C21" s="64" t="s">
        <v>134</v>
      </c>
      <c r="D21" s="64" t="s">
        <v>135</v>
      </c>
      <c r="E21" s="64" t="s">
        <v>136</v>
      </c>
      <c r="F21" s="64" t="s">
        <v>137</v>
      </c>
      <c r="G21" s="64">
        <v>1</v>
      </c>
      <c r="H21" s="64">
        <v>3</v>
      </c>
      <c r="I21" s="64">
        <v>3.15</v>
      </c>
      <c r="J21" s="64">
        <v>3.56</v>
      </c>
      <c r="K21" s="64">
        <v>2.0099999999999998</v>
      </c>
      <c r="L21" s="64">
        <v>1.1399999999999999</v>
      </c>
      <c r="M21" s="64">
        <v>12</v>
      </c>
      <c r="N21" s="64">
        <v>11</v>
      </c>
      <c r="O21" s="64">
        <v>0</v>
      </c>
      <c r="P21" s="64">
        <v>6</v>
      </c>
      <c r="Q21" s="64">
        <v>3</v>
      </c>
      <c r="R21" s="64">
        <v>0</v>
      </c>
      <c r="S21" s="64">
        <v>0</v>
      </c>
      <c r="T21" s="64">
        <v>0</v>
      </c>
      <c r="U21" s="64">
        <v>25</v>
      </c>
      <c r="V21" s="64">
        <v>33.33</v>
      </c>
      <c r="W21" s="64">
        <v>41.67</v>
      </c>
      <c r="X21" s="64">
        <v>63.64</v>
      </c>
      <c r="Y21" s="64">
        <v>18.18</v>
      </c>
      <c r="Z21" s="64">
        <v>18.18</v>
      </c>
      <c r="AA21" s="64">
        <v>33.33</v>
      </c>
      <c r="AB21" s="64">
        <v>33.33</v>
      </c>
      <c r="AC21" s="64">
        <v>1</v>
      </c>
      <c r="AD21" s="64">
        <v>10</v>
      </c>
      <c r="AE21" s="64">
        <v>100</v>
      </c>
      <c r="AF21" s="64">
        <v>70</v>
      </c>
      <c r="AG21" s="51">
        <f t="shared" si="1"/>
        <v>-10.911000000000001</v>
      </c>
      <c r="AH21" s="52">
        <f t="shared" si="2"/>
        <v>10.911000000000001</v>
      </c>
      <c r="AI21" s="52" t="str">
        <f t="shared" si="3"/>
        <v>N</v>
      </c>
      <c r="AJ21" s="52" t="str">
        <f t="shared" si="4"/>
        <v>N</v>
      </c>
      <c r="AK21" s="50" t="str">
        <f t="shared" si="5"/>
        <v>Loss</v>
      </c>
      <c r="AL21" s="50" t="str">
        <f t="shared" si="6"/>
        <v>Loss</v>
      </c>
      <c r="AM21" s="50" t="str">
        <f t="shared" si="7"/>
        <v>Win</v>
      </c>
      <c r="AN21" s="50">
        <f t="shared" si="8"/>
        <v>-50</v>
      </c>
      <c r="AO21" s="50">
        <f t="shared" si="9"/>
        <v>-50</v>
      </c>
      <c r="AP21" s="50">
        <f t="shared" si="10"/>
        <v>50.499999999999986</v>
      </c>
    </row>
    <row r="22" spans="1:42" x14ac:dyDescent="0.25">
      <c r="A22" s="63">
        <v>43624</v>
      </c>
      <c r="B22" s="64" t="s">
        <v>115</v>
      </c>
      <c r="C22" s="64" t="s">
        <v>138</v>
      </c>
      <c r="D22" s="64" t="s">
        <v>139</v>
      </c>
      <c r="E22" s="64" t="s">
        <v>140</v>
      </c>
      <c r="F22" s="64" t="s">
        <v>141</v>
      </c>
      <c r="G22" s="64">
        <v>2</v>
      </c>
      <c r="H22" s="64">
        <v>1</v>
      </c>
      <c r="I22" s="64">
        <v>2.41</v>
      </c>
      <c r="J22" s="64">
        <v>3.22</v>
      </c>
      <c r="K22" s="64">
        <v>2.62</v>
      </c>
      <c r="L22" s="64">
        <v>-0.21</v>
      </c>
      <c r="M22" s="64">
        <v>8</v>
      </c>
      <c r="N22" s="64">
        <v>9</v>
      </c>
      <c r="O22" s="64">
        <v>1</v>
      </c>
      <c r="P22" s="64">
        <v>5</v>
      </c>
      <c r="Q22" s="64">
        <v>7</v>
      </c>
      <c r="R22" s="64">
        <v>0</v>
      </c>
      <c r="S22" s="64">
        <v>0</v>
      </c>
      <c r="T22" s="64">
        <v>100</v>
      </c>
      <c r="U22" s="64">
        <v>25</v>
      </c>
      <c r="V22" s="64">
        <v>37.5</v>
      </c>
      <c r="W22" s="64">
        <v>37.5</v>
      </c>
      <c r="X22" s="64">
        <v>33.33</v>
      </c>
      <c r="Y22" s="64">
        <v>11.11</v>
      </c>
      <c r="Z22" s="64">
        <v>55.56</v>
      </c>
      <c r="AA22" s="64">
        <v>40</v>
      </c>
      <c r="AB22" s="64">
        <v>42.86</v>
      </c>
      <c r="AC22" s="64">
        <v>1</v>
      </c>
      <c r="AD22" s="64">
        <v>3</v>
      </c>
      <c r="AE22" s="64">
        <v>0</v>
      </c>
      <c r="AF22" s="64">
        <v>33.33</v>
      </c>
      <c r="AG22" s="51">
        <f t="shared" si="1"/>
        <v>-25.414999999999992</v>
      </c>
      <c r="AH22" s="52">
        <f t="shared" si="2"/>
        <v>25.414999999999992</v>
      </c>
      <c r="AI22" s="52" t="str">
        <f t="shared" si="3"/>
        <v>N</v>
      </c>
      <c r="AJ22" s="52" t="str">
        <f t="shared" si="4"/>
        <v>N</v>
      </c>
      <c r="AK22" s="50" t="str">
        <f t="shared" si="5"/>
        <v>Win</v>
      </c>
      <c r="AL22" s="50" t="str">
        <f t="shared" si="6"/>
        <v>Loss</v>
      </c>
      <c r="AM22" s="50" t="str">
        <f t="shared" si="7"/>
        <v>Loss</v>
      </c>
      <c r="AN22" s="50">
        <f t="shared" si="8"/>
        <v>70.5</v>
      </c>
      <c r="AO22" s="50">
        <f t="shared" si="9"/>
        <v>-50</v>
      </c>
      <c r="AP22" s="50">
        <f t="shared" si="10"/>
        <v>-50</v>
      </c>
    </row>
    <row r="23" spans="1:42" x14ac:dyDescent="0.25">
      <c r="A23" s="63">
        <v>43624</v>
      </c>
      <c r="B23" s="64" t="s">
        <v>115</v>
      </c>
      <c r="C23" s="64" t="s">
        <v>116</v>
      </c>
      <c r="D23" s="64" t="s">
        <v>142</v>
      </c>
      <c r="E23" s="64" t="s">
        <v>143</v>
      </c>
      <c r="F23" s="64" t="s">
        <v>144</v>
      </c>
      <c r="G23" s="64">
        <v>0</v>
      </c>
      <c r="H23" s="64">
        <v>2</v>
      </c>
      <c r="I23" s="64">
        <v>2.69</v>
      </c>
      <c r="J23" s="64">
        <v>3.59</v>
      </c>
      <c r="K23" s="64">
        <v>2.19</v>
      </c>
      <c r="L23" s="64">
        <v>0.5</v>
      </c>
      <c r="M23" s="64">
        <v>1</v>
      </c>
      <c r="N23" s="64">
        <v>1</v>
      </c>
      <c r="O23" s="64">
        <v>0</v>
      </c>
      <c r="P23" s="64">
        <v>0</v>
      </c>
      <c r="Q23" s="64">
        <v>1</v>
      </c>
      <c r="R23" s="64">
        <v>0</v>
      </c>
      <c r="S23" s="64">
        <v>0</v>
      </c>
      <c r="T23" s="64">
        <v>0</v>
      </c>
      <c r="U23" s="64">
        <v>0</v>
      </c>
      <c r="V23" s="64">
        <v>0</v>
      </c>
      <c r="W23" s="64">
        <v>100</v>
      </c>
      <c r="X23" s="64">
        <v>0</v>
      </c>
      <c r="Y23" s="64">
        <v>0</v>
      </c>
      <c r="Z23" s="64">
        <v>100</v>
      </c>
      <c r="AA23" s="64">
        <v>0</v>
      </c>
      <c r="AB23" s="64">
        <v>0</v>
      </c>
      <c r="AC23" s="64">
        <v>0</v>
      </c>
      <c r="AD23" s="64">
        <v>0</v>
      </c>
      <c r="AE23" s="64">
        <v>0</v>
      </c>
      <c r="AF23" s="64">
        <v>0</v>
      </c>
      <c r="AG23" s="51">
        <f t="shared" si="1"/>
        <v>0</v>
      </c>
      <c r="AH23" s="52">
        <f t="shared" si="2"/>
        <v>0</v>
      </c>
      <c r="AI23" s="52" t="str">
        <f t="shared" si="3"/>
        <v>N</v>
      </c>
      <c r="AJ23" s="52" t="str">
        <f t="shared" si="4"/>
        <v>N</v>
      </c>
      <c r="AK23" s="50" t="str">
        <f t="shared" si="5"/>
        <v>Loss</v>
      </c>
      <c r="AL23" s="50" t="str">
        <f t="shared" si="6"/>
        <v>Loss</v>
      </c>
      <c r="AM23" s="50" t="str">
        <f t="shared" si="7"/>
        <v>Win</v>
      </c>
      <c r="AN23" s="50">
        <f t="shared" si="8"/>
        <v>-50</v>
      </c>
      <c r="AO23" s="50">
        <f t="shared" si="9"/>
        <v>-50</v>
      </c>
      <c r="AP23" s="50">
        <f t="shared" si="10"/>
        <v>59.5</v>
      </c>
    </row>
    <row r="24" spans="1:42" x14ac:dyDescent="0.25">
      <c r="A24" s="63">
        <v>43624</v>
      </c>
      <c r="B24" s="64" t="s">
        <v>115</v>
      </c>
      <c r="C24" s="64" t="s">
        <v>116</v>
      </c>
      <c r="D24" s="64" t="s">
        <v>145</v>
      </c>
      <c r="E24" s="64" t="s">
        <v>146</v>
      </c>
      <c r="F24" s="64" t="s">
        <v>147</v>
      </c>
      <c r="G24" s="64">
        <v>3</v>
      </c>
      <c r="H24" s="64">
        <v>3</v>
      </c>
      <c r="I24" s="64">
        <v>1.97</v>
      </c>
      <c r="J24" s="64">
        <v>3.6</v>
      </c>
      <c r="K24" s="64">
        <v>3.09</v>
      </c>
      <c r="L24" s="64">
        <v>-1.1200000000000001</v>
      </c>
      <c r="M24" s="64">
        <v>2</v>
      </c>
      <c r="N24" s="64">
        <v>4</v>
      </c>
      <c r="O24" s="64">
        <v>0</v>
      </c>
      <c r="P24" s="64">
        <v>2</v>
      </c>
      <c r="Q24" s="64">
        <v>2</v>
      </c>
      <c r="R24" s="64">
        <v>0</v>
      </c>
      <c r="S24" s="64">
        <v>0</v>
      </c>
      <c r="T24" s="64">
        <v>0</v>
      </c>
      <c r="U24" s="64">
        <v>50</v>
      </c>
      <c r="V24" s="64">
        <v>0</v>
      </c>
      <c r="W24" s="64">
        <v>50</v>
      </c>
      <c r="X24" s="64">
        <v>50</v>
      </c>
      <c r="Y24" s="64">
        <v>50</v>
      </c>
      <c r="Z24" s="64">
        <v>0</v>
      </c>
      <c r="AA24" s="64">
        <v>50</v>
      </c>
      <c r="AB24" s="64">
        <v>50</v>
      </c>
      <c r="AC24" s="64">
        <v>1</v>
      </c>
      <c r="AD24" s="64">
        <v>3</v>
      </c>
      <c r="AE24" s="64">
        <v>0</v>
      </c>
      <c r="AF24" s="64">
        <v>33.33</v>
      </c>
      <c r="AG24" s="51">
        <f t="shared" si="1"/>
        <v>-15</v>
      </c>
      <c r="AH24" s="52">
        <f t="shared" si="2"/>
        <v>15</v>
      </c>
      <c r="AI24" s="52" t="str">
        <f t="shared" si="3"/>
        <v>N</v>
      </c>
      <c r="AJ24" s="52" t="str">
        <f t="shared" si="4"/>
        <v>N</v>
      </c>
      <c r="AK24" s="50" t="str">
        <f t="shared" si="5"/>
        <v>Loss</v>
      </c>
      <c r="AL24" s="50" t="str">
        <f t="shared" si="6"/>
        <v>Win</v>
      </c>
      <c r="AM24" s="50" t="str">
        <f t="shared" si="7"/>
        <v>Loss</v>
      </c>
      <c r="AN24" s="50">
        <f t="shared" si="8"/>
        <v>-50</v>
      </c>
      <c r="AO24" s="50">
        <f t="shared" si="9"/>
        <v>130</v>
      </c>
      <c r="AP24" s="50">
        <f t="shared" si="10"/>
        <v>-50</v>
      </c>
    </row>
    <row r="25" spans="1:42" x14ac:dyDescent="0.25">
      <c r="A25" s="63">
        <v>43624</v>
      </c>
      <c r="B25" s="64" t="s">
        <v>110</v>
      </c>
      <c r="C25" s="64" t="s">
        <v>111</v>
      </c>
      <c r="D25" s="64" t="s">
        <v>148</v>
      </c>
      <c r="E25" s="64" t="s">
        <v>149</v>
      </c>
      <c r="F25" s="64" t="s">
        <v>150</v>
      </c>
      <c r="G25" s="64">
        <v>0</v>
      </c>
      <c r="H25" s="64">
        <v>0</v>
      </c>
      <c r="I25" s="64">
        <v>2.21</v>
      </c>
      <c r="J25" s="64">
        <v>2.97</v>
      </c>
      <c r="K25" s="64">
        <v>3.49</v>
      </c>
      <c r="L25" s="64">
        <v>-1.28</v>
      </c>
      <c r="M25" s="64">
        <v>62</v>
      </c>
      <c r="N25" s="64">
        <v>42</v>
      </c>
      <c r="O25" s="64">
        <v>1</v>
      </c>
      <c r="P25" s="64">
        <v>30</v>
      </c>
      <c r="Q25" s="64">
        <v>21</v>
      </c>
      <c r="R25" s="64">
        <v>100</v>
      </c>
      <c r="S25" s="64">
        <v>0</v>
      </c>
      <c r="T25" s="64">
        <v>0</v>
      </c>
      <c r="U25" s="64">
        <v>41.94</v>
      </c>
      <c r="V25" s="64">
        <v>32.26</v>
      </c>
      <c r="W25" s="64">
        <v>25.81</v>
      </c>
      <c r="X25" s="64">
        <v>45.24</v>
      </c>
      <c r="Y25" s="64">
        <v>21.43</v>
      </c>
      <c r="Z25" s="64">
        <v>33.33</v>
      </c>
      <c r="AA25" s="64">
        <v>50</v>
      </c>
      <c r="AB25" s="64">
        <v>33.33</v>
      </c>
      <c r="AC25" s="64">
        <v>40</v>
      </c>
      <c r="AD25" s="64">
        <v>24</v>
      </c>
      <c r="AE25" s="64">
        <v>47.5</v>
      </c>
      <c r="AF25" s="64">
        <v>58.33</v>
      </c>
      <c r="AG25" s="51">
        <f t="shared" si="1"/>
        <v>31.926999999999996</v>
      </c>
      <c r="AH25" s="52">
        <f t="shared" si="2"/>
        <v>-31.926999999999996</v>
      </c>
      <c r="AI25" s="52" t="str">
        <f t="shared" si="3"/>
        <v>N</v>
      </c>
      <c r="AJ25" s="52" t="str">
        <f t="shared" si="4"/>
        <v>N</v>
      </c>
      <c r="AK25" s="50" t="str">
        <f t="shared" si="5"/>
        <v>Loss</v>
      </c>
      <c r="AL25" s="50" t="str">
        <f t="shared" si="6"/>
        <v>Win</v>
      </c>
      <c r="AM25" s="50" t="str">
        <f t="shared" si="7"/>
        <v>Loss</v>
      </c>
      <c r="AN25" s="50">
        <f t="shared" si="8"/>
        <v>-50</v>
      </c>
      <c r="AO25" s="50">
        <f t="shared" si="9"/>
        <v>98.5</v>
      </c>
      <c r="AP25" s="50">
        <f t="shared" si="10"/>
        <v>-50</v>
      </c>
    </row>
    <row r="26" spans="1:42" x14ac:dyDescent="0.25">
      <c r="A26" s="63">
        <v>43624</v>
      </c>
      <c r="B26" s="64" t="s">
        <v>151</v>
      </c>
      <c r="C26" s="64" t="s">
        <v>111</v>
      </c>
      <c r="D26" s="64" t="s">
        <v>152</v>
      </c>
      <c r="E26" s="64" t="s">
        <v>153</v>
      </c>
      <c r="F26" s="64" t="s">
        <v>154</v>
      </c>
      <c r="G26" s="64">
        <v>0</v>
      </c>
      <c r="H26" s="64">
        <v>0</v>
      </c>
      <c r="I26" s="64">
        <v>2.8</v>
      </c>
      <c r="J26" s="64">
        <v>3</v>
      </c>
      <c r="K26" s="64">
        <v>2.33</v>
      </c>
      <c r="L26" s="64">
        <v>0.47</v>
      </c>
      <c r="M26" s="64">
        <v>0</v>
      </c>
      <c r="N26" s="64">
        <v>0</v>
      </c>
      <c r="O26" s="64">
        <v>0</v>
      </c>
      <c r="P26" s="64">
        <v>0</v>
      </c>
      <c r="Q26" s="64">
        <v>0</v>
      </c>
      <c r="R26" s="64">
        <v>0</v>
      </c>
      <c r="S26" s="64">
        <v>0</v>
      </c>
      <c r="T26" s="64">
        <v>0</v>
      </c>
      <c r="U26" s="64">
        <v>0</v>
      </c>
      <c r="V26" s="64">
        <v>0</v>
      </c>
      <c r="W26" s="64">
        <v>0</v>
      </c>
      <c r="X26" s="64">
        <v>0</v>
      </c>
      <c r="Y26" s="64">
        <v>0</v>
      </c>
      <c r="Z26" s="64">
        <v>0</v>
      </c>
      <c r="AA26" s="64">
        <v>0</v>
      </c>
      <c r="AB26" s="64">
        <v>0</v>
      </c>
      <c r="AC26" s="64">
        <v>0</v>
      </c>
      <c r="AD26" s="64">
        <v>0</v>
      </c>
      <c r="AE26" s="64">
        <v>0</v>
      </c>
      <c r="AF26" s="64">
        <v>0</v>
      </c>
      <c r="AG26" s="51">
        <f t="shared" si="1"/>
        <v>0</v>
      </c>
      <c r="AH26" s="52">
        <f t="shared" si="2"/>
        <v>0</v>
      </c>
      <c r="AI26" s="52" t="str">
        <f t="shared" si="3"/>
        <v>N</v>
      </c>
      <c r="AJ26" s="52" t="str">
        <f t="shared" si="4"/>
        <v>N</v>
      </c>
      <c r="AK26" s="50" t="str">
        <f t="shared" si="5"/>
        <v>Loss</v>
      </c>
      <c r="AL26" s="50" t="str">
        <f t="shared" si="6"/>
        <v>Win</v>
      </c>
      <c r="AM26" s="50" t="str">
        <f t="shared" si="7"/>
        <v>Loss</v>
      </c>
      <c r="AN26" s="50">
        <f t="shared" si="8"/>
        <v>-50</v>
      </c>
      <c r="AO26" s="50">
        <f t="shared" si="9"/>
        <v>100</v>
      </c>
      <c r="AP26" s="50">
        <f t="shared" si="10"/>
        <v>-50</v>
      </c>
    </row>
    <row r="27" spans="1:42" x14ac:dyDescent="0.25">
      <c r="A27" s="63">
        <v>43624</v>
      </c>
      <c r="B27" s="64" t="s">
        <v>115</v>
      </c>
      <c r="C27" s="64" t="s">
        <v>116</v>
      </c>
      <c r="D27" s="64" t="s">
        <v>155</v>
      </c>
      <c r="E27" s="64" t="s">
        <v>156</v>
      </c>
      <c r="F27" s="64" t="s">
        <v>157</v>
      </c>
      <c r="G27" s="64">
        <v>1</v>
      </c>
      <c r="H27" s="64">
        <v>2</v>
      </c>
      <c r="I27" s="64">
        <v>1.54</v>
      </c>
      <c r="J27" s="64">
        <v>4.2300000000000004</v>
      </c>
      <c r="K27" s="64">
        <v>4.67</v>
      </c>
      <c r="L27" s="64">
        <v>-3.13</v>
      </c>
      <c r="M27" s="64">
        <v>3</v>
      </c>
      <c r="N27" s="64">
        <v>0</v>
      </c>
      <c r="O27" s="64">
        <v>0</v>
      </c>
      <c r="P27" s="64">
        <v>1</v>
      </c>
      <c r="Q27" s="64">
        <v>0</v>
      </c>
      <c r="R27" s="64">
        <v>0</v>
      </c>
      <c r="S27" s="64">
        <v>0</v>
      </c>
      <c r="T27" s="64">
        <v>0</v>
      </c>
      <c r="U27" s="64">
        <v>66.67</v>
      </c>
      <c r="V27" s="64">
        <v>33.33</v>
      </c>
      <c r="W27" s="64">
        <v>0</v>
      </c>
      <c r="X27" s="64">
        <v>0</v>
      </c>
      <c r="Y27" s="64">
        <v>0</v>
      </c>
      <c r="Z27" s="64">
        <v>0</v>
      </c>
      <c r="AA27" s="64">
        <v>100</v>
      </c>
      <c r="AB27" s="64">
        <v>0</v>
      </c>
      <c r="AC27" s="64">
        <v>1</v>
      </c>
      <c r="AD27" s="64">
        <v>0</v>
      </c>
      <c r="AE27" s="64">
        <v>100</v>
      </c>
      <c r="AF27" s="64">
        <v>0</v>
      </c>
      <c r="AG27" s="51">
        <f t="shared" si="1"/>
        <v>16.667000000000002</v>
      </c>
      <c r="AH27" s="52">
        <f t="shared" si="2"/>
        <v>-16.667000000000002</v>
      </c>
      <c r="AI27" s="52" t="str">
        <f t="shared" si="3"/>
        <v>Y</v>
      </c>
      <c r="AJ27" s="52" t="str">
        <f t="shared" si="4"/>
        <v>N</v>
      </c>
      <c r="AK27" s="50" t="str">
        <f t="shared" si="5"/>
        <v>Loss</v>
      </c>
      <c r="AL27" s="50" t="str">
        <f t="shared" si="6"/>
        <v>Loss</v>
      </c>
      <c r="AM27" s="50" t="str">
        <f t="shared" si="7"/>
        <v>Win</v>
      </c>
      <c r="AN27" s="50">
        <f t="shared" si="8"/>
        <v>-50</v>
      </c>
      <c r="AO27" s="50">
        <f t="shared" si="9"/>
        <v>-50</v>
      </c>
      <c r="AP27" s="50">
        <f t="shared" si="10"/>
        <v>183.5</v>
      </c>
    </row>
    <row r="28" spans="1:42" x14ac:dyDescent="0.25">
      <c r="A28" s="63">
        <v>43624</v>
      </c>
      <c r="B28" s="64" t="s">
        <v>151</v>
      </c>
      <c r="C28" s="64" t="s">
        <v>111</v>
      </c>
      <c r="D28" s="64" t="s">
        <v>158</v>
      </c>
      <c r="E28" s="64" t="s">
        <v>159</v>
      </c>
      <c r="F28" s="64" t="s">
        <v>160</v>
      </c>
      <c r="G28" s="64">
        <v>2</v>
      </c>
      <c r="H28" s="64">
        <v>0</v>
      </c>
      <c r="I28" s="64">
        <v>1.92</v>
      </c>
      <c r="J28" s="64">
        <v>2.9</v>
      </c>
      <c r="K28" s="64">
        <v>3.76</v>
      </c>
      <c r="L28" s="64">
        <v>-1.84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64">
        <v>0</v>
      </c>
      <c r="U28" s="64">
        <v>0</v>
      </c>
      <c r="V28" s="64">
        <v>0</v>
      </c>
      <c r="W28" s="64">
        <v>0</v>
      </c>
      <c r="X28" s="64">
        <v>0</v>
      </c>
      <c r="Y28" s="64">
        <v>0</v>
      </c>
      <c r="Z28" s="64">
        <v>0</v>
      </c>
      <c r="AA28" s="64">
        <v>0</v>
      </c>
      <c r="AB28" s="64">
        <v>0</v>
      </c>
      <c r="AC28" s="64">
        <v>0</v>
      </c>
      <c r="AD28" s="64">
        <v>0</v>
      </c>
      <c r="AE28" s="64">
        <v>0</v>
      </c>
      <c r="AF28" s="64">
        <v>0</v>
      </c>
      <c r="AG28" s="51">
        <f t="shared" si="1"/>
        <v>0</v>
      </c>
      <c r="AH28" s="52">
        <f t="shared" si="2"/>
        <v>0</v>
      </c>
      <c r="AI28" s="52" t="str">
        <f t="shared" si="3"/>
        <v>N</v>
      </c>
      <c r="AJ28" s="52" t="str">
        <f t="shared" si="4"/>
        <v>N</v>
      </c>
      <c r="AK28" s="50" t="str">
        <f t="shared" si="5"/>
        <v>Win</v>
      </c>
      <c r="AL28" s="50" t="str">
        <f t="shared" si="6"/>
        <v>Loss</v>
      </c>
      <c r="AM28" s="50" t="str">
        <f t="shared" si="7"/>
        <v>Loss</v>
      </c>
      <c r="AN28" s="50">
        <f t="shared" si="8"/>
        <v>46</v>
      </c>
      <c r="AO28" s="50">
        <f t="shared" si="9"/>
        <v>-50</v>
      </c>
      <c r="AP28" s="50">
        <f t="shared" si="10"/>
        <v>-50</v>
      </c>
    </row>
    <row r="29" spans="1:42" x14ac:dyDescent="0.25">
      <c r="A29" s="63">
        <v>43624</v>
      </c>
      <c r="B29" s="64" t="s">
        <v>161</v>
      </c>
      <c r="C29" s="64" t="s">
        <v>162</v>
      </c>
      <c r="D29" s="64" t="s">
        <v>163</v>
      </c>
      <c r="E29" s="64" t="s">
        <v>164</v>
      </c>
      <c r="F29" s="64" t="s">
        <v>165</v>
      </c>
      <c r="G29" s="64">
        <v>1</v>
      </c>
      <c r="H29" s="64">
        <v>0</v>
      </c>
      <c r="I29" s="64">
        <v>1.63</v>
      </c>
      <c r="J29" s="64">
        <v>3.74</v>
      </c>
      <c r="K29" s="64">
        <v>5.04</v>
      </c>
      <c r="L29" s="64">
        <v>-3.41</v>
      </c>
      <c r="M29" s="64">
        <v>56</v>
      </c>
      <c r="N29" s="64">
        <v>23</v>
      </c>
      <c r="O29" s="64">
        <v>0</v>
      </c>
      <c r="P29" s="64">
        <v>28</v>
      </c>
      <c r="Q29" s="64">
        <v>10</v>
      </c>
      <c r="R29" s="64">
        <v>0</v>
      </c>
      <c r="S29" s="64">
        <v>0</v>
      </c>
      <c r="T29" s="64">
        <v>0</v>
      </c>
      <c r="U29" s="64">
        <v>60.71</v>
      </c>
      <c r="V29" s="64">
        <v>14.29</v>
      </c>
      <c r="W29" s="64">
        <v>25</v>
      </c>
      <c r="X29" s="64">
        <v>39.130000000000003</v>
      </c>
      <c r="Y29" s="64">
        <v>39.130000000000003</v>
      </c>
      <c r="Z29" s="64">
        <v>21.74</v>
      </c>
      <c r="AA29" s="64">
        <v>75</v>
      </c>
      <c r="AB29" s="64">
        <v>30</v>
      </c>
      <c r="AC29" s="64">
        <v>40</v>
      </c>
      <c r="AD29" s="64">
        <v>10</v>
      </c>
      <c r="AE29" s="64">
        <v>70</v>
      </c>
      <c r="AF29" s="64">
        <v>50</v>
      </c>
      <c r="AG29" s="51">
        <f t="shared" si="1"/>
        <v>1.1800000000000006</v>
      </c>
      <c r="AH29" s="52">
        <f t="shared" si="2"/>
        <v>-1.1800000000000006</v>
      </c>
      <c r="AI29" s="52" t="str">
        <f t="shared" si="3"/>
        <v>N</v>
      </c>
      <c r="AJ29" s="52" t="str">
        <f t="shared" si="4"/>
        <v>N</v>
      </c>
      <c r="AK29" s="50" t="str">
        <f t="shared" si="5"/>
        <v>Win</v>
      </c>
      <c r="AL29" s="50" t="str">
        <f t="shared" si="6"/>
        <v>Loss</v>
      </c>
      <c r="AM29" s="50" t="str">
        <f t="shared" si="7"/>
        <v>Loss</v>
      </c>
      <c r="AN29" s="50">
        <f t="shared" si="8"/>
        <v>31.5</v>
      </c>
      <c r="AO29" s="50">
        <f t="shared" si="9"/>
        <v>-50</v>
      </c>
      <c r="AP29" s="50">
        <f t="shared" si="10"/>
        <v>-50</v>
      </c>
    </row>
    <row r="30" spans="1:42" x14ac:dyDescent="0.25">
      <c r="A30" s="63">
        <v>43624</v>
      </c>
      <c r="B30" s="64" t="s">
        <v>115</v>
      </c>
      <c r="C30" s="64" t="s">
        <v>116</v>
      </c>
      <c r="D30" s="64" t="s">
        <v>166</v>
      </c>
      <c r="E30" s="64" t="s">
        <v>167</v>
      </c>
      <c r="F30" s="64" t="s">
        <v>168</v>
      </c>
      <c r="G30" s="64">
        <v>2</v>
      </c>
      <c r="H30" s="64">
        <v>1</v>
      </c>
      <c r="I30" s="64">
        <v>1.93</v>
      </c>
      <c r="J30" s="64">
        <v>3.41</v>
      </c>
      <c r="K30" s="64">
        <v>3.5</v>
      </c>
      <c r="L30" s="64">
        <v>-1.57</v>
      </c>
      <c r="M30" s="64">
        <v>4</v>
      </c>
      <c r="N30" s="64">
        <v>3</v>
      </c>
      <c r="O30" s="64">
        <v>1</v>
      </c>
      <c r="P30" s="64">
        <v>1</v>
      </c>
      <c r="Q30" s="64">
        <v>1</v>
      </c>
      <c r="R30" s="64">
        <v>100</v>
      </c>
      <c r="S30" s="64">
        <v>0</v>
      </c>
      <c r="T30" s="64">
        <v>0</v>
      </c>
      <c r="U30" s="64">
        <v>75</v>
      </c>
      <c r="V30" s="64">
        <v>0</v>
      </c>
      <c r="W30" s="64">
        <v>25</v>
      </c>
      <c r="X30" s="64">
        <v>33.33</v>
      </c>
      <c r="Y30" s="64">
        <v>33.33</v>
      </c>
      <c r="Z30" s="64">
        <v>33.33</v>
      </c>
      <c r="AA30" s="64">
        <v>100</v>
      </c>
      <c r="AB30" s="64">
        <v>100</v>
      </c>
      <c r="AC30" s="64">
        <v>4</v>
      </c>
      <c r="AD30" s="64">
        <v>2</v>
      </c>
      <c r="AE30" s="64">
        <v>75</v>
      </c>
      <c r="AF30" s="64">
        <v>50</v>
      </c>
      <c r="AG30" s="51">
        <f t="shared" si="1"/>
        <v>36.667000000000002</v>
      </c>
      <c r="AH30" s="52">
        <f t="shared" si="2"/>
        <v>-36.667000000000002</v>
      </c>
      <c r="AI30" s="52" t="str">
        <f t="shared" si="3"/>
        <v>Y</v>
      </c>
      <c r="AJ30" s="52" t="str">
        <f t="shared" si="4"/>
        <v>Y</v>
      </c>
      <c r="AK30" s="50" t="str">
        <f t="shared" si="5"/>
        <v>Win</v>
      </c>
      <c r="AL30" s="50" t="str">
        <f t="shared" si="6"/>
        <v>Loss</v>
      </c>
      <c r="AM30" s="50" t="str">
        <f t="shared" si="7"/>
        <v>Loss</v>
      </c>
      <c r="AN30" s="50">
        <f t="shared" si="8"/>
        <v>46.5</v>
      </c>
      <c r="AO30" s="50">
        <f t="shared" si="9"/>
        <v>-50</v>
      </c>
      <c r="AP30" s="50">
        <f t="shared" si="10"/>
        <v>-50</v>
      </c>
    </row>
    <row r="31" spans="1:42" x14ac:dyDescent="0.25">
      <c r="A31" s="63">
        <v>43624</v>
      </c>
      <c r="B31" s="64" t="s">
        <v>115</v>
      </c>
      <c r="C31" s="64" t="s">
        <v>116</v>
      </c>
      <c r="D31" s="64" t="s">
        <v>169</v>
      </c>
      <c r="E31" s="64" t="s">
        <v>170</v>
      </c>
      <c r="F31" s="64" t="s">
        <v>171</v>
      </c>
      <c r="G31" s="64">
        <v>2</v>
      </c>
      <c r="H31" s="64">
        <v>1</v>
      </c>
      <c r="I31" s="64">
        <v>2.54</v>
      </c>
      <c r="J31" s="64">
        <v>3.51</v>
      </c>
      <c r="K31" s="64">
        <v>2.4</v>
      </c>
      <c r="L31" s="64">
        <v>0.14000000000000001</v>
      </c>
      <c r="M31" s="64">
        <v>3</v>
      </c>
      <c r="N31" s="64">
        <v>5</v>
      </c>
      <c r="O31" s="64">
        <v>0</v>
      </c>
      <c r="P31" s="64">
        <v>0</v>
      </c>
      <c r="Q31" s="64">
        <v>1</v>
      </c>
      <c r="R31" s="64">
        <v>0</v>
      </c>
      <c r="S31" s="64">
        <v>0</v>
      </c>
      <c r="T31" s="64">
        <v>0</v>
      </c>
      <c r="U31" s="64">
        <v>0</v>
      </c>
      <c r="V31" s="64">
        <v>33.33</v>
      </c>
      <c r="W31" s="64">
        <v>66.67</v>
      </c>
      <c r="X31" s="64">
        <v>60</v>
      </c>
      <c r="Y31" s="64">
        <v>0</v>
      </c>
      <c r="Z31" s="64">
        <v>40</v>
      </c>
      <c r="AA31" s="64">
        <v>0</v>
      </c>
      <c r="AB31" s="64">
        <v>0</v>
      </c>
      <c r="AC31" s="64">
        <v>0</v>
      </c>
      <c r="AD31" s="64">
        <v>2</v>
      </c>
      <c r="AE31" s="64">
        <v>0</v>
      </c>
      <c r="AF31" s="64">
        <v>50</v>
      </c>
      <c r="AG31" s="51">
        <f t="shared" si="1"/>
        <v>-14.001000000000001</v>
      </c>
      <c r="AH31" s="52">
        <f t="shared" si="2"/>
        <v>14.001000000000001</v>
      </c>
      <c r="AI31" s="52" t="str">
        <f t="shared" si="3"/>
        <v>N</v>
      </c>
      <c r="AJ31" s="52" t="str">
        <f t="shared" si="4"/>
        <v>N</v>
      </c>
      <c r="AK31" s="50" t="str">
        <f t="shared" si="5"/>
        <v>Win</v>
      </c>
      <c r="AL31" s="50" t="str">
        <f t="shared" si="6"/>
        <v>Loss</v>
      </c>
      <c r="AM31" s="50" t="str">
        <f t="shared" si="7"/>
        <v>Loss</v>
      </c>
      <c r="AN31" s="50">
        <f t="shared" si="8"/>
        <v>77</v>
      </c>
      <c r="AO31" s="50">
        <f t="shared" si="9"/>
        <v>-50</v>
      </c>
      <c r="AP31" s="50">
        <f t="shared" si="10"/>
        <v>-50</v>
      </c>
    </row>
    <row r="32" spans="1:42" x14ac:dyDescent="0.25">
      <c r="A32" s="63">
        <v>43624</v>
      </c>
      <c r="B32" s="64" t="s">
        <v>115</v>
      </c>
      <c r="C32" s="64" t="s">
        <v>116</v>
      </c>
      <c r="D32" s="64" t="s">
        <v>172</v>
      </c>
      <c r="E32" s="64" t="s">
        <v>173</v>
      </c>
      <c r="F32" s="64" t="s">
        <v>174</v>
      </c>
      <c r="G32" s="64">
        <v>0</v>
      </c>
      <c r="H32" s="64">
        <v>1</v>
      </c>
      <c r="I32" s="64">
        <v>1.94</v>
      </c>
      <c r="J32" s="64">
        <v>3.61</v>
      </c>
      <c r="K32" s="64">
        <v>3.16</v>
      </c>
      <c r="L32" s="64">
        <v>-1.22</v>
      </c>
      <c r="M32" s="64">
        <v>4</v>
      </c>
      <c r="N32" s="64">
        <v>3</v>
      </c>
      <c r="O32" s="64">
        <v>0</v>
      </c>
      <c r="P32" s="64">
        <v>3</v>
      </c>
      <c r="Q32" s="64">
        <v>0</v>
      </c>
      <c r="R32" s="64">
        <v>0</v>
      </c>
      <c r="S32" s="64">
        <v>0</v>
      </c>
      <c r="T32" s="64">
        <v>0</v>
      </c>
      <c r="U32" s="64">
        <v>50</v>
      </c>
      <c r="V32" s="64">
        <v>0</v>
      </c>
      <c r="W32" s="64">
        <v>50</v>
      </c>
      <c r="X32" s="64">
        <v>33.33</v>
      </c>
      <c r="Y32" s="64">
        <v>33.33</v>
      </c>
      <c r="Z32" s="64">
        <v>33.33</v>
      </c>
      <c r="AA32" s="64">
        <v>66.67</v>
      </c>
      <c r="AB32" s="64">
        <v>0</v>
      </c>
      <c r="AC32" s="64">
        <v>2</v>
      </c>
      <c r="AD32" s="64">
        <v>2</v>
      </c>
      <c r="AE32" s="64">
        <v>100</v>
      </c>
      <c r="AF32" s="64">
        <v>50</v>
      </c>
      <c r="AG32" s="51">
        <f t="shared" si="1"/>
        <v>-3.3330000000000002</v>
      </c>
      <c r="AH32" s="52">
        <f t="shared" si="2"/>
        <v>3.3330000000000002</v>
      </c>
      <c r="AI32" s="52" t="str">
        <f t="shared" si="3"/>
        <v>N</v>
      </c>
      <c r="AJ32" s="52" t="str">
        <f t="shared" si="4"/>
        <v>N</v>
      </c>
      <c r="AK32" s="50" t="str">
        <f t="shared" si="5"/>
        <v>Loss</v>
      </c>
      <c r="AL32" s="50" t="str">
        <f t="shared" si="6"/>
        <v>Loss</v>
      </c>
      <c r="AM32" s="50" t="str">
        <f t="shared" si="7"/>
        <v>Win</v>
      </c>
      <c r="AN32" s="50">
        <f t="shared" si="8"/>
        <v>-50</v>
      </c>
      <c r="AO32" s="50">
        <f t="shared" si="9"/>
        <v>-50</v>
      </c>
      <c r="AP32" s="50">
        <f t="shared" si="10"/>
        <v>108</v>
      </c>
    </row>
    <row r="33" spans="1:42" x14ac:dyDescent="0.25">
      <c r="A33" s="63">
        <v>43624</v>
      </c>
      <c r="B33" s="64" t="s">
        <v>115</v>
      </c>
      <c r="C33" s="64" t="s">
        <v>134</v>
      </c>
      <c r="D33" s="64" t="s">
        <v>175</v>
      </c>
      <c r="E33" s="64" t="s">
        <v>176</v>
      </c>
      <c r="F33" s="64" t="s">
        <v>177</v>
      </c>
      <c r="G33" s="64">
        <v>5</v>
      </c>
      <c r="H33" s="64">
        <v>0</v>
      </c>
      <c r="I33" s="64">
        <v>1.4</v>
      </c>
      <c r="J33" s="64">
        <v>4.6100000000000003</v>
      </c>
      <c r="K33" s="64">
        <v>5.92</v>
      </c>
      <c r="L33" s="64">
        <v>-4.5199999999999996</v>
      </c>
      <c r="M33" s="64">
        <v>13</v>
      </c>
      <c r="N33" s="64">
        <v>14</v>
      </c>
      <c r="O33" s="64">
        <v>0</v>
      </c>
      <c r="P33" s="64">
        <v>7</v>
      </c>
      <c r="Q33" s="64">
        <v>8</v>
      </c>
      <c r="R33" s="64">
        <v>0</v>
      </c>
      <c r="S33" s="64">
        <v>0</v>
      </c>
      <c r="T33" s="64">
        <v>0</v>
      </c>
      <c r="U33" s="64">
        <v>38.46</v>
      </c>
      <c r="V33" s="64">
        <v>38.46</v>
      </c>
      <c r="W33" s="64">
        <v>23.08</v>
      </c>
      <c r="X33" s="64">
        <v>28.57</v>
      </c>
      <c r="Y33" s="64">
        <v>35.71</v>
      </c>
      <c r="Z33" s="64">
        <v>35.71</v>
      </c>
      <c r="AA33" s="64">
        <v>42.86</v>
      </c>
      <c r="AB33" s="64">
        <v>12.5</v>
      </c>
      <c r="AC33" s="64">
        <v>9</v>
      </c>
      <c r="AD33" s="64">
        <v>5</v>
      </c>
      <c r="AE33" s="64">
        <v>44.44</v>
      </c>
      <c r="AF33" s="64">
        <v>60</v>
      </c>
      <c r="AG33" s="51">
        <f t="shared" si="1"/>
        <v>4.7789999999999999</v>
      </c>
      <c r="AH33" s="52">
        <f t="shared" si="2"/>
        <v>-4.7789999999999999</v>
      </c>
      <c r="AI33" s="52" t="str">
        <f t="shared" si="3"/>
        <v>N</v>
      </c>
      <c r="AJ33" s="52" t="str">
        <f t="shared" si="4"/>
        <v>N</v>
      </c>
      <c r="AK33" s="50" t="str">
        <f t="shared" si="5"/>
        <v>Win</v>
      </c>
      <c r="AL33" s="50" t="str">
        <f t="shared" si="6"/>
        <v>Loss</v>
      </c>
      <c r="AM33" s="50" t="str">
        <f t="shared" si="7"/>
        <v>Loss</v>
      </c>
      <c r="AN33" s="50">
        <f t="shared" si="8"/>
        <v>20</v>
      </c>
      <c r="AO33" s="50">
        <f t="shared" si="9"/>
        <v>-50</v>
      </c>
      <c r="AP33" s="50">
        <f t="shared" si="10"/>
        <v>-50</v>
      </c>
    </row>
    <row r="34" spans="1:42" x14ac:dyDescent="0.25">
      <c r="A34" s="63">
        <v>43624</v>
      </c>
      <c r="B34" s="64" t="s">
        <v>178</v>
      </c>
      <c r="C34" s="64" t="s">
        <v>179</v>
      </c>
      <c r="D34" s="64" t="s">
        <v>180</v>
      </c>
      <c r="E34" s="64" t="s">
        <v>181</v>
      </c>
      <c r="F34" s="64" t="s">
        <v>182</v>
      </c>
      <c r="G34" s="64">
        <v>0</v>
      </c>
      <c r="H34" s="64">
        <v>1</v>
      </c>
      <c r="I34" s="64">
        <v>6.85</v>
      </c>
      <c r="J34" s="64">
        <v>7.63</v>
      </c>
      <c r="K34" s="64">
        <v>1.27</v>
      </c>
      <c r="L34" s="64">
        <v>5.58</v>
      </c>
      <c r="M34" s="64">
        <v>11</v>
      </c>
      <c r="N34" s="64">
        <v>10</v>
      </c>
      <c r="O34" s="64">
        <v>1</v>
      </c>
      <c r="P34" s="64">
        <v>6</v>
      </c>
      <c r="Q34" s="64">
        <v>4</v>
      </c>
      <c r="R34" s="64">
        <v>0</v>
      </c>
      <c r="S34" s="64">
        <v>100</v>
      </c>
      <c r="T34" s="64">
        <v>0</v>
      </c>
      <c r="U34" s="64">
        <v>45.45</v>
      </c>
      <c r="V34" s="64">
        <v>18.18</v>
      </c>
      <c r="W34" s="64">
        <v>36.36</v>
      </c>
      <c r="X34" s="64">
        <v>20</v>
      </c>
      <c r="Y34" s="64">
        <v>30</v>
      </c>
      <c r="Z34" s="64">
        <v>50</v>
      </c>
      <c r="AA34" s="64">
        <v>50</v>
      </c>
      <c r="AB34" s="64">
        <v>25</v>
      </c>
      <c r="AC34" s="64">
        <v>6</v>
      </c>
      <c r="AD34" s="64">
        <v>4</v>
      </c>
      <c r="AE34" s="64">
        <v>83.33</v>
      </c>
      <c r="AF34" s="64">
        <v>50</v>
      </c>
      <c r="AG34" s="51">
        <f t="shared" si="1"/>
        <v>16.636000000000003</v>
      </c>
      <c r="AH34" s="52">
        <f t="shared" si="2"/>
        <v>3.363999999999999</v>
      </c>
      <c r="AI34" s="52" t="str">
        <f t="shared" si="3"/>
        <v>N</v>
      </c>
      <c r="AJ34" s="52" t="str">
        <f t="shared" si="4"/>
        <v>N</v>
      </c>
      <c r="AK34" s="50" t="str">
        <f t="shared" si="5"/>
        <v>Loss</v>
      </c>
      <c r="AL34" s="50" t="str">
        <f t="shared" si="6"/>
        <v>Loss</v>
      </c>
      <c r="AM34" s="50" t="str">
        <f t="shared" si="7"/>
        <v>Win</v>
      </c>
      <c r="AN34" s="50">
        <f t="shared" si="8"/>
        <v>-50</v>
      </c>
      <c r="AO34" s="50">
        <f t="shared" si="9"/>
        <v>-50</v>
      </c>
      <c r="AP34" s="50">
        <f t="shared" si="10"/>
        <v>13.5</v>
      </c>
    </row>
    <row r="35" spans="1:42" x14ac:dyDescent="0.25">
      <c r="A35" s="63">
        <v>43624</v>
      </c>
      <c r="B35" s="64" t="s">
        <v>178</v>
      </c>
      <c r="C35" s="64" t="s">
        <v>179</v>
      </c>
      <c r="D35" s="64" t="s">
        <v>183</v>
      </c>
      <c r="E35" s="64" t="s">
        <v>184</v>
      </c>
      <c r="F35" s="64" t="s">
        <v>185</v>
      </c>
      <c r="G35" s="64">
        <v>0</v>
      </c>
      <c r="H35" s="64">
        <v>1</v>
      </c>
      <c r="I35" s="64">
        <v>2.74</v>
      </c>
      <c r="J35" s="64">
        <v>4.0599999999999996</v>
      </c>
      <c r="K35" s="64">
        <v>2.09</v>
      </c>
      <c r="L35" s="64">
        <v>0.65</v>
      </c>
      <c r="M35" s="64">
        <v>11</v>
      </c>
      <c r="N35" s="64">
        <v>12</v>
      </c>
      <c r="O35" s="64">
        <v>1</v>
      </c>
      <c r="P35" s="64">
        <v>5</v>
      </c>
      <c r="Q35" s="64">
        <v>4</v>
      </c>
      <c r="R35" s="64">
        <v>0</v>
      </c>
      <c r="S35" s="64">
        <v>0</v>
      </c>
      <c r="T35" s="64">
        <v>100</v>
      </c>
      <c r="U35" s="64">
        <v>18.18</v>
      </c>
      <c r="V35" s="64">
        <v>0</v>
      </c>
      <c r="W35" s="64">
        <v>81.819999999999993</v>
      </c>
      <c r="X35" s="64">
        <v>25</v>
      </c>
      <c r="Y35" s="64">
        <v>8.33</v>
      </c>
      <c r="Z35" s="64">
        <v>66.67</v>
      </c>
      <c r="AA35" s="64">
        <v>0</v>
      </c>
      <c r="AB35" s="64">
        <v>0</v>
      </c>
      <c r="AC35" s="64">
        <v>2</v>
      </c>
      <c r="AD35" s="64">
        <v>3</v>
      </c>
      <c r="AE35" s="64">
        <v>50</v>
      </c>
      <c r="AF35" s="64">
        <v>100</v>
      </c>
      <c r="AG35" s="51">
        <f t="shared" si="1"/>
        <v>-35.226999999999997</v>
      </c>
      <c r="AH35" s="52">
        <f t="shared" si="2"/>
        <v>35.226999999999997</v>
      </c>
      <c r="AI35" s="52" t="str">
        <f t="shared" si="3"/>
        <v>N</v>
      </c>
      <c r="AJ35" s="52" t="str">
        <f t="shared" si="4"/>
        <v>N</v>
      </c>
      <c r="AK35" s="50" t="str">
        <f t="shared" si="5"/>
        <v>Loss</v>
      </c>
      <c r="AL35" s="50" t="str">
        <f t="shared" si="6"/>
        <v>Loss</v>
      </c>
      <c r="AM35" s="50" t="str">
        <f t="shared" si="7"/>
        <v>Win</v>
      </c>
      <c r="AN35" s="50">
        <f t="shared" si="8"/>
        <v>-50</v>
      </c>
      <c r="AO35" s="50">
        <f t="shared" si="9"/>
        <v>-50</v>
      </c>
      <c r="AP35" s="50">
        <f t="shared" si="10"/>
        <v>54.5</v>
      </c>
    </row>
    <row r="36" spans="1:42" x14ac:dyDescent="0.25">
      <c r="A36" s="63">
        <v>43624</v>
      </c>
      <c r="B36" s="64" t="s">
        <v>178</v>
      </c>
      <c r="C36" s="64" t="s">
        <v>186</v>
      </c>
      <c r="D36" s="64" t="s">
        <v>187</v>
      </c>
      <c r="E36" s="64" t="s">
        <v>188</v>
      </c>
      <c r="F36" s="64" t="s">
        <v>189</v>
      </c>
      <c r="G36" s="64">
        <v>1</v>
      </c>
      <c r="H36" s="64">
        <v>1</v>
      </c>
      <c r="I36" s="64">
        <v>3.33</v>
      </c>
      <c r="J36" s="64">
        <v>3.75</v>
      </c>
      <c r="K36" s="64">
        <v>1.96</v>
      </c>
      <c r="L36" s="64">
        <v>1.37</v>
      </c>
      <c r="M36" s="64">
        <v>15</v>
      </c>
      <c r="N36" s="64">
        <v>19</v>
      </c>
      <c r="O36" s="64">
        <v>1</v>
      </c>
      <c r="P36" s="64">
        <v>7</v>
      </c>
      <c r="Q36" s="64">
        <v>9</v>
      </c>
      <c r="R36" s="64">
        <v>0</v>
      </c>
      <c r="S36" s="64">
        <v>0</v>
      </c>
      <c r="T36" s="64">
        <v>100</v>
      </c>
      <c r="U36" s="64">
        <v>46.67</v>
      </c>
      <c r="V36" s="64">
        <v>20</v>
      </c>
      <c r="W36" s="64">
        <v>33.33</v>
      </c>
      <c r="X36" s="64">
        <v>68.42</v>
      </c>
      <c r="Y36" s="64">
        <v>5.26</v>
      </c>
      <c r="Z36" s="64">
        <v>26.32</v>
      </c>
      <c r="AA36" s="64">
        <v>42.86</v>
      </c>
      <c r="AB36" s="64">
        <v>44.44</v>
      </c>
      <c r="AC36" s="64">
        <v>7</v>
      </c>
      <c r="AD36" s="64">
        <v>15</v>
      </c>
      <c r="AE36" s="64">
        <v>57.14</v>
      </c>
      <c r="AF36" s="64">
        <v>73.33</v>
      </c>
      <c r="AG36" s="51">
        <f t="shared" si="1"/>
        <v>-34.277999999999999</v>
      </c>
      <c r="AH36" s="52">
        <f t="shared" si="2"/>
        <v>34.277999999999999</v>
      </c>
      <c r="AI36" s="52" t="str">
        <f t="shared" si="3"/>
        <v>N</v>
      </c>
      <c r="AJ36" s="52" t="str">
        <f t="shared" si="4"/>
        <v>N</v>
      </c>
      <c r="AK36" s="50" t="str">
        <f t="shared" si="5"/>
        <v>Loss</v>
      </c>
      <c r="AL36" s="50" t="str">
        <f t="shared" si="6"/>
        <v>Win</v>
      </c>
      <c r="AM36" s="50" t="str">
        <f t="shared" si="7"/>
        <v>Loss</v>
      </c>
      <c r="AN36" s="50">
        <f t="shared" si="8"/>
        <v>-50</v>
      </c>
      <c r="AO36" s="50">
        <f t="shared" si="9"/>
        <v>137.5</v>
      </c>
      <c r="AP36" s="50">
        <f t="shared" si="10"/>
        <v>-50</v>
      </c>
    </row>
    <row r="37" spans="1:42" x14ac:dyDescent="0.25">
      <c r="A37" s="63">
        <v>43624</v>
      </c>
      <c r="B37" s="64" t="s">
        <v>190</v>
      </c>
      <c r="C37" s="64" t="s">
        <v>191</v>
      </c>
      <c r="D37" s="64" t="s">
        <v>192</v>
      </c>
      <c r="E37" s="64" t="s">
        <v>193</v>
      </c>
      <c r="F37" s="64" t="s">
        <v>194</v>
      </c>
      <c r="G37" s="64">
        <v>2</v>
      </c>
      <c r="H37" s="64">
        <v>2</v>
      </c>
      <c r="I37" s="64">
        <v>2.02</v>
      </c>
      <c r="J37" s="64">
        <v>3.06</v>
      </c>
      <c r="K37" s="64">
        <v>4.1500000000000004</v>
      </c>
      <c r="L37" s="64">
        <v>-2.13</v>
      </c>
      <c r="M37" s="64">
        <v>20</v>
      </c>
      <c r="N37" s="64">
        <v>21</v>
      </c>
      <c r="O37" s="64">
        <v>0</v>
      </c>
      <c r="P37" s="64">
        <v>8</v>
      </c>
      <c r="Q37" s="64">
        <v>11</v>
      </c>
      <c r="R37" s="64">
        <v>0</v>
      </c>
      <c r="S37" s="64">
        <v>0</v>
      </c>
      <c r="T37" s="64">
        <v>0</v>
      </c>
      <c r="U37" s="64">
        <v>55</v>
      </c>
      <c r="V37" s="64">
        <v>25</v>
      </c>
      <c r="W37" s="64">
        <v>20</v>
      </c>
      <c r="X37" s="64">
        <v>61.9</v>
      </c>
      <c r="Y37" s="64">
        <v>23.81</v>
      </c>
      <c r="Z37" s="64">
        <v>14.29</v>
      </c>
      <c r="AA37" s="64">
        <v>62.5</v>
      </c>
      <c r="AB37" s="64">
        <v>54.55</v>
      </c>
      <c r="AC37" s="64">
        <v>16</v>
      </c>
      <c r="AD37" s="64">
        <v>11</v>
      </c>
      <c r="AE37" s="64">
        <v>56.25</v>
      </c>
      <c r="AF37" s="64">
        <v>54.55</v>
      </c>
      <c r="AG37" s="51">
        <f t="shared" si="1"/>
        <v>-2.4030000000000009</v>
      </c>
      <c r="AH37" s="52">
        <f t="shared" si="2"/>
        <v>2.4030000000000009</v>
      </c>
      <c r="AI37" s="52" t="str">
        <f t="shared" si="3"/>
        <v>N</v>
      </c>
      <c r="AJ37" s="52" t="str">
        <f t="shared" si="4"/>
        <v>N</v>
      </c>
      <c r="AK37" s="50" t="str">
        <f t="shared" si="5"/>
        <v>Loss</v>
      </c>
      <c r="AL37" s="50" t="str">
        <f t="shared" si="6"/>
        <v>Win</v>
      </c>
      <c r="AM37" s="50" t="str">
        <f t="shared" si="7"/>
        <v>Loss</v>
      </c>
      <c r="AN37" s="50">
        <f t="shared" si="8"/>
        <v>-50</v>
      </c>
      <c r="AO37" s="50">
        <f t="shared" si="9"/>
        <v>103</v>
      </c>
      <c r="AP37" s="50">
        <f t="shared" si="10"/>
        <v>-50</v>
      </c>
    </row>
    <row r="38" spans="1:42" x14ac:dyDescent="0.25">
      <c r="A38" s="63">
        <v>43624</v>
      </c>
      <c r="B38" s="64" t="s">
        <v>190</v>
      </c>
      <c r="C38" s="64" t="s">
        <v>191</v>
      </c>
      <c r="D38" s="64" t="s">
        <v>195</v>
      </c>
      <c r="E38" s="64" t="s">
        <v>196</v>
      </c>
      <c r="F38" s="64" t="s">
        <v>197</v>
      </c>
      <c r="G38" s="64">
        <v>2</v>
      </c>
      <c r="H38" s="64">
        <v>3</v>
      </c>
      <c r="I38" s="64">
        <v>2.8</v>
      </c>
      <c r="J38" s="64">
        <v>3.08</v>
      </c>
      <c r="K38" s="64">
        <v>2.61</v>
      </c>
      <c r="L38" s="64">
        <v>0.19</v>
      </c>
      <c r="M38" s="64">
        <v>27</v>
      </c>
      <c r="N38" s="64">
        <v>17</v>
      </c>
      <c r="O38" s="64">
        <v>0</v>
      </c>
      <c r="P38" s="64">
        <v>13</v>
      </c>
      <c r="Q38" s="64">
        <v>7</v>
      </c>
      <c r="R38" s="64">
        <v>0</v>
      </c>
      <c r="S38" s="64">
        <v>0</v>
      </c>
      <c r="T38" s="64">
        <v>0</v>
      </c>
      <c r="U38" s="64">
        <v>40.74</v>
      </c>
      <c r="V38" s="64">
        <v>22.22</v>
      </c>
      <c r="W38" s="64">
        <v>37.04</v>
      </c>
      <c r="X38" s="64">
        <v>35.29</v>
      </c>
      <c r="Y38" s="64">
        <v>29.41</v>
      </c>
      <c r="Z38" s="64">
        <v>35.29</v>
      </c>
      <c r="AA38" s="64">
        <v>46.15</v>
      </c>
      <c r="AB38" s="64">
        <v>14.29</v>
      </c>
      <c r="AC38" s="64">
        <v>7</v>
      </c>
      <c r="AD38" s="64">
        <v>9</v>
      </c>
      <c r="AE38" s="64">
        <v>57.14</v>
      </c>
      <c r="AF38" s="64">
        <v>22.22</v>
      </c>
      <c r="AG38" s="51">
        <f t="shared" si="1"/>
        <v>2.1000000000000796E-2</v>
      </c>
      <c r="AH38" s="52">
        <f t="shared" si="2"/>
        <v>-2.1000000000000796E-2</v>
      </c>
      <c r="AI38" s="52" t="str">
        <f t="shared" si="3"/>
        <v>N</v>
      </c>
      <c r="AJ38" s="52" t="str">
        <f t="shared" si="4"/>
        <v>N</v>
      </c>
      <c r="AK38" s="50" t="str">
        <f t="shared" si="5"/>
        <v>Loss</v>
      </c>
      <c r="AL38" s="50" t="str">
        <f t="shared" si="6"/>
        <v>Loss</v>
      </c>
      <c r="AM38" s="50" t="str">
        <f t="shared" si="7"/>
        <v>Win</v>
      </c>
      <c r="AN38" s="50">
        <f t="shared" si="8"/>
        <v>-50</v>
      </c>
      <c r="AO38" s="50">
        <f t="shared" si="9"/>
        <v>-50</v>
      </c>
      <c r="AP38" s="50">
        <f t="shared" si="10"/>
        <v>80.5</v>
      </c>
    </row>
    <row r="39" spans="1:42" x14ac:dyDescent="0.25">
      <c r="A39" s="63">
        <v>43624</v>
      </c>
      <c r="B39" s="64" t="s">
        <v>178</v>
      </c>
      <c r="C39" s="64" t="s">
        <v>198</v>
      </c>
      <c r="D39" s="64" t="s">
        <v>199</v>
      </c>
      <c r="E39" s="64" t="s">
        <v>200</v>
      </c>
      <c r="F39" s="64" t="s">
        <v>201</v>
      </c>
      <c r="G39" s="64">
        <v>1</v>
      </c>
      <c r="H39" s="64">
        <v>1</v>
      </c>
      <c r="I39" s="64">
        <v>2.2200000000000002</v>
      </c>
      <c r="J39" s="64">
        <v>3.57</v>
      </c>
      <c r="K39" s="64">
        <v>2.83</v>
      </c>
      <c r="L39" s="64">
        <v>-0.61</v>
      </c>
      <c r="M39" s="64">
        <v>12</v>
      </c>
      <c r="N39" s="64">
        <v>12</v>
      </c>
      <c r="O39" s="64">
        <v>1</v>
      </c>
      <c r="P39" s="64">
        <v>5</v>
      </c>
      <c r="Q39" s="64">
        <v>5</v>
      </c>
      <c r="R39" s="64">
        <v>100</v>
      </c>
      <c r="S39" s="64">
        <v>0</v>
      </c>
      <c r="T39" s="64">
        <v>0</v>
      </c>
      <c r="U39" s="64">
        <v>58.33</v>
      </c>
      <c r="V39" s="64">
        <v>8.33</v>
      </c>
      <c r="W39" s="64">
        <v>33.33</v>
      </c>
      <c r="X39" s="64">
        <v>33.33</v>
      </c>
      <c r="Y39" s="64">
        <v>33.33</v>
      </c>
      <c r="Z39" s="64">
        <v>33.33</v>
      </c>
      <c r="AA39" s="64">
        <v>20</v>
      </c>
      <c r="AB39" s="64">
        <v>20</v>
      </c>
      <c r="AC39" s="64">
        <v>2</v>
      </c>
      <c r="AD39" s="64">
        <v>8</v>
      </c>
      <c r="AE39" s="64">
        <v>100</v>
      </c>
      <c r="AF39" s="64">
        <v>37.5</v>
      </c>
      <c r="AG39" s="51">
        <f t="shared" si="1"/>
        <v>32.5</v>
      </c>
      <c r="AH39" s="52">
        <f t="shared" si="2"/>
        <v>-32.5</v>
      </c>
      <c r="AI39" s="52" t="str">
        <f t="shared" si="3"/>
        <v>N</v>
      </c>
      <c r="AJ39" s="52" t="str">
        <f t="shared" si="4"/>
        <v>N</v>
      </c>
      <c r="AK39" s="50" t="str">
        <f t="shared" si="5"/>
        <v>Loss</v>
      </c>
      <c r="AL39" s="50" t="str">
        <f t="shared" si="6"/>
        <v>Win</v>
      </c>
      <c r="AM39" s="50" t="str">
        <f t="shared" si="7"/>
        <v>Loss</v>
      </c>
      <c r="AN39" s="50">
        <f t="shared" si="8"/>
        <v>-50</v>
      </c>
      <c r="AO39" s="50">
        <f t="shared" si="9"/>
        <v>128.5</v>
      </c>
      <c r="AP39" s="50">
        <f t="shared" si="10"/>
        <v>-50</v>
      </c>
    </row>
    <row r="40" spans="1:42" x14ac:dyDescent="0.25">
      <c r="A40" s="63">
        <v>43624</v>
      </c>
      <c r="B40" s="64" t="s">
        <v>178</v>
      </c>
      <c r="C40" s="64" t="s">
        <v>198</v>
      </c>
      <c r="D40" s="64" t="s">
        <v>202</v>
      </c>
      <c r="E40" s="64" t="s">
        <v>203</v>
      </c>
      <c r="F40" s="64" t="s">
        <v>204</v>
      </c>
      <c r="G40" s="64">
        <v>2</v>
      </c>
      <c r="H40" s="64">
        <v>1</v>
      </c>
      <c r="I40" s="64">
        <v>2.3199999999999998</v>
      </c>
      <c r="J40" s="64">
        <v>3.63</v>
      </c>
      <c r="K40" s="64">
        <v>2.62</v>
      </c>
      <c r="L40" s="64">
        <v>-0.3</v>
      </c>
      <c r="M40" s="64">
        <v>12</v>
      </c>
      <c r="N40" s="64">
        <v>14</v>
      </c>
      <c r="O40" s="64">
        <v>1</v>
      </c>
      <c r="P40" s="64">
        <v>7</v>
      </c>
      <c r="Q40" s="64">
        <v>7</v>
      </c>
      <c r="R40" s="64">
        <v>0</v>
      </c>
      <c r="S40" s="64">
        <v>0</v>
      </c>
      <c r="T40" s="64">
        <v>100</v>
      </c>
      <c r="U40" s="64">
        <v>58.33</v>
      </c>
      <c r="V40" s="64">
        <v>16.670000000000002</v>
      </c>
      <c r="W40" s="64">
        <v>25</v>
      </c>
      <c r="X40" s="64">
        <v>50</v>
      </c>
      <c r="Y40" s="64">
        <v>14.29</v>
      </c>
      <c r="Z40" s="64">
        <v>35.71</v>
      </c>
      <c r="AA40" s="64">
        <v>57.14</v>
      </c>
      <c r="AB40" s="64">
        <v>57.14</v>
      </c>
      <c r="AC40" s="64">
        <v>6</v>
      </c>
      <c r="AD40" s="64">
        <v>8</v>
      </c>
      <c r="AE40" s="64">
        <v>66.67</v>
      </c>
      <c r="AF40" s="64">
        <v>62.5</v>
      </c>
      <c r="AG40" s="51">
        <f t="shared" si="1"/>
        <v>-25.953999999999997</v>
      </c>
      <c r="AH40" s="52">
        <f t="shared" si="2"/>
        <v>25.953999999999997</v>
      </c>
      <c r="AI40" s="52" t="str">
        <f t="shared" si="3"/>
        <v>N</v>
      </c>
      <c r="AJ40" s="52" t="str">
        <f t="shared" si="4"/>
        <v>N</v>
      </c>
      <c r="AK40" s="50" t="str">
        <f t="shared" si="5"/>
        <v>Win</v>
      </c>
      <c r="AL40" s="50" t="str">
        <f t="shared" si="6"/>
        <v>Loss</v>
      </c>
      <c r="AM40" s="50" t="str">
        <f t="shared" si="7"/>
        <v>Loss</v>
      </c>
      <c r="AN40" s="50">
        <f t="shared" si="8"/>
        <v>65.999999999999986</v>
      </c>
      <c r="AO40" s="50">
        <f t="shared" si="9"/>
        <v>-50</v>
      </c>
      <c r="AP40" s="50">
        <f t="shared" si="10"/>
        <v>-50</v>
      </c>
    </row>
    <row r="41" spans="1:42" x14ac:dyDescent="0.25">
      <c r="A41" s="63">
        <v>43624</v>
      </c>
      <c r="B41" s="64" t="s">
        <v>178</v>
      </c>
      <c r="C41" s="64" t="s">
        <v>198</v>
      </c>
      <c r="D41" s="64" t="s">
        <v>205</v>
      </c>
      <c r="E41" s="64" t="s">
        <v>206</v>
      </c>
      <c r="F41" s="64" t="s">
        <v>207</v>
      </c>
      <c r="G41" s="64">
        <v>3</v>
      </c>
      <c r="H41" s="64">
        <v>1</v>
      </c>
      <c r="I41" s="64">
        <v>1.24</v>
      </c>
      <c r="J41" s="64">
        <v>6.19</v>
      </c>
      <c r="K41" s="64">
        <v>8.6</v>
      </c>
      <c r="L41" s="64">
        <v>-7.36</v>
      </c>
      <c r="M41" s="64">
        <v>15</v>
      </c>
      <c r="N41" s="64">
        <v>12</v>
      </c>
      <c r="O41" s="64">
        <v>1</v>
      </c>
      <c r="P41" s="64">
        <v>8</v>
      </c>
      <c r="Q41" s="64">
        <v>5</v>
      </c>
      <c r="R41" s="64">
        <v>0</v>
      </c>
      <c r="S41" s="64">
        <v>100</v>
      </c>
      <c r="T41" s="64">
        <v>0</v>
      </c>
      <c r="U41" s="64">
        <v>66.67</v>
      </c>
      <c r="V41" s="64">
        <v>20</v>
      </c>
      <c r="W41" s="64">
        <v>13.33</v>
      </c>
      <c r="X41" s="64">
        <v>25</v>
      </c>
      <c r="Y41" s="64">
        <v>33.33</v>
      </c>
      <c r="Z41" s="64">
        <v>41.67</v>
      </c>
      <c r="AA41" s="64">
        <v>75</v>
      </c>
      <c r="AB41" s="64">
        <v>20</v>
      </c>
      <c r="AC41" s="64">
        <v>13</v>
      </c>
      <c r="AD41" s="64">
        <v>1</v>
      </c>
      <c r="AE41" s="64">
        <v>61.54</v>
      </c>
      <c r="AF41" s="64">
        <v>100</v>
      </c>
      <c r="AG41" s="51">
        <f t="shared" si="1"/>
        <v>22.669000000000004</v>
      </c>
      <c r="AH41" s="52">
        <f t="shared" si="2"/>
        <v>-2.6690000000000023</v>
      </c>
      <c r="AI41" s="52" t="str">
        <f t="shared" si="3"/>
        <v>N</v>
      </c>
      <c r="AJ41" s="52" t="str">
        <f t="shared" si="4"/>
        <v>N</v>
      </c>
      <c r="AK41" s="50" t="str">
        <f t="shared" si="5"/>
        <v>Win</v>
      </c>
      <c r="AL41" s="50" t="str">
        <f t="shared" si="6"/>
        <v>Loss</v>
      </c>
      <c r="AM41" s="50" t="str">
        <f t="shared" si="7"/>
        <v>Loss</v>
      </c>
      <c r="AN41" s="50">
        <f t="shared" si="8"/>
        <v>12</v>
      </c>
      <c r="AO41" s="50">
        <f t="shared" si="9"/>
        <v>-50</v>
      </c>
      <c r="AP41" s="50">
        <f t="shared" si="10"/>
        <v>-50</v>
      </c>
    </row>
    <row r="42" spans="1:42" x14ac:dyDescent="0.25">
      <c r="A42" s="63">
        <v>43624</v>
      </c>
      <c r="B42" s="64" t="s">
        <v>178</v>
      </c>
      <c r="C42" s="64" t="s">
        <v>198</v>
      </c>
      <c r="D42" s="64" t="s">
        <v>208</v>
      </c>
      <c r="E42" s="64" t="s">
        <v>209</v>
      </c>
      <c r="F42" s="64" t="s">
        <v>210</v>
      </c>
      <c r="G42" s="64">
        <v>1</v>
      </c>
      <c r="H42" s="64">
        <v>1</v>
      </c>
      <c r="I42" s="64">
        <v>1.53</v>
      </c>
      <c r="J42" s="64">
        <v>4.5</v>
      </c>
      <c r="K42" s="64">
        <v>4.7699999999999996</v>
      </c>
      <c r="L42" s="64">
        <v>-3.24</v>
      </c>
      <c r="M42" s="64">
        <v>12</v>
      </c>
      <c r="N42" s="64">
        <v>20</v>
      </c>
      <c r="O42" s="64">
        <v>1</v>
      </c>
      <c r="P42" s="64">
        <v>3</v>
      </c>
      <c r="Q42" s="64">
        <v>9</v>
      </c>
      <c r="R42" s="64">
        <v>0</v>
      </c>
      <c r="S42" s="64">
        <v>0</v>
      </c>
      <c r="T42" s="64">
        <v>100</v>
      </c>
      <c r="U42" s="64">
        <v>58.33</v>
      </c>
      <c r="V42" s="64">
        <v>8.33</v>
      </c>
      <c r="W42" s="64">
        <v>33.33</v>
      </c>
      <c r="X42" s="64">
        <v>35</v>
      </c>
      <c r="Y42" s="64">
        <v>15</v>
      </c>
      <c r="Z42" s="64">
        <v>50</v>
      </c>
      <c r="AA42" s="64">
        <v>100</v>
      </c>
      <c r="AB42" s="64">
        <v>22.22</v>
      </c>
      <c r="AC42" s="64">
        <v>10</v>
      </c>
      <c r="AD42" s="64">
        <v>12</v>
      </c>
      <c r="AE42" s="64">
        <v>70</v>
      </c>
      <c r="AF42" s="64">
        <v>50</v>
      </c>
      <c r="AG42" s="51">
        <f t="shared" si="1"/>
        <v>-22.667000000000002</v>
      </c>
      <c r="AH42" s="52">
        <f t="shared" si="2"/>
        <v>22.667000000000002</v>
      </c>
      <c r="AI42" s="52" t="str">
        <f t="shared" si="3"/>
        <v>Y</v>
      </c>
      <c r="AJ42" s="52" t="str">
        <f t="shared" si="4"/>
        <v>N</v>
      </c>
      <c r="AK42" s="50" t="str">
        <f t="shared" si="5"/>
        <v>Loss</v>
      </c>
      <c r="AL42" s="50" t="str">
        <f t="shared" si="6"/>
        <v>Win</v>
      </c>
      <c r="AM42" s="50" t="str">
        <f t="shared" si="7"/>
        <v>Loss</v>
      </c>
      <c r="AN42" s="50">
        <f t="shared" si="8"/>
        <v>-50</v>
      </c>
      <c r="AO42" s="50">
        <f t="shared" si="9"/>
        <v>175</v>
      </c>
      <c r="AP42" s="50">
        <f t="shared" si="10"/>
        <v>-50</v>
      </c>
    </row>
    <row r="43" spans="1:42" x14ac:dyDescent="0.25">
      <c r="A43" s="63">
        <v>43624</v>
      </c>
      <c r="B43" s="64" t="s">
        <v>190</v>
      </c>
      <c r="C43" s="64" t="s">
        <v>191</v>
      </c>
      <c r="D43" s="64" t="s">
        <v>211</v>
      </c>
      <c r="E43" s="64" t="s">
        <v>212</v>
      </c>
      <c r="F43" s="64" t="s">
        <v>213</v>
      </c>
      <c r="G43" s="64">
        <v>1</v>
      </c>
      <c r="H43" s="64">
        <v>3</v>
      </c>
      <c r="I43" s="64">
        <v>4.01</v>
      </c>
      <c r="J43" s="64">
        <v>3.63</v>
      </c>
      <c r="K43" s="64">
        <v>1.86</v>
      </c>
      <c r="L43" s="64">
        <v>2.15</v>
      </c>
      <c r="M43" s="64">
        <v>17</v>
      </c>
      <c r="N43" s="64">
        <v>18</v>
      </c>
      <c r="O43" s="64">
        <v>0</v>
      </c>
      <c r="P43" s="64">
        <v>9</v>
      </c>
      <c r="Q43" s="64">
        <v>10</v>
      </c>
      <c r="R43" s="64">
        <v>0</v>
      </c>
      <c r="S43" s="64">
        <v>0</v>
      </c>
      <c r="T43" s="64">
        <v>0</v>
      </c>
      <c r="U43" s="64">
        <v>17.649999999999999</v>
      </c>
      <c r="V43" s="64">
        <v>17.649999999999999</v>
      </c>
      <c r="W43" s="64">
        <v>64.709999999999994</v>
      </c>
      <c r="X43" s="64">
        <v>27.78</v>
      </c>
      <c r="Y43" s="64">
        <v>27.78</v>
      </c>
      <c r="Z43" s="64">
        <v>44.44</v>
      </c>
      <c r="AA43" s="64">
        <v>33.33</v>
      </c>
      <c r="AB43" s="64">
        <v>20</v>
      </c>
      <c r="AC43" s="64">
        <v>2</v>
      </c>
      <c r="AD43" s="64">
        <v>10</v>
      </c>
      <c r="AE43" s="64">
        <v>0</v>
      </c>
      <c r="AF43" s="64">
        <v>30</v>
      </c>
      <c r="AG43" s="51">
        <f t="shared" si="1"/>
        <v>-7.0930000000000017</v>
      </c>
      <c r="AH43" s="52">
        <f t="shared" si="2"/>
        <v>7.0930000000000017</v>
      </c>
      <c r="AI43" s="52" t="str">
        <f t="shared" si="3"/>
        <v>N</v>
      </c>
      <c r="AJ43" s="52" t="str">
        <f t="shared" si="4"/>
        <v>N</v>
      </c>
      <c r="AK43" s="50" t="str">
        <f t="shared" si="5"/>
        <v>Loss</v>
      </c>
      <c r="AL43" s="50" t="str">
        <f t="shared" si="6"/>
        <v>Loss</v>
      </c>
      <c r="AM43" s="50" t="str">
        <f t="shared" si="7"/>
        <v>Win</v>
      </c>
      <c r="AN43" s="50">
        <f t="shared" si="8"/>
        <v>-50</v>
      </c>
      <c r="AO43" s="50">
        <f t="shared" si="9"/>
        <v>-50</v>
      </c>
      <c r="AP43" s="50">
        <f t="shared" si="10"/>
        <v>43</v>
      </c>
    </row>
    <row r="44" spans="1:42" x14ac:dyDescent="0.25">
      <c r="A44" s="63">
        <v>43624</v>
      </c>
      <c r="B44" s="64" t="s">
        <v>178</v>
      </c>
      <c r="C44" s="64" t="s">
        <v>179</v>
      </c>
      <c r="D44" s="64" t="s">
        <v>214</v>
      </c>
      <c r="E44" s="64" t="s">
        <v>215</v>
      </c>
      <c r="F44" s="64" t="s">
        <v>216</v>
      </c>
      <c r="G44" s="64">
        <v>0</v>
      </c>
      <c r="H44" s="64">
        <v>6</v>
      </c>
      <c r="I44" s="64">
        <v>39.08</v>
      </c>
      <c r="J44" s="64">
        <v>20.36</v>
      </c>
      <c r="K44" s="64">
        <v>1.01</v>
      </c>
      <c r="L44" s="64">
        <v>38.07</v>
      </c>
      <c r="M44" s="64">
        <v>9</v>
      </c>
      <c r="N44" s="64">
        <v>12</v>
      </c>
      <c r="O44" s="64">
        <v>1</v>
      </c>
      <c r="P44" s="64">
        <v>4</v>
      </c>
      <c r="Q44" s="64">
        <v>7</v>
      </c>
      <c r="R44" s="64">
        <v>0</v>
      </c>
      <c r="S44" s="64">
        <v>0</v>
      </c>
      <c r="T44" s="64">
        <v>100</v>
      </c>
      <c r="U44" s="64">
        <v>11.11</v>
      </c>
      <c r="V44" s="64">
        <v>0</v>
      </c>
      <c r="W44" s="64">
        <v>88.89</v>
      </c>
      <c r="X44" s="64">
        <v>66.67</v>
      </c>
      <c r="Y44" s="64">
        <v>16.670000000000002</v>
      </c>
      <c r="Z44" s="64">
        <v>16.670000000000002</v>
      </c>
      <c r="AA44" s="64">
        <v>25</v>
      </c>
      <c r="AB44" s="64">
        <v>57.14</v>
      </c>
      <c r="AC44" s="64">
        <v>0</v>
      </c>
      <c r="AD44" s="64">
        <v>7</v>
      </c>
      <c r="AE44" s="64">
        <v>0</v>
      </c>
      <c r="AF44" s="64">
        <v>100</v>
      </c>
      <c r="AG44" s="51">
        <f t="shared" si="1"/>
        <v>-57.222999999999999</v>
      </c>
      <c r="AH44" s="52">
        <f t="shared" si="2"/>
        <v>57.222999999999999</v>
      </c>
      <c r="AI44" s="52" t="str">
        <f t="shared" si="3"/>
        <v>N</v>
      </c>
      <c r="AJ44" s="52" t="str">
        <f t="shared" si="4"/>
        <v>Y</v>
      </c>
      <c r="AK44" s="50" t="str">
        <f t="shared" si="5"/>
        <v>Loss</v>
      </c>
      <c r="AL44" s="50" t="str">
        <f t="shared" si="6"/>
        <v>Loss</v>
      </c>
      <c r="AM44" s="50" t="str">
        <f t="shared" si="7"/>
        <v>Win</v>
      </c>
      <c r="AN44" s="50">
        <f t="shared" si="8"/>
        <v>-50</v>
      </c>
      <c r="AO44" s="50">
        <f t="shared" si="9"/>
        <v>-50</v>
      </c>
      <c r="AP44" s="50">
        <f t="shared" si="10"/>
        <v>0.5</v>
      </c>
    </row>
    <row r="45" spans="1:42" x14ac:dyDescent="0.25">
      <c r="A45" s="63">
        <v>43624</v>
      </c>
      <c r="B45" s="64" t="s">
        <v>178</v>
      </c>
      <c r="C45" s="64" t="s">
        <v>217</v>
      </c>
      <c r="D45" s="64" t="s">
        <v>218</v>
      </c>
      <c r="E45" s="64" t="s">
        <v>219</v>
      </c>
      <c r="F45" s="64" t="s">
        <v>220</v>
      </c>
      <c r="G45" s="64">
        <v>1</v>
      </c>
      <c r="H45" s="64">
        <v>3</v>
      </c>
      <c r="I45" s="64">
        <v>2.25</v>
      </c>
      <c r="J45" s="64">
        <v>3.86</v>
      </c>
      <c r="K45" s="64">
        <v>2.6</v>
      </c>
      <c r="L45" s="64">
        <v>-0.35</v>
      </c>
      <c r="M45" s="64">
        <v>12</v>
      </c>
      <c r="N45" s="64">
        <v>9</v>
      </c>
      <c r="O45" s="64">
        <v>1</v>
      </c>
      <c r="P45" s="64">
        <v>6</v>
      </c>
      <c r="Q45" s="64">
        <v>5</v>
      </c>
      <c r="R45" s="64">
        <v>100</v>
      </c>
      <c r="S45" s="64">
        <v>0</v>
      </c>
      <c r="T45" s="64">
        <v>0</v>
      </c>
      <c r="U45" s="64">
        <v>33.33</v>
      </c>
      <c r="V45" s="64">
        <v>8.33</v>
      </c>
      <c r="W45" s="64">
        <v>58.33</v>
      </c>
      <c r="X45" s="64">
        <v>33.33</v>
      </c>
      <c r="Y45" s="64">
        <v>0</v>
      </c>
      <c r="Z45" s="64">
        <v>66.67</v>
      </c>
      <c r="AA45" s="64">
        <v>16.670000000000002</v>
      </c>
      <c r="AB45" s="64">
        <v>60</v>
      </c>
      <c r="AC45" s="64">
        <v>2</v>
      </c>
      <c r="AD45" s="64">
        <v>1</v>
      </c>
      <c r="AE45" s="64">
        <v>0</v>
      </c>
      <c r="AF45" s="64">
        <v>0</v>
      </c>
      <c r="AG45" s="51">
        <f t="shared" si="1"/>
        <v>32.500999999999998</v>
      </c>
      <c r="AH45" s="52">
        <f t="shared" si="2"/>
        <v>-32.500999999999998</v>
      </c>
      <c r="AI45" s="52" t="str">
        <f t="shared" si="3"/>
        <v>N</v>
      </c>
      <c r="AJ45" s="52" t="str">
        <f t="shared" si="4"/>
        <v>N</v>
      </c>
      <c r="AK45" s="50" t="str">
        <f t="shared" si="5"/>
        <v>Loss</v>
      </c>
      <c r="AL45" s="50" t="str">
        <f t="shared" si="6"/>
        <v>Loss</v>
      </c>
      <c r="AM45" s="50" t="str">
        <f t="shared" si="7"/>
        <v>Win</v>
      </c>
      <c r="AN45" s="50">
        <f t="shared" si="8"/>
        <v>-50</v>
      </c>
      <c r="AO45" s="50">
        <f t="shared" si="9"/>
        <v>-50</v>
      </c>
      <c r="AP45" s="50">
        <f t="shared" si="10"/>
        <v>80</v>
      </c>
    </row>
    <row r="46" spans="1:42" x14ac:dyDescent="0.25">
      <c r="A46" s="63">
        <v>43624</v>
      </c>
      <c r="B46" s="64" t="s">
        <v>178</v>
      </c>
      <c r="C46" s="64" t="s">
        <v>217</v>
      </c>
      <c r="D46" s="64" t="s">
        <v>221</v>
      </c>
      <c r="E46" s="64" t="s">
        <v>222</v>
      </c>
      <c r="F46" s="64" t="s">
        <v>223</v>
      </c>
      <c r="G46" s="64">
        <v>2</v>
      </c>
      <c r="H46" s="64">
        <v>0</v>
      </c>
      <c r="I46" s="64">
        <v>3.63</v>
      </c>
      <c r="J46" s="64">
        <v>4.1900000000000004</v>
      </c>
      <c r="K46" s="64">
        <v>1.74</v>
      </c>
      <c r="L46" s="64">
        <v>1.89</v>
      </c>
      <c r="M46" s="64">
        <v>12</v>
      </c>
      <c r="N46" s="64">
        <v>11</v>
      </c>
      <c r="O46" s="64">
        <v>1</v>
      </c>
      <c r="P46" s="64">
        <v>7</v>
      </c>
      <c r="Q46" s="64">
        <v>5</v>
      </c>
      <c r="R46" s="64">
        <v>0</v>
      </c>
      <c r="S46" s="64">
        <v>0</v>
      </c>
      <c r="T46" s="64">
        <v>100</v>
      </c>
      <c r="U46" s="64">
        <v>16.670000000000002</v>
      </c>
      <c r="V46" s="64">
        <v>16.670000000000002</v>
      </c>
      <c r="W46" s="64">
        <v>66.67</v>
      </c>
      <c r="X46" s="64">
        <v>36.36</v>
      </c>
      <c r="Y46" s="64">
        <v>27.27</v>
      </c>
      <c r="Z46" s="64">
        <v>36.36</v>
      </c>
      <c r="AA46" s="64">
        <v>14.29</v>
      </c>
      <c r="AB46" s="64">
        <v>40</v>
      </c>
      <c r="AC46" s="64">
        <v>5</v>
      </c>
      <c r="AD46" s="64">
        <v>4</v>
      </c>
      <c r="AE46" s="64">
        <v>40</v>
      </c>
      <c r="AF46" s="64">
        <v>50</v>
      </c>
      <c r="AG46" s="51">
        <f t="shared" si="1"/>
        <v>-41.059999999999995</v>
      </c>
      <c r="AH46" s="52">
        <f t="shared" si="2"/>
        <v>41.059999999999995</v>
      </c>
      <c r="AI46" s="52" t="str">
        <f t="shared" si="3"/>
        <v>N</v>
      </c>
      <c r="AJ46" s="52" t="str">
        <f t="shared" si="4"/>
        <v>Y</v>
      </c>
      <c r="AK46" s="50" t="str">
        <f t="shared" si="5"/>
        <v>Win</v>
      </c>
      <c r="AL46" s="50" t="str">
        <f t="shared" si="6"/>
        <v>Loss</v>
      </c>
      <c r="AM46" s="50" t="str">
        <f t="shared" si="7"/>
        <v>Loss</v>
      </c>
      <c r="AN46" s="50">
        <f t="shared" si="8"/>
        <v>131.5</v>
      </c>
      <c r="AO46" s="50">
        <f t="shared" si="9"/>
        <v>-50</v>
      </c>
      <c r="AP46" s="50">
        <f t="shared" si="10"/>
        <v>-50</v>
      </c>
    </row>
    <row r="47" spans="1:42" x14ac:dyDescent="0.25">
      <c r="A47" s="63">
        <v>43624</v>
      </c>
      <c r="B47" s="64" t="s">
        <v>178</v>
      </c>
      <c r="C47" s="64" t="s">
        <v>224</v>
      </c>
      <c r="D47" s="64" t="s">
        <v>225</v>
      </c>
      <c r="E47" s="64" t="s">
        <v>226</v>
      </c>
      <c r="F47" s="64" t="s">
        <v>227</v>
      </c>
      <c r="G47" s="64">
        <v>3</v>
      </c>
      <c r="H47" s="64">
        <v>0</v>
      </c>
      <c r="I47" s="64">
        <v>1.27</v>
      </c>
      <c r="J47" s="64">
        <v>5.95</v>
      </c>
      <c r="K47" s="64">
        <v>7.03</v>
      </c>
      <c r="L47" s="64">
        <v>-5.76</v>
      </c>
      <c r="M47" s="64">
        <v>23</v>
      </c>
      <c r="N47" s="64">
        <v>23</v>
      </c>
      <c r="O47" s="64">
        <v>2</v>
      </c>
      <c r="P47" s="64">
        <v>10</v>
      </c>
      <c r="Q47" s="64">
        <v>12</v>
      </c>
      <c r="R47" s="64">
        <v>100</v>
      </c>
      <c r="S47" s="64">
        <v>0</v>
      </c>
      <c r="T47" s="64">
        <v>0</v>
      </c>
      <c r="U47" s="64">
        <v>39.130000000000003</v>
      </c>
      <c r="V47" s="64">
        <v>8.6999999999999993</v>
      </c>
      <c r="W47" s="64">
        <v>52.17</v>
      </c>
      <c r="X47" s="64">
        <v>17.39</v>
      </c>
      <c r="Y47" s="64">
        <v>4.3499999999999996</v>
      </c>
      <c r="Z47" s="64">
        <v>78.260000000000005</v>
      </c>
      <c r="AA47" s="64">
        <v>60</v>
      </c>
      <c r="AB47" s="64">
        <v>8.33</v>
      </c>
      <c r="AC47" s="64">
        <v>13</v>
      </c>
      <c r="AD47" s="64">
        <v>2</v>
      </c>
      <c r="AE47" s="64">
        <v>46.15</v>
      </c>
      <c r="AF47" s="64">
        <v>50</v>
      </c>
      <c r="AG47" s="51">
        <f t="shared" si="1"/>
        <v>40.000999999999998</v>
      </c>
      <c r="AH47" s="52">
        <f t="shared" si="2"/>
        <v>-40.000999999999998</v>
      </c>
      <c r="AI47" s="52" t="str">
        <f t="shared" si="3"/>
        <v>N</v>
      </c>
      <c r="AJ47" s="52" t="str">
        <f t="shared" si="4"/>
        <v>N</v>
      </c>
      <c r="AK47" s="50" t="str">
        <f t="shared" si="5"/>
        <v>Win</v>
      </c>
      <c r="AL47" s="50" t="str">
        <f t="shared" si="6"/>
        <v>Loss</v>
      </c>
      <c r="AM47" s="50" t="str">
        <f t="shared" si="7"/>
        <v>Loss</v>
      </c>
      <c r="AN47" s="50">
        <f t="shared" si="8"/>
        <v>13.5</v>
      </c>
      <c r="AO47" s="50">
        <f t="shared" si="9"/>
        <v>-50</v>
      </c>
      <c r="AP47" s="50">
        <f t="shared" si="10"/>
        <v>-50</v>
      </c>
    </row>
    <row r="48" spans="1:42" x14ac:dyDescent="0.25">
      <c r="A48" s="63">
        <v>43624</v>
      </c>
      <c r="B48" s="64" t="s">
        <v>178</v>
      </c>
      <c r="C48" s="64" t="s">
        <v>228</v>
      </c>
      <c r="D48" s="64" t="s">
        <v>229</v>
      </c>
      <c r="E48" s="64" t="s">
        <v>230</v>
      </c>
      <c r="F48" s="64" t="s">
        <v>231</v>
      </c>
      <c r="G48" s="64">
        <v>3</v>
      </c>
      <c r="H48" s="64">
        <v>0</v>
      </c>
      <c r="I48" s="64">
        <v>2.06</v>
      </c>
      <c r="J48" s="64">
        <v>3.94</v>
      </c>
      <c r="K48" s="64">
        <v>2.9</v>
      </c>
      <c r="L48" s="64">
        <v>-0.84</v>
      </c>
      <c r="M48" s="64">
        <v>12</v>
      </c>
      <c r="N48" s="64">
        <v>11</v>
      </c>
      <c r="O48" s="64">
        <v>1</v>
      </c>
      <c r="P48" s="64">
        <v>6</v>
      </c>
      <c r="Q48" s="64">
        <v>5</v>
      </c>
      <c r="R48" s="64">
        <v>100</v>
      </c>
      <c r="S48" s="64">
        <v>0</v>
      </c>
      <c r="T48" s="64">
        <v>0</v>
      </c>
      <c r="U48" s="64">
        <v>25</v>
      </c>
      <c r="V48" s="64">
        <v>16.670000000000002</v>
      </c>
      <c r="W48" s="64">
        <v>58.33</v>
      </c>
      <c r="X48" s="64">
        <v>18.18</v>
      </c>
      <c r="Y48" s="64">
        <v>9.09</v>
      </c>
      <c r="Z48" s="64">
        <v>72.73</v>
      </c>
      <c r="AA48" s="64">
        <v>16.670000000000002</v>
      </c>
      <c r="AB48" s="64">
        <v>20</v>
      </c>
      <c r="AC48" s="64">
        <v>1</v>
      </c>
      <c r="AD48" s="64">
        <v>2</v>
      </c>
      <c r="AE48" s="64">
        <v>100</v>
      </c>
      <c r="AF48" s="64">
        <v>0</v>
      </c>
      <c r="AG48" s="51">
        <f t="shared" si="1"/>
        <v>35.002000000000002</v>
      </c>
      <c r="AH48" s="52">
        <f t="shared" si="2"/>
        <v>-35.002000000000002</v>
      </c>
      <c r="AI48" s="52" t="str">
        <f t="shared" si="3"/>
        <v>N</v>
      </c>
      <c r="AJ48" s="52" t="str">
        <f t="shared" si="4"/>
        <v>N</v>
      </c>
      <c r="AK48" s="50" t="str">
        <f t="shared" si="5"/>
        <v>Win</v>
      </c>
      <c r="AL48" s="50" t="str">
        <f t="shared" si="6"/>
        <v>Loss</v>
      </c>
      <c r="AM48" s="50" t="str">
        <f t="shared" si="7"/>
        <v>Loss</v>
      </c>
      <c r="AN48" s="50">
        <f t="shared" si="8"/>
        <v>53</v>
      </c>
      <c r="AO48" s="50">
        <f t="shared" si="9"/>
        <v>-50</v>
      </c>
      <c r="AP48" s="50">
        <f t="shared" si="10"/>
        <v>-50</v>
      </c>
    </row>
    <row r="49" spans="1:42" x14ac:dyDescent="0.25">
      <c r="A49" s="63">
        <v>43624</v>
      </c>
      <c r="B49" s="64" t="s">
        <v>178</v>
      </c>
      <c r="C49" s="64" t="s">
        <v>228</v>
      </c>
      <c r="D49" s="64" t="s">
        <v>232</v>
      </c>
      <c r="E49" s="64" t="s">
        <v>233</v>
      </c>
      <c r="F49" s="64" t="s">
        <v>234</v>
      </c>
      <c r="G49" s="64">
        <v>4</v>
      </c>
      <c r="H49" s="64">
        <v>1</v>
      </c>
      <c r="I49" s="64">
        <v>2.2999999999999998</v>
      </c>
      <c r="J49" s="64">
        <v>3.76</v>
      </c>
      <c r="K49" s="64">
        <v>2.61</v>
      </c>
      <c r="L49" s="64">
        <v>-0.31</v>
      </c>
      <c r="M49" s="64">
        <v>11</v>
      </c>
      <c r="N49" s="64">
        <v>11</v>
      </c>
      <c r="O49" s="64">
        <v>1</v>
      </c>
      <c r="P49" s="64">
        <v>6</v>
      </c>
      <c r="Q49" s="64">
        <v>6</v>
      </c>
      <c r="R49" s="64">
        <v>100</v>
      </c>
      <c r="S49" s="64">
        <v>0</v>
      </c>
      <c r="T49" s="64">
        <v>0</v>
      </c>
      <c r="U49" s="64">
        <v>36.36</v>
      </c>
      <c r="V49" s="64">
        <v>27.27</v>
      </c>
      <c r="W49" s="64">
        <v>36.36</v>
      </c>
      <c r="X49" s="64">
        <v>45.45</v>
      </c>
      <c r="Y49" s="64">
        <v>9.09</v>
      </c>
      <c r="Z49" s="64">
        <v>45.45</v>
      </c>
      <c r="AA49" s="64">
        <v>33.33</v>
      </c>
      <c r="AB49" s="64">
        <v>50</v>
      </c>
      <c r="AC49" s="64">
        <v>4</v>
      </c>
      <c r="AD49" s="64">
        <v>6</v>
      </c>
      <c r="AE49" s="64">
        <v>50</v>
      </c>
      <c r="AF49" s="64">
        <v>50</v>
      </c>
      <c r="AG49" s="51">
        <f t="shared" si="1"/>
        <v>31.817999999999998</v>
      </c>
      <c r="AH49" s="52">
        <f t="shared" si="2"/>
        <v>-31.817999999999998</v>
      </c>
      <c r="AI49" s="52" t="str">
        <f t="shared" si="3"/>
        <v>N</v>
      </c>
      <c r="AJ49" s="52" t="str">
        <f t="shared" si="4"/>
        <v>N</v>
      </c>
      <c r="AK49" s="50" t="str">
        <f t="shared" si="5"/>
        <v>Win</v>
      </c>
      <c r="AL49" s="50" t="str">
        <f t="shared" si="6"/>
        <v>Loss</v>
      </c>
      <c r="AM49" s="50" t="str">
        <f t="shared" si="7"/>
        <v>Loss</v>
      </c>
      <c r="AN49" s="50">
        <f t="shared" si="8"/>
        <v>64.999999999999986</v>
      </c>
      <c r="AO49" s="50">
        <f t="shared" si="9"/>
        <v>-50</v>
      </c>
      <c r="AP49" s="50">
        <f t="shared" si="10"/>
        <v>-50</v>
      </c>
    </row>
    <row r="50" spans="1:42" x14ac:dyDescent="0.25">
      <c r="A50" s="63">
        <v>43624</v>
      </c>
      <c r="B50" s="64" t="s">
        <v>178</v>
      </c>
      <c r="C50" s="64" t="s">
        <v>228</v>
      </c>
      <c r="D50" s="64" t="s">
        <v>235</v>
      </c>
      <c r="E50" s="64" t="s">
        <v>236</v>
      </c>
      <c r="F50" s="64" t="s">
        <v>237</v>
      </c>
      <c r="G50" s="64">
        <v>0</v>
      </c>
      <c r="H50" s="64">
        <v>6</v>
      </c>
      <c r="I50" s="64">
        <v>2.76</v>
      </c>
      <c r="J50" s="64">
        <v>3.97</v>
      </c>
      <c r="K50" s="64">
        <v>2.14</v>
      </c>
      <c r="L50" s="64">
        <v>0.62</v>
      </c>
      <c r="M50" s="64">
        <v>19</v>
      </c>
      <c r="N50" s="64">
        <v>11</v>
      </c>
      <c r="O50" s="64">
        <v>1</v>
      </c>
      <c r="P50" s="64">
        <v>9</v>
      </c>
      <c r="Q50" s="64">
        <v>5</v>
      </c>
      <c r="R50" s="64">
        <v>0</v>
      </c>
      <c r="S50" s="64">
        <v>0</v>
      </c>
      <c r="T50" s="64">
        <v>100</v>
      </c>
      <c r="U50" s="64">
        <v>47.37</v>
      </c>
      <c r="V50" s="64">
        <v>21.05</v>
      </c>
      <c r="W50" s="64">
        <v>31.58</v>
      </c>
      <c r="X50" s="64">
        <v>54.55</v>
      </c>
      <c r="Y50" s="64">
        <v>18.18</v>
      </c>
      <c r="Z50" s="64">
        <v>27.27</v>
      </c>
      <c r="AA50" s="64">
        <v>77.78</v>
      </c>
      <c r="AB50" s="64">
        <v>60</v>
      </c>
      <c r="AC50" s="64">
        <v>13</v>
      </c>
      <c r="AD50" s="64">
        <v>10</v>
      </c>
      <c r="AE50" s="64">
        <v>69.23</v>
      </c>
      <c r="AF50" s="64">
        <v>60</v>
      </c>
      <c r="AG50" s="51">
        <f t="shared" si="1"/>
        <v>-32.010999999999996</v>
      </c>
      <c r="AH50" s="52">
        <f t="shared" si="2"/>
        <v>32.010999999999996</v>
      </c>
      <c r="AI50" s="52" t="str">
        <f t="shared" si="3"/>
        <v>N</v>
      </c>
      <c r="AJ50" s="52" t="str">
        <f t="shared" si="4"/>
        <v>N</v>
      </c>
      <c r="AK50" s="50" t="str">
        <f t="shared" si="5"/>
        <v>Loss</v>
      </c>
      <c r="AL50" s="50" t="str">
        <f t="shared" si="6"/>
        <v>Loss</v>
      </c>
      <c r="AM50" s="50" t="str">
        <f t="shared" si="7"/>
        <v>Win</v>
      </c>
      <c r="AN50" s="50">
        <f t="shared" si="8"/>
        <v>-50</v>
      </c>
      <c r="AO50" s="50">
        <f t="shared" si="9"/>
        <v>-50</v>
      </c>
      <c r="AP50" s="50">
        <f t="shared" si="10"/>
        <v>57</v>
      </c>
    </row>
    <row r="51" spans="1:42" x14ac:dyDescent="0.25">
      <c r="A51" s="63">
        <v>43624</v>
      </c>
      <c r="B51" s="64" t="s">
        <v>178</v>
      </c>
      <c r="C51" s="64" t="s">
        <v>228</v>
      </c>
      <c r="D51" s="64" t="s">
        <v>238</v>
      </c>
      <c r="E51" s="64" t="s">
        <v>239</v>
      </c>
      <c r="F51" s="64" t="s">
        <v>240</v>
      </c>
      <c r="G51" s="64">
        <v>0</v>
      </c>
      <c r="H51" s="64">
        <v>0</v>
      </c>
      <c r="I51" s="64">
        <v>9.76</v>
      </c>
      <c r="J51" s="64">
        <v>6.22</v>
      </c>
      <c r="K51" s="64">
        <v>1.21</v>
      </c>
      <c r="L51" s="64">
        <v>8.5500000000000007</v>
      </c>
      <c r="M51" s="64">
        <v>11</v>
      </c>
      <c r="N51" s="64">
        <v>12</v>
      </c>
      <c r="O51" s="64">
        <v>1</v>
      </c>
      <c r="P51" s="64">
        <v>6</v>
      </c>
      <c r="Q51" s="64">
        <v>7</v>
      </c>
      <c r="R51" s="64">
        <v>0</v>
      </c>
      <c r="S51" s="64">
        <v>100</v>
      </c>
      <c r="T51" s="64">
        <v>0</v>
      </c>
      <c r="U51" s="64">
        <v>9.09</v>
      </c>
      <c r="V51" s="64">
        <v>36.36</v>
      </c>
      <c r="W51" s="64">
        <v>54.55</v>
      </c>
      <c r="X51" s="64">
        <v>75</v>
      </c>
      <c r="Y51" s="64">
        <v>16.670000000000002</v>
      </c>
      <c r="Z51" s="64">
        <v>8.33</v>
      </c>
      <c r="AA51" s="64">
        <v>16.670000000000002</v>
      </c>
      <c r="AB51" s="64">
        <v>71.430000000000007</v>
      </c>
      <c r="AC51" s="64">
        <v>5</v>
      </c>
      <c r="AD51" s="64">
        <v>11</v>
      </c>
      <c r="AE51" s="64">
        <v>20</v>
      </c>
      <c r="AF51" s="64">
        <v>81.819999999999993</v>
      </c>
      <c r="AG51" s="51">
        <f t="shared" si="1"/>
        <v>-10.456999999999999</v>
      </c>
      <c r="AH51" s="52">
        <f t="shared" si="2"/>
        <v>30.456999999999997</v>
      </c>
      <c r="AI51" s="52" t="str">
        <f t="shared" si="3"/>
        <v>N</v>
      </c>
      <c r="AJ51" s="52" t="str">
        <f t="shared" si="4"/>
        <v>N</v>
      </c>
      <c r="AK51" s="50" t="str">
        <f t="shared" si="5"/>
        <v>Loss</v>
      </c>
      <c r="AL51" s="50" t="str">
        <f t="shared" si="6"/>
        <v>Win</v>
      </c>
      <c r="AM51" s="50" t="str">
        <f t="shared" si="7"/>
        <v>Loss</v>
      </c>
      <c r="AN51" s="50">
        <f t="shared" si="8"/>
        <v>-50</v>
      </c>
      <c r="AO51" s="50">
        <f t="shared" si="9"/>
        <v>261</v>
      </c>
      <c r="AP51" s="50">
        <f t="shared" si="10"/>
        <v>-50</v>
      </c>
    </row>
    <row r="52" spans="1:42" x14ac:dyDescent="0.25">
      <c r="A52" s="63">
        <v>43624</v>
      </c>
      <c r="B52" s="64" t="s">
        <v>178</v>
      </c>
      <c r="C52" s="64" t="s">
        <v>228</v>
      </c>
      <c r="D52" s="64" t="s">
        <v>241</v>
      </c>
      <c r="E52" s="64" t="s">
        <v>242</v>
      </c>
      <c r="F52" s="64" t="s">
        <v>243</v>
      </c>
      <c r="G52" s="64">
        <v>0</v>
      </c>
      <c r="H52" s="64">
        <v>2</v>
      </c>
      <c r="I52" s="64">
        <v>2.89</v>
      </c>
      <c r="J52" s="64">
        <v>3.72</v>
      </c>
      <c r="K52" s="64">
        <v>2.12</v>
      </c>
      <c r="L52" s="64">
        <v>0.77</v>
      </c>
      <c r="M52" s="64">
        <v>11</v>
      </c>
      <c r="N52" s="64">
        <v>11</v>
      </c>
      <c r="O52" s="64">
        <v>1</v>
      </c>
      <c r="P52" s="64">
        <v>4</v>
      </c>
      <c r="Q52" s="64">
        <v>5</v>
      </c>
      <c r="R52" s="64">
        <v>0</v>
      </c>
      <c r="S52" s="64">
        <v>0</v>
      </c>
      <c r="T52" s="64">
        <v>100</v>
      </c>
      <c r="U52" s="64">
        <v>27.27</v>
      </c>
      <c r="V52" s="64">
        <v>9.09</v>
      </c>
      <c r="W52" s="64">
        <v>63.64</v>
      </c>
      <c r="X52" s="64">
        <v>45.45</v>
      </c>
      <c r="Y52" s="64">
        <v>18.18</v>
      </c>
      <c r="Z52" s="64">
        <v>36.36</v>
      </c>
      <c r="AA52" s="64">
        <v>50</v>
      </c>
      <c r="AB52" s="64">
        <v>20</v>
      </c>
      <c r="AC52" s="64">
        <v>1</v>
      </c>
      <c r="AD52" s="64">
        <v>5</v>
      </c>
      <c r="AE52" s="64">
        <v>0</v>
      </c>
      <c r="AF52" s="64">
        <v>60</v>
      </c>
      <c r="AG52" s="51">
        <f t="shared" si="1"/>
        <v>-40.001000000000005</v>
      </c>
      <c r="AH52" s="52">
        <f t="shared" si="2"/>
        <v>40.001000000000005</v>
      </c>
      <c r="AI52" s="52" t="str">
        <f t="shared" si="3"/>
        <v>N</v>
      </c>
      <c r="AJ52" s="52" t="str">
        <f t="shared" si="4"/>
        <v>N</v>
      </c>
      <c r="AK52" s="50" t="str">
        <f t="shared" si="5"/>
        <v>Loss</v>
      </c>
      <c r="AL52" s="50" t="str">
        <f t="shared" si="6"/>
        <v>Loss</v>
      </c>
      <c r="AM52" s="50" t="str">
        <f t="shared" si="7"/>
        <v>Win</v>
      </c>
      <c r="AN52" s="50">
        <f t="shared" si="8"/>
        <v>-50</v>
      </c>
      <c r="AO52" s="50">
        <f t="shared" si="9"/>
        <v>-50</v>
      </c>
      <c r="AP52" s="50">
        <f t="shared" si="10"/>
        <v>56</v>
      </c>
    </row>
    <row r="53" spans="1:42" x14ac:dyDescent="0.25">
      <c r="A53" s="63">
        <v>43624</v>
      </c>
      <c r="B53" s="64" t="s">
        <v>178</v>
      </c>
      <c r="C53" s="64" t="s">
        <v>228</v>
      </c>
      <c r="D53" s="64" t="s">
        <v>244</v>
      </c>
      <c r="E53" s="64" t="s">
        <v>245</v>
      </c>
      <c r="F53" s="64" t="s">
        <v>246</v>
      </c>
      <c r="G53" s="64">
        <v>3</v>
      </c>
      <c r="H53" s="64">
        <v>0</v>
      </c>
      <c r="I53" s="64">
        <v>2.08</v>
      </c>
      <c r="J53" s="64">
        <v>3.84</v>
      </c>
      <c r="K53" s="64">
        <v>2.93</v>
      </c>
      <c r="L53" s="64">
        <v>-0.85</v>
      </c>
      <c r="M53" s="64">
        <v>11</v>
      </c>
      <c r="N53" s="64">
        <v>11</v>
      </c>
      <c r="O53" s="64">
        <v>1</v>
      </c>
      <c r="P53" s="64">
        <v>6</v>
      </c>
      <c r="Q53" s="64">
        <v>6</v>
      </c>
      <c r="R53" s="64">
        <v>100</v>
      </c>
      <c r="S53" s="64">
        <v>0</v>
      </c>
      <c r="T53" s="64">
        <v>0</v>
      </c>
      <c r="U53" s="64">
        <v>36.36</v>
      </c>
      <c r="V53" s="64">
        <v>27.27</v>
      </c>
      <c r="W53" s="64">
        <v>36.36</v>
      </c>
      <c r="X53" s="64">
        <v>45.45</v>
      </c>
      <c r="Y53" s="64">
        <v>27.27</v>
      </c>
      <c r="Z53" s="64">
        <v>27.27</v>
      </c>
      <c r="AA53" s="64">
        <v>50</v>
      </c>
      <c r="AB53" s="64">
        <v>50</v>
      </c>
      <c r="AC53" s="64">
        <v>9</v>
      </c>
      <c r="AD53" s="64">
        <v>4</v>
      </c>
      <c r="AE53" s="64">
        <v>44.44</v>
      </c>
      <c r="AF53" s="64">
        <v>100</v>
      </c>
      <c r="AG53" s="51">
        <f t="shared" si="1"/>
        <v>26.363999999999994</v>
      </c>
      <c r="AH53" s="52">
        <f t="shared" si="2"/>
        <v>-26.363999999999994</v>
      </c>
      <c r="AI53" s="52" t="str">
        <f t="shared" si="3"/>
        <v>N</v>
      </c>
      <c r="AJ53" s="52" t="str">
        <f t="shared" si="4"/>
        <v>N</v>
      </c>
      <c r="AK53" s="50" t="str">
        <f t="shared" si="5"/>
        <v>Win</v>
      </c>
      <c r="AL53" s="50" t="str">
        <f t="shared" si="6"/>
        <v>Loss</v>
      </c>
      <c r="AM53" s="50" t="str">
        <f t="shared" si="7"/>
        <v>Loss</v>
      </c>
      <c r="AN53" s="50">
        <f t="shared" si="8"/>
        <v>54</v>
      </c>
      <c r="AO53" s="50">
        <f t="shared" si="9"/>
        <v>-50</v>
      </c>
      <c r="AP53" s="50">
        <f t="shared" si="10"/>
        <v>-50</v>
      </c>
    </row>
    <row r="54" spans="1:42" x14ac:dyDescent="0.25">
      <c r="A54" s="63">
        <v>43624</v>
      </c>
      <c r="B54" s="64" t="s">
        <v>178</v>
      </c>
      <c r="C54" s="64" t="s">
        <v>224</v>
      </c>
      <c r="D54" s="64" t="s">
        <v>247</v>
      </c>
      <c r="E54" s="64" t="s">
        <v>248</v>
      </c>
      <c r="F54" s="64" t="s">
        <v>249</v>
      </c>
      <c r="G54" s="64">
        <v>1</v>
      </c>
      <c r="H54" s="64">
        <v>1</v>
      </c>
      <c r="I54" s="64">
        <v>1.93</v>
      </c>
      <c r="J54" s="64">
        <v>3.98</v>
      </c>
      <c r="K54" s="64">
        <v>3.02</v>
      </c>
      <c r="L54" s="64">
        <v>-1.0900000000000001</v>
      </c>
      <c r="M54" s="64">
        <v>23</v>
      </c>
      <c r="N54" s="64">
        <v>21</v>
      </c>
      <c r="O54" s="64">
        <v>2</v>
      </c>
      <c r="P54" s="64">
        <v>10</v>
      </c>
      <c r="Q54" s="64">
        <v>10</v>
      </c>
      <c r="R54" s="64">
        <v>0</v>
      </c>
      <c r="S54" s="64">
        <v>100</v>
      </c>
      <c r="T54" s="64">
        <v>0</v>
      </c>
      <c r="U54" s="64">
        <v>21.74</v>
      </c>
      <c r="V54" s="64">
        <v>13.04</v>
      </c>
      <c r="W54" s="64">
        <v>65.22</v>
      </c>
      <c r="X54" s="64">
        <v>33.33</v>
      </c>
      <c r="Y54" s="64">
        <v>28.57</v>
      </c>
      <c r="Z54" s="64">
        <v>38.1</v>
      </c>
      <c r="AA54" s="64">
        <v>20</v>
      </c>
      <c r="AB54" s="64">
        <v>30</v>
      </c>
      <c r="AC54" s="64">
        <v>1</v>
      </c>
      <c r="AD54" s="64">
        <v>7</v>
      </c>
      <c r="AE54" s="64">
        <v>100</v>
      </c>
      <c r="AF54" s="64">
        <v>42.86</v>
      </c>
      <c r="AG54" s="51">
        <f t="shared" si="1"/>
        <v>0.70499999999999918</v>
      </c>
      <c r="AH54" s="52">
        <f t="shared" si="2"/>
        <v>19.294999999999998</v>
      </c>
      <c r="AI54" s="52" t="str">
        <f t="shared" si="3"/>
        <v>N</v>
      </c>
      <c r="AJ54" s="52" t="str">
        <f t="shared" si="4"/>
        <v>N</v>
      </c>
      <c r="AK54" s="50" t="str">
        <f t="shared" si="5"/>
        <v>Loss</v>
      </c>
      <c r="AL54" s="50" t="str">
        <f t="shared" si="6"/>
        <v>Win</v>
      </c>
      <c r="AM54" s="50" t="str">
        <f t="shared" si="7"/>
        <v>Loss</v>
      </c>
      <c r="AN54" s="50">
        <f t="shared" si="8"/>
        <v>-50</v>
      </c>
      <c r="AO54" s="50">
        <f t="shared" si="9"/>
        <v>149</v>
      </c>
      <c r="AP54" s="50">
        <f t="shared" si="10"/>
        <v>-50</v>
      </c>
    </row>
    <row r="55" spans="1:42" x14ac:dyDescent="0.25">
      <c r="A55" s="63">
        <v>43624</v>
      </c>
      <c r="B55" s="64" t="s">
        <v>178</v>
      </c>
      <c r="C55" s="64" t="s">
        <v>186</v>
      </c>
      <c r="D55" s="64" t="s">
        <v>250</v>
      </c>
      <c r="E55" s="64" t="s">
        <v>251</v>
      </c>
      <c r="F55" s="64" t="s">
        <v>252</v>
      </c>
      <c r="G55" s="64">
        <v>2</v>
      </c>
      <c r="H55" s="64">
        <v>0</v>
      </c>
      <c r="I55" s="64">
        <v>2.19</v>
      </c>
      <c r="J55" s="64">
        <v>3.58</v>
      </c>
      <c r="K55" s="64">
        <v>2.9</v>
      </c>
      <c r="L55" s="64">
        <v>-0.71</v>
      </c>
      <c r="M55" s="64">
        <v>15</v>
      </c>
      <c r="N55" s="64">
        <v>15</v>
      </c>
      <c r="O55" s="64">
        <v>1</v>
      </c>
      <c r="P55" s="64">
        <v>7</v>
      </c>
      <c r="Q55" s="64">
        <v>8</v>
      </c>
      <c r="R55" s="64">
        <v>0</v>
      </c>
      <c r="S55" s="64">
        <v>100</v>
      </c>
      <c r="T55" s="64">
        <v>0</v>
      </c>
      <c r="U55" s="64">
        <v>46.67</v>
      </c>
      <c r="V55" s="64">
        <v>26.67</v>
      </c>
      <c r="W55" s="64">
        <v>26.67</v>
      </c>
      <c r="X55" s="64">
        <v>46.67</v>
      </c>
      <c r="Y55" s="64">
        <v>6.67</v>
      </c>
      <c r="Z55" s="64">
        <v>46.67</v>
      </c>
      <c r="AA55" s="64">
        <v>71.430000000000007</v>
      </c>
      <c r="AB55" s="64">
        <v>50</v>
      </c>
      <c r="AC55" s="64">
        <v>8</v>
      </c>
      <c r="AD55" s="64">
        <v>8</v>
      </c>
      <c r="AE55" s="64">
        <v>62.5</v>
      </c>
      <c r="AF55" s="64">
        <v>50</v>
      </c>
      <c r="AG55" s="51">
        <f t="shared" si="1"/>
        <v>16.000000000000007</v>
      </c>
      <c r="AH55" s="52">
        <f t="shared" si="2"/>
        <v>3.9999999999999982</v>
      </c>
      <c r="AI55" s="52" t="str">
        <f t="shared" si="3"/>
        <v>N</v>
      </c>
      <c r="AJ55" s="52" t="str">
        <f t="shared" si="4"/>
        <v>N</v>
      </c>
      <c r="AK55" s="50" t="str">
        <f t="shared" si="5"/>
        <v>Win</v>
      </c>
      <c r="AL55" s="50" t="str">
        <f t="shared" si="6"/>
        <v>Loss</v>
      </c>
      <c r="AM55" s="50" t="str">
        <f t="shared" si="7"/>
        <v>Loss</v>
      </c>
      <c r="AN55" s="50">
        <f t="shared" si="8"/>
        <v>59.5</v>
      </c>
      <c r="AO55" s="50">
        <f t="shared" si="9"/>
        <v>-50</v>
      </c>
      <c r="AP55" s="50">
        <f t="shared" si="10"/>
        <v>-50</v>
      </c>
    </row>
    <row r="56" spans="1:42" x14ac:dyDescent="0.25">
      <c r="A56" s="63">
        <v>43624</v>
      </c>
      <c r="B56" s="64" t="s">
        <v>253</v>
      </c>
      <c r="C56" s="64" t="s">
        <v>254</v>
      </c>
      <c r="D56" s="64" t="s">
        <v>255</v>
      </c>
      <c r="E56" s="64" t="s">
        <v>256</v>
      </c>
      <c r="F56" s="64" t="s">
        <v>257</v>
      </c>
      <c r="G56" s="64">
        <v>1</v>
      </c>
      <c r="H56" s="64">
        <v>1</v>
      </c>
      <c r="I56" s="64">
        <v>4.71</v>
      </c>
      <c r="J56" s="64">
        <v>3.81</v>
      </c>
      <c r="K56" s="64">
        <v>1.59</v>
      </c>
      <c r="L56" s="64">
        <v>3.12</v>
      </c>
      <c r="M56" s="64">
        <v>16</v>
      </c>
      <c r="N56" s="64">
        <v>14</v>
      </c>
      <c r="O56" s="64">
        <v>0</v>
      </c>
      <c r="P56" s="64">
        <v>8</v>
      </c>
      <c r="Q56" s="64">
        <v>7</v>
      </c>
      <c r="R56" s="64">
        <v>0</v>
      </c>
      <c r="S56" s="64">
        <v>0</v>
      </c>
      <c r="T56" s="64">
        <v>0</v>
      </c>
      <c r="U56" s="64">
        <v>62.5</v>
      </c>
      <c r="V56" s="64">
        <v>18.75</v>
      </c>
      <c r="W56" s="64">
        <v>18.75</v>
      </c>
      <c r="X56" s="64">
        <v>78.569999999999993</v>
      </c>
      <c r="Y56" s="64">
        <v>14.29</v>
      </c>
      <c r="Z56" s="64">
        <v>7.14</v>
      </c>
      <c r="AA56" s="64">
        <v>75</v>
      </c>
      <c r="AB56" s="64">
        <v>71.430000000000007</v>
      </c>
      <c r="AC56" s="64">
        <v>13</v>
      </c>
      <c r="AD56" s="64">
        <v>11</v>
      </c>
      <c r="AE56" s="64">
        <v>69.23</v>
      </c>
      <c r="AF56" s="64">
        <v>81.819999999999993</v>
      </c>
      <c r="AG56" s="51">
        <f t="shared" si="1"/>
        <v>-5.089999999999999</v>
      </c>
      <c r="AH56" s="52">
        <f t="shared" si="2"/>
        <v>5.089999999999999</v>
      </c>
      <c r="AI56" s="52" t="str">
        <f t="shared" si="3"/>
        <v>N</v>
      </c>
      <c r="AJ56" s="52" t="str">
        <f t="shared" si="4"/>
        <v>N</v>
      </c>
      <c r="AK56" s="50" t="str">
        <f t="shared" si="5"/>
        <v>Loss</v>
      </c>
      <c r="AL56" s="50" t="str">
        <f t="shared" si="6"/>
        <v>Win</v>
      </c>
      <c r="AM56" s="50" t="str">
        <f t="shared" si="7"/>
        <v>Loss</v>
      </c>
      <c r="AN56" s="50">
        <f t="shared" si="8"/>
        <v>-50</v>
      </c>
      <c r="AO56" s="50">
        <f t="shared" si="9"/>
        <v>140.5</v>
      </c>
      <c r="AP56" s="50">
        <f t="shared" si="10"/>
        <v>-50</v>
      </c>
    </row>
    <row r="57" spans="1:42" x14ac:dyDescent="0.25">
      <c r="A57" s="63">
        <v>43624</v>
      </c>
      <c r="B57" s="64" t="s">
        <v>253</v>
      </c>
      <c r="C57" s="64" t="s">
        <v>254</v>
      </c>
      <c r="D57" s="64" t="s">
        <v>258</v>
      </c>
      <c r="E57" s="64" t="s">
        <v>259</v>
      </c>
      <c r="F57" s="64" t="s">
        <v>260</v>
      </c>
      <c r="G57" s="64">
        <v>2</v>
      </c>
      <c r="H57" s="64">
        <v>0</v>
      </c>
      <c r="I57" s="64">
        <v>3.69</v>
      </c>
      <c r="J57" s="64">
        <v>3.75</v>
      </c>
      <c r="K57" s="64">
        <v>1.77</v>
      </c>
      <c r="L57" s="64">
        <v>1.92</v>
      </c>
      <c r="M57" s="64">
        <v>10</v>
      </c>
      <c r="N57" s="64">
        <v>13</v>
      </c>
      <c r="O57" s="64">
        <v>0</v>
      </c>
      <c r="P57" s="64">
        <v>5</v>
      </c>
      <c r="Q57" s="64">
        <v>6</v>
      </c>
      <c r="R57" s="64">
        <v>0</v>
      </c>
      <c r="S57" s="64">
        <v>0</v>
      </c>
      <c r="T57" s="64">
        <v>0</v>
      </c>
      <c r="U57" s="64">
        <v>0</v>
      </c>
      <c r="V57" s="64">
        <v>20</v>
      </c>
      <c r="W57" s="64">
        <v>80</v>
      </c>
      <c r="X57" s="64">
        <v>7.69</v>
      </c>
      <c r="Y57" s="64">
        <v>7.69</v>
      </c>
      <c r="Z57" s="64">
        <v>84.62</v>
      </c>
      <c r="AA57" s="64">
        <v>0</v>
      </c>
      <c r="AB57" s="64">
        <v>0</v>
      </c>
      <c r="AC57" s="64">
        <v>0</v>
      </c>
      <c r="AD57" s="64">
        <v>1</v>
      </c>
      <c r="AE57" s="64">
        <v>0</v>
      </c>
      <c r="AF57" s="64">
        <v>100</v>
      </c>
      <c r="AG57" s="51">
        <f t="shared" si="1"/>
        <v>0.61700000000000088</v>
      </c>
      <c r="AH57" s="52">
        <f t="shared" si="2"/>
        <v>-0.61700000000000088</v>
      </c>
      <c r="AI57" s="52" t="str">
        <f t="shared" si="3"/>
        <v>N</v>
      </c>
      <c r="AJ57" s="52" t="str">
        <f t="shared" si="4"/>
        <v>N</v>
      </c>
      <c r="AK57" s="50" t="str">
        <f t="shared" si="5"/>
        <v>Win</v>
      </c>
      <c r="AL57" s="50" t="str">
        <f t="shared" si="6"/>
        <v>Loss</v>
      </c>
      <c r="AM57" s="50" t="str">
        <f t="shared" si="7"/>
        <v>Loss</v>
      </c>
      <c r="AN57" s="50">
        <f t="shared" si="8"/>
        <v>134.5</v>
      </c>
      <c r="AO57" s="50">
        <f t="shared" si="9"/>
        <v>-50</v>
      </c>
      <c r="AP57" s="50">
        <f t="shared" si="10"/>
        <v>-50</v>
      </c>
    </row>
    <row r="58" spans="1:42" x14ac:dyDescent="0.25">
      <c r="A58" s="63">
        <v>43624</v>
      </c>
      <c r="B58" s="64" t="s">
        <v>253</v>
      </c>
      <c r="C58" s="64" t="s">
        <v>254</v>
      </c>
      <c r="D58" s="64" t="s">
        <v>261</v>
      </c>
      <c r="E58" s="64" t="s">
        <v>262</v>
      </c>
      <c r="F58" s="64" t="s">
        <v>263</v>
      </c>
      <c r="G58" s="64">
        <v>1</v>
      </c>
      <c r="H58" s="64">
        <v>3</v>
      </c>
      <c r="I58" s="64">
        <v>2.89</v>
      </c>
      <c r="J58" s="64">
        <v>3.18</v>
      </c>
      <c r="K58" s="64">
        <v>2.17</v>
      </c>
      <c r="L58" s="64">
        <v>0.72</v>
      </c>
      <c r="M58" s="64">
        <v>9</v>
      </c>
      <c r="N58" s="64">
        <v>15</v>
      </c>
      <c r="O58" s="64">
        <v>0</v>
      </c>
      <c r="P58" s="64">
        <v>3</v>
      </c>
      <c r="Q58" s="64">
        <v>9</v>
      </c>
      <c r="R58" s="64">
        <v>0</v>
      </c>
      <c r="S58" s="64">
        <v>0</v>
      </c>
      <c r="T58" s="64">
        <v>0</v>
      </c>
      <c r="U58" s="64">
        <v>55.56</v>
      </c>
      <c r="V58" s="64">
        <v>11.11</v>
      </c>
      <c r="W58" s="64">
        <v>33.33</v>
      </c>
      <c r="X58" s="64">
        <v>60</v>
      </c>
      <c r="Y58" s="64">
        <v>20</v>
      </c>
      <c r="Z58" s="64">
        <v>20</v>
      </c>
      <c r="AA58" s="64">
        <v>66.67</v>
      </c>
      <c r="AB58" s="64">
        <v>33.33</v>
      </c>
      <c r="AC58" s="64">
        <v>7</v>
      </c>
      <c r="AD58" s="64">
        <v>12</v>
      </c>
      <c r="AE58" s="64">
        <v>71.430000000000007</v>
      </c>
      <c r="AF58" s="64">
        <v>75</v>
      </c>
      <c r="AG58" s="51">
        <f t="shared" si="1"/>
        <v>-4.4429999999999978</v>
      </c>
      <c r="AH58" s="52">
        <f t="shared" si="2"/>
        <v>4.4429999999999978</v>
      </c>
      <c r="AI58" s="52" t="str">
        <f t="shared" si="3"/>
        <v>N</v>
      </c>
      <c r="AJ58" s="52" t="str">
        <f t="shared" si="4"/>
        <v>N</v>
      </c>
      <c r="AK58" s="50" t="str">
        <f t="shared" si="5"/>
        <v>Loss</v>
      </c>
      <c r="AL58" s="50" t="str">
        <f t="shared" si="6"/>
        <v>Loss</v>
      </c>
      <c r="AM58" s="50" t="str">
        <f t="shared" si="7"/>
        <v>Win</v>
      </c>
      <c r="AN58" s="50">
        <f t="shared" si="8"/>
        <v>-50</v>
      </c>
      <c r="AO58" s="50">
        <f t="shared" si="9"/>
        <v>-50</v>
      </c>
      <c r="AP58" s="50">
        <f t="shared" si="10"/>
        <v>58.5</v>
      </c>
    </row>
    <row r="59" spans="1:42" x14ac:dyDescent="0.25">
      <c r="A59" s="63">
        <v>43624</v>
      </c>
      <c r="B59" s="64" t="s">
        <v>253</v>
      </c>
      <c r="C59" s="64" t="s">
        <v>254</v>
      </c>
      <c r="D59" s="64" t="s">
        <v>264</v>
      </c>
      <c r="E59" s="64" t="s">
        <v>265</v>
      </c>
      <c r="F59" s="64" t="s">
        <v>266</v>
      </c>
      <c r="G59" s="64">
        <v>1</v>
      </c>
      <c r="H59" s="64">
        <v>1</v>
      </c>
      <c r="I59" s="64">
        <v>1.94</v>
      </c>
      <c r="J59" s="64">
        <v>3.03</v>
      </c>
      <c r="K59" s="64">
        <v>3.76</v>
      </c>
      <c r="L59" s="64">
        <v>-1.82</v>
      </c>
      <c r="M59" s="64">
        <v>16</v>
      </c>
      <c r="N59" s="64">
        <v>12</v>
      </c>
      <c r="O59" s="64">
        <v>0</v>
      </c>
      <c r="P59" s="64">
        <v>7</v>
      </c>
      <c r="Q59" s="64">
        <v>7</v>
      </c>
      <c r="R59" s="64">
        <v>0</v>
      </c>
      <c r="S59" s="64">
        <v>0</v>
      </c>
      <c r="T59" s="64">
        <v>0</v>
      </c>
      <c r="U59" s="64">
        <v>37.5</v>
      </c>
      <c r="V59" s="64">
        <v>18.75</v>
      </c>
      <c r="W59" s="64">
        <v>43.75</v>
      </c>
      <c r="X59" s="64">
        <v>25</v>
      </c>
      <c r="Y59" s="64">
        <v>25</v>
      </c>
      <c r="Z59" s="64">
        <v>50</v>
      </c>
      <c r="AA59" s="64">
        <v>57.14</v>
      </c>
      <c r="AB59" s="64">
        <v>0</v>
      </c>
      <c r="AC59" s="64">
        <v>5</v>
      </c>
      <c r="AD59" s="64">
        <v>5</v>
      </c>
      <c r="AE59" s="64">
        <v>60</v>
      </c>
      <c r="AF59" s="64">
        <v>60</v>
      </c>
      <c r="AG59" s="51">
        <f t="shared" si="1"/>
        <v>3.125</v>
      </c>
      <c r="AH59" s="52">
        <f t="shared" si="2"/>
        <v>-3.125</v>
      </c>
      <c r="AI59" s="52" t="str">
        <f t="shared" si="3"/>
        <v>N</v>
      </c>
      <c r="AJ59" s="52" t="str">
        <f t="shared" si="4"/>
        <v>N</v>
      </c>
      <c r="AK59" s="50" t="str">
        <f t="shared" si="5"/>
        <v>Loss</v>
      </c>
      <c r="AL59" s="50" t="str">
        <f t="shared" si="6"/>
        <v>Win</v>
      </c>
      <c r="AM59" s="50" t="str">
        <f t="shared" si="7"/>
        <v>Loss</v>
      </c>
      <c r="AN59" s="50">
        <f t="shared" si="8"/>
        <v>-50</v>
      </c>
      <c r="AO59" s="50">
        <f t="shared" si="9"/>
        <v>101.5</v>
      </c>
      <c r="AP59" s="50">
        <f t="shared" si="10"/>
        <v>-50</v>
      </c>
    </row>
    <row r="60" spans="1:42" x14ac:dyDescent="0.25">
      <c r="A60" s="63">
        <v>43624</v>
      </c>
      <c r="B60" s="64" t="s">
        <v>267</v>
      </c>
      <c r="C60" s="64" t="s">
        <v>268</v>
      </c>
      <c r="D60" s="64" t="s">
        <v>269</v>
      </c>
      <c r="E60" s="64" t="s">
        <v>270</v>
      </c>
      <c r="F60" s="64" t="s">
        <v>271</v>
      </c>
      <c r="G60" s="64">
        <v>1</v>
      </c>
      <c r="H60" s="64">
        <v>1</v>
      </c>
      <c r="I60" s="64">
        <v>2.54</v>
      </c>
      <c r="J60" s="64">
        <v>4.08</v>
      </c>
      <c r="K60" s="64">
        <v>2.2400000000000002</v>
      </c>
      <c r="L60" s="64">
        <v>0.3</v>
      </c>
      <c r="M60" s="64">
        <v>2</v>
      </c>
      <c r="N60" s="64">
        <v>3</v>
      </c>
      <c r="O60" s="64">
        <v>1</v>
      </c>
      <c r="P60" s="64">
        <v>1</v>
      </c>
      <c r="Q60" s="64">
        <v>0</v>
      </c>
      <c r="R60" s="64">
        <v>0</v>
      </c>
      <c r="S60" s="64">
        <v>100</v>
      </c>
      <c r="T60" s="64">
        <v>0</v>
      </c>
      <c r="U60" s="64">
        <v>0</v>
      </c>
      <c r="V60" s="64">
        <v>50</v>
      </c>
      <c r="W60" s="64">
        <v>50</v>
      </c>
      <c r="X60" s="64">
        <v>0</v>
      </c>
      <c r="Y60" s="64">
        <v>33.33</v>
      </c>
      <c r="Z60" s="64">
        <v>66.67</v>
      </c>
      <c r="AA60" s="64">
        <v>0</v>
      </c>
      <c r="AB60" s="64">
        <v>0</v>
      </c>
      <c r="AC60" s="64">
        <v>1</v>
      </c>
      <c r="AD60" s="64">
        <v>0</v>
      </c>
      <c r="AE60" s="64">
        <v>0</v>
      </c>
      <c r="AF60" s="64">
        <v>0</v>
      </c>
      <c r="AG60" s="51">
        <f t="shared" si="1"/>
        <v>15.001000000000001</v>
      </c>
      <c r="AH60" s="52">
        <f t="shared" si="2"/>
        <v>4.998999999999997</v>
      </c>
      <c r="AI60" s="52" t="str">
        <f t="shared" si="3"/>
        <v>N</v>
      </c>
      <c r="AJ60" s="52" t="str">
        <f t="shared" si="4"/>
        <v>N</v>
      </c>
      <c r="AK60" s="50" t="str">
        <f t="shared" si="5"/>
        <v>Loss</v>
      </c>
      <c r="AL60" s="50" t="str">
        <f t="shared" si="6"/>
        <v>Win</v>
      </c>
      <c r="AM60" s="50" t="str">
        <f t="shared" si="7"/>
        <v>Loss</v>
      </c>
      <c r="AN60" s="50">
        <f t="shared" si="8"/>
        <v>-50</v>
      </c>
      <c r="AO60" s="50">
        <f t="shared" si="9"/>
        <v>154</v>
      </c>
      <c r="AP60" s="50">
        <f t="shared" si="10"/>
        <v>-50</v>
      </c>
    </row>
    <row r="61" spans="1:42" x14ac:dyDescent="0.25">
      <c r="A61" s="63">
        <v>43624</v>
      </c>
      <c r="B61" s="64" t="s">
        <v>178</v>
      </c>
      <c r="C61" s="64" t="s">
        <v>217</v>
      </c>
      <c r="D61" s="64" t="s">
        <v>272</v>
      </c>
      <c r="E61" s="64" t="s">
        <v>273</v>
      </c>
      <c r="F61" s="64" t="s">
        <v>274</v>
      </c>
      <c r="G61" s="64">
        <v>5</v>
      </c>
      <c r="H61" s="64">
        <v>0</v>
      </c>
      <c r="I61" s="64">
        <v>1.02</v>
      </c>
      <c r="J61" s="64">
        <v>15</v>
      </c>
      <c r="K61" s="64">
        <v>35</v>
      </c>
      <c r="L61" s="64">
        <v>-33.979999999999997</v>
      </c>
      <c r="M61" s="64">
        <v>9</v>
      </c>
      <c r="N61" s="64">
        <v>11</v>
      </c>
      <c r="O61" s="64">
        <v>1</v>
      </c>
      <c r="P61" s="64">
        <v>3</v>
      </c>
      <c r="Q61" s="64">
        <v>5</v>
      </c>
      <c r="R61" s="64">
        <v>100</v>
      </c>
      <c r="S61" s="64">
        <v>0</v>
      </c>
      <c r="T61" s="64">
        <v>0</v>
      </c>
      <c r="U61" s="64">
        <v>66.67</v>
      </c>
      <c r="V61" s="64">
        <v>22.22</v>
      </c>
      <c r="W61" s="64">
        <v>11.11</v>
      </c>
      <c r="X61" s="64">
        <v>18.18</v>
      </c>
      <c r="Y61" s="64">
        <v>0</v>
      </c>
      <c r="Z61" s="64">
        <v>81.819999999999993</v>
      </c>
      <c r="AA61" s="64">
        <v>33.33</v>
      </c>
      <c r="AB61" s="64">
        <v>40</v>
      </c>
      <c r="AC61" s="64">
        <v>7</v>
      </c>
      <c r="AD61" s="64">
        <v>1</v>
      </c>
      <c r="AE61" s="64">
        <v>57.14</v>
      </c>
      <c r="AF61" s="64">
        <v>0</v>
      </c>
      <c r="AG61" s="51">
        <f t="shared" si="1"/>
        <v>56.061999999999998</v>
      </c>
      <c r="AH61" s="52">
        <f t="shared" si="2"/>
        <v>-56.061999999999998</v>
      </c>
      <c r="AI61" s="52" t="str">
        <f t="shared" si="3"/>
        <v>Y</v>
      </c>
      <c r="AJ61" s="52" t="str">
        <f t="shared" si="4"/>
        <v>N</v>
      </c>
      <c r="AK61" s="50" t="str">
        <f t="shared" si="5"/>
        <v>Win</v>
      </c>
      <c r="AL61" s="50" t="str">
        <f t="shared" si="6"/>
        <v>Loss</v>
      </c>
      <c r="AM61" s="50" t="str">
        <f t="shared" si="7"/>
        <v>Loss</v>
      </c>
      <c r="AN61" s="50">
        <f t="shared" si="8"/>
        <v>1</v>
      </c>
      <c r="AO61" s="50">
        <f t="shared" si="9"/>
        <v>-50</v>
      </c>
      <c r="AP61" s="50">
        <f t="shared" si="10"/>
        <v>-50</v>
      </c>
    </row>
    <row r="62" spans="1:42" x14ac:dyDescent="0.25">
      <c r="A62" s="63">
        <v>43624</v>
      </c>
      <c r="B62" s="64" t="s">
        <v>178</v>
      </c>
      <c r="C62" s="64" t="s">
        <v>217</v>
      </c>
      <c r="D62" s="64" t="s">
        <v>275</v>
      </c>
      <c r="E62" s="64" t="s">
        <v>276</v>
      </c>
      <c r="F62" s="64" t="s">
        <v>277</v>
      </c>
      <c r="G62" s="64">
        <v>4</v>
      </c>
      <c r="H62" s="64">
        <v>1</v>
      </c>
      <c r="I62" s="64">
        <v>4.87</v>
      </c>
      <c r="J62" s="64">
        <v>4.6500000000000004</v>
      </c>
      <c r="K62" s="64">
        <v>1.49</v>
      </c>
      <c r="L62" s="64">
        <v>3.38</v>
      </c>
      <c r="M62" s="64">
        <v>11</v>
      </c>
      <c r="N62" s="64">
        <v>12</v>
      </c>
      <c r="O62" s="64">
        <v>1</v>
      </c>
      <c r="P62" s="64">
        <v>3</v>
      </c>
      <c r="Q62" s="64">
        <v>4</v>
      </c>
      <c r="R62" s="64">
        <v>0</v>
      </c>
      <c r="S62" s="64">
        <v>0</v>
      </c>
      <c r="T62" s="64">
        <v>100</v>
      </c>
      <c r="U62" s="64">
        <v>36.36</v>
      </c>
      <c r="V62" s="64">
        <v>9.09</v>
      </c>
      <c r="W62" s="64">
        <v>54.55</v>
      </c>
      <c r="X62" s="64">
        <v>66.67</v>
      </c>
      <c r="Y62" s="64">
        <v>25</v>
      </c>
      <c r="Z62" s="64">
        <v>8.33</v>
      </c>
      <c r="AA62" s="64">
        <v>0</v>
      </c>
      <c r="AB62" s="64">
        <v>75</v>
      </c>
      <c r="AC62" s="64">
        <v>5</v>
      </c>
      <c r="AD62" s="64">
        <v>9</v>
      </c>
      <c r="AE62" s="64">
        <v>60</v>
      </c>
      <c r="AF62" s="64">
        <v>66.67</v>
      </c>
      <c r="AG62" s="51">
        <f t="shared" si="1"/>
        <v>-46.897000000000006</v>
      </c>
      <c r="AH62" s="52">
        <f t="shared" si="2"/>
        <v>46.897000000000006</v>
      </c>
      <c r="AI62" s="52" t="str">
        <f t="shared" si="3"/>
        <v>N</v>
      </c>
      <c r="AJ62" s="52" t="str">
        <f t="shared" si="4"/>
        <v>Y</v>
      </c>
      <c r="AK62" s="50" t="str">
        <f t="shared" si="5"/>
        <v>Win</v>
      </c>
      <c r="AL62" s="50" t="str">
        <f t="shared" si="6"/>
        <v>Loss</v>
      </c>
      <c r="AM62" s="50" t="str">
        <f t="shared" si="7"/>
        <v>Loss</v>
      </c>
      <c r="AN62" s="50">
        <f t="shared" si="8"/>
        <v>193.5</v>
      </c>
      <c r="AO62" s="50">
        <f t="shared" si="9"/>
        <v>-50</v>
      </c>
      <c r="AP62" s="50">
        <f t="shared" si="10"/>
        <v>-50</v>
      </c>
    </row>
    <row r="63" spans="1:42" x14ac:dyDescent="0.25">
      <c r="A63" s="63">
        <v>43624</v>
      </c>
      <c r="B63" s="64" t="s">
        <v>178</v>
      </c>
      <c r="C63" s="64" t="s">
        <v>278</v>
      </c>
      <c r="D63" s="64" t="s">
        <v>279</v>
      </c>
      <c r="E63" s="64" t="s">
        <v>280</v>
      </c>
      <c r="F63" s="64" t="s">
        <v>281</v>
      </c>
      <c r="G63" s="64">
        <v>5</v>
      </c>
      <c r="H63" s="64">
        <v>2</v>
      </c>
      <c r="I63" s="64">
        <v>1.2</v>
      </c>
      <c r="J63" s="64">
        <v>6.7</v>
      </c>
      <c r="K63" s="64">
        <v>9.7200000000000006</v>
      </c>
      <c r="L63" s="64">
        <v>-8.52</v>
      </c>
      <c r="M63" s="64">
        <v>16</v>
      </c>
      <c r="N63" s="64">
        <v>15</v>
      </c>
      <c r="O63" s="64">
        <v>0</v>
      </c>
      <c r="P63" s="64">
        <v>8</v>
      </c>
      <c r="Q63" s="64">
        <v>5</v>
      </c>
      <c r="R63" s="64">
        <v>0</v>
      </c>
      <c r="S63" s="64">
        <v>0</v>
      </c>
      <c r="T63" s="64">
        <v>0</v>
      </c>
      <c r="U63" s="64">
        <v>56.25</v>
      </c>
      <c r="V63" s="64">
        <v>6.25</v>
      </c>
      <c r="W63" s="64">
        <v>37.5</v>
      </c>
      <c r="X63" s="64">
        <v>20</v>
      </c>
      <c r="Y63" s="64">
        <v>6.67</v>
      </c>
      <c r="Z63" s="64">
        <v>73.33</v>
      </c>
      <c r="AA63" s="64">
        <v>50</v>
      </c>
      <c r="AB63" s="64">
        <v>0</v>
      </c>
      <c r="AC63" s="64">
        <v>7</v>
      </c>
      <c r="AD63" s="64">
        <v>2</v>
      </c>
      <c r="AE63" s="64">
        <v>85.71</v>
      </c>
      <c r="AF63" s="64">
        <v>100</v>
      </c>
      <c r="AG63" s="51">
        <f t="shared" si="1"/>
        <v>14.374000000000001</v>
      </c>
      <c r="AH63" s="52">
        <f t="shared" si="2"/>
        <v>-14.374000000000001</v>
      </c>
      <c r="AI63" s="52" t="str">
        <f t="shared" si="3"/>
        <v>N</v>
      </c>
      <c r="AJ63" s="52" t="str">
        <f t="shared" si="4"/>
        <v>N</v>
      </c>
      <c r="AK63" s="50" t="str">
        <f t="shared" si="5"/>
        <v>Win</v>
      </c>
      <c r="AL63" s="50" t="str">
        <f t="shared" si="6"/>
        <v>Loss</v>
      </c>
      <c r="AM63" s="50" t="str">
        <f t="shared" si="7"/>
        <v>Loss</v>
      </c>
      <c r="AN63" s="50">
        <f t="shared" si="8"/>
        <v>10</v>
      </c>
      <c r="AO63" s="50">
        <f t="shared" si="9"/>
        <v>-50</v>
      </c>
      <c r="AP63" s="50">
        <f t="shared" si="10"/>
        <v>-50</v>
      </c>
    </row>
    <row r="64" spans="1:42" x14ac:dyDescent="0.25">
      <c r="A64" s="63">
        <v>43624</v>
      </c>
      <c r="B64" s="64" t="s">
        <v>253</v>
      </c>
      <c r="C64" s="64" t="s">
        <v>254</v>
      </c>
      <c r="D64" s="64" t="s">
        <v>282</v>
      </c>
      <c r="E64" s="64" t="s">
        <v>283</v>
      </c>
      <c r="F64" s="64" t="s">
        <v>284</v>
      </c>
      <c r="G64" s="64">
        <v>1</v>
      </c>
      <c r="H64" s="64">
        <v>2</v>
      </c>
      <c r="I64" s="64">
        <v>1.22</v>
      </c>
      <c r="J64" s="64">
        <v>5.34</v>
      </c>
      <c r="K64" s="64">
        <v>9.73</v>
      </c>
      <c r="L64" s="64">
        <v>-8.51</v>
      </c>
      <c r="M64" s="64">
        <v>13</v>
      </c>
      <c r="N64" s="64">
        <v>12</v>
      </c>
      <c r="O64" s="64">
        <v>0</v>
      </c>
      <c r="P64" s="64">
        <v>7</v>
      </c>
      <c r="Q64" s="64">
        <v>6</v>
      </c>
      <c r="R64" s="64">
        <v>0</v>
      </c>
      <c r="S64" s="64">
        <v>0</v>
      </c>
      <c r="T64" s="64">
        <v>0</v>
      </c>
      <c r="U64" s="64">
        <v>23.08</v>
      </c>
      <c r="V64" s="64">
        <v>23.08</v>
      </c>
      <c r="W64" s="64">
        <v>53.85</v>
      </c>
      <c r="X64" s="64">
        <v>8.33</v>
      </c>
      <c r="Y64" s="64">
        <v>41.67</v>
      </c>
      <c r="Z64" s="64">
        <v>50</v>
      </c>
      <c r="AA64" s="64">
        <v>28.57</v>
      </c>
      <c r="AB64" s="64">
        <v>0</v>
      </c>
      <c r="AC64" s="64">
        <v>4</v>
      </c>
      <c r="AD64" s="64">
        <v>4</v>
      </c>
      <c r="AE64" s="64">
        <v>50</v>
      </c>
      <c r="AF64" s="64">
        <v>0</v>
      </c>
      <c r="AG64" s="51">
        <f t="shared" si="1"/>
        <v>0.32099999999999795</v>
      </c>
      <c r="AH64" s="52">
        <f t="shared" si="2"/>
        <v>-0.32099999999999795</v>
      </c>
      <c r="AI64" s="52" t="str">
        <f t="shared" si="3"/>
        <v>N</v>
      </c>
      <c r="AJ64" s="52" t="str">
        <f t="shared" si="4"/>
        <v>N</v>
      </c>
      <c r="AK64" s="50" t="str">
        <f t="shared" si="5"/>
        <v>Loss</v>
      </c>
      <c r="AL64" s="50" t="str">
        <f t="shared" si="6"/>
        <v>Loss</v>
      </c>
      <c r="AM64" s="50" t="str">
        <f t="shared" si="7"/>
        <v>Win</v>
      </c>
      <c r="AN64" s="50">
        <f t="shared" si="8"/>
        <v>-50</v>
      </c>
      <c r="AO64" s="50">
        <f t="shared" si="9"/>
        <v>-50</v>
      </c>
      <c r="AP64" s="50">
        <f t="shared" si="10"/>
        <v>436.5</v>
      </c>
    </row>
    <row r="65" spans="1:42" x14ac:dyDescent="0.25">
      <c r="A65" s="63">
        <v>43624</v>
      </c>
      <c r="B65" s="64" t="s">
        <v>253</v>
      </c>
      <c r="C65" s="64" t="s">
        <v>254</v>
      </c>
      <c r="D65" s="64" t="s">
        <v>285</v>
      </c>
      <c r="E65" s="64" t="s">
        <v>286</v>
      </c>
      <c r="F65" s="64" t="s">
        <v>287</v>
      </c>
      <c r="G65" s="64">
        <v>0</v>
      </c>
      <c r="H65" s="64">
        <v>2</v>
      </c>
      <c r="I65" s="64">
        <v>16.07</v>
      </c>
      <c r="J65" s="64">
        <v>7.56</v>
      </c>
      <c r="K65" s="64">
        <v>1.0900000000000001</v>
      </c>
      <c r="L65" s="64">
        <v>14.98</v>
      </c>
      <c r="M65" s="64">
        <v>14</v>
      </c>
      <c r="N65" s="64">
        <v>17</v>
      </c>
      <c r="O65" s="64">
        <v>0</v>
      </c>
      <c r="P65" s="64">
        <v>8</v>
      </c>
      <c r="Q65" s="64">
        <v>6</v>
      </c>
      <c r="R65" s="64">
        <v>0</v>
      </c>
      <c r="S65" s="64">
        <v>0</v>
      </c>
      <c r="T65" s="64">
        <v>0</v>
      </c>
      <c r="U65" s="64">
        <v>35.71</v>
      </c>
      <c r="V65" s="64">
        <v>14.29</v>
      </c>
      <c r="W65" s="64">
        <v>50</v>
      </c>
      <c r="X65" s="64">
        <v>76.47</v>
      </c>
      <c r="Y65" s="64">
        <v>11.76</v>
      </c>
      <c r="Z65" s="64">
        <v>11.76</v>
      </c>
      <c r="AA65" s="64">
        <v>37.5</v>
      </c>
      <c r="AB65" s="64">
        <v>50</v>
      </c>
      <c r="AC65" s="64">
        <v>5</v>
      </c>
      <c r="AD65" s="64">
        <v>16</v>
      </c>
      <c r="AE65" s="64">
        <v>80</v>
      </c>
      <c r="AF65" s="64">
        <v>81.25</v>
      </c>
      <c r="AG65" s="51">
        <f t="shared" si="1"/>
        <v>-15.546999999999997</v>
      </c>
      <c r="AH65" s="52">
        <f t="shared" si="2"/>
        <v>15.546999999999997</v>
      </c>
      <c r="AI65" s="52" t="str">
        <f t="shared" si="3"/>
        <v>N</v>
      </c>
      <c r="AJ65" s="52" t="str">
        <f t="shared" si="4"/>
        <v>N</v>
      </c>
      <c r="AK65" s="50" t="str">
        <f t="shared" si="5"/>
        <v>Loss</v>
      </c>
      <c r="AL65" s="50" t="str">
        <f t="shared" si="6"/>
        <v>Loss</v>
      </c>
      <c r="AM65" s="50" t="str">
        <f t="shared" si="7"/>
        <v>Win</v>
      </c>
      <c r="AN65" s="50">
        <f t="shared" si="8"/>
        <v>-50</v>
      </c>
      <c r="AO65" s="50">
        <f t="shared" si="9"/>
        <v>-50</v>
      </c>
      <c r="AP65" s="50">
        <f t="shared" si="10"/>
        <v>4.5000000000000071</v>
      </c>
    </row>
    <row r="66" spans="1:42" x14ac:dyDescent="0.25">
      <c r="A66" s="63">
        <v>43624</v>
      </c>
      <c r="B66" s="64" t="s">
        <v>253</v>
      </c>
      <c r="C66" s="64" t="s">
        <v>254</v>
      </c>
      <c r="D66" s="64" t="s">
        <v>288</v>
      </c>
      <c r="E66" s="64" t="s">
        <v>289</v>
      </c>
      <c r="F66" s="64" t="s">
        <v>290</v>
      </c>
      <c r="G66" s="64">
        <v>2</v>
      </c>
      <c r="H66" s="64">
        <v>0</v>
      </c>
      <c r="I66" s="64">
        <v>2.65</v>
      </c>
      <c r="J66" s="64">
        <v>3.37</v>
      </c>
      <c r="K66" s="64">
        <v>2.19</v>
      </c>
      <c r="L66" s="64">
        <v>0.46</v>
      </c>
      <c r="M66" s="64">
        <v>11</v>
      </c>
      <c r="N66" s="64">
        <v>13</v>
      </c>
      <c r="O66" s="64">
        <v>0</v>
      </c>
      <c r="P66" s="64">
        <v>3</v>
      </c>
      <c r="Q66" s="64">
        <v>10</v>
      </c>
      <c r="R66" s="64">
        <v>0</v>
      </c>
      <c r="S66" s="64">
        <v>0</v>
      </c>
      <c r="T66" s="64">
        <v>0</v>
      </c>
      <c r="U66" s="64">
        <v>9.09</v>
      </c>
      <c r="V66" s="64">
        <v>27.27</v>
      </c>
      <c r="W66" s="64">
        <v>63.64</v>
      </c>
      <c r="X66" s="64">
        <v>30.77</v>
      </c>
      <c r="Y66" s="64">
        <v>7.69</v>
      </c>
      <c r="Z66" s="64">
        <v>61.54</v>
      </c>
      <c r="AA66" s="64">
        <v>33.33</v>
      </c>
      <c r="AB66" s="64">
        <v>30</v>
      </c>
      <c r="AC66" s="64">
        <v>2</v>
      </c>
      <c r="AD66" s="64">
        <v>2</v>
      </c>
      <c r="AE66" s="64">
        <v>0</v>
      </c>
      <c r="AF66" s="64">
        <v>100</v>
      </c>
      <c r="AG66" s="51">
        <f t="shared" si="1"/>
        <v>-2.7980000000000018</v>
      </c>
      <c r="AH66" s="52">
        <f t="shared" si="2"/>
        <v>2.7980000000000018</v>
      </c>
      <c r="AI66" s="52" t="str">
        <f t="shared" si="3"/>
        <v>N</v>
      </c>
      <c r="AJ66" s="52" t="str">
        <f t="shared" si="4"/>
        <v>N</v>
      </c>
      <c r="AK66" s="50" t="str">
        <f t="shared" si="5"/>
        <v>Win</v>
      </c>
      <c r="AL66" s="50" t="str">
        <f t="shared" si="6"/>
        <v>Loss</v>
      </c>
      <c r="AM66" s="50" t="str">
        <f t="shared" si="7"/>
        <v>Loss</v>
      </c>
      <c r="AN66" s="50">
        <f t="shared" si="8"/>
        <v>82.5</v>
      </c>
      <c r="AO66" s="50">
        <f t="shared" si="9"/>
        <v>-50</v>
      </c>
      <c r="AP66" s="50">
        <f t="shared" si="10"/>
        <v>-50</v>
      </c>
    </row>
    <row r="67" spans="1:42" x14ac:dyDescent="0.25">
      <c r="A67" s="63">
        <v>43624</v>
      </c>
      <c r="B67" s="64" t="s">
        <v>253</v>
      </c>
      <c r="C67" s="64" t="s">
        <v>254</v>
      </c>
      <c r="D67" s="64" t="s">
        <v>291</v>
      </c>
      <c r="E67" s="64" t="s">
        <v>292</v>
      </c>
      <c r="F67" s="64" t="s">
        <v>293</v>
      </c>
      <c r="G67" s="64">
        <v>2</v>
      </c>
      <c r="H67" s="64">
        <v>1</v>
      </c>
      <c r="I67" s="64">
        <v>1.29</v>
      </c>
      <c r="J67" s="64">
        <v>4.7300000000000004</v>
      </c>
      <c r="K67" s="64">
        <v>7.43</v>
      </c>
      <c r="L67" s="64">
        <v>-6.14</v>
      </c>
      <c r="M67" s="64">
        <v>14</v>
      </c>
      <c r="N67" s="64">
        <v>13</v>
      </c>
      <c r="O67" s="64">
        <v>0</v>
      </c>
      <c r="P67" s="64">
        <v>8</v>
      </c>
      <c r="Q67" s="64">
        <v>11</v>
      </c>
      <c r="R67" s="64">
        <v>0</v>
      </c>
      <c r="S67" s="64">
        <v>0</v>
      </c>
      <c r="T67" s="64">
        <v>0</v>
      </c>
      <c r="U67" s="64">
        <v>7.14</v>
      </c>
      <c r="V67" s="64">
        <v>21.43</v>
      </c>
      <c r="W67" s="64">
        <v>71.430000000000007</v>
      </c>
      <c r="X67" s="64">
        <v>7.69</v>
      </c>
      <c r="Y67" s="64">
        <v>15.38</v>
      </c>
      <c r="Z67" s="64">
        <v>76.92</v>
      </c>
      <c r="AA67" s="64">
        <v>12.5</v>
      </c>
      <c r="AB67" s="64">
        <v>9.09</v>
      </c>
      <c r="AC67" s="64">
        <v>2</v>
      </c>
      <c r="AD67" s="64">
        <v>0</v>
      </c>
      <c r="AE67" s="64">
        <v>0</v>
      </c>
      <c r="AF67" s="64">
        <v>0</v>
      </c>
      <c r="AG67" s="51">
        <f t="shared" si="1"/>
        <v>1.5929999999999982</v>
      </c>
      <c r="AH67" s="52">
        <f t="shared" si="2"/>
        <v>-1.5929999999999982</v>
      </c>
      <c r="AI67" s="52" t="str">
        <f t="shared" si="3"/>
        <v>N</v>
      </c>
      <c r="AJ67" s="52" t="str">
        <f t="shared" si="4"/>
        <v>N</v>
      </c>
      <c r="AK67" s="50" t="str">
        <f t="shared" si="5"/>
        <v>Win</v>
      </c>
      <c r="AL67" s="50" t="str">
        <f t="shared" si="6"/>
        <v>Loss</v>
      </c>
      <c r="AM67" s="50" t="str">
        <f t="shared" si="7"/>
        <v>Loss</v>
      </c>
      <c r="AN67" s="50">
        <f t="shared" si="8"/>
        <v>14.5</v>
      </c>
      <c r="AO67" s="50">
        <f t="shared" si="9"/>
        <v>-50</v>
      </c>
      <c r="AP67" s="50">
        <f t="shared" si="10"/>
        <v>-50</v>
      </c>
    </row>
    <row r="68" spans="1:42" x14ac:dyDescent="0.25">
      <c r="A68" s="63">
        <v>43624</v>
      </c>
      <c r="B68" s="64" t="s">
        <v>253</v>
      </c>
      <c r="C68" s="64" t="s">
        <v>254</v>
      </c>
      <c r="D68" s="64" t="s">
        <v>294</v>
      </c>
      <c r="E68" s="64" t="s">
        <v>295</v>
      </c>
      <c r="F68" s="64" t="s">
        <v>296</v>
      </c>
      <c r="G68" s="64">
        <v>2</v>
      </c>
      <c r="H68" s="64">
        <v>1</v>
      </c>
      <c r="I68" s="64">
        <v>1.5</v>
      </c>
      <c r="J68" s="64">
        <v>3.71</v>
      </c>
      <c r="K68" s="64">
        <v>5.88</v>
      </c>
      <c r="L68" s="64">
        <v>-4.38</v>
      </c>
      <c r="M68" s="64">
        <v>13</v>
      </c>
      <c r="N68" s="64">
        <v>8</v>
      </c>
      <c r="O68" s="64">
        <v>0</v>
      </c>
      <c r="P68" s="64">
        <v>6</v>
      </c>
      <c r="Q68" s="64">
        <v>4</v>
      </c>
      <c r="R68" s="64">
        <v>0</v>
      </c>
      <c r="S68" s="64">
        <v>0</v>
      </c>
      <c r="T68" s="64">
        <v>0</v>
      </c>
      <c r="U68" s="64">
        <v>38.46</v>
      </c>
      <c r="V68" s="64">
        <v>15.38</v>
      </c>
      <c r="W68" s="64">
        <v>46.15</v>
      </c>
      <c r="X68" s="64">
        <v>37.5</v>
      </c>
      <c r="Y68" s="64">
        <v>12.5</v>
      </c>
      <c r="Z68" s="64">
        <v>50</v>
      </c>
      <c r="AA68" s="64">
        <v>33.33</v>
      </c>
      <c r="AB68" s="64">
        <v>25</v>
      </c>
      <c r="AC68" s="64">
        <v>4</v>
      </c>
      <c r="AD68" s="64">
        <v>1</v>
      </c>
      <c r="AE68" s="64">
        <v>50</v>
      </c>
      <c r="AF68" s="64">
        <v>100</v>
      </c>
      <c r="AG68" s="51">
        <f t="shared" si="1"/>
        <v>1.25</v>
      </c>
      <c r="AH68" s="52">
        <f t="shared" si="2"/>
        <v>-1.25</v>
      </c>
      <c r="AI68" s="52" t="str">
        <f t="shared" si="3"/>
        <v>N</v>
      </c>
      <c r="AJ68" s="52" t="str">
        <f t="shared" si="4"/>
        <v>N</v>
      </c>
      <c r="AK68" s="50" t="str">
        <f t="shared" si="5"/>
        <v>Win</v>
      </c>
      <c r="AL68" s="50" t="str">
        <f t="shared" si="6"/>
        <v>Loss</v>
      </c>
      <c r="AM68" s="50" t="str">
        <f t="shared" si="7"/>
        <v>Loss</v>
      </c>
      <c r="AN68" s="50">
        <f t="shared" si="8"/>
        <v>25</v>
      </c>
      <c r="AO68" s="50">
        <f t="shared" si="9"/>
        <v>-50</v>
      </c>
      <c r="AP68" s="50">
        <f t="shared" si="10"/>
        <v>-50</v>
      </c>
    </row>
    <row r="69" spans="1:42" x14ac:dyDescent="0.25">
      <c r="A69" s="63">
        <v>43624</v>
      </c>
      <c r="B69" s="64" t="s">
        <v>253</v>
      </c>
      <c r="C69" s="64" t="s">
        <v>254</v>
      </c>
      <c r="D69" s="64" t="s">
        <v>297</v>
      </c>
      <c r="E69" s="64" t="s">
        <v>298</v>
      </c>
      <c r="F69" s="64" t="s">
        <v>299</v>
      </c>
      <c r="G69" s="64">
        <v>0</v>
      </c>
      <c r="H69" s="64">
        <v>0</v>
      </c>
      <c r="I69" s="64">
        <v>1.87</v>
      </c>
      <c r="J69" s="64">
        <v>3.48</v>
      </c>
      <c r="K69" s="64">
        <v>3.45</v>
      </c>
      <c r="L69" s="64">
        <v>-1.58</v>
      </c>
      <c r="M69" s="64">
        <v>13</v>
      </c>
      <c r="N69" s="64">
        <v>14</v>
      </c>
      <c r="O69" s="64">
        <v>0</v>
      </c>
      <c r="P69" s="64">
        <v>7</v>
      </c>
      <c r="Q69" s="64">
        <v>6</v>
      </c>
      <c r="R69" s="64">
        <v>0</v>
      </c>
      <c r="S69" s="64">
        <v>0</v>
      </c>
      <c r="T69" s="64">
        <v>0</v>
      </c>
      <c r="U69" s="64">
        <v>61.54</v>
      </c>
      <c r="V69" s="64">
        <v>0</v>
      </c>
      <c r="W69" s="64">
        <v>38.46</v>
      </c>
      <c r="X69" s="64">
        <v>42.86</v>
      </c>
      <c r="Y69" s="64">
        <v>14.29</v>
      </c>
      <c r="Z69" s="64">
        <v>42.86</v>
      </c>
      <c r="AA69" s="64">
        <v>57.14</v>
      </c>
      <c r="AB69" s="64">
        <v>16.670000000000002</v>
      </c>
      <c r="AC69" s="64">
        <v>10</v>
      </c>
      <c r="AD69" s="64">
        <v>12</v>
      </c>
      <c r="AE69" s="64">
        <v>70</v>
      </c>
      <c r="AF69" s="64">
        <v>50</v>
      </c>
      <c r="AG69" s="51">
        <f t="shared" si="1"/>
        <v>3.1869999999999994</v>
      </c>
      <c r="AH69" s="52">
        <f t="shared" si="2"/>
        <v>-3.1869999999999994</v>
      </c>
      <c r="AI69" s="52" t="str">
        <f t="shared" si="3"/>
        <v>N</v>
      </c>
      <c r="AJ69" s="52" t="str">
        <f t="shared" si="4"/>
        <v>N</v>
      </c>
      <c r="AK69" s="50" t="str">
        <f t="shared" si="5"/>
        <v>Loss</v>
      </c>
      <c r="AL69" s="50" t="str">
        <f t="shared" si="6"/>
        <v>Win</v>
      </c>
      <c r="AM69" s="50" t="str">
        <f t="shared" si="7"/>
        <v>Loss</v>
      </c>
      <c r="AN69" s="50">
        <f t="shared" si="8"/>
        <v>-50</v>
      </c>
      <c r="AO69" s="50">
        <f t="shared" si="9"/>
        <v>124</v>
      </c>
      <c r="AP69" s="50">
        <f t="shared" si="10"/>
        <v>-50</v>
      </c>
    </row>
    <row r="70" spans="1:42" x14ac:dyDescent="0.25">
      <c r="A70" s="63">
        <v>43624</v>
      </c>
      <c r="B70" s="64" t="s">
        <v>253</v>
      </c>
      <c r="C70" s="64" t="s">
        <v>254</v>
      </c>
      <c r="D70" s="64" t="s">
        <v>300</v>
      </c>
      <c r="E70" s="64" t="s">
        <v>301</v>
      </c>
      <c r="F70" s="64" t="s">
        <v>302</v>
      </c>
      <c r="G70" s="64">
        <v>1</v>
      </c>
      <c r="H70" s="64">
        <v>1</v>
      </c>
      <c r="I70" s="64">
        <v>2.19</v>
      </c>
      <c r="J70" s="64">
        <v>2.87</v>
      </c>
      <c r="K70" s="64">
        <v>3.23</v>
      </c>
      <c r="L70" s="64">
        <v>-1.04</v>
      </c>
      <c r="M70" s="64">
        <v>9</v>
      </c>
      <c r="N70" s="64">
        <v>15</v>
      </c>
      <c r="O70" s="64">
        <v>0</v>
      </c>
      <c r="P70" s="64">
        <v>5</v>
      </c>
      <c r="Q70" s="64">
        <v>4</v>
      </c>
      <c r="R70" s="64">
        <v>0</v>
      </c>
      <c r="S70" s="64">
        <v>0</v>
      </c>
      <c r="T70" s="64">
        <v>0</v>
      </c>
      <c r="U70" s="64">
        <v>11.11</v>
      </c>
      <c r="V70" s="64">
        <v>44.44</v>
      </c>
      <c r="W70" s="64">
        <v>44.44</v>
      </c>
      <c r="X70" s="64">
        <v>26.67</v>
      </c>
      <c r="Y70" s="64">
        <v>33.33</v>
      </c>
      <c r="Z70" s="64">
        <v>40</v>
      </c>
      <c r="AA70" s="64">
        <v>0</v>
      </c>
      <c r="AB70" s="64">
        <v>0</v>
      </c>
      <c r="AC70" s="64">
        <v>3</v>
      </c>
      <c r="AD70" s="64">
        <v>5</v>
      </c>
      <c r="AE70" s="64">
        <v>33.33</v>
      </c>
      <c r="AF70" s="64">
        <v>40</v>
      </c>
      <c r="AG70" s="51">
        <f t="shared" si="1"/>
        <v>-2.8889999999999993</v>
      </c>
      <c r="AH70" s="52">
        <f t="shared" si="2"/>
        <v>2.8889999999999993</v>
      </c>
      <c r="AI70" s="52" t="str">
        <f t="shared" si="3"/>
        <v>N</v>
      </c>
      <c r="AJ70" s="52" t="str">
        <f t="shared" si="4"/>
        <v>N</v>
      </c>
      <c r="AK70" s="50" t="str">
        <f t="shared" si="5"/>
        <v>Loss</v>
      </c>
      <c r="AL70" s="50" t="str">
        <f t="shared" si="6"/>
        <v>Win</v>
      </c>
      <c r="AM70" s="50" t="str">
        <f t="shared" si="7"/>
        <v>Loss</v>
      </c>
      <c r="AN70" s="50">
        <f t="shared" si="8"/>
        <v>-50</v>
      </c>
      <c r="AO70" s="50">
        <f t="shared" si="9"/>
        <v>93.5</v>
      </c>
      <c r="AP70" s="50">
        <f t="shared" si="10"/>
        <v>-50</v>
      </c>
    </row>
    <row r="71" spans="1:42" x14ac:dyDescent="0.25">
      <c r="A71" s="63">
        <v>43624</v>
      </c>
      <c r="B71" s="64" t="s">
        <v>303</v>
      </c>
      <c r="C71" s="64" t="s">
        <v>304</v>
      </c>
      <c r="D71" s="64" t="s">
        <v>305</v>
      </c>
      <c r="E71" s="64" t="s">
        <v>306</v>
      </c>
      <c r="F71" s="64" t="s">
        <v>307</v>
      </c>
      <c r="G71" s="64">
        <v>4</v>
      </c>
      <c r="H71" s="64">
        <v>2</v>
      </c>
      <c r="I71" s="64">
        <v>1.55</v>
      </c>
      <c r="J71" s="64">
        <v>4.1500000000000004</v>
      </c>
      <c r="K71" s="64">
        <v>4.8099999999999996</v>
      </c>
      <c r="L71" s="64">
        <v>-3.26</v>
      </c>
      <c r="M71" s="64">
        <v>32</v>
      </c>
      <c r="N71" s="64">
        <v>32</v>
      </c>
      <c r="O71" s="64">
        <v>1</v>
      </c>
      <c r="P71" s="64">
        <v>16</v>
      </c>
      <c r="Q71" s="64">
        <v>16</v>
      </c>
      <c r="R71" s="64">
        <v>100</v>
      </c>
      <c r="S71" s="64">
        <v>0</v>
      </c>
      <c r="T71" s="64">
        <v>0</v>
      </c>
      <c r="U71" s="64">
        <v>43.75</v>
      </c>
      <c r="V71" s="64">
        <v>0</v>
      </c>
      <c r="W71" s="64">
        <v>56.25</v>
      </c>
      <c r="X71" s="64">
        <v>34.380000000000003</v>
      </c>
      <c r="Y71" s="64">
        <v>0</v>
      </c>
      <c r="Z71" s="64">
        <v>65.63</v>
      </c>
      <c r="AA71" s="64">
        <v>56.25</v>
      </c>
      <c r="AB71" s="64">
        <v>25</v>
      </c>
      <c r="AC71" s="64">
        <v>14</v>
      </c>
      <c r="AD71" s="64">
        <v>13</v>
      </c>
      <c r="AE71" s="64">
        <v>71.430000000000007</v>
      </c>
      <c r="AF71" s="64">
        <v>46.15</v>
      </c>
      <c r="AG71" s="51">
        <f t="shared" si="1"/>
        <v>33.75</v>
      </c>
      <c r="AH71" s="52">
        <f t="shared" si="2"/>
        <v>-33.75</v>
      </c>
      <c r="AI71" s="52" t="str">
        <f t="shared" si="3"/>
        <v>N</v>
      </c>
      <c r="AJ71" s="52" t="str">
        <f t="shared" si="4"/>
        <v>N</v>
      </c>
      <c r="AK71" s="50" t="str">
        <f t="shared" si="5"/>
        <v>Win</v>
      </c>
      <c r="AL71" s="50" t="str">
        <f t="shared" si="6"/>
        <v>Loss</v>
      </c>
      <c r="AM71" s="50" t="str">
        <f t="shared" si="7"/>
        <v>Loss</v>
      </c>
      <c r="AN71" s="50">
        <f t="shared" si="8"/>
        <v>27.5</v>
      </c>
      <c r="AO71" s="50">
        <f t="shared" si="9"/>
        <v>-50</v>
      </c>
      <c r="AP71" s="50">
        <f t="shared" si="10"/>
        <v>-50</v>
      </c>
    </row>
    <row r="72" spans="1:42" x14ac:dyDescent="0.25">
      <c r="A72" s="63">
        <v>43624</v>
      </c>
      <c r="B72" s="64" t="s">
        <v>303</v>
      </c>
      <c r="C72" s="64" t="s">
        <v>304</v>
      </c>
      <c r="D72" s="64" t="s">
        <v>308</v>
      </c>
      <c r="E72" s="64" t="s">
        <v>309</v>
      </c>
      <c r="F72" s="64" t="s">
        <v>310</v>
      </c>
      <c r="G72" s="64">
        <v>1</v>
      </c>
      <c r="H72" s="64">
        <v>4</v>
      </c>
      <c r="I72" s="64">
        <v>4.1500000000000004</v>
      </c>
      <c r="J72" s="64">
        <v>3.81</v>
      </c>
      <c r="K72" s="64">
        <v>1.7</v>
      </c>
      <c r="L72" s="64">
        <v>2.4500000000000002</v>
      </c>
      <c r="M72" s="64">
        <v>33</v>
      </c>
      <c r="N72" s="64">
        <v>33</v>
      </c>
      <c r="O72" s="64">
        <v>1</v>
      </c>
      <c r="P72" s="64">
        <v>16</v>
      </c>
      <c r="Q72" s="64">
        <v>16</v>
      </c>
      <c r="R72" s="64">
        <v>0</v>
      </c>
      <c r="S72" s="64">
        <v>0</v>
      </c>
      <c r="T72" s="64">
        <v>100</v>
      </c>
      <c r="U72" s="64">
        <v>30.3</v>
      </c>
      <c r="V72" s="64">
        <v>0</v>
      </c>
      <c r="W72" s="64">
        <v>69.7</v>
      </c>
      <c r="X72" s="64">
        <v>69.7</v>
      </c>
      <c r="Y72" s="64">
        <v>0</v>
      </c>
      <c r="Z72" s="64">
        <v>30.3</v>
      </c>
      <c r="AA72" s="64">
        <v>43.75</v>
      </c>
      <c r="AB72" s="64">
        <v>81.25</v>
      </c>
      <c r="AC72" s="64">
        <v>14</v>
      </c>
      <c r="AD72" s="64">
        <v>22</v>
      </c>
      <c r="AE72" s="64">
        <v>50</v>
      </c>
      <c r="AF72" s="64">
        <v>72.73</v>
      </c>
      <c r="AG72" s="51">
        <f t="shared" si="1"/>
        <v>-45.759999999999991</v>
      </c>
      <c r="AH72" s="52">
        <f t="shared" si="2"/>
        <v>45.759999999999991</v>
      </c>
      <c r="AI72" s="52" t="str">
        <f t="shared" si="3"/>
        <v>N</v>
      </c>
      <c r="AJ72" s="52" t="str">
        <f t="shared" si="4"/>
        <v>Y</v>
      </c>
      <c r="AK72" s="50" t="str">
        <f t="shared" si="5"/>
        <v>Loss</v>
      </c>
      <c r="AL72" s="50" t="str">
        <f t="shared" si="6"/>
        <v>Loss</v>
      </c>
      <c r="AM72" s="50" t="str">
        <f t="shared" si="7"/>
        <v>Win</v>
      </c>
      <c r="AN72" s="50">
        <f t="shared" si="8"/>
        <v>-50</v>
      </c>
      <c r="AO72" s="50">
        <f t="shared" si="9"/>
        <v>-50</v>
      </c>
      <c r="AP72" s="50">
        <f t="shared" si="10"/>
        <v>35</v>
      </c>
    </row>
    <row r="73" spans="1:42" x14ac:dyDescent="0.25">
      <c r="A73" s="63">
        <v>43624</v>
      </c>
      <c r="B73" s="64" t="s">
        <v>253</v>
      </c>
      <c r="C73" s="64" t="s">
        <v>254</v>
      </c>
      <c r="D73" s="64" t="s">
        <v>311</v>
      </c>
      <c r="E73" s="64" t="s">
        <v>312</v>
      </c>
      <c r="F73" s="64" t="s">
        <v>313</v>
      </c>
      <c r="G73" s="64">
        <v>2</v>
      </c>
      <c r="H73" s="64">
        <v>3</v>
      </c>
      <c r="I73" s="64">
        <v>1.74</v>
      </c>
      <c r="J73" s="64">
        <v>3.35</v>
      </c>
      <c r="K73" s="64">
        <v>4.1399999999999997</v>
      </c>
      <c r="L73" s="64">
        <v>-2.4</v>
      </c>
      <c r="M73" s="64">
        <v>12</v>
      </c>
      <c r="N73" s="64">
        <v>10</v>
      </c>
      <c r="O73" s="64">
        <v>0</v>
      </c>
      <c r="P73" s="64">
        <v>6</v>
      </c>
      <c r="Q73" s="64">
        <v>5</v>
      </c>
      <c r="R73" s="64">
        <v>0</v>
      </c>
      <c r="S73" s="64">
        <v>0</v>
      </c>
      <c r="T73" s="64">
        <v>0</v>
      </c>
      <c r="U73" s="64">
        <v>33.33</v>
      </c>
      <c r="V73" s="64">
        <v>16.670000000000002</v>
      </c>
      <c r="W73" s="64">
        <v>50</v>
      </c>
      <c r="X73" s="64">
        <v>40</v>
      </c>
      <c r="Y73" s="64">
        <v>10</v>
      </c>
      <c r="Z73" s="64">
        <v>50</v>
      </c>
      <c r="AA73" s="64">
        <v>66.67</v>
      </c>
      <c r="AB73" s="64">
        <v>40</v>
      </c>
      <c r="AC73" s="64">
        <v>4</v>
      </c>
      <c r="AD73" s="64">
        <v>4</v>
      </c>
      <c r="AE73" s="64">
        <v>75</v>
      </c>
      <c r="AF73" s="64">
        <v>50</v>
      </c>
      <c r="AG73" s="51">
        <f t="shared" si="1"/>
        <v>-0.66699999999999982</v>
      </c>
      <c r="AH73" s="52">
        <f t="shared" si="2"/>
        <v>0.66699999999999982</v>
      </c>
      <c r="AI73" s="52" t="str">
        <f t="shared" si="3"/>
        <v>N</v>
      </c>
      <c r="AJ73" s="52" t="str">
        <f t="shared" si="4"/>
        <v>N</v>
      </c>
      <c r="AK73" s="50" t="str">
        <f t="shared" si="5"/>
        <v>Loss</v>
      </c>
      <c r="AL73" s="50" t="str">
        <f t="shared" si="6"/>
        <v>Loss</v>
      </c>
      <c r="AM73" s="50" t="str">
        <f t="shared" si="7"/>
        <v>Win</v>
      </c>
      <c r="AN73" s="50">
        <f t="shared" si="8"/>
        <v>-50</v>
      </c>
      <c r="AO73" s="50">
        <f t="shared" si="9"/>
        <v>-50</v>
      </c>
      <c r="AP73" s="50">
        <f t="shared" si="10"/>
        <v>156.99999999999997</v>
      </c>
    </row>
    <row r="74" spans="1:42" x14ac:dyDescent="0.25">
      <c r="A74" s="63">
        <v>43624</v>
      </c>
      <c r="B74" s="64" t="s">
        <v>303</v>
      </c>
      <c r="C74" s="64" t="s">
        <v>314</v>
      </c>
      <c r="D74" s="64" t="s">
        <v>315</v>
      </c>
      <c r="E74" s="64" t="s">
        <v>316</v>
      </c>
      <c r="F74" s="64" t="s">
        <v>317</v>
      </c>
      <c r="G74" s="64">
        <v>1</v>
      </c>
      <c r="H74" s="64">
        <v>5</v>
      </c>
      <c r="I74" s="64">
        <v>1.95</v>
      </c>
      <c r="J74" s="64">
        <v>3.79</v>
      </c>
      <c r="K74" s="64">
        <v>2.93</v>
      </c>
      <c r="L74" s="64">
        <v>-0.98</v>
      </c>
      <c r="M74" s="64">
        <v>12</v>
      </c>
      <c r="N74" s="64">
        <v>9</v>
      </c>
      <c r="O74" s="64">
        <v>1</v>
      </c>
      <c r="P74" s="64">
        <v>7</v>
      </c>
      <c r="Q74" s="64">
        <v>7</v>
      </c>
      <c r="R74" s="64">
        <v>0</v>
      </c>
      <c r="S74" s="64">
        <v>0</v>
      </c>
      <c r="T74" s="64">
        <v>100</v>
      </c>
      <c r="U74" s="64">
        <v>8.33</v>
      </c>
      <c r="V74" s="64">
        <v>25</v>
      </c>
      <c r="W74" s="64">
        <v>66.67</v>
      </c>
      <c r="X74" s="64">
        <v>22.22</v>
      </c>
      <c r="Y74" s="64">
        <v>11.11</v>
      </c>
      <c r="Z74" s="64">
        <v>66.67</v>
      </c>
      <c r="AA74" s="64">
        <v>14.29</v>
      </c>
      <c r="AB74" s="64">
        <v>0</v>
      </c>
      <c r="AC74" s="64">
        <v>4</v>
      </c>
      <c r="AD74" s="64">
        <v>0</v>
      </c>
      <c r="AE74" s="64">
        <v>25</v>
      </c>
      <c r="AF74" s="64">
        <v>0</v>
      </c>
      <c r="AG74" s="51">
        <f t="shared" si="1"/>
        <v>-31.388999999999996</v>
      </c>
      <c r="AH74" s="52">
        <f t="shared" si="2"/>
        <v>31.388999999999996</v>
      </c>
      <c r="AI74" s="52" t="str">
        <f t="shared" si="3"/>
        <v>N</v>
      </c>
      <c r="AJ74" s="52" t="str">
        <f t="shared" si="4"/>
        <v>N</v>
      </c>
      <c r="AK74" s="50" t="str">
        <f t="shared" si="5"/>
        <v>Loss</v>
      </c>
      <c r="AL74" s="50" t="str">
        <f t="shared" si="6"/>
        <v>Loss</v>
      </c>
      <c r="AM74" s="50" t="str">
        <f t="shared" si="7"/>
        <v>Win</v>
      </c>
      <c r="AN74" s="50">
        <f t="shared" si="8"/>
        <v>-50</v>
      </c>
      <c r="AO74" s="50">
        <f t="shared" si="9"/>
        <v>-50</v>
      </c>
      <c r="AP74" s="50">
        <f t="shared" si="10"/>
        <v>96.5</v>
      </c>
    </row>
    <row r="75" spans="1:42" x14ac:dyDescent="0.25">
      <c r="A75" s="63">
        <v>43624</v>
      </c>
      <c r="B75" s="64" t="s">
        <v>318</v>
      </c>
      <c r="C75" s="64" t="s">
        <v>319</v>
      </c>
      <c r="D75" s="64" t="s">
        <v>320</v>
      </c>
      <c r="E75" s="64" t="s">
        <v>321</v>
      </c>
      <c r="F75" s="64" t="s">
        <v>322</v>
      </c>
      <c r="G75" s="64">
        <v>1</v>
      </c>
      <c r="H75" s="64">
        <v>0</v>
      </c>
      <c r="I75" s="64">
        <v>7.33</v>
      </c>
      <c r="J75" s="64">
        <v>4.3600000000000003</v>
      </c>
      <c r="K75" s="64">
        <v>1.41</v>
      </c>
      <c r="L75" s="64">
        <v>5.92</v>
      </c>
      <c r="M75" s="64">
        <v>11</v>
      </c>
      <c r="N75" s="64">
        <v>21</v>
      </c>
      <c r="O75" s="64">
        <v>0</v>
      </c>
      <c r="P75" s="64">
        <v>5</v>
      </c>
      <c r="Q75" s="64">
        <v>10</v>
      </c>
      <c r="R75" s="64">
        <v>0</v>
      </c>
      <c r="S75" s="64">
        <v>0</v>
      </c>
      <c r="T75" s="64">
        <v>0</v>
      </c>
      <c r="U75" s="64">
        <v>18.18</v>
      </c>
      <c r="V75" s="64">
        <v>9.09</v>
      </c>
      <c r="W75" s="64">
        <v>72.73</v>
      </c>
      <c r="X75" s="64">
        <v>28.57</v>
      </c>
      <c r="Y75" s="64">
        <v>19.05</v>
      </c>
      <c r="Z75" s="64">
        <v>52.38</v>
      </c>
      <c r="AA75" s="64">
        <v>40</v>
      </c>
      <c r="AB75" s="64">
        <v>30</v>
      </c>
      <c r="AC75" s="64">
        <v>4</v>
      </c>
      <c r="AD75" s="64">
        <v>6</v>
      </c>
      <c r="AE75" s="64">
        <v>50</v>
      </c>
      <c r="AF75" s="64">
        <v>83.33</v>
      </c>
      <c r="AG75" s="51">
        <f t="shared" si="1"/>
        <v>-7.1440000000000001</v>
      </c>
      <c r="AH75" s="52">
        <f t="shared" si="2"/>
        <v>7.1440000000000001</v>
      </c>
      <c r="AI75" s="52" t="str">
        <f t="shared" si="3"/>
        <v>N</v>
      </c>
      <c r="AJ75" s="52" t="str">
        <f t="shared" si="4"/>
        <v>N</v>
      </c>
      <c r="AK75" s="50" t="str">
        <f t="shared" si="5"/>
        <v>Win</v>
      </c>
      <c r="AL75" s="50" t="str">
        <f t="shared" si="6"/>
        <v>Loss</v>
      </c>
      <c r="AM75" s="50" t="str">
        <f t="shared" si="7"/>
        <v>Loss</v>
      </c>
      <c r="AN75" s="50">
        <f t="shared" si="8"/>
        <v>316.5</v>
      </c>
      <c r="AO75" s="50">
        <f t="shared" si="9"/>
        <v>-50</v>
      </c>
      <c r="AP75" s="50">
        <f t="shared" si="10"/>
        <v>-50</v>
      </c>
    </row>
    <row r="76" spans="1:42" x14ac:dyDescent="0.25">
      <c r="A76" s="63">
        <v>43624</v>
      </c>
      <c r="B76" s="64" t="s">
        <v>178</v>
      </c>
      <c r="C76" s="64" t="s">
        <v>217</v>
      </c>
      <c r="D76" s="64" t="s">
        <v>323</v>
      </c>
      <c r="E76" s="64" t="s">
        <v>324</v>
      </c>
      <c r="F76" s="64" t="s">
        <v>325</v>
      </c>
      <c r="G76" s="64">
        <v>0</v>
      </c>
      <c r="H76" s="64">
        <v>3</v>
      </c>
      <c r="I76" s="64">
        <v>10</v>
      </c>
      <c r="J76" s="64">
        <v>6.25</v>
      </c>
      <c r="K76" s="64">
        <v>1.21</v>
      </c>
      <c r="L76" s="64">
        <v>8.7899999999999991</v>
      </c>
      <c r="M76" s="64">
        <v>9</v>
      </c>
      <c r="N76" s="64">
        <v>10</v>
      </c>
      <c r="O76" s="64">
        <v>1</v>
      </c>
      <c r="P76" s="64">
        <v>4</v>
      </c>
      <c r="Q76" s="64">
        <v>6</v>
      </c>
      <c r="R76" s="64">
        <v>0</v>
      </c>
      <c r="S76" s="64">
        <v>0</v>
      </c>
      <c r="T76" s="64">
        <v>100</v>
      </c>
      <c r="U76" s="64">
        <v>0</v>
      </c>
      <c r="V76" s="64">
        <v>22.22</v>
      </c>
      <c r="W76" s="64">
        <v>77.78</v>
      </c>
      <c r="X76" s="64">
        <v>70</v>
      </c>
      <c r="Y76" s="64">
        <v>10</v>
      </c>
      <c r="Z76" s="64">
        <v>20</v>
      </c>
      <c r="AA76" s="64">
        <v>0</v>
      </c>
      <c r="AB76" s="64">
        <v>66.67</v>
      </c>
      <c r="AC76" s="64">
        <v>2</v>
      </c>
      <c r="AD76" s="64">
        <v>7</v>
      </c>
      <c r="AE76" s="64">
        <v>0</v>
      </c>
      <c r="AF76" s="64">
        <v>71.430000000000007</v>
      </c>
      <c r="AG76" s="51">
        <f t="shared" si="1"/>
        <v>-54.334000000000003</v>
      </c>
      <c r="AH76" s="52">
        <f t="shared" si="2"/>
        <v>54.334000000000003</v>
      </c>
      <c r="AI76" s="52" t="str">
        <f t="shared" si="3"/>
        <v>N</v>
      </c>
      <c r="AJ76" s="52" t="str">
        <f t="shared" si="4"/>
        <v>Y</v>
      </c>
      <c r="AK76" s="50" t="str">
        <f t="shared" si="5"/>
        <v>Loss</v>
      </c>
      <c r="AL76" s="50" t="str">
        <f t="shared" si="6"/>
        <v>Loss</v>
      </c>
      <c r="AM76" s="50" t="str">
        <f t="shared" si="7"/>
        <v>Win</v>
      </c>
      <c r="AN76" s="50">
        <f t="shared" si="8"/>
        <v>-50</v>
      </c>
      <c r="AO76" s="50">
        <f t="shared" si="9"/>
        <v>-50</v>
      </c>
      <c r="AP76" s="50">
        <f t="shared" si="10"/>
        <v>10.5</v>
      </c>
    </row>
    <row r="77" spans="1:42" x14ac:dyDescent="0.25">
      <c r="A77" s="63">
        <v>43624</v>
      </c>
      <c r="B77" s="64" t="s">
        <v>178</v>
      </c>
      <c r="C77" s="64" t="s">
        <v>326</v>
      </c>
      <c r="D77" s="64" t="s">
        <v>327</v>
      </c>
      <c r="E77" s="64" t="s">
        <v>328</v>
      </c>
      <c r="F77" s="64" t="s">
        <v>329</v>
      </c>
      <c r="G77" s="64">
        <v>2</v>
      </c>
      <c r="H77" s="64">
        <v>1</v>
      </c>
      <c r="I77" s="64">
        <v>4.3499999999999996</v>
      </c>
      <c r="J77" s="64">
        <v>4.29</v>
      </c>
      <c r="K77" s="64">
        <v>1.61</v>
      </c>
      <c r="L77" s="64">
        <v>2.74</v>
      </c>
      <c r="M77" s="64">
        <v>13</v>
      </c>
      <c r="N77" s="64">
        <v>13</v>
      </c>
      <c r="O77" s="64">
        <v>1</v>
      </c>
      <c r="P77" s="64">
        <v>5</v>
      </c>
      <c r="Q77" s="64">
        <v>7</v>
      </c>
      <c r="R77" s="64">
        <v>0</v>
      </c>
      <c r="S77" s="64">
        <v>100</v>
      </c>
      <c r="T77" s="64">
        <v>0</v>
      </c>
      <c r="U77" s="64">
        <v>15.38</v>
      </c>
      <c r="V77" s="64">
        <v>38.46</v>
      </c>
      <c r="W77" s="64">
        <v>46.15</v>
      </c>
      <c r="X77" s="64">
        <v>38.46</v>
      </c>
      <c r="Y77" s="64">
        <v>38.46</v>
      </c>
      <c r="Z77" s="64">
        <v>23.08</v>
      </c>
      <c r="AA77" s="64">
        <v>0</v>
      </c>
      <c r="AB77" s="64">
        <v>28.57</v>
      </c>
      <c r="AC77" s="64">
        <v>1</v>
      </c>
      <c r="AD77" s="64">
        <v>6</v>
      </c>
      <c r="AE77" s="64">
        <v>0</v>
      </c>
      <c r="AF77" s="64">
        <v>50</v>
      </c>
      <c r="AG77" s="51">
        <f t="shared" si="1"/>
        <v>0.76999999999999957</v>
      </c>
      <c r="AH77" s="52">
        <f t="shared" si="2"/>
        <v>19.23</v>
      </c>
      <c r="AI77" s="52" t="str">
        <f t="shared" si="3"/>
        <v>N</v>
      </c>
      <c r="AJ77" s="52" t="str">
        <f t="shared" si="4"/>
        <v>N</v>
      </c>
      <c r="AK77" s="50" t="str">
        <f t="shared" si="5"/>
        <v>Win</v>
      </c>
      <c r="AL77" s="50" t="str">
        <f t="shared" si="6"/>
        <v>Loss</v>
      </c>
      <c r="AM77" s="50" t="str">
        <f t="shared" si="7"/>
        <v>Loss</v>
      </c>
      <c r="AN77" s="50">
        <f t="shared" si="8"/>
        <v>167.49999999999997</v>
      </c>
      <c r="AO77" s="50">
        <f t="shared" si="9"/>
        <v>-50</v>
      </c>
      <c r="AP77" s="50">
        <f t="shared" si="10"/>
        <v>-50</v>
      </c>
    </row>
    <row r="78" spans="1:42" x14ac:dyDescent="0.25">
      <c r="A78" s="63">
        <v>43624</v>
      </c>
      <c r="B78" s="64" t="s">
        <v>178</v>
      </c>
      <c r="C78" s="64" t="s">
        <v>278</v>
      </c>
      <c r="D78" s="64" t="s">
        <v>330</v>
      </c>
      <c r="E78" s="64" t="s">
        <v>331</v>
      </c>
      <c r="F78" s="64" t="s">
        <v>332</v>
      </c>
      <c r="G78" s="64">
        <v>2</v>
      </c>
      <c r="H78" s="64">
        <v>4</v>
      </c>
      <c r="I78" s="64">
        <v>1.45</v>
      </c>
      <c r="J78" s="64">
        <v>4.97</v>
      </c>
      <c r="K78" s="64">
        <v>5.12</v>
      </c>
      <c r="L78" s="64">
        <v>-3.67</v>
      </c>
      <c r="M78" s="64">
        <v>17</v>
      </c>
      <c r="N78" s="64">
        <v>17</v>
      </c>
      <c r="O78" s="64">
        <v>1</v>
      </c>
      <c r="P78" s="64">
        <v>8</v>
      </c>
      <c r="Q78" s="64">
        <v>9</v>
      </c>
      <c r="R78" s="64">
        <v>100</v>
      </c>
      <c r="S78" s="64">
        <v>0</v>
      </c>
      <c r="T78" s="64">
        <v>0</v>
      </c>
      <c r="U78" s="64">
        <v>94.12</v>
      </c>
      <c r="V78" s="64">
        <v>0</v>
      </c>
      <c r="W78" s="64">
        <v>5.88</v>
      </c>
      <c r="X78" s="64">
        <v>52.94</v>
      </c>
      <c r="Y78" s="64">
        <v>5.88</v>
      </c>
      <c r="Z78" s="64">
        <v>41.18</v>
      </c>
      <c r="AA78" s="64">
        <v>87.5</v>
      </c>
      <c r="AB78" s="64">
        <v>55.56</v>
      </c>
      <c r="AC78" s="64">
        <v>15</v>
      </c>
      <c r="AD78" s="64">
        <v>9</v>
      </c>
      <c r="AE78" s="64">
        <v>93.33</v>
      </c>
      <c r="AF78" s="64">
        <v>88.89</v>
      </c>
      <c r="AG78" s="51">
        <f t="shared" si="1"/>
        <v>44.707999999999998</v>
      </c>
      <c r="AH78" s="52">
        <f t="shared" si="2"/>
        <v>-44.707999999999998</v>
      </c>
      <c r="AI78" s="52" t="str">
        <f t="shared" si="3"/>
        <v>Y</v>
      </c>
      <c r="AJ78" s="52" t="str">
        <f t="shared" si="4"/>
        <v>N</v>
      </c>
      <c r="AK78" s="50" t="str">
        <f t="shared" si="5"/>
        <v>Loss</v>
      </c>
      <c r="AL78" s="50" t="str">
        <f t="shared" si="6"/>
        <v>Loss</v>
      </c>
      <c r="AM78" s="50" t="str">
        <f t="shared" si="7"/>
        <v>Win</v>
      </c>
      <c r="AN78" s="50">
        <f t="shared" si="8"/>
        <v>-50</v>
      </c>
      <c r="AO78" s="50">
        <f t="shared" si="9"/>
        <v>-50</v>
      </c>
      <c r="AP78" s="50">
        <f t="shared" si="10"/>
        <v>206</v>
      </c>
    </row>
    <row r="79" spans="1:42" x14ac:dyDescent="0.25">
      <c r="A79" s="63">
        <v>43624</v>
      </c>
      <c r="B79" s="64" t="s">
        <v>178</v>
      </c>
      <c r="C79" s="64" t="s">
        <v>186</v>
      </c>
      <c r="D79" s="64" t="s">
        <v>333</v>
      </c>
      <c r="E79" s="64" t="s">
        <v>334</v>
      </c>
      <c r="F79" s="64" t="s">
        <v>335</v>
      </c>
      <c r="G79" s="64">
        <v>3</v>
      </c>
      <c r="H79" s="64">
        <v>5</v>
      </c>
      <c r="I79" s="64">
        <v>3.67</v>
      </c>
      <c r="J79" s="64">
        <v>3.78</v>
      </c>
      <c r="K79" s="64">
        <v>1.85</v>
      </c>
      <c r="L79" s="64">
        <v>1.82</v>
      </c>
      <c r="M79" s="64">
        <v>15</v>
      </c>
      <c r="N79" s="64">
        <v>15</v>
      </c>
      <c r="O79" s="64">
        <v>1</v>
      </c>
      <c r="P79" s="64">
        <v>7</v>
      </c>
      <c r="Q79" s="64">
        <v>10</v>
      </c>
      <c r="R79" s="64">
        <v>100</v>
      </c>
      <c r="S79" s="64">
        <v>0</v>
      </c>
      <c r="T79" s="64">
        <v>0</v>
      </c>
      <c r="U79" s="64">
        <v>20</v>
      </c>
      <c r="V79" s="64">
        <v>26.67</v>
      </c>
      <c r="W79" s="64">
        <v>53.33</v>
      </c>
      <c r="X79" s="64">
        <v>26.67</v>
      </c>
      <c r="Y79" s="64">
        <v>26.67</v>
      </c>
      <c r="Z79" s="64">
        <v>46.67</v>
      </c>
      <c r="AA79" s="64">
        <v>0</v>
      </c>
      <c r="AB79" s="64">
        <v>20</v>
      </c>
      <c r="AC79" s="64">
        <v>4</v>
      </c>
      <c r="AD79" s="64">
        <v>5</v>
      </c>
      <c r="AE79" s="64">
        <v>25</v>
      </c>
      <c r="AF79" s="64">
        <v>20</v>
      </c>
      <c r="AG79" s="51">
        <f t="shared" ref="AG79:AG142" si="11">(+R79*$R$12)+(S79*$S$12)-(T79*$T$12)+(U79*$U$12)+(V79*$V$12)-(W79*$W$12)-(X79*$X$12)-(Y79*$Y$12)+(Z79*$Z$12)</f>
        <v>27.334000000000003</v>
      </c>
      <c r="AH79" s="52">
        <f t="shared" ref="AH79:AH142" si="12">(-R79*$R$12)+(S79*$S$12)+(T79*$T$12)-(U79*$U$12)-(V79*$V$12)+(W79*$W$12)+(X79*$X$12)+(Y79*$Y$12)-(Z79*$Z$12)</f>
        <v>-27.334000000000003</v>
      </c>
      <c r="AI79" s="52" t="str">
        <f t="shared" ref="AI79:AI142" si="13">IF(AG79&gt;=$AG$12,"Y",IF(AA79&gt;=$AA$12,"Y","N"))</f>
        <v>N</v>
      </c>
      <c r="AJ79" s="52" t="str">
        <f t="shared" ref="AJ79:AJ142" si="14">IF(AH79&gt;=$AH$12,"Y",IF(AB79&gt;=$AB$12,"Y","N"))</f>
        <v>N</v>
      </c>
      <c r="AK79" s="50" t="str">
        <f t="shared" ref="AK79:AK142" si="15">IF(G79&gt;H79,"Win","Loss")</f>
        <v>Loss</v>
      </c>
      <c r="AL79" s="50" t="str">
        <f t="shared" ref="AL79:AL142" si="16">IF(G79=H79,"Win","Loss")</f>
        <v>Loss</v>
      </c>
      <c r="AM79" s="50" t="str">
        <f t="shared" ref="AM79:AM142" si="17">IF(G79&lt;H79,"Win","Loss")</f>
        <v>Win</v>
      </c>
      <c r="AN79" s="50">
        <f t="shared" ref="AN79:AN142" si="18">IF(AK79="Win",(I79*$B$2)-$B$2,-$B$2)</f>
        <v>-50</v>
      </c>
      <c r="AO79" s="50">
        <f t="shared" ref="AO79:AO142" si="19">IF(AL79="Win",(J79*$B$2)-$B$2,-$B$2)</f>
        <v>-50</v>
      </c>
      <c r="AP79" s="50">
        <f t="shared" ref="AP79:AP142" si="20">IF(AM79="Win",(K79*$B$2)-$B$2,-$B$2)</f>
        <v>42.5</v>
      </c>
    </row>
    <row r="80" spans="1:42" x14ac:dyDescent="0.25">
      <c r="A80" s="63">
        <v>43624</v>
      </c>
      <c r="B80" s="64" t="s">
        <v>190</v>
      </c>
      <c r="C80" s="64" t="s">
        <v>191</v>
      </c>
      <c r="D80" s="64" t="s">
        <v>336</v>
      </c>
      <c r="E80" s="64" t="s">
        <v>337</v>
      </c>
      <c r="F80" s="64" t="s">
        <v>338</v>
      </c>
      <c r="G80" s="64">
        <v>3</v>
      </c>
      <c r="H80" s="64">
        <v>1</v>
      </c>
      <c r="I80" s="64">
        <v>2.46</v>
      </c>
      <c r="J80" s="64">
        <v>3.13</v>
      </c>
      <c r="K80" s="64">
        <v>2.96</v>
      </c>
      <c r="L80" s="64">
        <v>-0.5</v>
      </c>
      <c r="M80" s="64">
        <v>18</v>
      </c>
      <c r="N80" s="64">
        <v>17</v>
      </c>
      <c r="O80" s="64">
        <v>0</v>
      </c>
      <c r="P80" s="64">
        <v>8</v>
      </c>
      <c r="Q80" s="64">
        <v>8</v>
      </c>
      <c r="R80" s="64">
        <v>0</v>
      </c>
      <c r="S80" s="64">
        <v>0</v>
      </c>
      <c r="T80" s="64">
        <v>0</v>
      </c>
      <c r="U80" s="64">
        <v>44.44</v>
      </c>
      <c r="V80" s="64">
        <v>38.89</v>
      </c>
      <c r="W80" s="64">
        <v>16.670000000000002</v>
      </c>
      <c r="X80" s="64">
        <v>47.06</v>
      </c>
      <c r="Y80" s="64">
        <v>29.41</v>
      </c>
      <c r="Z80" s="64">
        <v>23.53</v>
      </c>
      <c r="AA80" s="64">
        <v>50</v>
      </c>
      <c r="AB80" s="64">
        <v>50</v>
      </c>
      <c r="AC80" s="64">
        <v>15</v>
      </c>
      <c r="AD80" s="64">
        <v>5</v>
      </c>
      <c r="AE80" s="64">
        <v>46.67</v>
      </c>
      <c r="AF80" s="64">
        <v>80</v>
      </c>
      <c r="AG80" s="51">
        <f t="shared" si="11"/>
        <v>1.7960000000000007</v>
      </c>
      <c r="AH80" s="52">
        <f t="shared" si="12"/>
        <v>-1.7960000000000007</v>
      </c>
      <c r="AI80" s="52" t="str">
        <f t="shared" si="13"/>
        <v>N</v>
      </c>
      <c r="AJ80" s="52" t="str">
        <f t="shared" si="14"/>
        <v>N</v>
      </c>
      <c r="AK80" s="50" t="str">
        <f t="shared" si="15"/>
        <v>Win</v>
      </c>
      <c r="AL80" s="50" t="str">
        <f t="shared" si="16"/>
        <v>Loss</v>
      </c>
      <c r="AM80" s="50" t="str">
        <f t="shared" si="17"/>
        <v>Loss</v>
      </c>
      <c r="AN80" s="50">
        <f t="shared" si="18"/>
        <v>73</v>
      </c>
      <c r="AO80" s="50">
        <f t="shared" si="19"/>
        <v>-50</v>
      </c>
      <c r="AP80" s="50">
        <f t="shared" si="20"/>
        <v>-50</v>
      </c>
    </row>
    <row r="81" spans="1:42" x14ac:dyDescent="0.25">
      <c r="A81" s="63">
        <v>43624</v>
      </c>
      <c r="B81" s="64" t="s">
        <v>190</v>
      </c>
      <c r="C81" s="64" t="s">
        <v>191</v>
      </c>
      <c r="D81" s="64" t="s">
        <v>339</v>
      </c>
      <c r="E81" s="64" t="s">
        <v>340</v>
      </c>
      <c r="F81" s="64" t="s">
        <v>341</v>
      </c>
      <c r="G81" s="64">
        <v>1</v>
      </c>
      <c r="H81" s="64">
        <v>0</v>
      </c>
      <c r="I81" s="64">
        <v>2.09</v>
      </c>
      <c r="J81" s="64">
        <v>3.28</v>
      </c>
      <c r="K81" s="64">
        <v>3.58</v>
      </c>
      <c r="L81" s="64">
        <v>-1.49</v>
      </c>
      <c r="M81" s="64">
        <v>18</v>
      </c>
      <c r="N81" s="64">
        <v>18</v>
      </c>
      <c r="O81" s="64">
        <v>0</v>
      </c>
      <c r="P81" s="64">
        <v>8</v>
      </c>
      <c r="Q81" s="64">
        <v>10</v>
      </c>
      <c r="R81" s="64">
        <v>0</v>
      </c>
      <c r="S81" s="64">
        <v>0</v>
      </c>
      <c r="T81" s="64">
        <v>0</v>
      </c>
      <c r="U81" s="64">
        <v>27.78</v>
      </c>
      <c r="V81" s="64">
        <v>33.33</v>
      </c>
      <c r="W81" s="64">
        <v>38.89</v>
      </c>
      <c r="X81" s="64">
        <v>33.33</v>
      </c>
      <c r="Y81" s="64">
        <v>27.78</v>
      </c>
      <c r="Z81" s="64">
        <v>38.89</v>
      </c>
      <c r="AA81" s="64">
        <v>50</v>
      </c>
      <c r="AB81" s="64">
        <v>40</v>
      </c>
      <c r="AC81" s="64">
        <v>14</v>
      </c>
      <c r="AD81" s="64">
        <v>7</v>
      </c>
      <c r="AE81" s="64">
        <v>35.71</v>
      </c>
      <c r="AF81" s="64">
        <v>42.86</v>
      </c>
      <c r="AG81" s="51">
        <f t="shared" si="11"/>
        <v>-0.55499999999999972</v>
      </c>
      <c r="AH81" s="52">
        <f t="shared" si="12"/>
        <v>0.55499999999999972</v>
      </c>
      <c r="AI81" s="52" t="str">
        <f t="shared" si="13"/>
        <v>N</v>
      </c>
      <c r="AJ81" s="52" t="str">
        <f t="shared" si="14"/>
        <v>N</v>
      </c>
      <c r="AK81" s="50" t="str">
        <f t="shared" si="15"/>
        <v>Win</v>
      </c>
      <c r="AL81" s="50" t="str">
        <f t="shared" si="16"/>
        <v>Loss</v>
      </c>
      <c r="AM81" s="50" t="str">
        <f t="shared" si="17"/>
        <v>Loss</v>
      </c>
      <c r="AN81" s="50">
        <f t="shared" si="18"/>
        <v>54.5</v>
      </c>
      <c r="AO81" s="50">
        <f t="shared" si="19"/>
        <v>-50</v>
      </c>
      <c r="AP81" s="50">
        <f t="shared" si="20"/>
        <v>-50</v>
      </c>
    </row>
    <row r="82" spans="1:42" x14ac:dyDescent="0.25">
      <c r="A82" s="63">
        <v>43624</v>
      </c>
      <c r="B82" s="64" t="s">
        <v>342</v>
      </c>
      <c r="C82" s="64" t="s">
        <v>343</v>
      </c>
      <c r="D82" s="64" t="s">
        <v>344</v>
      </c>
      <c r="E82" s="64" t="s">
        <v>345</v>
      </c>
      <c r="F82" s="64" t="s">
        <v>346</v>
      </c>
      <c r="G82" s="64">
        <v>0</v>
      </c>
      <c r="H82" s="64">
        <v>3</v>
      </c>
      <c r="I82" s="64">
        <v>1.76</v>
      </c>
      <c r="J82" s="64">
        <v>4.25</v>
      </c>
      <c r="K82" s="64">
        <v>3.48</v>
      </c>
      <c r="L82" s="64">
        <v>-1.72</v>
      </c>
      <c r="M82" s="64">
        <v>24</v>
      </c>
      <c r="N82" s="64">
        <v>22</v>
      </c>
      <c r="O82" s="64">
        <v>1</v>
      </c>
      <c r="P82" s="64">
        <v>13</v>
      </c>
      <c r="Q82" s="64">
        <v>12</v>
      </c>
      <c r="R82" s="64">
        <v>100</v>
      </c>
      <c r="S82" s="64">
        <v>0</v>
      </c>
      <c r="T82" s="64">
        <v>0</v>
      </c>
      <c r="U82" s="64">
        <v>54.17</v>
      </c>
      <c r="V82" s="64">
        <v>8.33</v>
      </c>
      <c r="W82" s="64">
        <v>37.5</v>
      </c>
      <c r="X82" s="64">
        <v>36.36</v>
      </c>
      <c r="Y82" s="64">
        <v>13.64</v>
      </c>
      <c r="Z82" s="64">
        <v>50</v>
      </c>
      <c r="AA82" s="64">
        <v>53.85</v>
      </c>
      <c r="AB82" s="64">
        <v>33.33</v>
      </c>
      <c r="AC82" s="64">
        <v>14</v>
      </c>
      <c r="AD82" s="64">
        <v>9</v>
      </c>
      <c r="AE82" s="64">
        <v>85.71</v>
      </c>
      <c r="AF82" s="64">
        <v>77.78</v>
      </c>
      <c r="AG82" s="51">
        <f t="shared" si="11"/>
        <v>35.531000000000006</v>
      </c>
      <c r="AH82" s="52">
        <f t="shared" si="12"/>
        <v>-35.531000000000006</v>
      </c>
      <c r="AI82" s="52" t="str">
        <f t="shared" si="13"/>
        <v>N</v>
      </c>
      <c r="AJ82" s="52" t="str">
        <f t="shared" si="14"/>
        <v>N</v>
      </c>
      <c r="AK82" s="50" t="str">
        <f t="shared" si="15"/>
        <v>Loss</v>
      </c>
      <c r="AL82" s="50" t="str">
        <f t="shared" si="16"/>
        <v>Loss</v>
      </c>
      <c r="AM82" s="50" t="str">
        <f t="shared" si="17"/>
        <v>Win</v>
      </c>
      <c r="AN82" s="50">
        <f t="shared" si="18"/>
        <v>-50</v>
      </c>
      <c r="AO82" s="50">
        <f t="shared" si="19"/>
        <v>-50</v>
      </c>
      <c r="AP82" s="50">
        <f t="shared" si="20"/>
        <v>124</v>
      </c>
    </row>
    <row r="83" spans="1:42" x14ac:dyDescent="0.25">
      <c r="A83" s="63">
        <v>43624</v>
      </c>
      <c r="B83" s="64" t="s">
        <v>342</v>
      </c>
      <c r="C83" s="64" t="s">
        <v>347</v>
      </c>
      <c r="D83" s="64" t="s">
        <v>348</v>
      </c>
      <c r="E83" s="64" t="s">
        <v>349</v>
      </c>
      <c r="F83" s="64" t="s">
        <v>350</v>
      </c>
      <c r="G83" s="64">
        <v>1</v>
      </c>
      <c r="H83" s="64">
        <v>0</v>
      </c>
      <c r="I83" s="64">
        <v>2.76</v>
      </c>
      <c r="J83" s="64">
        <v>3.37</v>
      </c>
      <c r="K83" s="64">
        <v>2.25</v>
      </c>
      <c r="L83" s="64">
        <v>0.51</v>
      </c>
      <c r="M83" s="64">
        <v>29</v>
      </c>
      <c r="N83" s="64">
        <v>27</v>
      </c>
      <c r="O83" s="64">
        <v>1</v>
      </c>
      <c r="P83" s="64">
        <v>15</v>
      </c>
      <c r="Q83" s="64">
        <v>14</v>
      </c>
      <c r="R83" s="64">
        <v>100</v>
      </c>
      <c r="S83" s="64">
        <v>0</v>
      </c>
      <c r="T83" s="64">
        <v>0</v>
      </c>
      <c r="U83" s="64">
        <v>44.83</v>
      </c>
      <c r="V83" s="64">
        <v>20.69</v>
      </c>
      <c r="W83" s="64">
        <v>34.479999999999997</v>
      </c>
      <c r="X83" s="64">
        <v>33.33</v>
      </c>
      <c r="Y83" s="64">
        <v>29.63</v>
      </c>
      <c r="Z83" s="64">
        <v>37.04</v>
      </c>
      <c r="AA83" s="64">
        <v>46.67</v>
      </c>
      <c r="AB83" s="64">
        <v>21.43</v>
      </c>
      <c r="AC83" s="64">
        <v>15</v>
      </c>
      <c r="AD83" s="64">
        <v>8</v>
      </c>
      <c r="AE83" s="64">
        <v>60</v>
      </c>
      <c r="AF83" s="64">
        <v>37.5</v>
      </c>
      <c r="AG83" s="51">
        <f t="shared" si="11"/>
        <v>31.918000000000003</v>
      </c>
      <c r="AH83" s="52">
        <f t="shared" si="12"/>
        <v>-31.918000000000003</v>
      </c>
      <c r="AI83" s="52" t="str">
        <f t="shared" si="13"/>
        <v>N</v>
      </c>
      <c r="AJ83" s="52" t="str">
        <f t="shared" si="14"/>
        <v>N</v>
      </c>
      <c r="AK83" s="50" t="str">
        <f t="shared" si="15"/>
        <v>Win</v>
      </c>
      <c r="AL83" s="50" t="str">
        <f t="shared" si="16"/>
        <v>Loss</v>
      </c>
      <c r="AM83" s="50" t="str">
        <f t="shared" si="17"/>
        <v>Loss</v>
      </c>
      <c r="AN83" s="50">
        <f t="shared" si="18"/>
        <v>88</v>
      </c>
      <c r="AO83" s="50">
        <f t="shared" si="19"/>
        <v>-50</v>
      </c>
      <c r="AP83" s="50">
        <f t="shared" si="20"/>
        <v>-50</v>
      </c>
    </row>
    <row r="84" spans="1:42" x14ac:dyDescent="0.25">
      <c r="A84" s="63">
        <v>43624</v>
      </c>
      <c r="B84" s="64" t="s">
        <v>342</v>
      </c>
      <c r="C84" s="64" t="s">
        <v>351</v>
      </c>
      <c r="D84" s="64" t="s">
        <v>352</v>
      </c>
      <c r="E84" s="64" t="s">
        <v>353</v>
      </c>
      <c r="F84" s="64" t="s">
        <v>354</v>
      </c>
      <c r="G84" s="64">
        <v>1</v>
      </c>
      <c r="H84" s="64">
        <v>2</v>
      </c>
      <c r="I84" s="64">
        <v>2.16</v>
      </c>
      <c r="J84" s="64">
        <v>3.25</v>
      </c>
      <c r="K84" s="64">
        <v>3.08</v>
      </c>
      <c r="L84" s="64">
        <v>-0.92</v>
      </c>
      <c r="M84" s="64">
        <v>27</v>
      </c>
      <c r="N84" s="64">
        <v>26</v>
      </c>
      <c r="O84" s="64">
        <v>1</v>
      </c>
      <c r="P84" s="64">
        <v>15</v>
      </c>
      <c r="Q84" s="64">
        <v>15</v>
      </c>
      <c r="R84" s="64">
        <v>0</v>
      </c>
      <c r="S84" s="64">
        <v>0</v>
      </c>
      <c r="T84" s="64">
        <v>100</v>
      </c>
      <c r="U84" s="64">
        <v>37.04</v>
      </c>
      <c r="V84" s="64">
        <v>22.22</v>
      </c>
      <c r="W84" s="64">
        <v>40.74</v>
      </c>
      <c r="X84" s="64">
        <v>46.15</v>
      </c>
      <c r="Y84" s="64">
        <v>11.54</v>
      </c>
      <c r="Z84" s="64">
        <v>42.31</v>
      </c>
      <c r="AA84" s="64">
        <v>46.67</v>
      </c>
      <c r="AB84" s="64">
        <v>33.33</v>
      </c>
      <c r="AC84" s="64">
        <v>15</v>
      </c>
      <c r="AD84" s="64">
        <v>18</v>
      </c>
      <c r="AE84" s="64">
        <v>53.33</v>
      </c>
      <c r="AF84" s="64">
        <v>44.44</v>
      </c>
      <c r="AG84" s="51">
        <f t="shared" si="11"/>
        <v>-30.439999999999998</v>
      </c>
      <c r="AH84" s="52">
        <f t="shared" si="12"/>
        <v>30.439999999999998</v>
      </c>
      <c r="AI84" s="52" t="str">
        <f t="shared" si="13"/>
        <v>N</v>
      </c>
      <c r="AJ84" s="52" t="str">
        <f t="shared" si="14"/>
        <v>N</v>
      </c>
      <c r="AK84" s="50" t="str">
        <f t="shared" si="15"/>
        <v>Loss</v>
      </c>
      <c r="AL84" s="50" t="str">
        <f t="shared" si="16"/>
        <v>Loss</v>
      </c>
      <c r="AM84" s="50" t="str">
        <f t="shared" si="17"/>
        <v>Win</v>
      </c>
      <c r="AN84" s="50">
        <f t="shared" si="18"/>
        <v>-50</v>
      </c>
      <c r="AO84" s="50">
        <f t="shared" si="19"/>
        <v>-50</v>
      </c>
      <c r="AP84" s="50">
        <f t="shared" si="20"/>
        <v>104</v>
      </c>
    </row>
    <row r="85" spans="1:42" x14ac:dyDescent="0.25">
      <c r="A85" s="63">
        <v>43624</v>
      </c>
      <c r="B85" s="64" t="s">
        <v>178</v>
      </c>
      <c r="C85" s="64" t="s">
        <v>186</v>
      </c>
      <c r="D85" s="64" t="s">
        <v>355</v>
      </c>
      <c r="E85" s="64" t="s">
        <v>356</v>
      </c>
      <c r="F85" s="64" t="s">
        <v>357</v>
      </c>
      <c r="G85" s="64">
        <v>1</v>
      </c>
      <c r="H85" s="64">
        <v>3</v>
      </c>
      <c r="I85" s="64">
        <v>5.13</v>
      </c>
      <c r="J85" s="64">
        <v>4.37</v>
      </c>
      <c r="K85" s="64">
        <v>1.52</v>
      </c>
      <c r="L85" s="64">
        <v>3.61</v>
      </c>
      <c r="M85" s="64">
        <v>15</v>
      </c>
      <c r="N85" s="64">
        <v>18</v>
      </c>
      <c r="O85" s="64">
        <v>1</v>
      </c>
      <c r="P85" s="64">
        <v>8</v>
      </c>
      <c r="Q85" s="64">
        <v>5</v>
      </c>
      <c r="R85" s="64">
        <v>0</v>
      </c>
      <c r="S85" s="64">
        <v>0</v>
      </c>
      <c r="T85" s="64">
        <v>100</v>
      </c>
      <c r="U85" s="64">
        <v>13.33</v>
      </c>
      <c r="V85" s="64">
        <v>26.67</v>
      </c>
      <c r="W85" s="64">
        <v>60</v>
      </c>
      <c r="X85" s="64">
        <v>66.67</v>
      </c>
      <c r="Y85" s="64">
        <v>22.22</v>
      </c>
      <c r="Z85" s="64">
        <v>11.11</v>
      </c>
      <c r="AA85" s="64">
        <v>12.5</v>
      </c>
      <c r="AB85" s="64">
        <v>40</v>
      </c>
      <c r="AC85" s="64">
        <v>2</v>
      </c>
      <c r="AD85" s="64">
        <v>16</v>
      </c>
      <c r="AE85" s="64">
        <v>0</v>
      </c>
      <c r="AF85" s="64">
        <v>75</v>
      </c>
      <c r="AG85" s="51">
        <f t="shared" si="11"/>
        <v>-50.001000000000005</v>
      </c>
      <c r="AH85" s="52">
        <f t="shared" si="12"/>
        <v>50.001000000000005</v>
      </c>
      <c r="AI85" s="52" t="str">
        <f t="shared" si="13"/>
        <v>N</v>
      </c>
      <c r="AJ85" s="52" t="str">
        <f t="shared" si="14"/>
        <v>Y</v>
      </c>
      <c r="AK85" s="50" t="str">
        <f t="shared" si="15"/>
        <v>Loss</v>
      </c>
      <c r="AL85" s="50" t="str">
        <f t="shared" si="16"/>
        <v>Loss</v>
      </c>
      <c r="AM85" s="50" t="str">
        <f t="shared" si="17"/>
        <v>Win</v>
      </c>
      <c r="AN85" s="50">
        <f t="shared" si="18"/>
        <v>-50</v>
      </c>
      <c r="AO85" s="50">
        <f t="shared" si="19"/>
        <v>-50</v>
      </c>
      <c r="AP85" s="50">
        <f t="shared" si="20"/>
        <v>26</v>
      </c>
    </row>
    <row r="86" spans="1:42" x14ac:dyDescent="0.25">
      <c r="A86" s="63">
        <v>43624</v>
      </c>
      <c r="B86" s="64" t="s">
        <v>190</v>
      </c>
      <c r="C86" s="64" t="s">
        <v>191</v>
      </c>
      <c r="D86" s="64" t="s">
        <v>358</v>
      </c>
      <c r="E86" s="64" t="s">
        <v>359</v>
      </c>
      <c r="F86" s="64" t="s">
        <v>360</v>
      </c>
      <c r="G86" s="64">
        <v>1</v>
      </c>
      <c r="H86" s="64">
        <v>1</v>
      </c>
      <c r="I86" s="64">
        <v>3.04</v>
      </c>
      <c r="J86" s="64">
        <v>3.53</v>
      </c>
      <c r="K86" s="64">
        <v>2.21</v>
      </c>
      <c r="L86" s="64">
        <v>0.83</v>
      </c>
      <c r="M86" s="64">
        <v>18</v>
      </c>
      <c r="N86" s="64">
        <v>21</v>
      </c>
      <c r="O86" s="64">
        <v>0</v>
      </c>
      <c r="P86" s="64">
        <v>8</v>
      </c>
      <c r="Q86" s="64">
        <v>11</v>
      </c>
      <c r="R86" s="64">
        <v>0</v>
      </c>
      <c r="S86" s="64">
        <v>0</v>
      </c>
      <c r="T86" s="64">
        <v>0</v>
      </c>
      <c r="U86" s="64">
        <v>27.78</v>
      </c>
      <c r="V86" s="64">
        <v>16.670000000000002</v>
      </c>
      <c r="W86" s="64">
        <v>55.56</v>
      </c>
      <c r="X86" s="64">
        <v>42.86</v>
      </c>
      <c r="Y86" s="64">
        <v>19.05</v>
      </c>
      <c r="Z86" s="64">
        <v>38.1</v>
      </c>
      <c r="AA86" s="64">
        <v>12.5</v>
      </c>
      <c r="AB86" s="64">
        <v>36.36</v>
      </c>
      <c r="AC86" s="64">
        <v>5</v>
      </c>
      <c r="AD86" s="64">
        <v>15</v>
      </c>
      <c r="AE86" s="64">
        <v>40</v>
      </c>
      <c r="AF86" s="64">
        <v>53.33</v>
      </c>
      <c r="AG86" s="51">
        <f t="shared" si="11"/>
        <v>-6.7460000000000022</v>
      </c>
      <c r="AH86" s="52">
        <f t="shared" si="12"/>
        <v>6.7460000000000022</v>
      </c>
      <c r="AI86" s="52" t="str">
        <f t="shared" si="13"/>
        <v>N</v>
      </c>
      <c r="AJ86" s="52" t="str">
        <f t="shared" si="14"/>
        <v>N</v>
      </c>
      <c r="AK86" s="50" t="str">
        <f t="shared" si="15"/>
        <v>Loss</v>
      </c>
      <c r="AL86" s="50" t="str">
        <f t="shared" si="16"/>
        <v>Win</v>
      </c>
      <c r="AM86" s="50" t="str">
        <f t="shared" si="17"/>
        <v>Loss</v>
      </c>
      <c r="AN86" s="50">
        <f t="shared" si="18"/>
        <v>-50</v>
      </c>
      <c r="AO86" s="50">
        <f t="shared" si="19"/>
        <v>126.5</v>
      </c>
      <c r="AP86" s="50">
        <f t="shared" si="20"/>
        <v>-50</v>
      </c>
    </row>
    <row r="87" spans="1:42" x14ac:dyDescent="0.25">
      <c r="A87" s="63">
        <v>43624</v>
      </c>
      <c r="B87" s="64" t="s">
        <v>342</v>
      </c>
      <c r="C87" s="64" t="s">
        <v>351</v>
      </c>
      <c r="D87" s="64" t="s">
        <v>361</v>
      </c>
      <c r="E87" s="64" t="s">
        <v>362</v>
      </c>
      <c r="F87" s="64" t="s">
        <v>363</v>
      </c>
      <c r="G87" s="64">
        <v>3</v>
      </c>
      <c r="H87" s="64">
        <v>1</v>
      </c>
      <c r="I87" s="64">
        <v>2.34</v>
      </c>
      <c r="J87" s="64">
        <v>3.73</v>
      </c>
      <c r="K87" s="64">
        <v>2.4900000000000002</v>
      </c>
      <c r="L87" s="64">
        <v>-0.15</v>
      </c>
      <c r="M87" s="64">
        <v>27</v>
      </c>
      <c r="N87" s="64">
        <v>25</v>
      </c>
      <c r="O87" s="64">
        <v>1</v>
      </c>
      <c r="P87" s="64">
        <v>14</v>
      </c>
      <c r="Q87" s="64">
        <v>14</v>
      </c>
      <c r="R87" s="64">
        <v>100</v>
      </c>
      <c r="S87" s="64">
        <v>0</v>
      </c>
      <c r="T87" s="64">
        <v>0</v>
      </c>
      <c r="U87" s="64">
        <v>62.96</v>
      </c>
      <c r="V87" s="64">
        <v>22.22</v>
      </c>
      <c r="W87" s="64">
        <v>14.81</v>
      </c>
      <c r="X87" s="64">
        <v>56</v>
      </c>
      <c r="Y87" s="64">
        <v>28</v>
      </c>
      <c r="Z87" s="64">
        <v>16</v>
      </c>
      <c r="AA87" s="64">
        <v>78.569999999999993</v>
      </c>
      <c r="AB87" s="64">
        <v>57.14</v>
      </c>
      <c r="AC87" s="64">
        <v>25</v>
      </c>
      <c r="AD87" s="64">
        <v>19</v>
      </c>
      <c r="AE87" s="64">
        <v>68</v>
      </c>
      <c r="AF87" s="64">
        <v>57.89</v>
      </c>
      <c r="AG87" s="51">
        <f t="shared" si="11"/>
        <v>31.051999999999992</v>
      </c>
      <c r="AH87" s="52">
        <f t="shared" si="12"/>
        <v>-31.051999999999992</v>
      </c>
      <c r="AI87" s="52" t="str">
        <f t="shared" si="13"/>
        <v>N</v>
      </c>
      <c r="AJ87" s="52" t="str">
        <f t="shared" si="14"/>
        <v>N</v>
      </c>
      <c r="AK87" s="50" t="str">
        <f t="shared" si="15"/>
        <v>Win</v>
      </c>
      <c r="AL87" s="50" t="str">
        <f t="shared" si="16"/>
        <v>Loss</v>
      </c>
      <c r="AM87" s="50" t="str">
        <f t="shared" si="17"/>
        <v>Loss</v>
      </c>
      <c r="AN87" s="50">
        <f t="shared" si="18"/>
        <v>67</v>
      </c>
      <c r="AO87" s="50">
        <f t="shared" si="19"/>
        <v>-50</v>
      </c>
      <c r="AP87" s="50">
        <f t="shared" si="20"/>
        <v>-50</v>
      </c>
    </row>
    <row r="88" spans="1:42" x14ac:dyDescent="0.25">
      <c r="A88" s="63">
        <v>43624</v>
      </c>
      <c r="B88" s="64" t="s">
        <v>364</v>
      </c>
      <c r="C88" s="64" t="s">
        <v>365</v>
      </c>
      <c r="D88" s="64" t="s">
        <v>366</v>
      </c>
      <c r="E88" s="64" t="s">
        <v>367</v>
      </c>
      <c r="F88" s="64" t="s">
        <v>368</v>
      </c>
      <c r="G88" s="64">
        <v>3</v>
      </c>
      <c r="H88" s="64">
        <v>1</v>
      </c>
      <c r="I88" s="64">
        <v>2.98</v>
      </c>
      <c r="J88" s="64">
        <v>3.7</v>
      </c>
      <c r="K88" s="64">
        <v>2.02</v>
      </c>
      <c r="L88" s="64">
        <v>0.96</v>
      </c>
      <c r="M88" s="64">
        <v>29</v>
      </c>
      <c r="N88" s="64">
        <v>40</v>
      </c>
      <c r="O88" s="64">
        <v>0</v>
      </c>
      <c r="P88" s="64">
        <v>13</v>
      </c>
      <c r="Q88" s="64">
        <v>20</v>
      </c>
      <c r="R88" s="64">
        <v>0</v>
      </c>
      <c r="S88" s="64">
        <v>0</v>
      </c>
      <c r="T88" s="64">
        <v>0</v>
      </c>
      <c r="U88" s="64">
        <v>51.72</v>
      </c>
      <c r="V88" s="64">
        <v>24.14</v>
      </c>
      <c r="W88" s="64">
        <v>24.14</v>
      </c>
      <c r="X88" s="64">
        <v>37.5</v>
      </c>
      <c r="Y88" s="64">
        <v>12.5</v>
      </c>
      <c r="Z88" s="64">
        <v>50</v>
      </c>
      <c r="AA88" s="64">
        <v>61.54</v>
      </c>
      <c r="AB88" s="64">
        <v>20</v>
      </c>
      <c r="AC88" s="64">
        <v>25</v>
      </c>
      <c r="AD88" s="64">
        <v>13</v>
      </c>
      <c r="AE88" s="64">
        <v>56</v>
      </c>
      <c r="AF88" s="64">
        <v>53.85</v>
      </c>
      <c r="AG88" s="51">
        <f t="shared" si="11"/>
        <v>9.18</v>
      </c>
      <c r="AH88" s="52">
        <f t="shared" si="12"/>
        <v>-9.18</v>
      </c>
      <c r="AI88" s="52" t="str">
        <f t="shared" si="13"/>
        <v>N</v>
      </c>
      <c r="AJ88" s="52" t="str">
        <f t="shared" si="14"/>
        <v>N</v>
      </c>
      <c r="AK88" s="50" t="str">
        <f t="shared" si="15"/>
        <v>Win</v>
      </c>
      <c r="AL88" s="50" t="str">
        <f t="shared" si="16"/>
        <v>Loss</v>
      </c>
      <c r="AM88" s="50" t="str">
        <f t="shared" si="17"/>
        <v>Loss</v>
      </c>
      <c r="AN88" s="50">
        <f t="shared" si="18"/>
        <v>99</v>
      </c>
      <c r="AO88" s="50">
        <f t="shared" si="19"/>
        <v>-50</v>
      </c>
      <c r="AP88" s="50">
        <f t="shared" si="20"/>
        <v>-50</v>
      </c>
    </row>
    <row r="89" spans="1:42" x14ac:dyDescent="0.25">
      <c r="A89" s="63">
        <v>43624</v>
      </c>
      <c r="B89" s="64" t="s">
        <v>364</v>
      </c>
      <c r="C89" s="64" t="s">
        <v>369</v>
      </c>
      <c r="D89" s="64" t="s">
        <v>370</v>
      </c>
      <c r="E89" s="64" t="s">
        <v>371</v>
      </c>
      <c r="F89" s="64" t="s">
        <v>372</v>
      </c>
      <c r="G89" s="64">
        <v>2</v>
      </c>
      <c r="H89" s="64">
        <v>0</v>
      </c>
      <c r="I89" s="64">
        <v>3.87</v>
      </c>
      <c r="J89" s="64">
        <v>4.75</v>
      </c>
      <c r="K89" s="64">
        <v>1.59</v>
      </c>
      <c r="L89" s="64">
        <v>2.2799999999999998</v>
      </c>
      <c r="M89" s="64">
        <v>0</v>
      </c>
      <c r="N89" s="64">
        <v>0</v>
      </c>
      <c r="O89" s="64">
        <v>0</v>
      </c>
      <c r="P89" s="64">
        <v>0</v>
      </c>
      <c r="Q89" s="64">
        <v>0</v>
      </c>
      <c r="R89" s="64">
        <v>0</v>
      </c>
      <c r="S89" s="64">
        <v>0</v>
      </c>
      <c r="T89" s="64">
        <v>0</v>
      </c>
      <c r="U89" s="64">
        <v>0</v>
      </c>
      <c r="V89" s="64">
        <v>0</v>
      </c>
      <c r="W89" s="64">
        <v>0</v>
      </c>
      <c r="X89" s="64">
        <v>0</v>
      </c>
      <c r="Y89" s="64">
        <v>0</v>
      </c>
      <c r="Z89" s="64">
        <v>0</v>
      </c>
      <c r="AA89" s="64">
        <v>0</v>
      </c>
      <c r="AB89" s="64">
        <v>0</v>
      </c>
      <c r="AC89" s="64">
        <v>0</v>
      </c>
      <c r="AD89" s="64">
        <v>0</v>
      </c>
      <c r="AE89" s="64">
        <v>0</v>
      </c>
      <c r="AF89" s="64">
        <v>0</v>
      </c>
      <c r="AG89" s="51">
        <f t="shared" si="11"/>
        <v>0</v>
      </c>
      <c r="AH89" s="52">
        <f t="shared" si="12"/>
        <v>0</v>
      </c>
      <c r="AI89" s="52" t="str">
        <f t="shared" si="13"/>
        <v>N</v>
      </c>
      <c r="AJ89" s="52" t="str">
        <f t="shared" si="14"/>
        <v>N</v>
      </c>
      <c r="AK89" s="50" t="str">
        <f t="shared" si="15"/>
        <v>Win</v>
      </c>
      <c r="AL89" s="50" t="str">
        <f t="shared" si="16"/>
        <v>Loss</v>
      </c>
      <c r="AM89" s="50" t="str">
        <f t="shared" si="17"/>
        <v>Loss</v>
      </c>
      <c r="AN89" s="50">
        <f t="shared" si="18"/>
        <v>143.5</v>
      </c>
      <c r="AO89" s="50">
        <f t="shared" si="19"/>
        <v>-50</v>
      </c>
      <c r="AP89" s="50">
        <f t="shared" si="20"/>
        <v>-50</v>
      </c>
    </row>
    <row r="90" spans="1:42" x14ac:dyDescent="0.25">
      <c r="A90" s="63">
        <v>43624</v>
      </c>
      <c r="B90" s="64" t="s">
        <v>190</v>
      </c>
      <c r="C90" s="64" t="s">
        <v>191</v>
      </c>
      <c r="D90" s="64" t="s">
        <v>373</v>
      </c>
      <c r="E90" s="64" t="s">
        <v>374</v>
      </c>
      <c r="F90" s="64" t="s">
        <v>375</v>
      </c>
      <c r="G90" s="64">
        <v>1</v>
      </c>
      <c r="H90" s="64">
        <v>1</v>
      </c>
      <c r="I90" s="64">
        <v>3.66</v>
      </c>
      <c r="J90" s="64">
        <v>3.55</v>
      </c>
      <c r="K90" s="64">
        <v>1.96</v>
      </c>
      <c r="L90" s="64">
        <v>1.7</v>
      </c>
      <c r="M90" s="64">
        <v>16</v>
      </c>
      <c r="N90" s="64">
        <v>18</v>
      </c>
      <c r="O90" s="64">
        <v>0</v>
      </c>
      <c r="P90" s="64">
        <v>8</v>
      </c>
      <c r="Q90" s="64">
        <v>11</v>
      </c>
      <c r="R90" s="64">
        <v>0</v>
      </c>
      <c r="S90" s="64">
        <v>0</v>
      </c>
      <c r="T90" s="64">
        <v>0</v>
      </c>
      <c r="U90" s="64">
        <v>37.5</v>
      </c>
      <c r="V90" s="64">
        <v>31.25</v>
      </c>
      <c r="W90" s="64">
        <v>31.25</v>
      </c>
      <c r="X90" s="64">
        <v>38.89</v>
      </c>
      <c r="Y90" s="64">
        <v>33.33</v>
      </c>
      <c r="Z90" s="64">
        <v>27.78</v>
      </c>
      <c r="AA90" s="64">
        <v>62.5</v>
      </c>
      <c r="AB90" s="64">
        <v>36.36</v>
      </c>
      <c r="AC90" s="64">
        <v>4</v>
      </c>
      <c r="AD90" s="64">
        <v>15</v>
      </c>
      <c r="AE90" s="64">
        <v>25</v>
      </c>
      <c r="AF90" s="64">
        <v>46.67</v>
      </c>
      <c r="AG90" s="51">
        <f t="shared" si="11"/>
        <v>-1.1799999999999997</v>
      </c>
      <c r="AH90" s="52">
        <f t="shared" si="12"/>
        <v>1.1799999999999997</v>
      </c>
      <c r="AI90" s="52" t="str">
        <f t="shared" si="13"/>
        <v>N</v>
      </c>
      <c r="AJ90" s="52" t="str">
        <f t="shared" si="14"/>
        <v>N</v>
      </c>
      <c r="AK90" s="50" t="str">
        <f t="shared" si="15"/>
        <v>Loss</v>
      </c>
      <c r="AL90" s="50" t="str">
        <f t="shared" si="16"/>
        <v>Win</v>
      </c>
      <c r="AM90" s="50" t="str">
        <f t="shared" si="17"/>
        <v>Loss</v>
      </c>
      <c r="AN90" s="50">
        <f t="shared" si="18"/>
        <v>-50</v>
      </c>
      <c r="AO90" s="50">
        <f t="shared" si="19"/>
        <v>127.5</v>
      </c>
      <c r="AP90" s="50">
        <f t="shared" si="20"/>
        <v>-50</v>
      </c>
    </row>
    <row r="91" spans="1:42" x14ac:dyDescent="0.25">
      <c r="A91" s="63">
        <v>43624</v>
      </c>
      <c r="B91" s="64" t="s">
        <v>376</v>
      </c>
      <c r="C91" s="64" t="s">
        <v>377</v>
      </c>
      <c r="D91" s="64" t="s">
        <v>378</v>
      </c>
      <c r="E91" s="64" t="s">
        <v>379</v>
      </c>
      <c r="F91" s="64" t="s">
        <v>380</v>
      </c>
      <c r="G91" s="64">
        <v>8</v>
      </c>
      <c r="H91" s="64">
        <v>1</v>
      </c>
      <c r="I91" s="64">
        <v>1.05</v>
      </c>
      <c r="J91" s="64">
        <v>11.88</v>
      </c>
      <c r="K91" s="64">
        <v>18.87</v>
      </c>
      <c r="L91" s="64">
        <v>-17.82</v>
      </c>
      <c r="M91" s="64">
        <v>30</v>
      </c>
      <c r="N91" s="64">
        <v>7</v>
      </c>
      <c r="O91" s="64">
        <v>0</v>
      </c>
      <c r="P91" s="64">
        <v>16</v>
      </c>
      <c r="Q91" s="64">
        <v>4</v>
      </c>
      <c r="R91" s="64">
        <v>0</v>
      </c>
      <c r="S91" s="64">
        <v>0</v>
      </c>
      <c r="T91" s="64">
        <v>0</v>
      </c>
      <c r="U91" s="64">
        <v>60</v>
      </c>
      <c r="V91" s="64">
        <v>13.33</v>
      </c>
      <c r="W91" s="64">
        <v>26.67</v>
      </c>
      <c r="X91" s="64">
        <v>0</v>
      </c>
      <c r="Y91" s="64">
        <v>28.57</v>
      </c>
      <c r="Z91" s="64">
        <v>71.430000000000007</v>
      </c>
      <c r="AA91" s="64">
        <v>62.5</v>
      </c>
      <c r="AB91" s="64">
        <v>0</v>
      </c>
      <c r="AC91" s="64">
        <v>21</v>
      </c>
      <c r="AD91" s="64">
        <v>0</v>
      </c>
      <c r="AE91" s="64">
        <v>57.14</v>
      </c>
      <c r="AF91" s="64">
        <v>0</v>
      </c>
      <c r="AG91" s="51">
        <f t="shared" si="11"/>
        <v>19.428000000000001</v>
      </c>
      <c r="AH91" s="52">
        <f t="shared" si="12"/>
        <v>-19.428000000000001</v>
      </c>
      <c r="AI91" s="52" t="str">
        <f t="shared" si="13"/>
        <v>N</v>
      </c>
      <c r="AJ91" s="52" t="str">
        <f t="shared" si="14"/>
        <v>N</v>
      </c>
      <c r="AK91" s="50" t="str">
        <f t="shared" si="15"/>
        <v>Win</v>
      </c>
      <c r="AL91" s="50" t="str">
        <f t="shared" si="16"/>
        <v>Loss</v>
      </c>
      <c r="AM91" s="50" t="str">
        <f t="shared" si="17"/>
        <v>Loss</v>
      </c>
      <c r="AN91" s="50">
        <f t="shared" si="18"/>
        <v>2.5</v>
      </c>
      <c r="AO91" s="50">
        <f t="shared" si="19"/>
        <v>-50</v>
      </c>
      <c r="AP91" s="50">
        <f t="shared" si="20"/>
        <v>-50</v>
      </c>
    </row>
    <row r="92" spans="1:42" x14ac:dyDescent="0.25">
      <c r="A92" s="63">
        <v>43624</v>
      </c>
      <c r="B92" s="64" t="s">
        <v>253</v>
      </c>
      <c r="C92" s="64" t="s">
        <v>254</v>
      </c>
      <c r="D92" s="64" t="s">
        <v>381</v>
      </c>
      <c r="E92" s="64" t="s">
        <v>382</v>
      </c>
      <c r="F92" s="64" t="s">
        <v>383</v>
      </c>
      <c r="G92" s="64">
        <v>0</v>
      </c>
      <c r="H92" s="64">
        <v>0</v>
      </c>
      <c r="I92" s="64">
        <v>2.3199999999999998</v>
      </c>
      <c r="J92" s="64">
        <v>3.06</v>
      </c>
      <c r="K92" s="64">
        <v>2.82</v>
      </c>
      <c r="L92" s="64">
        <v>-0.5</v>
      </c>
      <c r="M92" s="64">
        <v>11</v>
      </c>
      <c r="N92" s="64">
        <v>13</v>
      </c>
      <c r="O92" s="64">
        <v>0</v>
      </c>
      <c r="P92" s="64">
        <v>7</v>
      </c>
      <c r="Q92" s="64">
        <v>7</v>
      </c>
      <c r="R92" s="64">
        <v>0</v>
      </c>
      <c r="S92" s="64">
        <v>0</v>
      </c>
      <c r="T92" s="64">
        <v>0</v>
      </c>
      <c r="U92" s="64">
        <v>45.45</v>
      </c>
      <c r="V92" s="64">
        <v>9.09</v>
      </c>
      <c r="W92" s="64">
        <v>45.45</v>
      </c>
      <c r="X92" s="64">
        <v>53.85</v>
      </c>
      <c r="Y92" s="64">
        <v>30.77</v>
      </c>
      <c r="Z92" s="64">
        <v>15.38</v>
      </c>
      <c r="AA92" s="64">
        <v>42.86</v>
      </c>
      <c r="AB92" s="64">
        <v>28.57</v>
      </c>
      <c r="AC92" s="64">
        <v>6</v>
      </c>
      <c r="AD92" s="64">
        <v>9</v>
      </c>
      <c r="AE92" s="64">
        <v>50</v>
      </c>
      <c r="AF92" s="64">
        <v>66.67</v>
      </c>
      <c r="AG92" s="51">
        <f t="shared" si="11"/>
        <v>-9.8620000000000001</v>
      </c>
      <c r="AH92" s="52">
        <f t="shared" si="12"/>
        <v>9.8620000000000001</v>
      </c>
      <c r="AI92" s="52" t="str">
        <f t="shared" si="13"/>
        <v>N</v>
      </c>
      <c r="AJ92" s="52" t="str">
        <f t="shared" si="14"/>
        <v>N</v>
      </c>
      <c r="AK92" s="50" t="str">
        <f t="shared" si="15"/>
        <v>Loss</v>
      </c>
      <c r="AL92" s="50" t="str">
        <f t="shared" si="16"/>
        <v>Win</v>
      </c>
      <c r="AM92" s="50" t="str">
        <f t="shared" si="17"/>
        <v>Loss</v>
      </c>
      <c r="AN92" s="50">
        <f t="shared" si="18"/>
        <v>-50</v>
      </c>
      <c r="AO92" s="50">
        <f t="shared" si="19"/>
        <v>103</v>
      </c>
      <c r="AP92" s="50">
        <f t="shared" si="20"/>
        <v>-50</v>
      </c>
    </row>
    <row r="93" spans="1:42" x14ac:dyDescent="0.25">
      <c r="A93" s="63">
        <v>43624</v>
      </c>
      <c r="B93" s="64" t="s">
        <v>384</v>
      </c>
      <c r="C93" s="64" t="s">
        <v>385</v>
      </c>
      <c r="D93" s="64" t="s">
        <v>386</v>
      </c>
      <c r="E93" s="64" t="s">
        <v>387</v>
      </c>
      <c r="F93" s="64" t="s">
        <v>388</v>
      </c>
      <c r="G93" s="64">
        <v>10</v>
      </c>
      <c r="H93" s="64">
        <v>0</v>
      </c>
      <c r="I93" s="64">
        <v>1.17</v>
      </c>
      <c r="J93" s="64">
        <v>6.8</v>
      </c>
      <c r="K93" s="64">
        <v>12.5</v>
      </c>
      <c r="L93" s="64">
        <v>-11.33</v>
      </c>
      <c r="M93" s="64">
        <v>10</v>
      </c>
      <c r="N93" s="64">
        <v>11</v>
      </c>
      <c r="O93" s="64">
        <v>0</v>
      </c>
      <c r="P93" s="64">
        <v>5</v>
      </c>
      <c r="Q93" s="64">
        <v>6</v>
      </c>
      <c r="R93" s="64">
        <v>0</v>
      </c>
      <c r="S93" s="64">
        <v>0</v>
      </c>
      <c r="T93" s="64">
        <v>0</v>
      </c>
      <c r="U93" s="64">
        <v>40</v>
      </c>
      <c r="V93" s="64">
        <v>20</v>
      </c>
      <c r="W93" s="64">
        <v>40</v>
      </c>
      <c r="X93" s="64">
        <v>9.09</v>
      </c>
      <c r="Y93" s="64">
        <v>0</v>
      </c>
      <c r="Z93" s="64">
        <v>90.91</v>
      </c>
      <c r="AA93" s="64">
        <v>60</v>
      </c>
      <c r="AB93" s="64">
        <v>0</v>
      </c>
      <c r="AC93" s="64">
        <v>4</v>
      </c>
      <c r="AD93" s="64">
        <v>0</v>
      </c>
      <c r="AE93" s="64">
        <v>75</v>
      </c>
      <c r="AF93" s="64">
        <v>0</v>
      </c>
      <c r="AG93" s="51">
        <f t="shared" si="11"/>
        <v>18.363999999999997</v>
      </c>
      <c r="AH93" s="52">
        <f t="shared" si="12"/>
        <v>-18.363999999999997</v>
      </c>
      <c r="AI93" s="52" t="str">
        <f t="shared" si="13"/>
        <v>N</v>
      </c>
      <c r="AJ93" s="52" t="str">
        <f t="shared" si="14"/>
        <v>N</v>
      </c>
      <c r="AK93" s="50" t="str">
        <f t="shared" si="15"/>
        <v>Win</v>
      </c>
      <c r="AL93" s="50" t="str">
        <f t="shared" si="16"/>
        <v>Loss</v>
      </c>
      <c r="AM93" s="50" t="str">
        <f t="shared" si="17"/>
        <v>Loss</v>
      </c>
      <c r="AN93" s="50">
        <f t="shared" si="18"/>
        <v>8.5</v>
      </c>
      <c r="AO93" s="50">
        <f t="shared" si="19"/>
        <v>-50</v>
      </c>
      <c r="AP93" s="50">
        <f t="shared" si="20"/>
        <v>-50</v>
      </c>
    </row>
    <row r="94" spans="1:42" x14ac:dyDescent="0.25">
      <c r="A94" s="63">
        <v>43624</v>
      </c>
      <c r="B94" s="64" t="s">
        <v>389</v>
      </c>
      <c r="C94" s="64" t="s">
        <v>390</v>
      </c>
      <c r="D94" s="64" t="s">
        <v>391</v>
      </c>
      <c r="E94" s="64" t="s">
        <v>392</v>
      </c>
      <c r="F94" s="64" t="s">
        <v>393</v>
      </c>
      <c r="G94" s="64">
        <v>1</v>
      </c>
      <c r="H94" s="64">
        <v>2</v>
      </c>
      <c r="I94" s="64">
        <v>3.9</v>
      </c>
      <c r="J94" s="64">
        <v>4.12</v>
      </c>
      <c r="K94" s="64">
        <v>1.63</v>
      </c>
      <c r="L94" s="64">
        <v>2.27</v>
      </c>
      <c r="M94" s="64">
        <v>8</v>
      </c>
      <c r="N94" s="64">
        <v>30</v>
      </c>
      <c r="O94" s="64">
        <v>0</v>
      </c>
      <c r="P94" s="64">
        <v>3</v>
      </c>
      <c r="Q94" s="64">
        <v>15</v>
      </c>
      <c r="R94" s="64">
        <v>0</v>
      </c>
      <c r="S94" s="64">
        <v>0</v>
      </c>
      <c r="T94" s="64">
        <v>0</v>
      </c>
      <c r="U94" s="64">
        <v>25</v>
      </c>
      <c r="V94" s="64">
        <v>0</v>
      </c>
      <c r="W94" s="64">
        <v>75</v>
      </c>
      <c r="X94" s="64">
        <v>40</v>
      </c>
      <c r="Y94" s="64">
        <v>13.33</v>
      </c>
      <c r="Z94" s="64">
        <v>46.67</v>
      </c>
      <c r="AA94" s="64">
        <v>33.33</v>
      </c>
      <c r="AB94" s="64">
        <v>26.67</v>
      </c>
      <c r="AC94" s="64">
        <v>0</v>
      </c>
      <c r="AD94" s="64">
        <v>14</v>
      </c>
      <c r="AE94" s="64">
        <v>0</v>
      </c>
      <c r="AF94" s="64">
        <v>57.14</v>
      </c>
      <c r="AG94" s="51">
        <f t="shared" si="11"/>
        <v>-9.998999999999997</v>
      </c>
      <c r="AH94" s="52">
        <f t="shared" si="12"/>
        <v>9.998999999999997</v>
      </c>
      <c r="AI94" s="52" t="str">
        <f t="shared" si="13"/>
        <v>N</v>
      </c>
      <c r="AJ94" s="52" t="str">
        <f t="shared" si="14"/>
        <v>N</v>
      </c>
      <c r="AK94" s="50" t="str">
        <f t="shared" si="15"/>
        <v>Loss</v>
      </c>
      <c r="AL94" s="50" t="str">
        <f t="shared" si="16"/>
        <v>Loss</v>
      </c>
      <c r="AM94" s="50" t="str">
        <f t="shared" si="17"/>
        <v>Win</v>
      </c>
      <c r="AN94" s="50">
        <f t="shared" si="18"/>
        <v>-50</v>
      </c>
      <c r="AO94" s="50">
        <f t="shared" si="19"/>
        <v>-50</v>
      </c>
      <c r="AP94" s="50">
        <f t="shared" si="20"/>
        <v>31.5</v>
      </c>
    </row>
    <row r="95" spans="1:42" x14ac:dyDescent="0.25">
      <c r="A95" s="63">
        <v>43624</v>
      </c>
      <c r="B95" s="64" t="s">
        <v>394</v>
      </c>
      <c r="C95" s="64" t="s">
        <v>395</v>
      </c>
      <c r="D95" s="64" t="s">
        <v>396</v>
      </c>
      <c r="E95" s="64" t="s">
        <v>397</v>
      </c>
      <c r="F95" s="64" t="s">
        <v>398</v>
      </c>
      <c r="G95" s="64">
        <v>1</v>
      </c>
      <c r="H95" s="64">
        <v>2</v>
      </c>
      <c r="I95" s="64">
        <v>2.74</v>
      </c>
      <c r="J95" s="64">
        <v>3.95</v>
      </c>
      <c r="K95" s="64">
        <v>1.98</v>
      </c>
      <c r="L95" s="64">
        <v>0.76</v>
      </c>
      <c r="M95" s="64">
        <v>22</v>
      </c>
      <c r="N95" s="64">
        <v>17</v>
      </c>
      <c r="O95" s="64">
        <v>2</v>
      </c>
      <c r="P95" s="64">
        <v>13</v>
      </c>
      <c r="Q95" s="64">
        <v>8</v>
      </c>
      <c r="R95" s="64">
        <v>0</v>
      </c>
      <c r="S95" s="64">
        <v>0</v>
      </c>
      <c r="T95" s="64">
        <v>100</v>
      </c>
      <c r="U95" s="64">
        <v>45.45</v>
      </c>
      <c r="V95" s="64">
        <v>4.55</v>
      </c>
      <c r="W95" s="64">
        <v>50</v>
      </c>
      <c r="X95" s="64">
        <v>47.06</v>
      </c>
      <c r="Y95" s="64">
        <v>0</v>
      </c>
      <c r="Z95" s="64">
        <v>52.94</v>
      </c>
      <c r="AA95" s="64">
        <v>53.85</v>
      </c>
      <c r="AB95" s="64">
        <v>37.5</v>
      </c>
      <c r="AC95" s="64">
        <v>14</v>
      </c>
      <c r="AD95" s="64">
        <v>4</v>
      </c>
      <c r="AE95" s="64">
        <v>64.290000000000006</v>
      </c>
      <c r="AF95" s="64">
        <v>100</v>
      </c>
      <c r="AG95" s="51">
        <f t="shared" si="11"/>
        <v>-29.278999999999996</v>
      </c>
      <c r="AH95" s="52">
        <f t="shared" si="12"/>
        <v>29.278999999999996</v>
      </c>
      <c r="AI95" s="52" t="str">
        <f t="shared" si="13"/>
        <v>N</v>
      </c>
      <c r="AJ95" s="52" t="str">
        <f t="shared" si="14"/>
        <v>N</v>
      </c>
      <c r="AK95" s="50" t="str">
        <f t="shared" si="15"/>
        <v>Loss</v>
      </c>
      <c r="AL95" s="50" t="str">
        <f t="shared" si="16"/>
        <v>Loss</v>
      </c>
      <c r="AM95" s="50" t="str">
        <f t="shared" si="17"/>
        <v>Win</v>
      </c>
      <c r="AN95" s="50">
        <f t="shared" si="18"/>
        <v>-50</v>
      </c>
      <c r="AO95" s="50">
        <f t="shared" si="19"/>
        <v>-50</v>
      </c>
      <c r="AP95" s="50">
        <f t="shared" si="20"/>
        <v>49</v>
      </c>
    </row>
    <row r="96" spans="1:42" x14ac:dyDescent="0.25">
      <c r="A96" s="63">
        <v>43624</v>
      </c>
      <c r="B96" s="64" t="s">
        <v>394</v>
      </c>
      <c r="C96" s="64" t="s">
        <v>395</v>
      </c>
      <c r="D96" s="64" t="s">
        <v>399</v>
      </c>
      <c r="E96" s="64" t="s">
        <v>400</v>
      </c>
      <c r="F96" s="64" t="s">
        <v>401</v>
      </c>
      <c r="G96" s="64">
        <v>1</v>
      </c>
      <c r="H96" s="64">
        <v>2</v>
      </c>
      <c r="I96" s="64">
        <v>2.94</v>
      </c>
      <c r="J96" s="64">
        <v>4.2699999999999996</v>
      </c>
      <c r="K96" s="64">
        <v>1.83</v>
      </c>
      <c r="L96" s="64">
        <v>1.1100000000000001</v>
      </c>
      <c r="M96" s="64">
        <v>22</v>
      </c>
      <c r="N96" s="64">
        <v>23</v>
      </c>
      <c r="O96" s="64">
        <v>2</v>
      </c>
      <c r="P96" s="64">
        <v>10</v>
      </c>
      <c r="Q96" s="64">
        <v>11</v>
      </c>
      <c r="R96" s="64">
        <v>0</v>
      </c>
      <c r="S96" s="64">
        <v>0</v>
      </c>
      <c r="T96" s="64">
        <v>100</v>
      </c>
      <c r="U96" s="64">
        <v>27.27</v>
      </c>
      <c r="V96" s="64">
        <v>4.55</v>
      </c>
      <c r="W96" s="64">
        <v>68.180000000000007</v>
      </c>
      <c r="X96" s="64">
        <v>47.83</v>
      </c>
      <c r="Y96" s="64">
        <v>4.3499999999999996</v>
      </c>
      <c r="Z96" s="64">
        <v>47.83</v>
      </c>
      <c r="AA96" s="64">
        <v>40</v>
      </c>
      <c r="AB96" s="64">
        <v>36.36</v>
      </c>
      <c r="AC96" s="64">
        <v>8</v>
      </c>
      <c r="AD96" s="64">
        <v>8</v>
      </c>
      <c r="AE96" s="64">
        <v>62.5</v>
      </c>
      <c r="AF96" s="64">
        <v>100</v>
      </c>
      <c r="AG96" s="51">
        <f t="shared" si="11"/>
        <v>-38.162000000000006</v>
      </c>
      <c r="AH96" s="52">
        <f t="shared" si="12"/>
        <v>38.162000000000006</v>
      </c>
      <c r="AI96" s="52" t="str">
        <f t="shared" si="13"/>
        <v>N</v>
      </c>
      <c r="AJ96" s="52" t="str">
        <f t="shared" si="14"/>
        <v>N</v>
      </c>
      <c r="AK96" s="50" t="str">
        <f t="shared" si="15"/>
        <v>Loss</v>
      </c>
      <c r="AL96" s="50" t="str">
        <f t="shared" si="16"/>
        <v>Loss</v>
      </c>
      <c r="AM96" s="50" t="str">
        <f t="shared" si="17"/>
        <v>Win</v>
      </c>
      <c r="AN96" s="50">
        <f t="shared" si="18"/>
        <v>-50</v>
      </c>
      <c r="AO96" s="50">
        <f t="shared" si="19"/>
        <v>-50</v>
      </c>
      <c r="AP96" s="50">
        <f t="shared" si="20"/>
        <v>41.5</v>
      </c>
    </row>
    <row r="97" spans="1:42" x14ac:dyDescent="0.25">
      <c r="A97" s="63">
        <v>43624</v>
      </c>
      <c r="B97" s="64" t="s">
        <v>402</v>
      </c>
      <c r="C97" s="64" t="s">
        <v>403</v>
      </c>
      <c r="D97" s="64" t="s">
        <v>404</v>
      </c>
      <c r="E97" s="64" t="s">
        <v>405</v>
      </c>
      <c r="F97" s="64" t="s">
        <v>406</v>
      </c>
      <c r="G97" s="64">
        <v>1</v>
      </c>
      <c r="H97" s="64">
        <v>1</v>
      </c>
      <c r="I97" s="64">
        <v>1.56</v>
      </c>
      <c r="J97" s="64">
        <v>4.3</v>
      </c>
      <c r="K97" s="64">
        <v>4.58</v>
      </c>
      <c r="L97" s="64">
        <v>-3.02</v>
      </c>
      <c r="M97" s="64">
        <v>9</v>
      </c>
      <c r="N97" s="64">
        <v>10</v>
      </c>
      <c r="O97" s="64">
        <v>1</v>
      </c>
      <c r="P97" s="64">
        <v>4</v>
      </c>
      <c r="Q97" s="64">
        <v>5</v>
      </c>
      <c r="R97" s="64">
        <v>0</v>
      </c>
      <c r="S97" s="64">
        <v>0</v>
      </c>
      <c r="T97" s="64">
        <v>100</v>
      </c>
      <c r="U97" s="64">
        <v>33.33</v>
      </c>
      <c r="V97" s="64">
        <v>22.22</v>
      </c>
      <c r="W97" s="64">
        <v>44.44</v>
      </c>
      <c r="X97" s="64">
        <v>20</v>
      </c>
      <c r="Y97" s="64">
        <v>20</v>
      </c>
      <c r="Z97" s="64">
        <v>60</v>
      </c>
      <c r="AA97" s="64">
        <v>50</v>
      </c>
      <c r="AB97" s="64">
        <v>40</v>
      </c>
      <c r="AC97" s="64">
        <v>2</v>
      </c>
      <c r="AD97" s="64">
        <v>2</v>
      </c>
      <c r="AE97" s="64">
        <v>100</v>
      </c>
      <c r="AF97" s="64">
        <v>50</v>
      </c>
      <c r="AG97" s="51">
        <f t="shared" si="11"/>
        <v>-24</v>
      </c>
      <c r="AH97" s="52">
        <f t="shared" si="12"/>
        <v>24</v>
      </c>
      <c r="AI97" s="52" t="str">
        <f t="shared" si="13"/>
        <v>N</v>
      </c>
      <c r="AJ97" s="52" t="str">
        <f t="shared" si="14"/>
        <v>N</v>
      </c>
      <c r="AK97" s="50" t="str">
        <f t="shared" si="15"/>
        <v>Loss</v>
      </c>
      <c r="AL97" s="50" t="str">
        <f t="shared" si="16"/>
        <v>Win</v>
      </c>
      <c r="AM97" s="50" t="str">
        <f t="shared" si="17"/>
        <v>Loss</v>
      </c>
      <c r="AN97" s="50">
        <f t="shared" si="18"/>
        <v>-50</v>
      </c>
      <c r="AO97" s="50">
        <f t="shared" si="19"/>
        <v>165</v>
      </c>
      <c r="AP97" s="50">
        <f t="shared" si="20"/>
        <v>-50</v>
      </c>
    </row>
    <row r="98" spans="1:42" x14ac:dyDescent="0.25">
      <c r="A98" s="63">
        <v>43624</v>
      </c>
      <c r="B98" s="64" t="s">
        <v>376</v>
      </c>
      <c r="C98" s="64" t="s">
        <v>407</v>
      </c>
      <c r="D98" s="64" t="s">
        <v>408</v>
      </c>
      <c r="E98" s="64" t="s">
        <v>409</v>
      </c>
      <c r="F98" s="64" t="s">
        <v>410</v>
      </c>
      <c r="G98" s="64">
        <v>2</v>
      </c>
      <c r="H98" s="64">
        <v>1</v>
      </c>
      <c r="I98" s="64">
        <v>2.78</v>
      </c>
      <c r="J98" s="64">
        <v>4.3899999999999997</v>
      </c>
      <c r="K98" s="64">
        <v>1.91</v>
      </c>
      <c r="L98" s="64">
        <v>0.87</v>
      </c>
      <c r="M98" s="64">
        <v>10</v>
      </c>
      <c r="N98" s="64">
        <v>8</v>
      </c>
      <c r="O98" s="64">
        <v>0</v>
      </c>
      <c r="P98" s="64">
        <v>6</v>
      </c>
      <c r="Q98" s="64">
        <v>4</v>
      </c>
      <c r="R98" s="64">
        <v>0</v>
      </c>
      <c r="S98" s="64">
        <v>0</v>
      </c>
      <c r="T98" s="64">
        <v>0</v>
      </c>
      <c r="U98" s="64">
        <v>10</v>
      </c>
      <c r="V98" s="64">
        <v>0</v>
      </c>
      <c r="W98" s="64">
        <v>90</v>
      </c>
      <c r="X98" s="64">
        <v>37.5</v>
      </c>
      <c r="Y98" s="64">
        <v>25</v>
      </c>
      <c r="Z98" s="64">
        <v>37.5</v>
      </c>
      <c r="AA98" s="64">
        <v>16.670000000000002</v>
      </c>
      <c r="AB98" s="64">
        <v>25</v>
      </c>
      <c r="AC98" s="64">
        <v>0</v>
      </c>
      <c r="AD98" s="64">
        <v>2</v>
      </c>
      <c r="AE98" s="64">
        <v>0</v>
      </c>
      <c r="AF98" s="64">
        <v>100</v>
      </c>
      <c r="AG98" s="51">
        <f t="shared" si="11"/>
        <v>-18.5</v>
      </c>
      <c r="AH98" s="52">
        <f t="shared" si="12"/>
        <v>18.5</v>
      </c>
      <c r="AI98" s="52" t="str">
        <f t="shared" si="13"/>
        <v>N</v>
      </c>
      <c r="AJ98" s="52" t="str">
        <f t="shared" si="14"/>
        <v>N</v>
      </c>
      <c r="AK98" s="50" t="str">
        <f t="shared" si="15"/>
        <v>Win</v>
      </c>
      <c r="AL98" s="50" t="str">
        <f t="shared" si="16"/>
        <v>Loss</v>
      </c>
      <c r="AM98" s="50" t="str">
        <f t="shared" si="17"/>
        <v>Loss</v>
      </c>
      <c r="AN98" s="50">
        <f t="shared" si="18"/>
        <v>89</v>
      </c>
      <c r="AO98" s="50">
        <f t="shared" si="19"/>
        <v>-50</v>
      </c>
      <c r="AP98" s="50">
        <f t="shared" si="20"/>
        <v>-50</v>
      </c>
    </row>
    <row r="99" spans="1:42" x14ac:dyDescent="0.25">
      <c r="A99" s="63">
        <v>43624</v>
      </c>
      <c r="B99" s="64" t="s">
        <v>376</v>
      </c>
      <c r="C99" s="64" t="s">
        <v>411</v>
      </c>
      <c r="D99" s="64" t="s">
        <v>412</v>
      </c>
      <c r="E99" s="64" t="s">
        <v>413</v>
      </c>
      <c r="F99" s="64" t="s">
        <v>414</v>
      </c>
      <c r="G99" s="64">
        <v>1</v>
      </c>
      <c r="H99" s="64">
        <v>3</v>
      </c>
      <c r="I99" s="64">
        <v>3.18</v>
      </c>
      <c r="J99" s="64">
        <v>4.26</v>
      </c>
      <c r="K99" s="64">
        <v>1.83</v>
      </c>
      <c r="L99" s="64">
        <v>1.35</v>
      </c>
      <c r="M99" s="64">
        <v>62</v>
      </c>
      <c r="N99" s="64">
        <v>31</v>
      </c>
      <c r="O99" s="64">
        <v>0</v>
      </c>
      <c r="P99" s="64">
        <v>32</v>
      </c>
      <c r="Q99" s="64">
        <v>16</v>
      </c>
      <c r="R99" s="64">
        <v>0</v>
      </c>
      <c r="S99" s="64">
        <v>0</v>
      </c>
      <c r="T99" s="64">
        <v>0</v>
      </c>
      <c r="U99" s="64">
        <v>38.71</v>
      </c>
      <c r="V99" s="64">
        <v>11.29</v>
      </c>
      <c r="W99" s="64">
        <v>50</v>
      </c>
      <c r="X99" s="64">
        <v>58.06</v>
      </c>
      <c r="Y99" s="64">
        <v>19.350000000000001</v>
      </c>
      <c r="Z99" s="64">
        <v>22.58</v>
      </c>
      <c r="AA99" s="64">
        <v>46.88</v>
      </c>
      <c r="AB99" s="64">
        <v>62.5</v>
      </c>
      <c r="AC99" s="64">
        <v>26</v>
      </c>
      <c r="AD99" s="64">
        <v>18</v>
      </c>
      <c r="AE99" s="64">
        <v>61.54</v>
      </c>
      <c r="AF99" s="64">
        <v>66.67</v>
      </c>
      <c r="AG99" s="51">
        <f t="shared" si="11"/>
        <v>-10.160000000000002</v>
      </c>
      <c r="AH99" s="52">
        <f t="shared" si="12"/>
        <v>10.160000000000002</v>
      </c>
      <c r="AI99" s="52" t="str">
        <f t="shared" si="13"/>
        <v>N</v>
      </c>
      <c r="AJ99" s="52" t="str">
        <f t="shared" si="14"/>
        <v>N</v>
      </c>
      <c r="AK99" s="50" t="str">
        <f t="shared" si="15"/>
        <v>Loss</v>
      </c>
      <c r="AL99" s="50" t="str">
        <f t="shared" si="16"/>
        <v>Loss</v>
      </c>
      <c r="AM99" s="50" t="str">
        <f t="shared" si="17"/>
        <v>Win</v>
      </c>
      <c r="AN99" s="50">
        <f t="shared" si="18"/>
        <v>-50</v>
      </c>
      <c r="AO99" s="50">
        <f t="shared" si="19"/>
        <v>-50</v>
      </c>
      <c r="AP99" s="50">
        <f t="shared" si="20"/>
        <v>41.5</v>
      </c>
    </row>
    <row r="100" spans="1:42" x14ac:dyDescent="0.25">
      <c r="A100" s="63">
        <v>43624</v>
      </c>
      <c r="B100" s="64" t="s">
        <v>376</v>
      </c>
      <c r="C100" s="64" t="s">
        <v>411</v>
      </c>
      <c r="D100" s="64" t="s">
        <v>415</v>
      </c>
      <c r="E100" s="64" t="s">
        <v>416</v>
      </c>
      <c r="F100" s="64" t="s">
        <v>417</v>
      </c>
      <c r="G100" s="64">
        <v>2</v>
      </c>
      <c r="H100" s="64">
        <v>1</v>
      </c>
      <c r="I100" s="64">
        <v>3.29</v>
      </c>
      <c r="J100" s="64">
        <v>4.29</v>
      </c>
      <c r="K100" s="64">
        <v>1.79</v>
      </c>
      <c r="L100" s="64">
        <v>1.5</v>
      </c>
      <c r="M100" s="64">
        <v>34</v>
      </c>
      <c r="N100" s="64">
        <v>9</v>
      </c>
      <c r="O100" s="64">
        <v>0</v>
      </c>
      <c r="P100" s="64">
        <v>17</v>
      </c>
      <c r="Q100" s="64">
        <v>3</v>
      </c>
      <c r="R100" s="64">
        <v>0</v>
      </c>
      <c r="S100" s="64">
        <v>0</v>
      </c>
      <c r="T100" s="64">
        <v>0</v>
      </c>
      <c r="U100" s="64">
        <v>35.29</v>
      </c>
      <c r="V100" s="64">
        <v>17.649999999999999</v>
      </c>
      <c r="W100" s="64">
        <v>47.06</v>
      </c>
      <c r="X100" s="64">
        <v>44.44</v>
      </c>
      <c r="Y100" s="64">
        <v>0</v>
      </c>
      <c r="Z100" s="64">
        <v>55.56</v>
      </c>
      <c r="AA100" s="64">
        <v>47.06</v>
      </c>
      <c r="AB100" s="64">
        <v>33.33</v>
      </c>
      <c r="AC100" s="64">
        <v>10</v>
      </c>
      <c r="AD100" s="64">
        <v>4</v>
      </c>
      <c r="AE100" s="64">
        <v>60</v>
      </c>
      <c r="AF100" s="64">
        <v>75</v>
      </c>
      <c r="AG100" s="51">
        <f t="shared" si="11"/>
        <v>1.6350000000000016</v>
      </c>
      <c r="AH100" s="52">
        <f t="shared" si="12"/>
        <v>-1.6350000000000016</v>
      </c>
      <c r="AI100" s="52" t="str">
        <f t="shared" si="13"/>
        <v>N</v>
      </c>
      <c r="AJ100" s="52" t="str">
        <f t="shared" si="14"/>
        <v>N</v>
      </c>
      <c r="AK100" s="50" t="str">
        <f t="shared" si="15"/>
        <v>Win</v>
      </c>
      <c r="AL100" s="50" t="str">
        <f t="shared" si="16"/>
        <v>Loss</v>
      </c>
      <c r="AM100" s="50" t="str">
        <f t="shared" si="17"/>
        <v>Loss</v>
      </c>
      <c r="AN100" s="50">
        <f t="shared" si="18"/>
        <v>114.5</v>
      </c>
      <c r="AO100" s="50">
        <f t="shared" si="19"/>
        <v>-50</v>
      </c>
      <c r="AP100" s="50">
        <f t="shared" si="20"/>
        <v>-50</v>
      </c>
    </row>
    <row r="101" spans="1:42" x14ac:dyDescent="0.25">
      <c r="A101" s="63">
        <v>43624</v>
      </c>
      <c r="B101" s="64" t="s">
        <v>376</v>
      </c>
      <c r="C101" s="64" t="s">
        <v>418</v>
      </c>
      <c r="D101" s="64" t="s">
        <v>419</v>
      </c>
      <c r="E101" s="64" t="s">
        <v>420</v>
      </c>
      <c r="F101" s="64" t="s">
        <v>421</v>
      </c>
      <c r="G101" s="64">
        <v>3</v>
      </c>
      <c r="H101" s="64">
        <v>1</v>
      </c>
      <c r="I101" s="64">
        <v>1.55</v>
      </c>
      <c r="J101" s="64">
        <v>4.83</v>
      </c>
      <c r="K101" s="64">
        <v>4.03</v>
      </c>
      <c r="L101" s="64">
        <v>-2.48</v>
      </c>
      <c r="M101" s="64">
        <v>8</v>
      </c>
      <c r="N101" s="64">
        <v>26</v>
      </c>
      <c r="O101" s="64">
        <v>0</v>
      </c>
      <c r="P101" s="64">
        <v>4</v>
      </c>
      <c r="Q101" s="64">
        <v>15</v>
      </c>
      <c r="R101" s="64">
        <v>0</v>
      </c>
      <c r="S101" s="64">
        <v>0</v>
      </c>
      <c r="T101" s="64">
        <v>0</v>
      </c>
      <c r="U101" s="64">
        <v>87.5</v>
      </c>
      <c r="V101" s="64">
        <v>0</v>
      </c>
      <c r="W101" s="64">
        <v>12.5</v>
      </c>
      <c r="X101" s="64">
        <v>50</v>
      </c>
      <c r="Y101" s="64">
        <v>3.85</v>
      </c>
      <c r="Z101" s="64">
        <v>46.15</v>
      </c>
      <c r="AA101" s="64">
        <v>100</v>
      </c>
      <c r="AB101" s="64">
        <v>46.67</v>
      </c>
      <c r="AC101" s="64">
        <v>4</v>
      </c>
      <c r="AD101" s="64">
        <v>10</v>
      </c>
      <c r="AE101" s="64">
        <v>100</v>
      </c>
      <c r="AF101" s="64">
        <v>60</v>
      </c>
      <c r="AG101" s="51">
        <f t="shared" si="11"/>
        <v>13.845000000000001</v>
      </c>
      <c r="AH101" s="52">
        <f t="shared" si="12"/>
        <v>-13.845000000000001</v>
      </c>
      <c r="AI101" s="52" t="str">
        <f t="shared" si="13"/>
        <v>Y</v>
      </c>
      <c r="AJ101" s="52" t="str">
        <f t="shared" si="14"/>
        <v>N</v>
      </c>
      <c r="AK101" s="50" t="str">
        <f t="shared" si="15"/>
        <v>Win</v>
      </c>
      <c r="AL101" s="50" t="str">
        <f t="shared" si="16"/>
        <v>Loss</v>
      </c>
      <c r="AM101" s="50" t="str">
        <f t="shared" si="17"/>
        <v>Loss</v>
      </c>
      <c r="AN101" s="50">
        <f t="shared" si="18"/>
        <v>27.5</v>
      </c>
      <c r="AO101" s="50">
        <f t="shared" si="19"/>
        <v>-50</v>
      </c>
      <c r="AP101" s="50">
        <f t="shared" si="20"/>
        <v>-50</v>
      </c>
    </row>
    <row r="102" spans="1:42" x14ac:dyDescent="0.25">
      <c r="A102" s="63">
        <v>43624</v>
      </c>
      <c r="B102" s="64" t="s">
        <v>376</v>
      </c>
      <c r="C102" s="64" t="s">
        <v>418</v>
      </c>
      <c r="D102" s="64" t="s">
        <v>422</v>
      </c>
      <c r="E102" s="64" t="s">
        <v>423</v>
      </c>
      <c r="F102" s="64" t="s">
        <v>424</v>
      </c>
      <c r="G102" s="64">
        <v>2</v>
      </c>
      <c r="H102" s="64">
        <v>3</v>
      </c>
      <c r="I102" s="64">
        <v>2.59</v>
      </c>
      <c r="J102" s="64">
        <v>3.99</v>
      </c>
      <c r="K102" s="64">
        <v>2.1800000000000002</v>
      </c>
      <c r="L102" s="64">
        <v>0.41</v>
      </c>
      <c r="M102" s="64">
        <v>56</v>
      </c>
      <c r="N102" s="64">
        <v>59</v>
      </c>
      <c r="O102" s="64">
        <v>0</v>
      </c>
      <c r="P102" s="64">
        <v>29</v>
      </c>
      <c r="Q102" s="64">
        <v>29</v>
      </c>
      <c r="R102" s="64">
        <v>0</v>
      </c>
      <c r="S102" s="64">
        <v>0</v>
      </c>
      <c r="T102" s="64">
        <v>0</v>
      </c>
      <c r="U102" s="64">
        <v>50</v>
      </c>
      <c r="V102" s="64">
        <v>10.71</v>
      </c>
      <c r="W102" s="64">
        <v>39.29</v>
      </c>
      <c r="X102" s="64">
        <v>28.81</v>
      </c>
      <c r="Y102" s="64">
        <v>22.03</v>
      </c>
      <c r="Z102" s="64">
        <v>49.15</v>
      </c>
      <c r="AA102" s="64">
        <v>62.07</v>
      </c>
      <c r="AB102" s="64">
        <v>31.03</v>
      </c>
      <c r="AC102" s="64">
        <v>33</v>
      </c>
      <c r="AD102" s="64">
        <v>17</v>
      </c>
      <c r="AE102" s="64">
        <v>60.61</v>
      </c>
      <c r="AF102" s="64">
        <v>35.29</v>
      </c>
      <c r="AG102" s="51">
        <f t="shared" si="11"/>
        <v>5.0779999999999985</v>
      </c>
      <c r="AH102" s="52">
        <f t="shared" si="12"/>
        <v>-5.0779999999999985</v>
      </c>
      <c r="AI102" s="52" t="str">
        <f t="shared" si="13"/>
        <v>N</v>
      </c>
      <c r="AJ102" s="52" t="str">
        <f t="shared" si="14"/>
        <v>N</v>
      </c>
      <c r="AK102" s="50" t="str">
        <f t="shared" si="15"/>
        <v>Loss</v>
      </c>
      <c r="AL102" s="50" t="str">
        <f t="shared" si="16"/>
        <v>Loss</v>
      </c>
      <c r="AM102" s="50" t="str">
        <f t="shared" si="17"/>
        <v>Win</v>
      </c>
      <c r="AN102" s="50">
        <f t="shared" si="18"/>
        <v>-50</v>
      </c>
      <c r="AO102" s="50">
        <f t="shared" si="19"/>
        <v>-50</v>
      </c>
      <c r="AP102" s="50">
        <f t="shared" si="20"/>
        <v>59.000000000000014</v>
      </c>
    </row>
    <row r="103" spans="1:42" x14ac:dyDescent="0.25">
      <c r="A103" s="63">
        <v>43624</v>
      </c>
      <c r="B103" s="64" t="s">
        <v>364</v>
      </c>
      <c r="C103" s="64" t="s">
        <v>425</v>
      </c>
      <c r="D103" s="64" t="s">
        <v>426</v>
      </c>
      <c r="E103" s="64" t="s">
        <v>427</v>
      </c>
      <c r="F103" s="64" t="s">
        <v>428</v>
      </c>
      <c r="G103" s="64">
        <v>0</v>
      </c>
      <c r="H103" s="64">
        <v>3</v>
      </c>
      <c r="I103" s="64">
        <v>2.97</v>
      </c>
      <c r="J103" s="64">
        <v>3.5</v>
      </c>
      <c r="K103" s="64">
        <v>2.08</v>
      </c>
      <c r="L103" s="64">
        <v>0.89</v>
      </c>
      <c r="M103" s="64">
        <v>57</v>
      </c>
      <c r="N103" s="64">
        <v>35</v>
      </c>
      <c r="O103" s="64">
        <v>2</v>
      </c>
      <c r="P103" s="64">
        <v>29</v>
      </c>
      <c r="Q103" s="64">
        <v>17</v>
      </c>
      <c r="R103" s="64">
        <v>0</v>
      </c>
      <c r="S103" s="64">
        <v>50</v>
      </c>
      <c r="T103" s="64">
        <v>50</v>
      </c>
      <c r="U103" s="64">
        <v>26.32</v>
      </c>
      <c r="V103" s="64">
        <v>19.3</v>
      </c>
      <c r="W103" s="64">
        <v>54.39</v>
      </c>
      <c r="X103" s="64">
        <v>37.14</v>
      </c>
      <c r="Y103" s="64">
        <v>22.86</v>
      </c>
      <c r="Z103" s="64">
        <v>40</v>
      </c>
      <c r="AA103" s="64">
        <v>34.479999999999997</v>
      </c>
      <c r="AB103" s="64">
        <v>17.649999999999999</v>
      </c>
      <c r="AC103" s="64">
        <v>13</v>
      </c>
      <c r="AD103" s="64">
        <v>16</v>
      </c>
      <c r="AE103" s="64">
        <v>23.08</v>
      </c>
      <c r="AF103" s="64">
        <v>50</v>
      </c>
      <c r="AG103" s="51">
        <f t="shared" si="11"/>
        <v>-15.398000000000003</v>
      </c>
      <c r="AH103" s="52">
        <f t="shared" si="12"/>
        <v>25.398000000000003</v>
      </c>
      <c r="AI103" s="52" t="str">
        <f t="shared" si="13"/>
        <v>N</v>
      </c>
      <c r="AJ103" s="52" t="str">
        <f t="shared" si="14"/>
        <v>N</v>
      </c>
      <c r="AK103" s="50" t="str">
        <f t="shared" si="15"/>
        <v>Loss</v>
      </c>
      <c r="AL103" s="50" t="str">
        <f t="shared" si="16"/>
        <v>Loss</v>
      </c>
      <c r="AM103" s="50" t="str">
        <f t="shared" si="17"/>
        <v>Win</v>
      </c>
      <c r="AN103" s="50">
        <f t="shared" si="18"/>
        <v>-50</v>
      </c>
      <c r="AO103" s="50">
        <f t="shared" si="19"/>
        <v>-50</v>
      </c>
      <c r="AP103" s="50">
        <f t="shared" si="20"/>
        <v>54</v>
      </c>
    </row>
    <row r="104" spans="1:42" x14ac:dyDescent="0.25">
      <c r="A104" s="63">
        <v>43624</v>
      </c>
      <c r="B104" s="64" t="s">
        <v>364</v>
      </c>
      <c r="C104" s="64" t="s">
        <v>429</v>
      </c>
      <c r="D104" s="64" t="s">
        <v>430</v>
      </c>
      <c r="E104" s="64" t="s">
        <v>431</v>
      </c>
      <c r="F104" s="64" t="s">
        <v>432</v>
      </c>
      <c r="G104" s="64">
        <v>1</v>
      </c>
      <c r="H104" s="64">
        <v>3</v>
      </c>
      <c r="I104" s="64">
        <v>7</v>
      </c>
      <c r="J104" s="64">
        <v>6</v>
      </c>
      <c r="K104" s="64">
        <v>1.22</v>
      </c>
      <c r="L104" s="64">
        <v>5.78</v>
      </c>
      <c r="M104" s="64">
        <v>31</v>
      </c>
      <c r="N104" s="64">
        <v>33</v>
      </c>
      <c r="O104" s="64">
        <v>2</v>
      </c>
      <c r="P104" s="64">
        <v>14</v>
      </c>
      <c r="Q104" s="64">
        <v>17</v>
      </c>
      <c r="R104" s="64">
        <v>50</v>
      </c>
      <c r="S104" s="64">
        <v>0</v>
      </c>
      <c r="T104" s="64">
        <v>50</v>
      </c>
      <c r="U104" s="64">
        <v>32.26</v>
      </c>
      <c r="V104" s="64">
        <v>6.45</v>
      </c>
      <c r="W104" s="64">
        <v>61.29</v>
      </c>
      <c r="X104" s="64">
        <v>39.39</v>
      </c>
      <c r="Y104" s="64">
        <v>36.36</v>
      </c>
      <c r="Z104" s="64">
        <v>24.24</v>
      </c>
      <c r="AA104" s="64">
        <v>35.71</v>
      </c>
      <c r="AB104" s="64">
        <v>35.29</v>
      </c>
      <c r="AC104" s="64">
        <v>8</v>
      </c>
      <c r="AD104" s="64">
        <v>18</v>
      </c>
      <c r="AE104" s="64">
        <v>75</v>
      </c>
      <c r="AF104" s="64">
        <v>66.67</v>
      </c>
      <c r="AG104" s="51">
        <f t="shared" si="11"/>
        <v>-11.827000000000002</v>
      </c>
      <c r="AH104" s="52">
        <f t="shared" si="12"/>
        <v>11.827000000000002</v>
      </c>
      <c r="AI104" s="52" t="str">
        <f t="shared" si="13"/>
        <v>N</v>
      </c>
      <c r="AJ104" s="52" t="str">
        <f t="shared" si="14"/>
        <v>N</v>
      </c>
      <c r="AK104" s="50" t="str">
        <f t="shared" si="15"/>
        <v>Loss</v>
      </c>
      <c r="AL104" s="50" t="str">
        <f t="shared" si="16"/>
        <v>Loss</v>
      </c>
      <c r="AM104" s="50" t="str">
        <f t="shared" si="17"/>
        <v>Win</v>
      </c>
      <c r="AN104" s="50">
        <f t="shared" si="18"/>
        <v>-50</v>
      </c>
      <c r="AO104" s="50">
        <f t="shared" si="19"/>
        <v>-50</v>
      </c>
      <c r="AP104" s="50">
        <f t="shared" si="20"/>
        <v>11</v>
      </c>
    </row>
    <row r="105" spans="1:42" x14ac:dyDescent="0.25">
      <c r="A105" s="63">
        <v>43624</v>
      </c>
      <c r="B105" s="64" t="s">
        <v>253</v>
      </c>
      <c r="C105" s="64" t="s">
        <v>433</v>
      </c>
      <c r="D105" s="64" t="s">
        <v>434</v>
      </c>
      <c r="E105" s="64" t="s">
        <v>435</v>
      </c>
      <c r="F105" s="64" t="s">
        <v>436</v>
      </c>
      <c r="G105" s="64">
        <v>5</v>
      </c>
      <c r="H105" s="64">
        <v>0</v>
      </c>
      <c r="I105" s="64">
        <v>1.2</v>
      </c>
      <c r="J105" s="64">
        <v>6.04</v>
      </c>
      <c r="K105" s="64">
        <v>11.63</v>
      </c>
      <c r="L105" s="64">
        <v>-10.43</v>
      </c>
      <c r="M105" s="64">
        <v>13</v>
      </c>
      <c r="N105" s="64">
        <v>14</v>
      </c>
      <c r="O105" s="64">
        <v>0</v>
      </c>
      <c r="P105" s="64">
        <v>6</v>
      </c>
      <c r="Q105" s="64">
        <v>6</v>
      </c>
      <c r="R105" s="64">
        <v>0</v>
      </c>
      <c r="S105" s="64">
        <v>0</v>
      </c>
      <c r="T105" s="64">
        <v>0</v>
      </c>
      <c r="U105" s="64">
        <v>46.15</v>
      </c>
      <c r="V105" s="64">
        <v>23.08</v>
      </c>
      <c r="W105" s="64">
        <v>30.77</v>
      </c>
      <c r="X105" s="64">
        <v>28.57</v>
      </c>
      <c r="Y105" s="64">
        <v>7.14</v>
      </c>
      <c r="Z105" s="64">
        <v>64.290000000000006</v>
      </c>
      <c r="AA105" s="64">
        <v>66.67</v>
      </c>
      <c r="AB105" s="64">
        <v>33.33</v>
      </c>
      <c r="AC105" s="64">
        <v>9</v>
      </c>
      <c r="AD105" s="64">
        <v>4</v>
      </c>
      <c r="AE105" s="64">
        <v>55.56</v>
      </c>
      <c r="AF105" s="64">
        <v>50</v>
      </c>
      <c r="AG105" s="51">
        <f t="shared" si="11"/>
        <v>11.814000000000002</v>
      </c>
      <c r="AH105" s="52">
        <f t="shared" si="12"/>
        <v>-11.814000000000002</v>
      </c>
      <c r="AI105" s="52" t="str">
        <f t="shared" si="13"/>
        <v>N</v>
      </c>
      <c r="AJ105" s="52" t="str">
        <f t="shared" si="14"/>
        <v>N</v>
      </c>
      <c r="AK105" s="50" t="str">
        <f t="shared" si="15"/>
        <v>Win</v>
      </c>
      <c r="AL105" s="50" t="str">
        <f t="shared" si="16"/>
        <v>Loss</v>
      </c>
      <c r="AM105" s="50" t="str">
        <f t="shared" si="17"/>
        <v>Loss</v>
      </c>
      <c r="AN105" s="50">
        <f t="shared" si="18"/>
        <v>10</v>
      </c>
      <c r="AO105" s="50">
        <f t="shared" si="19"/>
        <v>-50</v>
      </c>
      <c r="AP105" s="50">
        <f t="shared" si="20"/>
        <v>-50</v>
      </c>
    </row>
    <row r="106" spans="1:42" x14ac:dyDescent="0.25">
      <c r="A106" s="63">
        <v>43624</v>
      </c>
      <c r="B106" s="64" t="s">
        <v>253</v>
      </c>
      <c r="C106" s="64" t="s">
        <v>254</v>
      </c>
      <c r="D106" s="64" t="s">
        <v>437</v>
      </c>
      <c r="E106" s="64" t="s">
        <v>438</v>
      </c>
      <c r="F106" s="64" t="s">
        <v>439</v>
      </c>
      <c r="G106" s="64">
        <v>1</v>
      </c>
      <c r="H106" s="64">
        <v>0</v>
      </c>
      <c r="I106" s="64">
        <v>1.29</v>
      </c>
      <c r="J106" s="64">
        <v>4.5199999999999996</v>
      </c>
      <c r="K106" s="64">
        <v>8.39</v>
      </c>
      <c r="L106" s="64">
        <v>-7.1</v>
      </c>
      <c r="M106" s="64">
        <v>16</v>
      </c>
      <c r="N106" s="64">
        <v>13</v>
      </c>
      <c r="O106" s="64">
        <v>0</v>
      </c>
      <c r="P106" s="64">
        <v>9</v>
      </c>
      <c r="Q106" s="64">
        <v>6</v>
      </c>
      <c r="R106" s="64">
        <v>0</v>
      </c>
      <c r="S106" s="64">
        <v>0</v>
      </c>
      <c r="T106" s="64">
        <v>0</v>
      </c>
      <c r="U106" s="64">
        <v>62.5</v>
      </c>
      <c r="V106" s="64">
        <v>18.75</v>
      </c>
      <c r="W106" s="64">
        <v>18.75</v>
      </c>
      <c r="X106" s="64">
        <v>53.85</v>
      </c>
      <c r="Y106" s="64">
        <v>15.38</v>
      </c>
      <c r="Z106" s="64">
        <v>30.77</v>
      </c>
      <c r="AA106" s="64">
        <v>77.78</v>
      </c>
      <c r="AB106" s="64">
        <v>50</v>
      </c>
      <c r="AC106" s="64">
        <v>11</v>
      </c>
      <c r="AD106" s="64">
        <v>10</v>
      </c>
      <c r="AE106" s="64">
        <v>72.73</v>
      </c>
      <c r="AF106" s="64">
        <v>60</v>
      </c>
      <c r="AG106" s="51">
        <f t="shared" si="11"/>
        <v>4.4709999999999983</v>
      </c>
      <c r="AH106" s="52">
        <f t="shared" si="12"/>
        <v>-4.4709999999999983</v>
      </c>
      <c r="AI106" s="52" t="str">
        <f t="shared" si="13"/>
        <v>N</v>
      </c>
      <c r="AJ106" s="52" t="str">
        <f t="shared" si="14"/>
        <v>N</v>
      </c>
      <c r="AK106" s="50" t="str">
        <f t="shared" si="15"/>
        <v>Win</v>
      </c>
      <c r="AL106" s="50" t="str">
        <f t="shared" si="16"/>
        <v>Loss</v>
      </c>
      <c r="AM106" s="50" t="str">
        <f t="shared" si="17"/>
        <v>Loss</v>
      </c>
      <c r="AN106" s="50">
        <f t="shared" si="18"/>
        <v>14.5</v>
      </c>
      <c r="AO106" s="50">
        <f t="shared" si="19"/>
        <v>-50</v>
      </c>
      <c r="AP106" s="50">
        <f t="shared" si="20"/>
        <v>-50</v>
      </c>
    </row>
    <row r="107" spans="1:42" x14ac:dyDescent="0.25">
      <c r="A107" s="63">
        <v>43624</v>
      </c>
      <c r="B107" s="64" t="s">
        <v>376</v>
      </c>
      <c r="C107" s="64" t="s">
        <v>407</v>
      </c>
      <c r="D107" s="64" t="s">
        <v>440</v>
      </c>
      <c r="E107" s="64" t="s">
        <v>441</v>
      </c>
      <c r="F107" s="64" t="s">
        <v>442</v>
      </c>
      <c r="G107" s="64">
        <v>4</v>
      </c>
      <c r="H107" s="64">
        <v>0</v>
      </c>
      <c r="I107" s="64">
        <v>1.38</v>
      </c>
      <c r="J107" s="64">
        <v>5.3</v>
      </c>
      <c r="K107" s="64">
        <v>5.33</v>
      </c>
      <c r="L107" s="64">
        <v>-3.95</v>
      </c>
      <c r="M107" s="64">
        <v>7</v>
      </c>
      <c r="N107" s="64">
        <v>36</v>
      </c>
      <c r="O107" s="64">
        <v>0</v>
      </c>
      <c r="P107" s="64">
        <v>4</v>
      </c>
      <c r="Q107" s="64">
        <v>17</v>
      </c>
      <c r="R107" s="64">
        <v>0</v>
      </c>
      <c r="S107" s="64">
        <v>0</v>
      </c>
      <c r="T107" s="64">
        <v>0</v>
      </c>
      <c r="U107" s="64">
        <v>71.430000000000007</v>
      </c>
      <c r="V107" s="64">
        <v>0</v>
      </c>
      <c r="W107" s="64">
        <v>28.57</v>
      </c>
      <c r="X107" s="64">
        <v>50</v>
      </c>
      <c r="Y107" s="64">
        <v>27.78</v>
      </c>
      <c r="Z107" s="64">
        <v>22.22</v>
      </c>
      <c r="AA107" s="64">
        <v>100</v>
      </c>
      <c r="AB107" s="64">
        <v>47.06</v>
      </c>
      <c r="AC107" s="64">
        <v>6</v>
      </c>
      <c r="AD107" s="64">
        <v>25</v>
      </c>
      <c r="AE107" s="64">
        <v>83.33</v>
      </c>
      <c r="AF107" s="64">
        <v>60</v>
      </c>
      <c r="AG107" s="51">
        <f t="shared" si="11"/>
        <v>0.23800000000000043</v>
      </c>
      <c r="AH107" s="52">
        <f t="shared" si="12"/>
        <v>-0.23800000000000043</v>
      </c>
      <c r="AI107" s="52" t="str">
        <f t="shared" si="13"/>
        <v>Y</v>
      </c>
      <c r="AJ107" s="52" t="str">
        <f t="shared" si="14"/>
        <v>N</v>
      </c>
      <c r="AK107" s="50" t="str">
        <f t="shared" si="15"/>
        <v>Win</v>
      </c>
      <c r="AL107" s="50" t="str">
        <f t="shared" si="16"/>
        <v>Loss</v>
      </c>
      <c r="AM107" s="50" t="str">
        <f t="shared" si="17"/>
        <v>Loss</v>
      </c>
      <c r="AN107" s="50">
        <f t="shared" si="18"/>
        <v>19</v>
      </c>
      <c r="AO107" s="50">
        <f t="shared" si="19"/>
        <v>-50</v>
      </c>
      <c r="AP107" s="50">
        <f t="shared" si="20"/>
        <v>-50</v>
      </c>
    </row>
    <row r="108" spans="1:42" x14ac:dyDescent="0.25">
      <c r="A108" s="63">
        <v>43624</v>
      </c>
      <c r="B108" s="64" t="s">
        <v>364</v>
      </c>
      <c r="C108" s="64" t="s">
        <v>443</v>
      </c>
      <c r="D108" s="64" t="s">
        <v>444</v>
      </c>
      <c r="E108" s="64" t="s">
        <v>445</v>
      </c>
      <c r="F108" s="64" t="s">
        <v>446</v>
      </c>
      <c r="G108" s="64">
        <v>1</v>
      </c>
      <c r="H108" s="64">
        <v>0</v>
      </c>
      <c r="I108" s="64">
        <v>1.52</v>
      </c>
      <c r="J108" s="64">
        <v>4.4400000000000004</v>
      </c>
      <c r="K108" s="64">
        <v>4.53</v>
      </c>
      <c r="L108" s="64">
        <v>-3.01</v>
      </c>
      <c r="M108" s="64">
        <v>30</v>
      </c>
      <c r="N108" s="64">
        <v>10</v>
      </c>
      <c r="O108" s="64">
        <v>0</v>
      </c>
      <c r="P108" s="64">
        <v>16</v>
      </c>
      <c r="Q108" s="64">
        <v>5</v>
      </c>
      <c r="R108" s="64">
        <v>0</v>
      </c>
      <c r="S108" s="64">
        <v>0</v>
      </c>
      <c r="T108" s="64">
        <v>0</v>
      </c>
      <c r="U108" s="64">
        <v>50</v>
      </c>
      <c r="V108" s="64">
        <v>20</v>
      </c>
      <c r="W108" s="64">
        <v>30</v>
      </c>
      <c r="X108" s="64">
        <v>30</v>
      </c>
      <c r="Y108" s="64">
        <v>30</v>
      </c>
      <c r="Z108" s="64">
        <v>40</v>
      </c>
      <c r="AA108" s="64">
        <v>50</v>
      </c>
      <c r="AB108" s="64">
        <v>20</v>
      </c>
      <c r="AC108" s="64">
        <v>21</v>
      </c>
      <c r="AD108" s="64">
        <v>1</v>
      </c>
      <c r="AE108" s="64">
        <v>57.14</v>
      </c>
      <c r="AF108" s="64">
        <v>0</v>
      </c>
      <c r="AG108" s="51">
        <f t="shared" si="11"/>
        <v>5</v>
      </c>
      <c r="AH108" s="52">
        <f t="shared" si="12"/>
        <v>-5</v>
      </c>
      <c r="AI108" s="52" t="str">
        <f t="shared" si="13"/>
        <v>N</v>
      </c>
      <c r="AJ108" s="52" t="str">
        <f t="shared" si="14"/>
        <v>N</v>
      </c>
      <c r="AK108" s="50" t="str">
        <f t="shared" si="15"/>
        <v>Win</v>
      </c>
      <c r="AL108" s="50" t="str">
        <f t="shared" si="16"/>
        <v>Loss</v>
      </c>
      <c r="AM108" s="50" t="str">
        <f t="shared" si="17"/>
        <v>Loss</v>
      </c>
      <c r="AN108" s="50">
        <f t="shared" si="18"/>
        <v>26</v>
      </c>
      <c r="AO108" s="50">
        <f t="shared" si="19"/>
        <v>-50</v>
      </c>
      <c r="AP108" s="50">
        <f t="shared" si="20"/>
        <v>-50</v>
      </c>
    </row>
    <row r="109" spans="1:42" x14ac:dyDescent="0.25">
      <c r="A109" s="63">
        <v>43624</v>
      </c>
      <c r="B109" s="64" t="s">
        <v>253</v>
      </c>
      <c r="C109" s="64" t="s">
        <v>447</v>
      </c>
      <c r="D109" s="64" t="s">
        <v>448</v>
      </c>
      <c r="E109" s="64" t="s">
        <v>449</v>
      </c>
      <c r="F109" s="64" t="s">
        <v>450</v>
      </c>
      <c r="G109" s="64">
        <v>0</v>
      </c>
      <c r="H109" s="64">
        <v>0</v>
      </c>
      <c r="I109" s="64">
        <v>2.0499999999999998</v>
      </c>
      <c r="J109" s="64">
        <v>3.27</v>
      </c>
      <c r="K109" s="64">
        <v>3.71</v>
      </c>
      <c r="L109" s="64">
        <v>-1.66</v>
      </c>
      <c r="M109" s="64">
        <v>12</v>
      </c>
      <c r="N109" s="64">
        <v>12</v>
      </c>
      <c r="O109" s="64">
        <v>0</v>
      </c>
      <c r="P109" s="64">
        <v>8</v>
      </c>
      <c r="Q109" s="64">
        <v>6</v>
      </c>
      <c r="R109" s="64">
        <v>0</v>
      </c>
      <c r="S109" s="64">
        <v>0</v>
      </c>
      <c r="T109" s="64">
        <v>0</v>
      </c>
      <c r="U109" s="64">
        <v>33.33</v>
      </c>
      <c r="V109" s="64">
        <v>16.670000000000002</v>
      </c>
      <c r="W109" s="64">
        <v>50</v>
      </c>
      <c r="X109" s="64">
        <v>25</v>
      </c>
      <c r="Y109" s="64">
        <v>25</v>
      </c>
      <c r="Z109" s="64">
        <v>50</v>
      </c>
      <c r="AA109" s="64">
        <v>37.5</v>
      </c>
      <c r="AB109" s="64">
        <v>33.33</v>
      </c>
      <c r="AC109" s="64">
        <v>4</v>
      </c>
      <c r="AD109" s="64">
        <v>1</v>
      </c>
      <c r="AE109" s="64">
        <v>75</v>
      </c>
      <c r="AF109" s="64">
        <v>0</v>
      </c>
      <c r="AG109" s="51">
        <f t="shared" si="11"/>
        <v>0.83300000000000018</v>
      </c>
      <c r="AH109" s="52">
        <f t="shared" si="12"/>
        <v>-0.83300000000000018</v>
      </c>
      <c r="AI109" s="52" t="str">
        <f t="shared" si="13"/>
        <v>N</v>
      </c>
      <c r="AJ109" s="52" t="str">
        <f t="shared" si="14"/>
        <v>N</v>
      </c>
      <c r="AK109" s="50" t="str">
        <f t="shared" si="15"/>
        <v>Loss</v>
      </c>
      <c r="AL109" s="50" t="str">
        <f t="shared" si="16"/>
        <v>Win</v>
      </c>
      <c r="AM109" s="50" t="str">
        <f t="shared" si="17"/>
        <v>Loss</v>
      </c>
      <c r="AN109" s="50">
        <f t="shared" si="18"/>
        <v>-50</v>
      </c>
      <c r="AO109" s="50">
        <f t="shared" si="19"/>
        <v>113.5</v>
      </c>
      <c r="AP109" s="50">
        <f t="shared" si="20"/>
        <v>-50</v>
      </c>
    </row>
    <row r="110" spans="1:42" x14ac:dyDescent="0.25">
      <c r="A110" s="63">
        <v>43624</v>
      </c>
      <c r="B110" s="64" t="s">
        <v>451</v>
      </c>
      <c r="C110" s="64" t="s">
        <v>452</v>
      </c>
      <c r="D110" s="64" t="s">
        <v>453</v>
      </c>
      <c r="E110" s="64" t="s">
        <v>454</v>
      </c>
      <c r="F110" s="64" t="s">
        <v>455</v>
      </c>
      <c r="G110" s="64">
        <v>0</v>
      </c>
      <c r="H110" s="64">
        <v>2</v>
      </c>
      <c r="I110" s="64">
        <v>1.75</v>
      </c>
      <c r="J110" s="64">
        <v>3.8</v>
      </c>
      <c r="K110" s="64">
        <v>3.9</v>
      </c>
      <c r="L110" s="64">
        <v>-2.15</v>
      </c>
      <c r="M110" s="64">
        <v>49</v>
      </c>
      <c r="N110" s="64">
        <v>32</v>
      </c>
      <c r="O110" s="64">
        <v>0</v>
      </c>
      <c r="P110" s="64">
        <v>24</v>
      </c>
      <c r="Q110" s="64">
        <v>16</v>
      </c>
      <c r="R110" s="64">
        <v>0</v>
      </c>
      <c r="S110" s="64">
        <v>0</v>
      </c>
      <c r="T110" s="64">
        <v>0</v>
      </c>
      <c r="U110" s="64">
        <v>46.94</v>
      </c>
      <c r="V110" s="64">
        <v>20.41</v>
      </c>
      <c r="W110" s="64">
        <v>32.65</v>
      </c>
      <c r="X110" s="64">
        <v>25</v>
      </c>
      <c r="Y110" s="64">
        <v>15.63</v>
      </c>
      <c r="Z110" s="64">
        <v>59.38</v>
      </c>
      <c r="AA110" s="64">
        <v>41.67</v>
      </c>
      <c r="AB110" s="64">
        <v>25</v>
      </c>
      <c r="AC110" s="64">
        <v>25</v>
      </c>
      <c r="AD110" s="64">
        <v>7</v>
      </c>
      <c r="AE110" s="64">
        <v>52</v>
      </c>
      <c r="AF110" s="64">
        <v>28.57</v>
      </c>
      <c r="AG110" s="51">
        <f t="shared" si="11"/>
        <v>10.212000000000002</v>
      </c>
      <c r="AH110" s="52">
        <f t="shared" si="12"/>
        <v>-10.212000000000002</v>
      </c>
      <c r="AI110" s="52" t="str">
        <f t="shared" si="13"/>
        <v>N</v>
      </c>
      <c r="AJ110" s="52" t="str">
        <f t="shared" si="14"/>
        <v>N</v>
      </c>
      <c r="AK110" s="50" t="str">
        <f t="shared" si="15"/>
        <v>Loss</v>
      </c>
      <c r="AL110" s="50" t="str">
        <f t="shared" si="16"/>
        <v>Loss</v>
      </c>
      <c r="AM110" s="50" t="str">
        <f t="shared" si="17"/>
        <v>Win</v>
      </c>
      <c r="AN110" s="50">
        <f t="shared" si="18"/>
        <v>-50</v>
      </c>
      <c r="AO110" s="50">
        <f t="shared" si="19"/>
        <v>-50</v>
      </c>
      <c r="AP110" s="50">
        <f t="shared" si="20"/>
        <v>145</v>
      </c>
    </row>
    <row r="111" spans="1:42" x14ac:dyDescent="0.25">
      <c r="A111" s="63">
        <v>43624</v>
      </c>
      <c r="B111" s="64" t="s">
        <v>456</v>
      </c>
      <c r="C111" s="64" t="s">
        <v>457</v>
      </c>
      <c r="D111" s="64" t="s">
        <v>458</v>
      </c>
      <c r="E111" s="64" t="s">
        <v>459</v>
      </c>
      <c r="F111" s="64" t="s">
        <v>460</v>
      </c>
      <c r="G111" s="64">
        <v>2</v>
      </c>
      <c r="H111" s="64">
        <v>3</v>
      </c>
      <c r="I111" s="64">
        <v>2.64</v>
      </c>
      <c r="J111" s="64">
        <v>3.55</v>
      </c>
      <c r="K111" s="64">
        <v>2.2200000000000002</v>
      </c>
      <c r="L111" s="64">
        <v>0.42</v>
      </c>
      <c r="M111" s="64">
        <v>27</v>
      </c>
      <c r="N111" s="64">
        <v>28</v>
      </c>
      <c r="O111" s="64">
        <v>1</v>
      </c>
      <c r="P111" s="64">
        <v>14</v>
      </c>
      <c r="Q111" s="64">
        <v>13</v>
      </c>
      <c r="R111" s="64">
        <v>0</v>
      </c>
      <c r="S111" s="64">
        <v>100</v>
      </c>
      <c r="T111" s="64">
        <v>0</v>
      </c>
      <c r="U111" s="64">
        <v>33.33</v>
      </c>
      <c r="V111" s="64">
        <v>14.81</v>
      </c>
      <c r="W111" s="64">
        <v>51.85</v>
      </c>
      <c r="X111" s="64">
        <v>53.57</v>
      </c>
      <c r="Y111" s="64">
        <v>21.43</v>
      </c>
      <c r="Z111" s="64">
        <v>25</v>
      </c>
      <c r="AA111" s="64">
        <v>50</v>
      </c>
      <c r="AB111" s="64">
        <v>23.08</v>
      </c>
      <c r="AC111" s="64">
        <v>7</v>
      </c>
      <c r="AD111" s="64">
        <v>17</v>
      </c>
      <c r="AE111" s="64">
        <v>100</v>
      </c>
      <c r="AF111" s="64">
        <v>58.82</v>
      </c>
      <c r="AG111" s="51">
        <f t="shared" si="11"/>
        <v>-8.0000000000000071E-2</v>
      </c>
      <c r="AH111" s="52">
        <f t="shared" si="12"/>
        <v>20.080000000000002</v>
      </c>
      <c r="AI111" s="52" t="str">
        <f t="shared" si="13"/>
        <v>N</v>
      </c>
      <c r="AJ111" s="52" t="str">
        <f t="shared" si="14"/>
        <v>N</v>
      </c>
      <c r="AK111" s="50" t="str">
        <f t="shared" si="15"/>
        <v>Loss</v>
      </c>
      <c r="AL111" s="50" t="str">
        <f t="shared" si="16"/>
        <v>Loss</v>
      </c>
      <c r="AM111" s="50" t="str">
        <f t="shared" si="17"/>
        <v>Win</v>
      </c>
      <c r="AN111" s="50">
        <f t="shared" si="18"/>
        <v>-50</v>
      </c>
      <c r="AO111" s="50">
        <f t="shared" si="19"/>
        <v>-50</v>
      </c>
      <c r="AP111" s="50">
        <f t="shared" si="20"/>
        <v>61.000000000000014</v>
      </c>
    </row>
    <row r="112" spans="1:42" x14ac:dyDescent="0.25">
      <c r="A112" s="63">
        <v>43624</v>
      </c>
      <c r="B112" s="64" t="s">
        <v>456</v>
      </c>
      <c r="C112" s="64" t="s">
        <v>457</v>
      </c>
      <c r="D112" s="64" t="s">
        <v>461</v>
      </c>
      <c r="E112" s="64" t="s">
        <v>462</v>
      </c>
      <c r="F112" s="64" t="s">
        <v>463</v>
      </c>
      <c r="G112" s="64">
        <v>2</v>
      </c>
      <c r="H112" s="64">
        <v>0</v>
      </c>
      <c r="I112" s="64">
        <v>1.77</v>
      </c>
      <c r="J112" s="64">
        <v>3.96</v>
      </c>
      <c r="K112" s="64">
        <v>3.43</v>
      </c>
      <c r="L112" s="64">
        <v>-1.66</v>
      </c>
      <c r="M112" s="64">
        <v>27</v>
      </c>
      <c r="N112" s="64">
        <v>27</v>
      </c>
      <c r="O112" s="64">
        <v>1</v>
      </c>
      <c r="P112" s="64">
        <v>12</v>
      </c>
      <c r="Q112" s="64">
        <v>12</v>
      </c>
      <c r="R112" s="64">
        <v>100</v>
      </c>
      <c r="S112" s="64">
        <v>0</v>
      </c>
      <c r="T112" s="64">
        <v>0</v>
      </c>
      <c r="U112" s="64">
        <v>55.56</v>
      </c>
      <c r="V112" s="64">
        <v>18.52</v>
      </c>
      <c r="W112" s="64">
        <v>25.93</v>
      </c>
      <c r="X112" s="64">
        <v>33.33</v>
      </c>
      <c r="Y112" s="64">
        <v>25.93</v>
      </c>
      <c r="Z112" s="64">
        <v>40.74</v>
      </c>
      <c r="AA112" s="64">
        <v>58.33</v>
      </c>
      <c r="AB112" s="64">
        <v>25</v>
      </c>
      <c r="AC112" s="64">
        <v>20</v>
      </c>
      <c r="AD112" s="64">
        <v>19</v>
      </c>
      <c r="AE112" s="64">
        <v>65</v>
      </c>
      <c r="AF112" s="64">
        <v>42.11</v>
      </c>
      <c r="AG112" s="51">
        <f t="shared" si="11"/>
        <v>36.667000000000002</v>
      </c>
      <c r="AH112" s="52">
        <f t="shared" si="12"/>
        <v>-36.667000000000002</v>
      </c>
      <c r="AI112" s="52" t="str">
        <f t="shared" si="13"/>
        <v>N</v>
      </c>
      <c r="AJ112" s="52" t="str">
        <f t="shared" si="14"/>
        <v>N</v>
      </c>
      <c r="AK112" s="50" t="str">
        <f t="shared" si="15"/>
        <v>Win</v>
      </c>
      <c r="AL112" s="50" t="str">
        <f t="shared" si="16"/>
        <v>Loss</v>
      </c>
      <c r="AM112" s="50" t="str">
        <f t="shared" si="17"/>
        <v>Loss</v>
      </c>
      <c r="AN112" s="50">
        <f t="shared" si="18"/>
        <v>38.5</v>
      </c>
      <c r="AO112" s="50">
        <f t="shared" si="19"/>
        <v>-50</v>
      </c>
      <c r="AP112" s="50">
        <f t="shared" si="20"/>
        <v>-50</v>
      </c>
    </row>
    <row r="113" spans="1:42" x14ac:dyDescent="0.25">
      <c r="A113" s="63">
        <v>43624</v>
      </c>
      <c r="B113" s="64" t="s">
        <v>456</v>
      </c>
      <c r="C113" s="64" t="s">
        <v>457</v>
      </c>
      <c r="D113" s="64" t="s">
        <v>464</v>
      </c>
      <c r="E113" s="64" t="s">
        <v>465</v>
      </c>
      <c r="F113" s="64" t="s">
        <v>466</v>
      </c>
      <c r="G113" s="64">
        <v>3</v>
      </c>
      <c r="H113" s="64">
        <v>2</v>
      </c>
      <c r="I113" s="64">
        <v>2</v>
      </c>
      <c r="J113" s="64">
        <v>3.7</v>
      </c>
      <c r="K113" s="64">
        <v>2.85</v>
      </c>
      <c r="L113" s="64">
        <v>-0.85</v>
      </c>
      <c r="M113" s="64">
        <v>28</v>
      </c>
      <c r="N113" s="64">
        <v>27</v>
      </c>
      <c r="O113" s="64">
        <v>1</v>
      </c>
      <c r="P113" s="64">
        <v>13</v>
      </c>
      <c r="Q113" s="64">
        <v>12</v>
      </c>
      <c r="R113" s="64">
        <v>0</v>
      </c>
      <c r="S113" s="64">
        <v>0</v>
      </c>
      <c r="T113" s="64">
        <v>100</v>
      </c>
      <c r="U113" s="64">
        <v>46.43</v>
      </c>
      <c r="V113" s="64">
        <v>7.14</v>
      </c>
      <c r="W113" s="64">
        <v>46.43</v>
      </c>
      <c r="X113" s="64">
        <v>37.04</v>
      </c>
      <c r="Y113" s="64">
        <v>25.93</v>
      </c>
      <c r="Z113" s="64">
        <v>37.04</v>
      </c>
      <c r="AA113" s="64">
        <v>46.15</v>
      </c>
      <c r="AB113" s="64">
        <v>25</v>
      </c>
      <c r="AC113" s="64">
        <v>7</v>
      </c>
      <c r="AD113" s="64">
        <v>10</v>
      </c>
      <c r="AE113" s="64">
        <v>42.86</v>
      </c>
      <c r="AF113" s="64">
        <v>50</v>
      </c>
      <c r="AG113" s="51">
        <f t="shared" si="11"/>
        <v>-31.879000000000005</v>
      </c>
      <c r="AH113" s="52">
        <f t="shared" si="12"/>
        <v>31.879000000000005</v>
      </c>
      <c r="AI113" s="52" t="str">
        <f t="shared" si="13"/>
        <v>N</v>
      </c>
      <c r="AJ113" s="52" t="str">
        <f t="shared" si="14"/>
        <v>N</v>
      </c>
      <c r="AK113" s="50" t="str">
        <f t="shared" si="15"/>
        <v>Win</v>
      </c>
      <c r="AL113" s="50" t="str">
        <f t="shared" si="16"/>
        <v>Loss</v>
      </c>
      <c r="AM113" s="50" t="str">
        <f t="shared" si="17"/>
        <v>Loss</v>
      </c>
      <c r="AN113" s="50">
        <f t="shared" si="18"/>
        <v>50</v>
      </c>
      <c r="AO113" s="50">
        <f t="shared" si="19"/>
        <v>-50</v>
      </c>
      <c r="AP113" s="50">
        <f t="shared" si="20"/>
        <v>-50</v>
      </c>
    </row>
    <row r="114" spans="1:42" x14ac:dyDescent="0.25">
      <c r="A114" s="63">
        <v>43624</v>
      </c>
      <c r="B114" s="64" t="s">
        <v>456</v>
      </c>
      <c r="C114" s="64" t="s">
        <v>457</v>
      </c>
      <c r="D114" s="64" t="s">
        <v>467</v>
      </c>
      <c r="E114" s="64" t="s">
        <v>468</v>
      </c>
      <c r="F114" s="64" t="s">
        <v>469</v>
      </c>
      <c r="G114" s="64">
        <v>2</v>
      </c>
      <c r="H114" s="64">
        <v>1</v>
      </c>
      <c r="I114" s="64">
        <v>1.17</v>
      </c>
      <c r="J114" s="64">
        <v>6.54</v>
      </c>
      <c r="K114" s="64">
        <v>10.11</v>
      </c>
      <c r="L114" s="64">
        <v>-8.94</v>
      </c>
      <c r="M114" s="64">
        <v>27</v>
      </c>
      <c r="N114" s="64">
        <v>27</v>
      </c>
      <c r="O114" s="64">
        <v>1</v>
      </c>
      <c r="P114" s="64">
        <v>12</v>
      </c>
      <c r="Q114" s="64">
        <v>12</v>
      </c>
      <c r="R114" s="64">
        <v>100</v>
      </c>
      <c r="S114" s="64">
        <v>0</v>
      </c>
      <c r="T114" s="64">
        <v>0</v>
      </c>
      <c r="U114" s="64">
        <v>74.069999999999993</v>
      </c>
      <c r="V114" s="64">
        <v>18.52</v>
      </c>
      <c r="W114" s="64">
        <v>7.41</v>
      </c>
      <c r="X114" s="64">
        <v>40.74</v>
      </c>
      <c r="Y114" s="64">
        <v>3.7</v>
      </c>
      <c r="Z114" s="64">
        <v>55.56</v>
      </c>
      <c r="AA114" s="64">
        <v>91.67</v>
      </c>
      <c r="AB114" s="64">
        <v>25</v>
      </c>
      <c r="AC114" s="64">
        <v>25</v>
      </c>
      <c r="AD114" s="64">
        <v>11</v>
      </c>
      <c r="AE114" s="64">
        <v>76</v>
      </c>
      <c r="AF114" s="64">
        <v>54.55</v>
      </c>
      <c r="AG114" s="51">
        <f t="shared" si="11"/>
        <v>47.777999999999999</v>
      </c>
      <c r="AH114" s="52">
        <f t="shared" si="12"/>
        <v>-47.777999999999999</v>
      </c>
      <c r="AI114" s="52" t="str">
        <f t="shared" si="13"/>
        <v>Y</v>
      </c>
      <c r="AJ114" s="52" t="str">
        <f t="shared" si="14"/>
        <v>N</v>
      </c>
      <c r="AK114" s="50" t="str">
        <f t="shared" si="15"/>
        <v>Win</v>
      </c>
      <c r="AL114" s="50" t="str">
        <f t="shared" si="16"/>
        <v>Loss</v>
      </c>
      <c r="AM114" s="50" t="str">
        <f t="shared" si="17"/>
        <v>Loss</v>
      </c>
      <c r="AN114" s="50">
        <f t="shared" si="18"/>
        <v>8.5</v>
      </c>
      <c r="AO114" s="50">
        <f t="shared" si="19"/>
        <v>-50</v>
      </c>
      <c r="AP114" s="50">
        <f t="shared" si="20"/>
        <v>-50</v>
      </c>
    </row>
    <row r="115" spans="1:42" x14ac:dyDescent="0.25">
      <c r="A115" s="63">
        <v>43624</v>
      </c>
      <c r="B115" s="64" t="s">
        <v>456</v>
      </c>
      <c r="C115" s="64" t="s">
        <v>457</v>
      </c>
      <c r="D115" s="64" t="s">
        <v>470</v>
      </c>
      <c r="E115" s="64" t="s">
        <v>471</v>
      </c>
      <c r="F115" s="64" t="s">
        <v>472</v>
      </c>
      <c r="G115" s="64">
        <v>2</v>
      </c>
      <c r="H115" s="64">
        <v>2</v>
      </c>
      <c r="I115" s="64">
        <v>2.0099999999999998</v>
      </c>
      <c r="J115" s="64">
        <v>3.43</v>
      </c>
      <c r="K115" s="64">
        <v>3.26</v>
      </c>
      <c r="L115" s="64">
        <v>-1.25</v>
      </c>
      <c r="M115" s="64">
        <v>27</v>
      </c>
      <c r="N115" s="64">
        <v>28</v>
      </c>
      <c r="O115" s="64">
        <v>1</v>
      </c>
      <c r="P115" s="64">
        <v>12</v>
      </c>
      <c r="Q115" s="64">
        <v>13</v>
      </c>
      <c r="R115" s="64">
        <v>0</v>
      </c>
      <c r="S115" s="64">
        <v>0</v>
      </c>
      <c r="T115" s="64">
        <v>100</v>
      </c>
      <c r="U115" s="64">
        <v>25.93</v>
      </c>
      <c r="V115" s="64">
        <v>22.22</v>
      </c>
      <c r="W115" s="64">
        <v>51.85</v>
      </c>
      <c r="X115" s="64">
        <v>32.14</v>
      </c>
      <c r="Y115" s="64">
        <v>7.14</v>
      </c>
      <c r="Z115" s="64">
        <v>60.71</v>
      </c>
      <c r="AA115" s="64">
        <v>33.33</v>
      </c>
      <c r="AB115" s="64">
        <v>15.38</v>
      </c>
      <c r="AC115" s="64">
        <v>10</v>
      </c>
      <c r="AD115" s="64">
        <v>13</v>
      </c>
      <c r="AE115" s="64">
        <v>30</v>
      </c>
      <c r="AF115" s="64">
        <v>46.15</v>
      </c>
      <c r="AG115" s="51">
        <f t="shared" si="11"/>
        <v>-27.961999999999996</v>
      </c>
      <c r="AH115" s="52">
        <f t="shared" si="12"/>
        <v>27.961999999999996</v>
      </c>
      <c r="AI115" s="52" t="str">
        <f t="shared" si="13"/>
        <v>N</v>
      </c>
      <c r="AJ115" s="52" t="str">
        <f t="shared" si="14"/>
        <v>N</v>
      </c>
      <c r="AK115" s="50" t="str">
        <f t="shared" si="15"/>
        <v>Loss</v>
      </c>
      <c r="AL115" s="50" t="str">
        <f t="shared" si="16"/>
        <v>Win</v>
      </c>
      <c r="AM115" s="50" t="str">
        <f t="shared" si="17"/>
        <v>Loss</v>
      </c>
      <c r="AN115" s="50">
        <f t="shared" si="18"/>
        <v>-50</v>
      </c>
      <c r="AO115" s="50">
        <f t="shared" si="19"/>
        <v>121.5</v>
      </c>
      <c r="AP115" s="50">
        <f t="shared" si="20"/>
        <v>-50</v>
      </c>
    </row>
    <row r="116" spans="1:42" x14ac:dyDescent="0.25">
      <c r="A116" s="63">
        <v>43624</v>
      </c>
      <c r="B116" s="64" t="s">
        <v>456</v>
      </c>
      <c r="C116" s="64" t="s">
        <v>457</v>
      </c>
      <c r="D116" s="64" t="s">
        <v>473</v>
      </c>
      <c r="E116" s="64" t="s">
        <v>474</v>
      </c>
      <c r="F116" s="64" t="s">
        <v>475</v>
      </c>
      <c r="G116" s="64">
        <v>1</v>
      </c>
      <c r="H116" s="64">
        <v>7</v>
      </c>
      <c r="I116" s="64">
        <v>12.7</v>
      </c>
      <c r="J116" s="64">
        <v>7.65</v>
      </c>
      <c r="K116" s="64">
        <v>1.1000000000000001</v>
      </c>
      <c r="L116" s="64">
        <v>11.6</v>
      </c>
      <c r="M116" s="64">
        <v>27</v>
      </c>
      <c r="N116" s="64">
        <v>29</v>
      </c>
      <c r="O116" s="64">
        <v>1</v>
      </c>
      <c r="P116" s="64">
        <v>12</v>
      </c>
      <c r="Q116" s="64">
        <v>14</v>
      </c>
      <c r="R116" s="64">
        <v>0</v>
      </c>
      <c r="S116" s="64">
        <v>0</v>
      </c>
      <c r="T116" s="64">
        <v>100</v>
      </c>
      <c r="U116" s="64">
        <v>3.7</v>
      </c>
      <c r="V116" s="64">
        <v>3.7</v>
      </c>
      <c r="W116" s="64">
        <v>92.59</v>
      </c>
      <c r="X116" s="64">
        <v>68.97</v>
      </c>
      <c r="Y116" s="64">
        <v>13.79</v>
      </c>
      <c r="Z116" s="64">
        <v>17.239999999999998</v>
      </c>
      <c r="AA116" s="64">
        <v>0</v>
      </c>
      <c r="AB116" s="64">
        <v>64.290000000000006</v>
      </c>
      <c r="AC116" s="64">
        <v>0</v>
      </c>
      <c r="AD116" s="64">
        <v>27</v>
      </c>
      <c r="AE116" s="64">
        <v>0</v>
      </c>
      <c r="AF116" s="64">
        <v>74.069999999999993</v>
      </c>
      <c r="AG116" s="51">
        <f t="shared" si="11"/>
        <v>-59.132999999999996</v>
      </c>
      <c r="AH116" s="52">
        <f t="shared" si="12"/>
        <v>59.132999999999996</v>
      </c>
      <c r="AI116" s="52" t="str">
        <f t="shared" si="13"/>
        <v>N</v>
      </c>
      <c r="AJ116" s="52" t="str">
        <f t="shared" si="14"/>
        <v>Y</v>
      </c>
      <c r="AK116" s="50" t="str">
        <f t="shared" si="15"/>
        <v>Loss</v>
      </c>
      <c r="AL116" s="50" t="str">
        <f t="shared" si="16"/>
        <v>Loss</v>
      </c>
      <c r="AM116" s="50" t="str">
        <f t="shared" si="17"/>
        <v>Win</v>
      </c>
      <c r="AN116" s="50">
        <f t="shared" si="18"/>
        <v>-50</v>
      </c>
      <c r="AO116" s="50">
        <f t="shared" si="19"/>
        <v>-50</v>
      </c>
      <c r="AP116" s="50">
        <f t="shared" si="20"/>
        <v>5.0000000000000071</v>
      </c>
    </row>
    <row r="117" spans="1:42" x14ac:dyDescent="0.25">
      <c r="A117" s="63">
        <v>43624</v>
      </c>
      <c r="B117" s="64" t="s">
        <v>456</v>
      </c>
      <c r="C117" s="64" t="s">
        <v>457</v>
      </c>
      <c r="D117" s="64" t="s">
        <v>476</v>
      </c>
      <c r="E117" s="64" t="s">
        <v>477</v>
      </c>
      <c r="F117" s="64" t="s">
        <v>478</v>
      </c>
      <c r="G117" s="64">
        <v>6</v>
      </c>
      <c r="H117" s="64">
        <v>2</v>
      </c>
      <c r="I117" s="64">
        <v>1.67</v>
      </c>
      <c r="J117" s="64">
        <v>3.94</v>
      </c>
      <c r="K117" s="64">
        <v>3.89</v>
      </c>
      <c r="L117" s="64">
        <v>-2.2200000000000002</v>
      </c>
      <c r="M117" s="64">
        <v>29</v>
      </c>
      <c r="N117" s="64">
        <v>29</v>
      </c>
      <c r="O117" s="64">
        <v>1</v>
      </c>
      <c r="P117" s="64">
        <v>14</v>
      </c>
      <c r="Q117" s="64">
        <v>13</v>
      </c>
      <c r="R117" s="64">
        <v>100</v>
      </c>
      <c r="S117" s="64">
        <v>0</v>
      </c>
      <c r="T117" s="64">
        <v>0</v>
      </c>
      <c r="U117" s="64">
        <v>37.93</v>
      </c>
      <c r="V117" s="64">
        <v>17.239999999999998</v>
      </c>
      <c r="W117" s="64">
        <v>44.83</v>
      </c>
      <c r="X117" s="64">
        <v>37.93</v>
      </c>
      <c r="Y117" s="64">
        <v>6.9</v>
      </c>
      <c r="Z117" s="64">
        <v>55.17</v>
      </c>
      <c r="AA117" s="64">
        <v>42.86</v>
      </c>
      <c r="AB117" s="64">
        <v>30.77</v>
      </c>
      <c r="AC117" s="64">
        <v>11</v>
      </c>
      <c r="AD117" s="64">
        <v>6</v>
      </c>
      <c r="AE117" s="64">
        <v>54.55</v>
      </c>
      <c r="AF117" s="64">
        <v>50</v>
      </c>
      <c r="AG117" s="51">
        <f t="shared" si="11"/>
        <v>33.101999999999997</v>
      </c>
      <c r="AH117" s="52">
        <f t="shared" si="12"/>
        <v>-33.101999999999997</v>
      </c>
      <c r="AI117" s="52" t="str">
        <f t="shared" si="13"/>
        <v>N</v>
      </c>
      <c r="AJ117" s="52" t="str">
        <f t="shared" si="14"/>
        <v>N</v>
      </c>
      <c r="AK117" s="50" t="str">
        <f t="shared" si="15"/>
        <v>Win</v>
      </c>
      <c r="AL117" s="50" t="str">
        <f t="shared" si="16"/>
        <v>Loss</v>
      </c>
      <c r="AM117" s="50" t="str">
        <f t="shared" si="17"/>
        <v>Loss</v>
      </c>
      <c r="AN117" s="50">
        <f t="shared" si="18"/>
        <v>33.5</v>
      </c>
      <c r="AO117" s="50">
        <f t="shared" si="19"/>
        <v>-50</v>
      </c>
      <c r="AP117" s="50">
        <f t="shared" si="20"/>
        <v>-50</v>
      </c>
    </row>
    <row r="118" spans="1:42" x14ac:dyDescent="0.25">
      <c r="A118" s="63">
        <v>43624</v>
      </c>
      <c r="B118" s="64" t="s">
        <v>456</v>
      </c>
      <c r="C118" s="64" t="s">
        <v>457</v>
      </c>
      <c r="D118" s="64" t="s">
        <v>479</v>
      </c>
      <c r="E118" s="64" t="s">
        <v>480</v>
      </c>
      <c r="F118" s="64" t="s">
        <v>481</v>
      </c>
      <c r="G118" s="64">
        <v>3</v>
      </c>
      <c r="H118" s="64">
        <v>6</v>
      </c>
      <c r="I118" s="64">
        <v>1.52</v>
      </c>
      <c r="J118" s="64">
        <v>4.3600000000000003</v>
      </c>
      <c r="K118" s="64">
        <v>4.3</v>
      </c>
      <c r="L118" s="64">
        <v>-2.78</v>
      </c>
      <c r="M118" s="64">
        <v>27</v>
      </c>
      <c r="N118" s="64">
        <v>29</v>
      </c>
      <c r="O118" s="64">
        <v>1</v>
      </c>
      <c r="P118" s="64">
        <v>12</v>
      </c>
      <c r="Q118" s="64">
        <v>14</v>
      </c>
      <c r="R118" s="64">
        <v>100</v>
      </c>
      <c r="S118" s="64">
        <v>0</v>
      </c>
      <c r="T118" s="64">
        <v>0</v>
      </c>
      <c r="U118" s="64">
        <v>59.26</v>
      </c>
      <c r="V118" s="64">
        <v>18.52</v>
      </c>
      <c r="W118" s="64">
        <v>22.22</v>
      </c>
      <c r="X118" s="64">
        <v>31.03</v>
      </c>
      <c r="Y118" s="64">
        <v>27.59</v>
      </c>
      <c r="Z118" s="64">
        <v>41.38</v>
      </c>
      <c r="AA118" s="64">
        <v>66.67</v>
      </c>
      <c r="AB118" s="64">
        <v>7.14</v>
      </c>
      <c r="AC118" s="64">
        <v>19</v>
      </c>
      <c r="AD118" s="64">
        <v>16</v>
      </c>
      <c r="AE118" s="64">
        <v>68.42</v>
      </c>
      <c r="AF118" s="64">
        <v>50</v>
      </c>
      <c r="AG118" s="51">
        <f t="shared" si="11"/>
        <v>38.570999999999998</v>
      </c>
      <c r="AH118" s="52">
        <f t="shared" si="12"/>
        <v>-38.570999999999998</v>
      </c>
      <c r="AI118" s="52" t="str">
        <f t="shared" si="13"/>
        <v>N</v>
      </c>
      <c r="AJ118" s="52" t="str">
        <f t="shared" si="14"/>
        <v>N</v>
      </c>
      <c r="AK118" s="50" t="str">
        <f t="shared" si="15"/>
        <v>Loss</v>
      </c>
      <c r="AL118" s="50" t="str">
        <f t="shared" si="16"/>
        <v>Loss</v>
      </c>
      <c r="AM118" s="50" t="str">
        <f t="shared" si="17"/>
        <v>Win</v>
      </c>
      <c r="AN118" s="50">
        <f t="shared" si="18"/>
        <v>-50</v>
      </c>
      <c r="AO118" s="50">
        <f t="shared" si="19"/>
        <v>-50</v>
      </c>
      <c r="AP118" s="50">
        <f t="shared" si="20"/>
        <v>165</v>
      </c>
    </row>
    <row r="119" spans="1:42" x14ac:dyDescent="0.25">
      <c r="A119" s="63">
        <v>43624</v>
      </c>
      <c r="B119" s="64" t="s">
        <v>376</v>
      </c>
      <c r="C119" s="64" t="s">
        <v>482</v>
      </c>
      <c r="D119" s="64" t="s">
        <v>483</v>
      </c>
      <c r="E119" s="64" t="s">
        <v>484</v>
      </c>
      <c r="F119" s="64" t="s">
        <v>485</v>
      </c>
      <c r="G119" s="64">
        <v>1</v>
      </c>
      <c r="H119" s="64">
        <v>1</v>
      </c>
      <c r="I119" s="64">
        <v>2.68</v>
      </c>
      <c r="J119" s="64">
        <v>3.48</v>
      </c>
      <c r="K119" s="64">
        <v>2.34</v>
      </c>
      <c r="L119" s="64">
        <v>0.34</v>
      </c>
      <c r="M119" s="64">
        <v>30</v>
      </c>
      <c r="N119" s="64">
        <v>60</v>
      </c>
      <c r="O119" s="64">
        <v>0</v>
      </c>
      <c r="P119" s="64">
        <v>16</v>
      </c>
      <c r="Q119" s="64">
        <v>30</v>
      </c>
      <c r="R119" s="64">
        <v>0</v>
      </c>
      <c r="S119" s="64">
        <v>0</v>
      </c>
      <c r="T119" s="64">
        <v>0</v>
      </c>
      <c r="U119" s="64">
        <v>56.67</v>
      </c>
      <c r="V119" s="64">
        <v>16.670000000000002</v>
      </c>
      <c r="W119" s="64">
        <v>26.67</v>
      </c>
      <c r="X119" s="64">
        <v>51.67</v>
      </c>
      <c r="Y119" s="64">
        <v>16.670000000000002</v>
      </c>
      <c r="Z119" s="64">
        <v>31.67</v>
      </c>
      <c r="AA119" s="64">
        <v>68.75</v>
      </c>
      <c r="AB119" s="64">
        <v>46.67</v>
      </c>
      <c r="AC119" s="64">
        <v>20</v>
      </c>
      <c r="AD119" s="64">
        <v>28</v>
      </c>
      <c r="AE119" s="64">
        <v>75</v>
      </c>
      <c r="AF119" s="64">
        <v>60.71</v>
      </c>
      <c r="AG119" s="51">
        <f t="shared" si="11"/>
        <v>1.9999999999999991</v>
      </c>
      <c r="AH119" s="52">
        <f t="shared" si="12"/>
        <v>-1.9999999999999991</v>
      </c>
      <c r="AI119" s="52" t="str">
        <f t="shared" si="13"/>
        <v>N</v>
      </c>
      <c r="AJ119" s="52" t="str">
        <f t="shared" si="14"/>
        <v>N</v>
      </c>
      <c r="AK119" s="50" t="str">
        <f t="shared" si="15"/>
        <v>Loss</v>
      </c>
      <c r="AL119" s="50" t="str">
        <f t="shared" si="16"/>
        <v>Win</v>
      </c>
      <c r="AM119" s="50" t="str">
        <f t="shared" si="17"/>
        <v>Loss</v>
      </c>
      <c r="AN119" s="50">
        <f t="shared" si="18"/>
        <v>-50</v>
      </c>
      <c r="AO119" s="50">
        <f t="shared" si="19"/>
        <v>124</v>
      </c>
      <c r="AP119" s="50">
        <f t="shared" si="20"/>
        <v>-50</v>
      </c>
    </row>
    <row r="120" spans="1:42" x14ac:dyDescent="0.25">
      <c r="A120" s="63">
        <v>43624</v>
      </c>
      <c r="B120" s="64" t="s">
        <v>376</v>
      </c>
      <c r="C120" s="64" t="s">
        <v>407</v>
      </c>
      <c r="D120" s="64" t="s">
        <v>486</v>
      </c>
      <c r="E120" s="64" t="s">
        <v>487</v>
      </c>
      <c r="F120" s="64" t="s">
        <v>488</v>
      </c>
      <c r="G120" s="64">
        <v>2</v>
      </c>
      <c r="H120" s="64">
        <v>2</v>
      </c>
      <c r="I120" s="64">
        <v>1.4</v>
      </c>
      <c r="J120" s="64">
        <v>4.9000000000000004</v>
      </c>
      <c r="K120" s="64">
        <v>5.49</v>
      </c>
      <c r="L120" s="64">
        <v>-4.09</v>
      </c>
      <c r="M120" s="64">
        <v>64</v>
      </c>
      <c r="N120" s="64">
        <v>33</v>
      </c>
      <c r="O120" s="64">
        <v>0</v>
      </c>
      <c r="P120" s="64">
        <v>32</v>
      </c>
      <c r="Q120" s="64">
        <v>17</v>
      </c>
      <c r="R120" s="64">
        <v>0</v>
      </c>
      <c r="S120" s="64">
        <v>0</v>
      </c>
      <c r="T120" s="64">
        <v>0</v>
      </c>
      <c r="U120" s="64">
        <v>53.13</v>
      </c>
      <c r="V120" s="64">
        <v>12.5</v>
      </c>
      <c r="W120" s="64">
        <v>34.380000000000003</v>
      </c>
      <c r="X120" s="64">
        <v>42.42</v>
      </c>
      <c r="Y120" s="64">
        <v>18.18</v>
      </c>
      <c r="Z120" s="64">
        <v>39.39</v>
      </c>
      <c r="AA120" s="64">
        <v>56.25</v>
      </c>
      <c r="AB120" s="64">
        <v>29.41</v>
      </c>
      <c r="AC120" s="64">
        <v>40</v>
      </c>
      <c r="AD120" s="64">
        <v>17</v>
      </c>
      <c r="AE120" s="64">
        <v>67.5</v>
      </c>
      <c r="AF120" s="64">
        <v>58.82</v>
      </c>
      <c r="AG120" s="51">
        <f t="shared" si="11"/>
        <v>2.5760000000000005</v>
      </c>
      <c r="AH120" s="52">
        <f t="shared" si="12"/>
        <v>-2.5760000000000005</v>
      </c>
      <c r="AI120" s="52" t="str">
        <f t="shared" si="13"/>
        <v>N</v>
      </c>
      <c r="AJ120" s="52" t="str">
        <f t="shared" si="14"/>
        <v>N</v>
      </c>
      <c r="AK120" s="50" t="str">
        <f t="shared" si="15"/>
        <v>Loss</v>
      </c>
      <c r="AL120" s="50" t="str">
        <f t="shared" si="16"/>
        <v>Win</v>
      </c>
      <c r="AM120" s="50" t="str">
        <f t="shared" si="17"/>
        <v>Loss</v>
      </c>
      <c r="AN120" s="50">
        <f t="shared" si="18"/>
        <v>-50</v>
      </c>
      <c r="AO120" s="50">
        <f t="shared" si="19"/>
        <v>195.00000000000003</v>
      </c>
      <c r="AP120" s="50">
        <f t="shared" si="20"/>
        <v>-50</v>
      </c>
    </row>
    <row r="121" spans="1:42" x14ac:dyDescent="0.25">
      <c r="A121" s="63">
        <v>43624</v>
      </c>
      <c r="B121" s="64" t="s">
        <v>376</v>
      </c>
      <c r="C121" s="64" t="s">
        <v>411</v>
      </c>
      <c r="D121" s="64" t="s">
        <v>489</v>
      </c>
      <c r="E121" s="64" t="s">
        <v>490</v>
      </c>
      <c r="F121" s="64" t="s">
        <v>491</v>
      </c>
      <c r="G121" s="64">
        <v>3</v>
      </c>
      <c r="H121" s="64">
        <v>6</v>
      </c>
      <c r="I121" s="64">
        <v>1.53</v>
      </c>
      <c r="J121" s="64">
        <v>4.57</v>
      </c>
      <c r="K121" s="64">
        <v>4.43</v>
      </c>
      <c r="L121" s="64">
        <v>-2.9</v>
      </c>
      <c r="M121" s="64">
        <v>34</v>
      </c>
      <c r="N121" s="64">
        <v>8</v>
      </c>
      <c r="O121" s="64">
        <v>0</v>
      </c>
      <c r="P121" s="64">
        <v>18</v>
      </c>
      <c r="Q121" s="64">
        <v>4</v>
      </c>
      <c r="R121" s="64">
        <v>0</v>
      </c>
      <c r="S121" s="64">
        <v>0</v>
      </c>
      <c r="T121" s="64">
        <v>0</v>
      </c>
      <c r="U121" s="64">
        <v>50</v>
      </c>
      <c r="V121" s="64">
        <v>11.76</v>
      </c>
      <c r="W121" s="64">
        <v>38.24</v>
      </c>
      <c r="X121" s="64">
        <v>37.5</v>
      </c>
      <c r="Y121" s="64">
        <v>25</v>
      </c>
      <c r="Z121" s="64">
        <v>37.5</v>
      </c>
      <c r="AA121" s="64">
        <v>61.11</v>
      </c>
      <c r="AB121" s="64">
        <v>25</v>
      </c>
      <c r="AC121" s="64">
        <v>19</v>
      </c>
      <c r="AD121" s="64">
        <v>2</v>
      </c>
      <c r="AE121" s="64">
        <v>68.42</v>
      </c>
      <c r="AF121" s="64">
        <v>100</v>
      </c>
      <c r="AG121" s="51">
        <f t="shared" si="11"/>
        <v>1.0279999999999996</v>
      </c>
      <c r="AH121" s="52">
        <f t="shared" si="12"/>
        <v>-1.0279999999999996</v>
      </c>
      <c r="AI121" s="52" t="str">
        <f t="shared" si="13"/>
        <v>N</v>
      </c>
      <c r="AJ121" s="52" t="str">
        <f t="shared" si="14"/>
        <v>N</v>
      </c>
      <c r="AK121" s="50" t="str">
        <f t="shared" si="15"/>
        <v>Loss</v>
      </c>
      <c r="AL121" s="50" t="str">
        <f t="shared" si="16"/>
        <v>Loss</v>
      </c>
      <c r="AM121" s="50" t="str">
        <f t="shared" si="17"/>
        <v>Win</v>
      </c>
      <c r="AN121" s="50">
        <f t="shared" si="18"/>
        <v>-50</v>
      </c>
      <c r="AO121" s="50">
        <f t="shared" si="19"/>
        <v>-50</v>
      </c>
      <c r="AP121" s="50">
        <f t="shared" si="20"/>
        <v>171.5</v>
      </c>
    </row>
    <row r="122" spans="1:42" x14ac:dyDescent="0.25">
      <c r="A122" s="63">
        <v>43624</v>
      </c>
      <c r="B122" s="64" t="s">
        <v>342</v>
      </c>
      <c r="C122" s="64" t="s">
        <v>492</v>
      </c>
      <c r="D122" s="64" t="s">
        <v>493</v>
      </c>
      <c r="E122" s="64" t="s">
        <v>494</v>
      </c>
      <c r="F122" s="64" t="s">
        <v>495</v>
      </c>
      <c r="G122" s="64">
        <v>1</v>
      </c>
      <c r="H122" s="64">
        <v>1</v>
      </c>
      <c r="I122" s="64">
        <v>1.96</v>
      </c>
      <c r="J122" s="64">
        <v>3.58</v>
      </c>
      <c r="K122" s="64">
        <v>3.1</v>
      </c>
      <c r="L122" s="64">
        <v>-1.1399999999999999</v>
      </c>
      <c r="M122" s="64">
        <v>26</v>
      </c>
      <c r="N122" s="64">
        <v>29</v>
      </c>
      <c r="O122" s="64">
        <v>1</v>
      </c>
      <c r="P122" s="64">
        <v>13</v>
      </c>
      <c r="Q122" s="64">
        <v>12</v>
      </c>
      <c r="R122" s="64">
        <v>0</v>
      </c>
      <c r="S122" s="64">
        <v>100</v>
      </c>
      <c r="T122" s="64">
        <v>0</v>
      </c>
      <c r="U122" s="64">
        <v>38.46</v>
      </c>
      <c r="V122" s="64">
        <v>30.77</v>
      </c>
      <c r="W122" s="64">
        <v>30.77</v>
      </c>
      <c r="X122" s="64">
        <v>31.03</v>
      </c>
      <c r="Y122" s="64">
        <v>34.479999999999997</v>
      </c>
      <c r="Z122" s="64">
        <v>34.479999999999997</v>
      </c>
      <c r="AA122" s="64">
        <v>61.54</v>
      </c>
      <c r="AB122" s="64">
        <v>33.33</v>
      </c>
      <c r="AC122" s="64">
        <v>8</v>
      </c>
      <c r="AD122" s="64">
        <v>17</v>
      </c>
      <c r="AE122" s="64">
        <v>37.5</v>
      </c>
      <c r="AF122" s="64">
        <v>35.29</v>
      </c>
      <c r="AG122" s="51">
        <f t="shared" si="11"/>
        <v>11.856999999999999</v>
      </c>
      <c r="AH122" s="52">
        <f t="shared" si="12"/>
        <v>8.1430000000000007</v>
      </c>
      <c r="AI122" s="52" t="str">
        <f t="shared" si="13"/>
        <v>N</v>
      </c>
      <c r="AJ122" s="52" t="str">
        <f t="shared" si="14"/>
        <v>N</v>
      </c>
      <c r="AK122" s="50" t="str">
        <f t="shared" si="15"/>
        <v>Loss</v>
      </c>
      <c r="AL122" s="50" t="str">
        <f t="shared" si="16"/>
        <v>Win</v>
      </c>
      <c r="AM122" s="50" t="str">
        <f t="shared" si="17"/>
        <v>Loss</v>
      </c>
      <c r="AN122" s="50">
        <f t="shared" si="18"/>
        <v>-50</v>
      </c>
      <c r="AO122" s="50">
        <f t="shared" si="19"/>
        <v>129</v>
      </c>
      <c r="AP122" s="50">
        <f t="shared" si="20"/>
        <v>-50</v>
      </c>
    </row>
    <row r="123" spans="1:42" x14ac:dyDescent="0.25">
      <c r="A123" s="63">
        <v>43624</v>
      </c>
      <c r="B123" s="64" t="s">
        <v>496</v>
      </c>
      <c r="C123" s="64" t="s">
        <v>497</v>
      </c>
      <c r="D123" s="64" t="s">
        <v>498</v>
      </c>
      <c r="E123" s="64" t="s">
        <v>499</v>
      </c>
      <c r="F123" s="64" t="s">
        <v>500</v>
      </c>
      <c r="G123" s="64">
        <v>2</v>
      </c>
      <c r="H123" s="64">
        <v>2</v>
      </c>
      <c r="I123" s="64">
        <v>2.14</v>
      </c>
      <c r="J123" s="64">
        <v>3.5</v>
      </c>
      <c r="K123" s="64">
        <v>3.01</v>
      </c>
      <c r="L123" s="64">
        <v>-0.87</v>
      </c>
      <c r="M123" s="64">
        <v>3</v>
      </c>
      <c r="N123" s="64">
        <v>6</v>
      </c>
      <c r="O123" s="64">
        <v>1</v>
      </c>
      <c r="P123" s="64">
        <v>1</v>
      </c>
      <c r="Q123" s="64">
        <v>3</v>
      </c>
      <c r="R123" s="64">
        <v>0</v>
      </c>
      <c r="S123" s="64">
        <v>0</v>
      </c>
      <c r="T123" s="64">
        <v>100</v>
      </c>
      <c r="U123" s="64">
        <v>0</v>
      </c>
      <c r="V123" s="64">
        <v>66.67</v>
      </c>
      <c r="W123" s="64">
        <v>33.33</v>
      </c>
      <c r="X123" s="64">
        <v>33.33</v>
      </c>
      <c r="Y123" s="64">
        <v>16.670000000000002</v>
      </c>
      <c r="Z123" s="64">
        <v>50</v>
      </c>
      <c r="AA123" s="64">
        <v>0</v>
      </c>
      <c r="AB123" s="64">
        <v>33.33</v>
      </c>
      <c r="AC123" s="64">
        <v>2</v>
      </c>
      <c r="AD123" s="64">
        <v>2</v>
      </c>
      <c r="AE123" s="64">
        <v>0</v>
      </c>
      <c r="AF123" s="64">
        <v>50</v>
      </c>
      <c r="AG123" s="51">
        <f t="shared" si="11"/>
        <v>-28.332000000000001</v>
      </c>
      <c r="AH123" s="52">
        <f t="shared" si="12"/>
        <v>28.332000000000001</v>
      </c>
      <c r="AI123" s="52" t="str">
        <f t="shared" si="13"/>
        <v>N</v>
      </c>
      <c r="AJ123" s="52" t="str">
        <f t="shared" si="14"/>
        <v>N</v>
      </c>
      <c r="AK123" s="50" t="str">
        <f t="shared" si="15"/>
        <v>Loss</v>
      </c>
      <c r="AL123" s="50" t="str">
        <f t="shared" si="16"/>
        <v>Win</v>
      </c>
      <c r="AM123" s="50" t="str">
        <f t="shared" si="17"/>
        <v>Loss</v>
      </c>
      <c r="AN123" s="50">
        <f t="shared" si="18"/>
        <v>-50</v>
      </c>
      <c r="AO123" s="50">
        <f t="shared" si="19"/>
        <v>125</v>
      </c>
      <c r="AP123" s="50">
        <f t="shared" si="20"/>
        <v>-50</v>
      </c>
    </row>
    <row r="124" spans="1:42" x14ac:dyDescent="0.25">
      <c r="A124" s="63">
        <v>43624</v>
      </c>
      <c r="B124" s="64" t="s">
        <v>364</v>
      </c>
      <c r="C124" s="64" t="s">
        <v>443</v>
      </c>
      <c r="D124" s="64" t="s">
        <v>501</v>
      </c>
      <c r="E124" s="64" t="s">
        <v>502</v>
      </c>
      <c r="F124" s="64" t="s">
        <v>503</v>
      </c>
      <c r="G124" s="64">
        <v>3</v>
      </c>
      <c r="H124" s="64">
        <v>2</v>
      </c>
      <c r="I124" s="64">
        <v>4.74</v>
      </c>
      <c r="J124" s="64">
        <v>4.38</v>
      </c>
      <c r="K124" s="64">
        <v>1.5</v>
      </c>
      <c r="L124" s="64">
        <v>3.24</v>
      </c>
      <c r="M124" s="64">
        <v>36</v>
      </c>
      <c r="N124" s="64">
        <v>11</v>
      </c>
      <c r="O124" s="64">
        <v>0</v>
      </c>
      <c r="P124" s="64">
        <v>18</v>
      </c>
      <c r="Q124" s="64">
        <v>5</v>
      </c>
      <c r="R124" s="64">
        <v>0</v>
      </c>
      <c r="S124" s="64">
        <v>0</v>
      </c>
      <c r="T124" s="64">
        <v>0</v>
      </c>
      <c r="U124" s="64">
        <v>22.22</v>
      </c>
      <c r="V124" s="64">
        <v>16.670000000000002</v>
      </c>
      <c r="W124" s="64">
        <v>61.11</v>
      </c>
      <c r="X124" s="64">
        <v>36.36</v>
      </c>
      <c r="Y124" s="64">
        <v>45.45</v>
      </c>
      <c r="Z124" s="64">
        <v>18.18</v>
      </c>
      <c r="AA124" s="64">
        <v>27.78</v>
      </c>
      <c r="AB124" s="64">
        <v>40</v>
      </c>
      <c r="AC124" s="64">
        <v>10</v>
      </c>
      <c r="AD124" s="64">
        <v>4</v>
      </c>
      <c r="AE124" s="64">
        <v>40</v>
      </c>
      <c r="AF124" s="64">
        <v>25</v>
      </c>
      <c r="AG124" s="51">
        <f t="shared" si="11"/>
        <v>-14.292000000000002</v>
      </c>
      <c r="AH124" s="52">
        <f t="shared" si="12"/>
        <v>14.292000000000002</v>
      </c>
      <c r="AI124" s="52" t="str">
        <f t="shared" si="13"/>
        <v>N</v>
      </c>
      <c r="AJ124" s="52" t="str">
        <f t="shared" si="14"/>
        <v>N</v>
      </c>
      <c r="AK124" s="50" t="str">
        <f t="shared" si="15"/>
        <v>Win</v>
      </c>
      <c r="AL124" s="50" t="str">
        <f t="shared" si="16"/>
        <v>Loss</v>
      </c>
      <c r="AM124" s="50" t="str">
        <f t="shared" si="17"/>
        <v>Loss</v>
      </c>
      <c r="AN124" s="50">
        <f t="shared" si="18"/>
        <v>187</v>
      </c>
      <c r="AO124" s="50">
        <f t="shared" si="19"/>
        <v>-50</v>
      </c>
      <c r="AP124" s="50">
        <f t="shared" si="20"/>
        <v>-50</v>
      </c>
    </row>
    <row r="125" spans="1:42" x14ac:dyDescent="0.25">
      <c r="A125" s="63">
        <v>43624</v>
      </c>
      <c r="B125" s="64" t="s">
        <v>364</v>
      </c>
      <c r="C125" s="64" t="s">
        <v>504</v>
      </c>
      <c r="D125" s="64" t="s">
        <v>505</v>
      </c>
      <c r="E125" s="64" t="s">
        <v>506</v>
      </c>
      <c r="F125" s="64" t="s">
        <v>507</v>
      </c>
      <c r="G125" s="64">
        <v>0</v>
      </c>
      <c r="H125" s="64">
        <v>3</v>
      </c>
      <c r="I125" s="64">
        <v>2.89</v>
      </c>
      <c r="J125" s="64">
        <v>3.71</v>
      </c>
      <c r="K125" s="64">
        <v>2</v>
      </c>
      <c r="L125" s="64">
        <v>0.89</v>
      </c>
      <c r="M125" s="64">
        <v>35</v>
      </c>
      <c r="N125" s="64">
        <v>37</v>
      </c>
      <c r="O125" s="64">
        <v>2</v>
      </c>
      <c r="P125" s="64">
        <v>17</v>
      </c>
      <c r="Q125" s="64">
        <v>18</v>
      </c>
      <c r="R125" s="64">
        <v>100</v>
      </c>
      <c r="S125" s="64">
        <v>0</v>
      </c>
      <c r="T125" s="64">
        <v>0</v>
      </c>
      <c r="U125" s="64">
        <v>28.57</v>
      </c>
      <c r="V125" s="64">
        <v>22.86</v>
      </c>
      <c r="W125" s="64">
        <v>48.57</v>
      </c>
      <c r="X125" s="64">
        <v>32.43</v>
      </c>
      <c r="Y125" s="64">
        <v>24.32</v>
      </c>
      <c r="Z125" s="64">
        <v>43.24</v>
      </c>
      <c r="AA125" s="64">
        <v>35.29</v>
      </c>
      <c r="AB125" s="64">
        <v>33.33</v>
      </c>
      <c r="AC125" s="64">
        <v>12</v>
      </c>
      <c r="AD125" s="64">
        <v>15</v>
      </c>
      <c r="AE125" s="64">
        <v>41.67</v>
      </c>
      <c r="AF125" s="64">
        <v>46.67</v>
      </c>
      <c r="AG125" s="51">
        <f t="shared" si="11"/>
        <v>28.016000000000005</v>
      </c>
      <c r="AH125" s="52">
        <f t="shared" si="12"/>
        <v>-28.016000000000005</v>
      </c>
      <c r="AI125" s="52" t="str">
        <f t="shared" si="13"/>
        <v>N</v>
      </c>
      <c r="AJ125" s="52" t="str">
        <f t="shared" si="14"/>
        <v>N</v>
      </c>
      <c r="AK125" s="50" t="str">
        <f t="shared" si="15"/>
        <v>Loss</v>
      </c>
      <c r="AL125" s="50" t="str">
        <f t="shared" si="16"/>
        <v>Loss</v>
      </c>
      <c r="AM125" s="50" t="str">
        <f t="shared" si="17"/>
        <v>Win</v>
      </c>
      <c r="AN125" s="50">
        <f t="shared" si="18"/>
        <v>-50</v>
      </c>
      <c r="AO125" s="50">
        <f t="shared" si="19"/>
        <v>-50</v>
      </c>
      <c r="AP125" s="50">
        <f t="shared" si="20"/>
        <v>50</v>
      </c>
    </row>
    <row r="126" spans="1:42" x14ac:dyDescent="0.25">
      <c r="A126" s="63">
        <v>43624</v>
      </c>
      <c r="B126" s="64" t="s">
        <v>364</v>
      </c>
      <c r="C126" s="64" t="s">
        <v>504</v>
      </c>
      <c r="D126" s="64" t="s">
        <v>508</v>
      </c>
      <c r="E126" s="64" t="s">
        <v>509</v>
      </c>
      <c r="F126" s="64" t="s">
        <v>510</v>
      </c>
      <c r="G126" s="64">
        <v>0</v>
      </c>
      <c r="H126" s="64">
        <v>1</v>
      </c>
      <c r="I126" s="64">
        <v>1.48</v>
      </c>
      <c r="J126" s="64">
        <v>4.37</v>
      </c>
      <c r="K126" s="64">
        <v>4.76</v>
      </c>
      <c r="L126" s="64">
        <v>-3.28</v>
      </c>
      <c r="M126" s="64">
        <v>36</v>
      </c>
      <c r="N126" s="64">
        <v>35</v>
      </c>
      <c r="O126" s="64">
        <v>2</v>
      </c>
      <c r="P126" s="64">
        <v>18</v>
      </c>
      <c r="Q126" s="64">
        <v>17</v>
      </c>
      <c r="R126" s="64">
        <v>50</v>
      </c>
      <c r="S126" s="64">
        <v>0</v>
      </c>
      <c r="T126" s="64">
        <v>50</v>
      </c>
      <c r="U126" s="64">
        <v>44.44</v>
      </c>
      <c r="V126" s="64">
        <v>11.11</v>
      </c>
      <c r="W126" s="64">
        <v>44.44</v>
      </c>
      <c r="X126" s="64">
        <v>22.86</v>
      </c>
      <c r="Y126" s="64">
        <v>28.57</v>
      </c>
      <c r="Z126" s="64">
        <v>48.57</v>
      </c>
      <c r="AA126" s="64">
        <v>50</v>
      </c>
      <c r="AB126" s="64">
        <v>17.649999999999999</v>
      </c>
      <c r="AC126" s="64">
        <v>19</v>
      </c>
      <c r="AD126" s="64">
        <v>11</v>
      </c>
      <c r="AE126" s="64">
        <v>63.16</v>
      </c>
      <c r="AF126" s="64">
        <v>45.45</v>
      </c>
      <c r="AG126" s="51">
        <f t="shared" si="11"/>
        <v>3.3960000000000008</v>
      </c>
      <c r="AH126" s="52">
        <f t="shared" si="12"/>
        <v>-3.3960000000000008</v>
      </c>
      <c r="AI126" s="52" t="str">
        <f t="shared" si="13"/>
        <v>N</v>
      </c>
      <c r="AJ126" s="52" t="str">
        <f t="shared" si="14"/>
        <v>N</v>
      </c>
      <c r="AK126" s="50" t="str">
        <f t="shared" si="15"/>
        <v>Loss</v>
      </c>
      <c r="AL126" s="50" t="str">
        <f t="shared" si="16"/>
        <v>Loss</v>
      </c>
      <c r="AM126" s="50" t="str">
        <f t="shared" si="17"/>
        <v>Win</v>
      </c>
      <c r="AN126" s="50">
        <f t="shared" si="18"/>
        <v>-50</v>
      </c>
      <c r="AO126" s="50">
        <f t="shared" si="19"/>
        <v>-50</v>
      </c>
      <c r="AP126" s="50">
        <f t="shared" si="20"/>
        <v>188</v>
      </c>
    </row>
    <row r="127" spans="1:42" x14ac:dyDescent="0.25">
      <c r="A127" s="63">
        <v>43624</v>
      </c>
      <c r="B127" s="64" t="s">
        <v>364</v>
      </c>
      <c r="C127" s="64" t="s">
        <v>511</v>
      </c>
      <c r="D127" s="64" t="s">
        <v>512</v>
      </c>
      <c r="E127" s="64" t="s">
        <v>513</v>
      </c>
      <c r="F127" s="64" t="s">
        <v>514</v>
      </c>
      <c r="G127" s="64">
        <v>4</v>
      </c>
      <c r="H127" s="64">
        <v>4</v>
      </c>
      <c r="I127" s="64">
        <v>3.1</v>
      </c>
      <c r="J127" s="64">
        <v>3.62</v>
      </c>
      <c r="K127" s="64">
        <v>1.93</v>
      </c>
      <c r="L127" s="64">
        <v>1.17</v>
      </c>
      <c r="M127" s="64">
        <v>10</v>
      </c>
      <c r="N127" s="64">
        <v>27</v>
      </c>
      <c r="O127" s="64">
        <v>0</v>
      </c>
      <c r="P127" s="64">
        <v>6</v>
      </c>
      <c r="Q127" s="64">
        <v>13</v>
      </c>
      <c r="R127" s="64">
        <v>0</v>
      </c>
      <c r="S127" s="64">
        <v>0</v>
      </c>
      <c r="T127" s="64">
        <v>0</v>
      </c>
      <c r="U127" s="64">
        <v>10</v>
      </c>
      <c r="V127" s="64">
        <v>30</v>
      </c>
      <c r="W127" s="64">
        <v>60</v>
      </c>
      <c r="X127" s="64">
        <v>22.22</v>
      </c>
      <c r="Y127" s="64">
        <v>22.22</v>
      </c>
      <c r="Z127" s="64">
        <v>55.56</v>
      </c>
      <c r="AA127" s="64">
        <v>16.670000000000002</v>
      </c>
      <c r="AB127" s="64">
        <v>7.69</v>
      </c>
      <c r="AC127" s="64">
        <v>2</v>
      </c>
      <c r="AD127" s="64">
        <v>7</v>
      </c>
      <c r="AE127" s="64">
        <v>50</v>
      </c>
      <c r="AF127" s="64">
        <v>57.14</v>
      </c>
      <c r="AG127" s="51">
        <f t="shared" si="11"/>
        <v>-2.5539999999999967</v>
      </c>
      <c r="AH127" s="52">
        <f t="shared" si="12"/>
        <v>2.5539999999999967</v>
      </c>
      <c r="AI127" s="52" t="str">
        <f t="shared" si="13"/>
        <v>N</v>
      </c>
      <c r="AJ127" s="52" t="str">
        <f t="shared" si="14"/>
        <v>N</v>
      </c>
      <c r="AK127" s="50" t="str">
        <f t="shared" si="15"/>
        <v>Loss</v>
      </c>
      <c r="AL127" s="50" t="str">
        <f t="shared" si="16"/>
        <v>Win</v>
      </c>
      <c r="AM127" s="50" t="str">
        <f t="shared" si="17"/>
        <v>Loss</v>
      </c>
      <c r="AN127" s="50">
        <f t="shared" si="18"/>
        <v>-50</v>
      </c>
      <c r="AO127" s="50">
        <f t="shared" si="19"/>
        <v>131</v>
      </c>
      <c r="AP127" s="50">
        <f t="shared" si="20"/>
        <v>-50</v>
      </c>
    </row>
    <row r="128" spans="1:42" x14ac:dyDescent="0.25">
      <c r="A128" s="63">
        <v>43624</v>
      </c>
      <c r="B128" s="64" t="s">
        <v>364</v>
      </c>
      <c r="C128" s="64" t="s">
        <v>511</v>
      </c>
      <c r="D128" s="64" t="s">
        <v>515</v>
      </c>
      <c r="E128" s="64" t="s">
        <v>516</v>
      </c>
      <c r="F128" s="64" t="s">
        <v>517</v>
      </c>
      <c r="G128" s="64">
        <v>5</v>
      </c>
      <c r="H128" s="64">
        <v>0</v>
      </c>
      <c r="I128" s="64">
        <v>1.1100000000000001</v>
      </c>
      <c r="J128" s="64">
        <v>7.77</v>
      </c>
      <c r="K128" s="64">
        <v>12.31</v>
      </c>
      <c r="L128" s="64">
        <v>-11.2</v>
      </c>
      <c r="M128" s="64">
        <v>29</v>
      </c>
      <c r="N128" s="64">
        <v>10</v>
      </c>
      <c r="O128" s="64">
        <v>0</v>
      </c>
      <c r="P128" s="64">
        <v>15</v>
      </c>
      <c r="Q128" s="64">
        <v>5</v>
      </c>
      <c r="R128" s="64">
        <v>0</v>
      </c>
      <c r="S128" s="64">
        <v>0</v>
      </c>
      <c r="T128" s="64">
        <v>0</v>
      </c>
      <c r="U128" s="64">
        <v>41.38</v>
      </c>
      <c r="V128" s="64">
        <v>24.14</v>
      </c>
      <c r="W128" s="64">
        <v>34.479999999999997</v>
      </c>
      <c r="X128" s="64">
        <v>10</v>
      </c>
      <c r="Y128" s="64">
        <v>10</v>
      </c>
      <c r="Z128" s="64">
        <v>80</v>
      </c>
      <c r="AA128" s="64">
        <v>53.33</v>
      </c>
      <c r="AB128" s="64">
        <v>0</v>
      </c>
      <c r="AC128" s="64">
        <v>16</v>
      </c>
      <c r="AD128" s="64">
        <v>2</v>
      </c>
      <c r="AE128" s="64">
        <v>62.5</v>
      </c>
      <c r="AF128" s="64">
        <v>50</v>
      </c>
      <c r="AG128" s="51">
        <f t="shared" si="11"/>
        <v>16.794</v>
      </c>
      <c r="AH128" s="52">
        <f t="shared" si="12"/>
        <v>-16.794</v>
      </c>
      <c r="AI128" s="52" t="str">
        <f t="shared" si="13"/>
        <v>N</v>
      </c>
      <c r="AJ128" s="52" t="str">
        <f t="shared" si="14"/>
        <v>N</v>
      </c>
      <c r="AK128" s="50" t="str">
        <f t="shared" si="15"/>
        <v>Win</v>
      </c>
      <c r="AL128" s="50" t="str">
        <f t="shared" si="16"/>
        <v>Loss</v>
      </c>
      <c r="AM128" s="50" t="str">
        <f t="shared" si="17"/>
        <v>Loss</v>
      </c>
      <c r="AN128" s="50">
        <f t="shared" si="18"/>
        <v>5.5000000000000071</v>
      </c>
      <c r="AO128" s="50">
        <f t="shared" si="19"/>
        <v>-50</v>
      </c>
      <c r="AP128" s="50">
        <f t="shared" si="20"/>
        <v>-50</v>
      </c>
    </row>
    <row r="129" spans="1:42" x14ac:dyDescent="0.25">
      <c r="A129" s="63">
        <v>43624</v>
      </c>
      <c r="B129" s="64" t="s">
        <v>364</v>
      </c>
      <c r="C129" s="64" t="s">
        <v>511</v>
      </c>
      <c r="D129" s="64" t="s">
        <v>518</v>
      </c>
      <c r="E129" s="64" t="s">
        <v>519</v>
      </c>
      <c r="F129" s="64" t="s">
        <v>520</v>
      </c>
      <c r="G129" s="64">
        <v>3</v>
      </c>
      <c r="H129" s="64">
        <v>1</v>
      </c>
      <c r="I129" s="64">
        <v>1.97</v>
      </c>
      <c r="J129" s="64">
        <v>3.63</v>
      </c>
      <c r="K129" s="64">
        <v>3.02</v>
      </c>
      <c r="L129" s="64">
        <v>-1.05</v>
      </c>
      <c r="M129" s="64">
        <v>28</v>
      </c>
      <c r="N129" s="64">
        <v>28</v>
      </c>
      <c r="O129" s="64">
        <v>2</v>
      </c>
      <c r="P129" s="64">
        <v>13</v>
      </c>
      <c r="Q129" s="64">
        <v>13</v>
      </c>
      <c r="R129" s="64">
        <v>0</v>
      </c>
      <c r="S129" s="64">
        <v>50</v>
      </c>
      <c r="T129" s="64">
        <v>50</v>
      </c>
      <c r="U129" s="64">
        <v>57.14</v>
      </c>
      <c r="V129" s="64">
        <v>21.43</v>
      </c>
      <c r="W129" s="64">
        <v>21.43</v>
      </c>
      <c r="X129" s="64">
        <v>60.71</v>
      </c>
      <c r="Y129" s="64">
        <v>14.29</v>
      </c>
      <c r="Z129" s="64">
        <v>25</v>
      </c>
      <c r="AA129" s="64">
        <v>69.23</v>
      </c>
      <c r="AB129" s="64">
        <v>53.85</v>
      </c>
      <c r="AC129" s="64">
        <v>23</v>
      </c>
      <c r="AD129" s="64">
        <v>17</v>
      </c>
      <c r="AE129" s="64">
        <v>65.22</v>
      </c>
      <c r="AF129" s="64">
        <v>82.35</v>
      </c>
      <c r="AG129" s="51">
        <f t="shared" si="11"/>
        <v>-9.2860000000000014</v>
      </c>
      <c r="AH129" s="52">
        <f t="shared" si="12"/>
        <v>19.285999999999998</v>
      </c>
      <c r="AI129" s="52" t="str">
        <f t="shared" si="13"/>
        <v>N</v>
      </c>
      <c r="AJ129" s="52" t="str">
        <f t="shared" si="14"/>
        <v>N</v>
      </c>
      <c r="AK129" s="50" t="str">
        <f t="shared" si="15"/>
        <v>Win</v>
      </c>
      <c r="AL129" s="50" t="str">
        <f t="shared" si="16"/>
        <v>Loss</v>
      </c>
      <c r="AM129" s="50" t="str">
        <f t="shared" si="17"/>
        <v>Loss</v>
      </c>
      <c r="AN129" s="50">
        <f t="shared" si="18"/>
        <v>48.5</v>
      </c>
      <c r="AO129" s="50">
        <f t="shared" si="19"/>
        <v>-50</v>
      </c>
      <c r="AP129" s="50">
        <f t="shared" si="20"/>
        <v>-50</v>
      </c>
    </row>
    <row r="130" spans="1:42" x14ac:dyDescent="0.25">
      <c r="A130" s="63">
        <v>43624</v>
      </c>
      <c r="B130" s="64" t="s">
        <v>364</v>
      </c>
      <c r="C130" s="64" t="s">
        <v>425</v>
      </c>
      <c r="D130" s="64" t="s">
        <v>521</v>
      </c>
      <c r="E130" s="64" t="s">
        <v>522</v>
      </c>
      <c r="F130" s="64" t="s">
        <v>523</v>
      </c>
      <c r="G130" s="64">
        <v>4</v>
      </c>
      <c r="H130" s="64">
        <v>0</v>
      </c>
      <c r="I130" s="64">
        <v>1.35</v>
      </c>
      <c r="J130" s="64">
        <v>4.7</v>
      </c>
      <c r="K130" s="64">
        <v>6.12</v>
      </c>
      <c r="L130" s="64">
        <v>-4.7699999999999996</v>
      </c>
      <c r="M130" s="64">
        <v>67</v>
      </c>
      <c r="N130" s="64">
        <v>36</v>
      </c>
      <c r="O130" s="64">
        <v>0</v>
      </c>
      <c r="P130" s="64">
        <v>34</v>
      </c>
      <c r="Q130" s="64">
        <v>17</v>
      </c>
      <c r="R130" s="64">
        <v>0</v>
      </c>
      <c r="S130" s="64">
        <v>0</v>
      </c>
      <c r="T130" s="64">
        <v>0</v>
      </c>
      <c r="U130" s="64">
        <v>47.76</v>
      </c>
      <c r="V130" s="64">
        <v>26.87</v>
      </c>
      <c r="W130" s="64">
        <v>25.37</v>
      </c>
      <c r="X130" s="64">
        <v>36.11</v>
      </c>
      <c r="Y130" s="64">
        <v>25</v>
      </c>
      <c r="Z130" s="64">
        <v>38.89</v>
      </c>
      <c r="AA130" s="64">
        <v>52.94</v>
      </c>
      <c r="AB130" s="64">
        <v>35.29</v>
      </c>
      <c r="AC130" s="64">
        <v>48</v>
      </c>
      <c r="AD130" s="64">
        <v>16</v>
      </c>
      <c r="AE130" s="64">
        <v>60.42</v>
      </c>
      <c r="AF130" s="64">
        <v>43.75</v>
      </c>
      <c r="AG130" s="51">
        <f t="shared" si="11"/>
        <v>5.2210000000000001</v>
      </c>
      <c r="AH130" s="52">
        <f t="shared" si="12"/>
        <v>-5.2210000000000001</v>
      </c>
      <c r="AI130" s="52" t="str">
        <f t="shared" si="13"/>
        <v>N</v>
      </c>
      <c r="AJ130" s="52" t="str">
        <f t="shared" si="14"/>
        <v>N</v>
      </c>
      <c r="AK130" s="50" t="str">
        <f t="shared" si="15"/>
        <v>Win</v>
      </c>
      <c r="AL130" s="50" t="str">
        <f t="shared" si="16"/>
        <v>Loss</v>
      </c>
      <c r="AM130" s="50" t="str">
        <f t="shared" si="17"/>
        <v>Loss</v>
      </c>
      <c r="AN130" s="50">
        <f t="shared" si="18"/>
        <v>17.5</v>
      </c>
      <c r="AO130" s="50">
        <f t="shared" si="19"/>
        <v>-50</v>
      </c>
      <c r="AP130" s="50">
        <f t="shared" si="20"/>
        <v>-50</v>
      </c>
    </row>
    <row r="131" spans="1:42" x14ac:dyDescent="0.25">
      <c r="A131" s="63">
        <v>43624</v>
      </c>
      <c r="B131" s="64" t="s">
        <v>364</v>
      </c>
      <c r="C131" s="64" t="s">
        <v>425</v>
      </c>
      <c r="D131" s="64" t="s">
        <v>524</v>
      </c>
      <c r="E131" s="64" t="s">
        <v>525</v>
      </c>
      <c r="F131" s="64" t="s">
        <v>526</v>
      </c>
      <c r="G131" s="64">
        <v>1</v>
      </c>
      <c r="H131" s="64">
        <v>4</v>
      </c>
      <c r="I131" s="64">
        <v>2.2200000000000002</v>
      </c>
      <c r="J131" s="64">
        <v>3.49</v>
      </c>
      <c r="K131" s="64">
        <v>2.72</v>
      </c>
      <c r="L131" s="64">
        <v>-0.5</v>
      </c>
      <c r="M131" s="64">
        <v>35</v>
      </c>
      <c r="N131" s="64">
        <v>59</v>
      </c>
      <c r="O131" s="64">
        <v>2</v>
      </c>
      <c r="P131" s="64">
        <v>17</v>
      </c>
      <c r="Q131" s="64">
        <v>29</v>
      </c>
      <c r="R131" s="64">
        <v>0</v>
      </c>
      <c r="S131" s="64">
        <v>50</v>
      </c>
      <c r="T131" s="64">
        <v>50</v>
      </c>
      <c r="U131" s="64">
        <v>37.14</v>
      </c>
      <c r="V131" s="64">
        <v>20</v>
      </c>
      <c r="W131" s="64">
        <v>42.86</v>
      </c>
      <c r="X131" s="64">
        <v>37.29</v>
      </c>
      <c r="Y131" s="64">
        <v>22.03</v>
      </c>
      <c r="Z131" s="64">
        <v>40.68</v>
      </c>
      <c r="AA131" s="64">
        <v>41.18</v>
      </c>
      <c r="AB131" s="64">
        <v>24.14</v>
      </c>
      <c r="AC131" s="64">
        <v>14</v>
      </c>
      <c r="AD131" s="64">
        <v>27</v>
      </c>
      <c r="AE131" s="64">
        <v>42.86</v>
      </c>
      <c r="AF131" s="64">
        <v>44.44</v>
      </c>
      <c r="AG131" s="51">
        <f t="shared" si="11"/>
        <v>-10.668999999999999</v>
      </c>
      <c r="AH131" s="52">
        <f t="shared" si="12"/>
        <v>20.668999999999997</v>
      </c>
      <c r="AI131" s="52" t="str">
        <f t="shared" si="13"/>
        <v>N</v>
      </c>
      <c r="AJ131" s="52" t="str">
        <f t="shared" si="14"/>
        <v>N</v>
      </c>
      <c r="AK131" s="50" t="str">
        <f t="shared" si="15"/>
        <v>Loss</v>
      </c>
      <c r="AL131" s="50" t="str">
        <f t="shared" si="16"/>
        <v>Loss</v>
      </c>
      <c r="AM131" s="50" t="str">
        <f t="shared" si="17"/>
        <v>Win</v>
      </c>
      <c r="AN131" s="50">
        <f t="shared" si="18"/>
        <v>-50</v>
      </c>
      <c r="AO131" s="50">
        <f t="shared" si="19"/>
        <v>-50</v>
      </c>
      <c r="AP131" s="50">
        <f t="shared" si="20"/>
        <v>86</v>
      </c>
    </row>
    <row r="132" spans="1:42" x14ac:dyDescent="0.25">
      <c r="A132" s="63">
        <v>43624</v>
      </c>
      <c r="B132" s="64" t="s">
        <v>364</v>
      </c>
      <c r="C132" s="64" t="s">
        <v>425</v>
      </c>
      <c r="D132" s="64" t="s">
        <v>527</v>
      </c>
      <c r="E132" s="64" t="s">
        <v>528</v>
      </c>
      <c r="F132" s="64" t="s">
        <v>529</v>
      </c>
      <c r="G132" s="64">
        <v>2</v>
      </c>
      <c r="H132" s="64">
        <v>2</v>
      </c>
      <c r="I132" s="64">
        <v>2.21</v>
      </c>
      <c r="J132" s="64">
        <v>3.5</v>
      </c>
      <c r="K132" s="64">
        <v>2.77</v>
      </c>
      <c r="L132" s="64">
        <v>-0.56000000000000005</v>
      </c>
      <c r="M132" s="64">
        <v>40</v>
      </c>
      <c r="N132" s="64">
        <v>63</v>
      </c>
      <c r="O132" s="64">
        <v>0</v>
      </c>
      <c r="P132" s="64">
        <v>19</v>
      </c>
      <c r="Q132" s="64">
        <v>32</v>
      </c>
      <c r="R132" s="64">
        <v>0</v>
      </c>
      <c r="S132" s="64">
        <v>0</v>
      </c>
      <c r="T132" s="64">
        <v>0</v>
      </c>
      <c r="U132" s="64">
        <v>32.5</v>
      </c>
      <c r="V132" s="64">
        <v>15</v>
      </c>
      <c r="W132" s="64">
        <v>52.5</v>
      </c>
      <c r="X132" s="64">
        <v>38.1</v>
      </c>
      <c r="Y132" s="64">
        <v>33.33</v>
      </c>
      <c r="Z132" s="64">
        <v>28.57</v>
      </c>
      <c r="AA132" s="64">
        <v>31.58</v>
      </c>
      <c r="AB132" s="64">
        <v>31.25</v>
      </c>
      <c r="AC132" s="64">
        <v>16</v>
      </c>
      <c r="AD132" s="64">
        <v>36</v>
      </c>
      <c r="AE132" s="64">
        <v>56.25</v>
      </c>
      <c r="AF132" s="64">
        <v>47.22</v>
      </c>
      <c r="AG132" s="51">
        <f t="shared" si="11"/>
        <v>-7.7390000000000008</v>
      </c>
      <c r="AH132" s="52">
        <f t="shared" si="12"/>
        <v>7.7390000000000008</v>
      </c>
      <c r="AI132" s="52" t="str">
        <f t="shared" si="13"/>
        <v>N</v>
      </c>
      <c r="AJ132" s="52" t="str">
        <f t="shared" si="14"/>
        <v>N</v>
      </c>
      <c r="AK132" s="50" t="str">
        <f t="shared" si="15"/>
        <v>Loss</v>
      </c>
      <c r="AL132" s="50" t="str">
        <f t="shared" si="16"/>
        <v>Win</v>
      </c>
      <c r="AM132" s="50" t="str">
        <f t="shared" si="17"/>
        <v>Loss</v>
      </c>
      <c r="AN132" s="50">
        <f t="shared" si="18"/>
        <v>-50</v>
      </c>
      <c r="AO132" s="50">
        <f t="shared" si="19"/>
        <v>125</v>
      </c>
      <c r="AP132" s="50">
        <f t="shared" si="20"/>
        <v>-50</v>
      </c>
    </row>
    <row r="133" spans="1:42" x14ac:dyDescent="0.25">
      <c r="A133" s="63">
        <v>43624</v>
      </c>
      <c r="B133" s="64" t="s">
        <v>364</v>
      </c>
      <c r="C133" s="64" t="s">
        <v>530</v>
      </c>
      <c r="D133" s="64" t="s">
        <v>531</v>
      </c>
      <c r="E133" s="64" t="s">
        <v>532</v>
      </c>
      <c r="F133" s="64" t="s">
        <v>533</v>
      </c>
      <c r="G133" s="64">
        <v>0</v>
      </c>
      <c r="H133" s="64">
        <v>0</v>
      </c>
      <c r="I133" s="64">
        <v>1.54</v>
      </c>
      <c r="J133" s="64">
        <v>4.32</v>
      </c>
      <c r="K133" s="64">
        <v>4.46</v>
      </c>
      <c r="L133" s="64">
        <v>-2.92</v>
      </c>
      <c r="M133" s="64">
        <v>31</v>
      </c>
      <c r="N133" s="64">
        <v>37</v>
      </c>
      <c r="O133" s="64">
        <v>0</v>
      </c>
      <c r="P133" s="64">
        <v>17</v>
      </c>
      <c r="Q133" s="64">
        <v>19</v>
      </c>
      <c r="R133" s="64">
        <v>0</v>
      </c>
      <c r="S133" s="64">
        <v>0</v>
      </c>
      <c r="T133" s="64">
        <v>0</v>
      </c>
      <c r="U133" s="64">
        <v>58.06</v>
      </c>
      <c r="V133" s="64">
        <v>22.58</v>
      </c>
      <c r="W133" s="64">
        <v>19.350000000000001</v>
      </c>
      <c r="X133" s="64">
        <v>24.32</v>
      </c>
      <c r="Y133" s="64">
        <v>21.62</v>
      </c>
      <c r="Z133" s="64">
        <v>54.05</v>
      </c>
      <c r="AA133" s="64">
        <v>64.709999999999994</v>
      </c>
      <c r="AB133" s="64">
        <v>21.05</v>
      </c>
      <c r="AC133" s="64">
        <v>22</v>
      </c>
      <c r="AD133" s="64">
        <v>21</v>
      </c>
      <c r="AE133" s="64">
        <v>63.64</v>
      </c>
      <c r="AF133" s="64">
        <v>33.33</v>
      </c>
      <c r="AG133" s="51">
        <f t="shared" si="11"/>
        <v>13.783999999999999</v>
      </c>
      <c r="AH133" s="52">
        <f t="shared" si="12"/>
        <v>-13.783999999999999</v>
      </c>
      <c r="AI133" s="52" t="str">
        <f t="shared" si="13"/>
        <v>N</v>
      </c>
      <c r="AJ133" s="52" t="str">
        <f t="shared" si="14"/>
        <v>N</v>
      </c>
      <c r="AK133" s="50" t="str">
        <f t="shared" si="15"/>
        <v>Loss</v>
      </c>
      <c r="AL133" s="50" t="str">
        <f t="shared" si="16"/>
        <v>Win</v>
      </c>
      <c r="AM133" s="50" t="str">
        <f t="shared" si="17"/>
        <v>Loss</v>
      </c>
      <c r="AN133" s="50">
        <f t="shared" si="18"/>
        <v>-50</v>
      </c>
      <c r="AO133" s="50">
        <f t="shared" si="19"/>
        <v>166</v>
      </c>
      <c r="AP133" s="50">
        <f t="shared" si="20"/>
        <v>-50</v>
      </c>
    </row>
    <row r="134" spans="1:42" x14ac:dyDescent="0.25">
      <c r="A134" s="63">
        <v>43624</v>
      </c>
      <c r="B134" s="64" t="s">
        <v>364</v>
      </c>
      <c r="C134" s="64" t="s">
        <v>530</v>
      </c>
      <c r="D134" s="64" t="s">
        <v>534</v>
      </c>
      <c r="E134" s="64" t="s">
        <v>535</v>
      </c>
      <c r="F134" s="64" t="s">
        <v>536</v>
      </c>
      <c r="G134" s="64">
        <v>1</v>
      </c>
      <c r="H134" s="64">
        <v>2</v>
      </c>
      <c r="I134" s="64">
        <v>3.38</v>
      </c>
      <c r="J134" s="64">
        <v>4.08</v>
      </c>
      <c r="K134" s="64">
        <v>1.79</v>
      </c>
      <c r="L134" s="64">
        <v>1.59</v>
      </c>
      <c r="M134" s="64">
        <v>29</v>
      </c>
      <c r="N134" s="64">
        <v>36</v>
      </c>
      <c r="O134" s="64">
        <v>2</v>
      </c>
      <c r="P134" s="64">
        <v>14</v>
      </c>
      <c r="Q134" s="64">
        <v>19</v>
      </c>
      <c r="R134" s="64">
        <v>0</v>
      </c>
      <c r="S134" s="64">
        <v>0</v>
      </c>
      <c r="T134" s="64">
        <v>100</v>
      </c>
      <c r="U134" s="64">
        <v>34.479999999999997</v>
      </c>
      <c r="V134" s="64">
        <v>6.9</v>
      </c>
      <c r="W134" s="64">
        <v>58.62</v>
      </c>
      <c r="X134" s="64">
        <v>55.56</v>
      </c>
      <c r="Y134" s="64">
        <v>27.78</v>
      </c>
      <c r="Z134" s="64">
        <v>16.670000000000002</v>
      </c>
      <c r="AA134" s="64">
        <v>35.71</v>
      </c>
      <c r="AB134" s="64">
        <v>47.37</v>
      </c>
      <c r="AC134" s="64">
        <v>5</v>
      </c>
      <c r="AD134" s="64">
        <v>29</v>
      </c>
      <c r="AE134" s="64">
        <v>40</v>
      </c>
      <c r="AF134" s="64">
        <v>65.52</v>
      </c>
      <c r="AG134" s="51">
        <f t="shared" si="11"/>
        <v>-44.693999999999996</v>
      </c>
      <c r="AH134" s="52">
        <f t="shared" si="12"/>
        <v>44.693999999999996</v>
      </c>
      <c r="AI134" s="52" t="str">
        <f t="shared" si="13"/>
        <v>N</v>
      </c>
      <c r="AJ134" s="52" t="str">
        <f t="shared" si="14"/>
        <v>Y</v>
      </c>
      <c r="AK134" s="50" t="str">
        <f t="shared" si="15"/>
        <v>Loss</v>
      </c>
      <c r="AL134" s="50" t="str">
        <f t="shared" si="16"/>
        <v>Loss</v>
      </c>
      <c r="AM134" s="50" t="str">
        <f t="shared" si="17"/>
        <v>Win</v>
      </c>
      <c r="AN134" s="50">
        <f t="shared" si="18"/>
        <v>-50</v>
      </c>
      <c r="AO134" s="50">
        <f t="shared" si="19"/>
        <v>-50</v>
      </c>
      <c r="AP134" s="50">
        <f t="shared" si="20"/>
        <v>39.5</v>
      </c>
    </row>
    <row r="135" spans="1:42" x14ac:dyDescent="0.25">
      <c r="A135" s="63">
        <v>43624</v>
      </c>
      <c r="B135" s="64" t="s">
        <v>364</v>
      </c>
      <c r="C135" s="64" t="s">
        <v>365</v>
      </c>
      <c r="D135" s="64" t="s">
        <v>537</v>
      </c>
      <c r="E135" s="64" t="s">
        <v>538</v>
      </c>
      <c r="F135" s="64" t="s">
        <v>539</v>
      </c>
      <c r="G135" s="64">
        <v>1</v>
      </c>
      <c r="H135" s="64">
        <v>4</v>
      </c>
      <c r="I135" s="64">
        <v>3.93</v>
      </c>
      <c r="J135" s="64">
        <v>4.1399999999999997</v>
      </c>
      <c r="K135" s="64">
        <v>1.64</v>
      </c>
      <c r="L135" s="64">
        <v>2.29</v>
      </c>
      <c r="M135" s="64">
        <v>29</v>
      </c>
      <c r="N135" s="64">
        <v>11</v>
      </c>
      <c r="O135" s="64">
        <v>1</v>
      </c>
      <c r="P135" s="64">
        <v>14</v>
      </c>
      <c r="Q135" s="64">
        <v>5</v>
      </c>
      <c r="R135" s="64">
        <v>100</v>
      </c>
      <c r="S135" s="64">
        <v>0</v>
      </c>
      <c r="T135" s="64">
        <v>0</v>
      </c>
      <c r="U135" s="64">
        <v>37.93</v>
      </c>
      <c r="V135" s="64">
        <v>10.34</v>
      </c>
      <c r="W135" s="64">
        <v>51.72</v>
      </c>
      <c r="X135" s="64">
        <v>45.45</v>
      </c>
      <c r="Y135" s="64">
        <v>9.09</v>
      </c>
      <c r="Z135" s="64">
        <v>45.45</v>
      </c>
      <c r="AA135" s="64">
        <v>50</v>
      </c>
      <c r="AB135" s="64">
        <v>40</v>
      </c>
      <c r="AC135" s="64">
        <v>17</v>
      </c>
      <c r="AD135" s="64">
        <v>4</v>
      </c>
      <c r="AE135" s="64">
        <v>52.94</v>
      </c>
      <c r="AF135" s="64">
        <v>50</v>
      </c>
      <c r="AG135" s="51">
        <f t="shared" si="11"/>
        <v>27.366999999999997</v>
      </c>
      <c r="AH135" s="52">
        <f t="shared" si="12"/>
        <v>-27.366999999999997</v>
      </c>
      <c r="AI135" s="52" t="str">
        <f t="shared" si="13"/>
        <v>N</v>
      </c>
      <c r="AJ135" s="52" t="str">
        <f t="shared" si="14"/>
        <v>N</v>
      </c>
      <c r="AK135" s="50" t="str">
        <f t="shared" si="15"/>
        <v>Loss</v>
      </c>
      <c r="AL135" s="50" t="str">
        <f t="shared" si="16"/>
        <v>Loss</v>
      </c>
      <c r="AM135" s="50" t="str">
        <f t="shared" si="17"/>
        <v>Win</v>
      </c>
      <c r="AN135" s="50">
        <f t="shared" si="18"/>
        <v>-50</v>
      </c>
      <c r="AO135" s="50">
        <f t="shared" si="19"/>
        <v>-50</v>
      </c>
      <c r="AP135" s="50">
        <f t="shared" si="20"/>
        <v>32</v>
      </c>
    </row>
    <row r="136" spans="1:42" x14ac:dyDescent="0.25">
      <c r="A136" s="63">
        <v>43624</v>
      </c>
      <c r="B136" s="64" t="s">
        <v>364</v>
      </c>
      <c r="C136" s="64" t="s">
        <v>365</v>
      </c>
      <c r="D136" s="64" t="s">
        <v>540</v>
      </c>
      <c r="E136" s="64" t="s">
        <v>541</v>
      </c>
      <c r="F136" s="64" t="s">
        <v>542</v>
      </c>
      <c r="G136" s="64">
        <v>0</v>
      </c>
      <c r="H136" s="64">
        <v>1</v>
      </c>
      <c r="I136" s="64">
        <v>2.58</v>
      </c>
      <c r="J136" s="64">
        <v>3.65</v>
      </c>
      <c r="K136" s="64">
        <v>2.29</v>
      </c>
      <c r="L136" s="64">
        <v>0.28999999999999998</v>
      </c>
      <c r="M136" s="64">
        <v>29</v>
      </c>
      <c r="N136" s="64">
        <v>51</v>
      </c>
      <c r="O136" s="64">
        <v>1</v>
      </c>
      <c r="P136" s="64">
        <v>14</v>
      </c>
      <c r="Q136" s="64">
        <v>26</v>
      </c>
      <c r="R136" s="64">
        <v>0</v>
      </c>
      <c r="S136" s="64">
        <v>0</v>
      </c>
      <c r="T136" s="64">
        <v>100</v>
      </c>
      <c r="U136" s="64">
        <v>20.69</v>
      </c>
      <c r="V136" s="64">
        <v>37.93</v>
      </c>
      <c r="W136" s="64">
        <v>41.38</v>
      </c>
      <c r="X136" s="64">
        <v>45.1</v>
      </c>
      <c r="Y136" s="64">
        <v>13.73</v>
      </c>
      <c r="Z136" s="64">
        <v>41.18</v>
      </c>
      <c r="AA136" s="64">
        <v>35.71</v>
      </c>
      <c r="AB136" s="64">
        <v>34.619999999999997</v>
      </c>
      <c r="AC136" s="64">
        <v>8</v>
      </c>
      <c r="AD136" s="64">
        <v>26</v>
      </c>
      <c r="AE136" s="64">
        <v>25</v>
      </c>
      <c r="AF136" s="64">
        <v>57.69</v>
      </c>
      <c r="AG136" s="51">
        <f t="shared" si="11"/>
        <v>-32.501999999999995</v>
      </c>
      <c r="AH136" s="52">
        <f t="shared" si="12"/>
        <v>32.501999999999995</v>
      </c>
      <c r="AI136" s="52" t="str">
        <f t="shared" si="13"/>
        <v>N</v>
      </c>
      <c r="AJ136" s="52" t="str">
        <f t="shared" si="14"/>
        <v>N</v>
      </c>
      <c r="AK136" s="50" t="str">
        <f t="shared" si="15"/>
        <v>Loss</v>
      </c>
      <c r="AL136" s="50" t="str">
        <f t="shared" si="16"/>
        <v>Loss</v>
      </c>
      <c r="AM136" s="50" t="str">
        <f t="shared" si="17"/>
        <v>Win</v>
      </c>
      <c r="AN136" s="50">
        <f t="shared" si="18"/>
        <v>-50</v>
      </c>
      <c r="AO136" s="50">
        <f t="shared" si="19"/>
        <v>-50</v>
      </c>
      <c r="AP136" s="50">
        <f t="shared" si="20"/>
        <v>64.5</v>
      </c>
    </row>
    <row r="137" spans="1:42" x14ac:dyDescent="0.25">
      <c r="A137" s="63">
        <v>43624</v>
      </c>
      <c r="B137" s="64" t="s">
        <v>543</v>
      </c>
      <c r="C137" s="64" t="s">
        <v>447</v>
      </c>
      <c r="D137" s="64" t="s">
        <v>544</v>
      </c>
      <c r="E137" s="64" t="s">
        <v>545</v>
      </c>
      <c r="F137" s="64" t="s">
        <v>546</v>
      </c>
      <c r="G137" s="64">
        <v>1</v>
      </c>
      <c r="H137" s="64">
        <v>0</v>
      </c>
      <c r="I137" s="64">
        <v>1.81</v>
      </c>
      <c r="J137" s="64">
        <v>3.16</v>
      </c>
      <c r="K137" s="64">
        <v>4.1399999999999997</v>
      </c>
      <c r="L137" s="64">
        <v>-2.33</v>
      </c>
      <c r="M137" s="64">
        <v>21</v>
      </c>
      <c r="N137" s="64">
        <v>3</v>
      </c>
      <c r="O137" s="64">
        <v>0</v>
      </c>
      <c r="P137" s="64">
        <v>14</v>
      </c>
      <c r="Q137" s="64">
        <v>1</v>
      </c>
      <c r="R137" s="64">
        <v>0</v>
      </c>
      <c r="S137" s="64">
        <v>0</v>
      </c>
      <c r="T137" s="64">
        <v>0</v>
      </c>
      <c r="U137" s="64">
        <v>28.57</v>
      </c>
      <c r="V137" s="64">
        <v>47.62</v>
      </c>
      <c r="W137" s="64">
        <v>23.81</v>
      </c>
      <c r="X137" s="64">
        <v>33.33</v>
      </c>
      <c r="Y137" s="64">
        <v>33.33</v>
      </c>
      <c r="Z137" s="64">
        <v>33.33</v>
      </c>
      <c r="AA137" s="64">
        <v>21.43</v>
      </c>
      <c r="AB137" s="64">
        <v>0</v>
      </c>
      <c r="AC137" s="64">
        <v>12</v>
      </c>
      <c r="AD137" s="64">
        <v>0</v>
      </c>
      <c r="AE137" s="64">
        <v>25</v>
      </c>
      <c r="AF137" s="64">
        <v>0</v>
      </c>
      <c r="AG137" s="51">
        <f t="shared" si="11"/>
        <v>2.3809999999999993</v>
      </c>
      <c r="AH137" s="52">
        <f t="shared" si="12"/>
        <v>-2.3809999999999993</v>
      </c>
      <c r="AI137" s="52" t="str">
        <f t="shared" si="13"/>
        <v>N</v>
      </c>
      <c r="AJ137" s="52" t="str">
        <f t="shared" si="14"/>
        <v>N</v>
      </c>
      <c r="AK137" s="50" t="str">
        <f t="shared" si="15"/>
        <v>Win</v>
      </c>
      <c r="AL137" s="50" t="str">
        <f t="shared" si="16"/>
        <v>Loss</v>
      </c>
      <c r="AM137" s="50" t="str">
        <f t="shared" si="17"/>
        <v>Loss</v>
      </c>
      <c r="AN137" s="50">
        <f t="shared" si="18"/>
        <v>40.5</v>
      </c>
      <c r="AO137" s="50">
        <f t="shared" si="19"/>
        <v>-50</v>
      </c>
      <c r="AP137" s="50">
        <f t="shared" si="20"/>
        <v>-50</v>
      </c>
    </row>
    <row r="138" spans="1:42" x14ac:dyDescent="0.25">
      <c r="A138" s="63">
        <v>43624</v>
      </c>
      <c r="B138" s="64" t="s">
        <v>543</v>
      </c>
      <c r="C138" s="64" t="s">
        <v>447</v>
      </c>
      <c r="D138" s="64" t="s">
        <v>547</v>
      </c>
      <c r="E138" s="64" t="s">
        <v>548</v>
      </c>
      <c r="F138" s="64" t="s">
        <v>549</v>
      </c>
      <c r="G138" s="64">
        <v>0</v>
      </c>
      <c r="H138" s="64">
        <v>3</v>
      </c>
      <c r="I138" s="64">
        <v>2.5299999999999998</v>
      </c>
      <c r="J138" s="64">
        <v>2.95</v>
      </c>
      <c r="K138" s="64">
        <v>2.67</v>
      </c>
      <c r="L138" s="64">
        <v>-0.14000000000000001</v>
      </c>
      <c r="M138" s="64">
        <v>3</v>
      </c>
      <c r="N138" s="64">
        <v>20</v>
      </c>
      <c r="O138" s="64">
        <v>0</v>
      </c>
      <c r="P138" s="64">
        <v>0</v>
      </c>
      <c r="Q138" s="64">
        <v>9</v>
      </c>
      <c r="R138" s="64">
        <v>0</v>
      </c>
      <c r="S138" s="64">
        <v>0</v>
      </c>
      <c r="T138" s="64">
        <v>0</v>
      </c>
      <c r="U138" s="64">
        <v>33.33</v>
      </c>
      <c r="V138" s="64">
        <v>33.33</v>
      </c>
      <c r="W138" s="64">
        <v>33.33</v>
      </c>
      <c r="X138" s="64">
        <v>35</v>
      </c>
      <c r="Y138" s="64">
        <v>35</v>
      </c>
      <c r="Z138" s="64">
        <v>30</v>
      </c>
      <c r="AA138" s="64">
        <v>0</v>
      </c>
      <c r="AB138" s="64">
        <v>33.33</v>
      </c>
      <c r="AC138" s="64">
        <v>0</v>
      </c>
      <c r="AD138" s="64">
        <v>8</v>
      </c>
      <c r="AE138" s="64">
        <v>0</v>
      </c>
      <c r="AF138" s="64">
        <v>37.5</v>
      </c>
      <c r="AG138" s="51">
        <f t="shared" si="11"/>
        <v>-1.1669999999999998</v>
      </c>
      <c r="AH138" s="52">
        <f t="shared" si="12"/>
        <v>1.1669999999999998</v>
      </c>
      <c r="AI138" s="52" t="str">
        <f t="shared" si="13"/>
        <v>N</v>
      </c>
      <c r="AJ138" s="52" t="str">
        <f t="shared" si="14"/>
        <v>N</v>
      </c>
      <c r="AK138" s="50" t="str">
        <f t="shared" si="15"/>
        <v>Loss</v>
      </c>
      <c r="AL138" s="50" t="str">
        <f t="shared" si="16"/>
        <v>Loss</v>
      </c>
      <c r="AM138" s="50" t="str">
        <f t="shared" si="17"/>
        <v>Win</v>
      </c>
      <c r="AN138" s="50">
        <f t="shared" si="18"/>
        <v>-50</v>
      </c>
      <c r="AO138" s="50">
        <f t="shared" si="19"/>
        <v>-50</v>
      </c>
      <c r="AP138" s="50">
        <f t="shared" si="20"/>
        <v>83.5</v>
      </c>
    </row>
    <row r="139" spans="1:42" x14ac:dyDescent="0.25">
      <c r="A139" s="63">
        <v>43624</v>
      </c>
      <c r="B139" s="64" t="s">
        <v>543</v>
      </c>
      <c r="C139" s="64" t="s">
        <v>447</v>
      </c>
      <c r="D139" s="64" t="s">
        <v>550</v>
      </c>
      <c r="E139" s="64" t="s">
        <v>551</v>
      </c>
      <c r="F139" s="64" t="s">
        <v>552</v>
      </c>
      <c r="G139" s="64">
        <v>5</v>
      </c>
      <c r="H139" s="64">
        <v>0</v>
      </c>
      <c r="I139" s="64">
        <v>1.54</v>
      </c>
      <c r="J139" s="64">
        <v>3.74</v>
      </c>
      <c r="K139" s="64">
        <v>5.35</v>
      </c>
      <c r="L139" s="64">
        <v>-3.81</v>
      </c>
      <c r="M139" s="64">
        <v>15</v>
      </c>
      <c r="N139" s="64">
        <v>14</v>
      </c>
      <c r="O139" s="64">
        <v>1</v>
      </c>
      <c r="P139" s="64">
        <v>7</v>
      </c>
      <c r="Q139" s="64">
        <v>10</v>
      </c>
      <c r="R139" s="64">
        <v>0</v>
      </c>
      <c r="S139" s="64">
        <v>100</v>
      </c>
      <c r="T139" s="64">
        <v>0</v>
      </c>
      <c r="U139" s="64">
        <v>60</v>
      </c>
      <c r="V139" s="64">
        <v>26.67</v>
      </c>
      <c r="W139" s="64">
        <v>13.33</v>
      </c>
      <c r="X139" s="64">
        <v>14.29</v>
      </c>
      <c r="Y139" s="64">
        <v>14.29</v>
      </c>
      <c r="Z139" s="64">
        <v>71.430000000000007</v>
      </c>
      <c r="AA139" s="64">
        <v>57.14</v>
      </c>
      <c r="AB139" s="64">
        <v>10</v>
      </c>
      <c r="AC139" s="64">
        <v>12</v>
      </c>
      <c r="AD139" s="64">
        <v>4</v>
      </c>
      <c r="AE139" s="64">
        <v>58.33</v>
      </c>
      <c r="AF139" s="64">
        <v>25</v>
      </c>
      <c r="AG139" s="51">
        <f t="shared" si="11"/>
        <v>32</v>
      </c>
      <c r="AH139" s="52">
        <f t="shared" si="12"/>
        <v>-12</v>
      </c>
      <c r="AI139" s="52" t="str">
        <f t="shared" si="13"/>
        <v>N</v>
      </c>
      <c r="AJ139" s="52" t="str">
        <f t="shared" si="14"/>
        <v>N</v>
      </c>
      <c r="AK139" s="50" t="str">
        <f t="shared" si="15"/>
        <v>Win</v>
      </c>
      <c r="AL139" s="50" t="str">
        <f t="shared" si="16"/>
        <v>Loss</v>
      </c>
      <c r="AM139" s="50" t="str">
        <f t="shared" si="17"/>
        <v>Loss</v>
      </c>
      <c r="AN139" s="50">
        <f t="shared" si="18"/>
        <v>27</v>
      </c>
      <c r="AO139" s="50">
        <f t="shared" si="19"/>
        <v>-50</v>
      </c>
      <c r="AP139" s="50">
        <f t="shared" si="20"/>
        <v>-50</v>
      </c>
    </row>
    <row r="140" spans="1:42" x14ac:dyDescent="0.25">
      <c r="A140" s="63">
        <v>43624</v>
      </c>
      <c r="B140" s="64" t="s">
        <v>543</v>
      </c>
      <c r="C140" s="64" t="s">
        <v>447</v>
      </c>
      <c r="D140" s="64" t="s">
        <v>553</v>
      </c>
      <c r="E140" s="64" t="s">
        <v>554</v>
      </c>
      <c r="F140" s="64" t="s">
        <v>555</v>
      </c>
      <c r="G140" s="64">
        <v>0</v>
      </c>
      <c r="H140" s="64">
        <v>2</v>
      </c>
      <c r="I140" s="64">
        <v>2.84</v>
      </c>
      <c r="J140" s="64">
        <v>2.94</v>
      </c>
      <c r="K140" s="64">
        <v>2.46</v>
      </c>
      <c r="L140" s="64">
        <v>0.38</v>
      </c>
      <c r="M140" s="64">
        <v>10</v>
      </c>
      <c r="N140" s="64">
        <v>16</v>
      </c>
      <c r="O140" s="64">
        <v>1</v>
      </c>
      <c r="P140" s="64">
        <v>4</v>
      </c>
      <c r="Q140" s="64">
        <v>13</v>
      </c>
      <c r="R140" s="64">
        <v>100</v>
      </c>
      <c r="S140" s="64">
        <v>0</v>
      </c>
      <c r="T140" s="64">
        <v>0</v>
      </c>
      <c r="U140" s="64">
        <v>10</v>
      </c>
      <c r="V140" s="64">
        <v>40</v>
      </c>
      <c r="W140" s="64">
        <v>50</v>
      </c>
      <c r="X140" s="64">
        <v>12.5</v>
      </c>
      <c r="Y140" s="64">
        <v>25</v>
      </c>
      <c r="Z140" s="64">
        <v>62.5</v>
      </c>
      <c r="AA140" s="64">
        <v>25</v>
      </c>
      <c r="AB140" s="64">
        <v>15.38</v>
      </c>
      <c r="AC140" s="64">
        <v>4</v>
      </c>
      <c r="AD140" s="64">
        <v>5</v>
      </c>
      <c r="AE140" s="64">
        <v>25</v>
      </c>
      <c r="AF140" s="64">
        <v>0</v>
      </c>
      <c r="AG140" s="51">
        <f t="shared" si="11"/>
        <v>33.5</v>
      </c>
      <c r="AH140" s="52">
        <f t="shared" si="12"/>
        <v>-33.5</v>
      </c>
      <c r="AI140" s="52" t="str">
        <f t="shared" si="13"/>
        <v>N</v>
      </c>
      <c r="AJ140" s="52" t="str">
        <f t="shared" si="14"/>
        <v>N</v>
      </c>
      <c r="AK140" s="50" t="str">
        <f t="shared" si="15"/>
        <v>Loss</v>
      </c>
      <c r="AL140" s="50" t="str">
        <f t="shared" si="16"/>
        <v>Loss</v>
      </c>
      <c r="AM140" s="50" t="str">
        <f t="shared" si="17"/>
        <v>Win</v>
      </c>
      <c r="AN140" s="50">
        <f t="shared" si="18"/>
        <v>-50</v>
      </c>
      <c r="AO140" s="50">
        <f t="shared" si="19"/>
        <v>-50</v>
      </c>
      <c r="AP140" s="50">
        <f t="shared" si="20"/>
        <v>73</v>
      </c>
    </row>
    <row r="141" spans="1:42" x14ac:dyDescent="0.25">
      <c r="A141" s="63">
        <v>43624</v>
      </c>
      <c r="B141" s="64" t="s">
        <v>556</v>
      </c>
      <c r="C141" s="64" t="s">
        <v>557</v>
      </c>
      <c r="D141" s="64" t="s">
        <v>558</v>
      </c>
      <c r="E141" s="64" t="s">
        <v>559</v>
      </c>
      <c r="F141" s="64" t="s">
        <v>560</v>
      </c>
      <c r="G141" s="64">
        <v>0</v>
      </c>
      <c r="H141" s="64">
        <v>2</v>
      </c>
      <c r="I141" s="64">
        <v>1.75</v>
      </c>
      <c r="J141" s="64">
        <v>3.95</v>
      </c>
      <c r="K141" s="64">
        <v>3.66</v>
      </c>
      <c r="L141" s="64">
        <v>-1.91</v>
      </c>
      <c r="M141" s="64">
        <v>35</v>
      </c>
      <c r="N141" s="64">
        <v>6</v>
      </c>
      <c r="O141" s="64">
        <v>1</v>
      </c>
      <c r="P141" s="64">
        <v>16</v>
      </c>
      <c r="Q141" s="64">
        <v>4</v>
      </c>
      <c r="R141" s="64">
        <v>100</v>
      </c>
      <c r="S141" s="64">
        <v>0</v>
      </c>
      <c r="T141" s="64">
        <v>0</v>
      </c>
      <c r="U141" s="64">
        <v>20</v>
      </c>
      <c r="V141" s="64">
        <v>14.29</v>
      </c>
      <c r="W141" s="64">
        <v>65.709999999999994</v>
      </c>
      <c r="X141" s="64">
        <v>66.67</v>
      </c>
      <c r="Y141" s="64">
        <v>0</v>
      </c>
      <c r="Z141" s="64">
        <v>33.33</v>
      </c>
      <c r="AA141" s="64">
        <v>25</v>
      </c>
      <c r="AB141" s="64">
        <v>75</v>
      </c>
      <c r="AC141" s="64">
        <v>7</v>
      </c>
      <c r="AD141" s="64">
        <v>2</v>
      </c>
      <c r="AE141" s="64">
        <v>28.57</v>
      </c>
      <c r="AF141" s="64">
        <v>100</v>
      </c>
      <c r="AG141" s="51">
        <f t="shared" si="11"/>
        <v>15.619000000000002</v>
      </c>
      <c r="AH141" s="52">
        <f t="shared" si="12"/>
        <v>-15.619000000000002</v>
      </c>
      <c r="AI141" s="52" t="str">
        <f t="shared" si="13"/>
        <v>N</v>
      </c>
      <c r="AJ141" s="52" t="str">
        <f t="shared" si="14"/>
        <v>N</v>
      </c>
      <c r="AK141" s="50" t="str">
        <f t="shared" si="15"/>
        <v>Loss</v>
      </c>
      <c r="AL141" s="50" t="str">
        <f t="shared" si="16"/>
        <v>Loss</v>
      </c>
      <c r="AM141" s="50" t="str">
        <f t="shared" si="17"/>
        <v>Win</v>
      </c>
      <c r="AN141" s="50">
        <f t="shared" si="18"/>
        <v>-50</v>
      </c>
      <c r="AO141" s="50">
        <f t="shared" si="19"/>
        <v>-50</v>
      </c>
      <c r="AP141" s="50">
        <f t="shared" si="20"/>
        <v>133</v>
      </c>
    </row>
    <row r="142" spans="1:42" x14ac:dyDescent="0.25">
      <c r="A142" s="63">
        <v>43624</v>
      </c>
      <c r="B142" s="64" t="s">
        <v>318</v>
      </c>
      <c r="C142" s="64" t="s">
        <v>319</v>
      </c>
      <c r="D142" s="64" t="s">
        <v>561</v>
      </c>
      <c r="E142" s="64" t="s">
        <v>562</v>
      </c>
      <c r="F142" s="64" t="s">
        <v>563</v>
      </c>
      <c r="G142" s="64">
        <v>2</v>
      </c>
      <c r="H142" s="64">
        <v>1</v>
      </c>
      <c r="I142" s="64">
        <v>1.7</v>
      </c>
      <c r="J142" s="64">
        <v>3.95</v>
      </c>
      <c r="K142" s="64">
        <v>4.3600000000000003</v>
      </c>
      <c r="L142" s="64">
        <v>-2.66</v>
      </c>
      <c r="M142" s="64">
        <v>7</v>
      </c>
      <c r="N142" s="64">
        <v>7</v>
      </c>
      <c r="O142" s="64">
        <v>0</v>
      </c>
      <c r="P142" s="64">
        <v>4</v>
      </c>
      <c r="Q142" s="64">
        <v>4</v>
      </c>
      <c r="R142" s="64">
        <v>0</v>
      </c>
      <c r="S142" s="64">
        <v>0</v>
      </c>
      <c r="T142" s="64">
        <v>0</v>
      </c>
      <c r="U142" s="64">
        <v>28.57</v>
      </c>
      <c r="V142" s="64">
        <v>42.86</v>
      </c>
      <c r="W142" s="64">
        <v>28.57</v>
      </c>
      <c r="X142" s="64">
        <v>42.86</v>
      </c>
      <c r="Y142" s="64">
        <v>14.29</v>
      </c>
      <c r="Z142" s="64">
        <v>42.86</v>
      </c>
      <c r="AA142" s="64">
        <v>50</v>
      </c>
      <c r="AB142" s="64">
        <v>50</v>
      </c>
      <c r="AC142" s="64">
        <v>4</v>
      </c>
      <c r="AD142" s="64">
        <v>2</v>
      </c>
      <c r="AE142" s="64">
        <v>50</v>
      </c>
      <c r="AF142" s="64">
        <v>100</v>
      </c>
      <c r="AG142" s="51">
        <f t="shared" si="11"/>
        <v>2.8569999999999993</v>
      </c>
      <c r="AH142" s="52">
        <f t="shared" si="12"/>
        <v>-2.8569999999999993</v>
      </c>
      <c r="AI142" s="52" t="str">
        <f t="shared" si="13"/>
        <v>N</v>
      </c>
      <c r="AJ142" s="52" t="str">
        <f t="shared" si="14"/>
        <v>N</v>
      </c>
      <c r="AK142" s="50" t="str">
        <f t="shared" si="15"/>
        <v>Win</v>
      </c>
      <c r="AL142" s="50" t="str">
        <f t="shared" si="16"/>
        <v>Loss</v>
      </c>
      <c r="AM142" s="50" t="str">
        <f t="shared" si="17"/>
        <v>Loss</v>
      </c>
      <c r="AN142" s="50">
        <f t="shared" si="18"/>
        <v>35</v>
      </c>
      <c r="AO142" s="50">
        <f t="shared" si="19"/>
        <v>-50</v>
      </c>
      <c r="AP142" s="50">
        <f t="shared" si="20"/>
        <v>-50</v>
      </c>
    </row>
    <row r="143" spans="1:42" x14ac:dyDescent="0.25">
      <c r="A143" s="63">
        <v>43624</v>
      </c>
      <c r="B143" s="64" t="s">
        <v>564</v>
      </c>
      <c r="C143" s="64" t="s">
        <v>565</v>
      </c>
      <c r="D143" s="64" t="s">
        <v>566</v>
      </c>
      <c r="E143" s="64" t="s">
        <v>567</v>
      </c>
      <c r="F143" s="64" t="s">
        <v>568</v>
      </c>
      <c r="G143" s="64">
        <v>0</v>
      </c>
      <c r="H143" s="64">
        <v>1</v>
      </c>
      <c r="I143" s="64">
        <v>3.41</v>
      </c>
      <c r="J143" s="64">
        <v>3.08</v>
      </c>
      <c r="K143" s="64">
        <v>2.17</v>
      </c>
      <c r="L143" s="64">
        <v>1.24</v>
      </c>
      <c r="M143" s="64">
        <v>15</v>
      </c>
      <c r="N143" s="64">
        <v>15</v>
      </c>
      <c r="O143" s="64">
        <v>0</v>
      </c>
      <c r="P143" s="64">
        <v>5</v>
      </c>
      <c r="Q143" s="64">
        <v>6</v>
      </c>
      <c r="R143" s="64">
        <v>0</v>
      </c>
      <c r="S143" s="64">
        <v>0</v>
      </c>
      <c r="T143" s="64">
        <v>0</v>
      </c>
      <c r="U143" s="64">
        <v>33.33</v>
      </c>
      <c r="V143" s="64">
        <v>13.33</v>
      </c>
      <c r="W143" s="64">
        <v>53.33</v>
      </c>
      <c r="X143" s="64">
        <v>53.33</v>
      </c>
      <c r="Y143" s="64">
        <v>13.33</v>
      </c>
      <c r="Z143" s="64">
        <v>33.33</v>
      </c>
      <c r="AA143" s="64">
        <v>40</v>
      </c>
      <c r="AB143" s="64">
        <v>33.33</v>
      </c>
      <c r="AC143" s="64">
        <v>5</v>
      </c>
      <c r="AD143" s="64">
        <v>13</v>
      </c>
      <c r="AE143" s="64">
        <v>60</v>
      </c>
      <c r="AF143" s="64">
        <v>53.85</v>
      </c>
      <c r="AG143" s="51">
        <f t="shared" ref="AG143:AG206" si="21">(+R143*$R$12)+(S143*$S$12)-(T143*$T$12)+(U143*$U$12)+(V143*$V$12)-(W143*$W$12)-(X143*$X$12)-(Y143*$Y$12)+(Z143*$Z$12)</f>
        <v>-8</v>
      </c>
      <c r="AH143" s="52">
        <f t="shared" ref="AH143:AH206" si="22">(-R143*$R$12)+(S143*$S$12)+(T143*$T$12)-(U143*$U$12)-(V143*$V$12)+(W143*$W$12)+(X143*$X$12)+(Y143*$Y$12)-(Z143*$Z$12)</f>
        <v>8</v>
      </c>
      <c r="AI143" s="52" t="str">
        <f t="shared" ref="AI143:AI206" si="23">IF(AG143&gt;=$AG$12,"Y",IF(AA143&gt;=$AA$12,"Y","N"))</f>
        <v>N</v>
      </c>
      <c r="AJ143" s="52" t="str">
        <f t="shared" ref="AJ143:AJ206" si="24">IF(AH143&gt;=$AH$12,"Y",IF(AB143&gt;=$AB$12,"Y","N"))</f>
        <v>N</v>
      </c>
      <c r="AK143" s="50" t="str">
        <f t="shared" ref="AK143:AK206" si="25">IF(G143&gt;H143,"Win","Loss")</f>
        <v>Loss</v>
      </c>
      <c r="AL143" s="50" t="str">
        <f t="shared" ref="AL143:AL206" si="26">IF(G143=H143,"Win","Loss")</f>
        <v>Loss</v>
      </c>
      <c r="AM143" s="50" t="str">
        <f t="shared" ref="AM143:AM206" si="27">IF(G143&lt;H143,"Win","Loss")</f>
        <v>Win</v>
      </c>
      <c r="AN143" s="50">
        <f t="shared" ref="AN143:AN206" si="28">IF(AK143="Win",(I143*$B$2)-$B$2,-$B$2)</f>
        <v>-50</v>
      </c>
      <c r="AO143" s="50">
        <f t="shared" ref="AO143:AO206" si="29">IF(AL143="Win",(J143*$B$2)-$B$2,-$B$2)</f>
        <v>-50</v>
      </c>
      <c r="AP143" s="50">
        <f t="shared" ref="AP143:AP206" si="30">IF(AM143="Win",(K143*$B$2)-$B$2,-$B$2)</f>
        <v>58.5</v>
      </c>
    </row>
    <row r="144" spans="1:42" x14ac:dyDescent="0.25">
      <c r="A144" s="63">
        <v>43624</v>
      </c>
      <c r="B144" s="64" t="s">
        <v>569</v>
      </c>
      <c r="C144" s="64" t="s">
        <v>570</v>
      </c>
      <c r="D144" s="64" t="s">
        <v>571</v>
      </c>
      <c r="E144" s="64" t="s">
        <v>572</v>
      </c>
      <c r="F144" s="64" t="s">
        <v>573</v>
      </c>
      <c r="G144" s="64">
        <v>1</v>
      </c>
      <c r="H144" s="64">
        <v>5</v>
      </c>
      <c r="I144" s="64">
        <v>4.5199999999999996</v>
      </c>
      <c r="J144" s="64">
        <v>3.45</v>
      </c>
      <c r="K144" s="64">
        <v>1.67</v>
      </c>
      <c r="L144" s="64">
        <v>2.85</v>
      </c>
      <c r="M144" s="64">
        <v>24</v>
      </c>
      <c r="N144" s="64">
        <v>33</v>
      </c>
      <c r="O144" s="64">
        <v>1</v>
      </c>
      <c r="P144" s="64">
        <v>8</v>
      </c>
      <c r="Q144" s="64">
        <v>14</v>
      </c>
      <c r="R144" s="64">
        <v>0</v>
      </c>
      <c r="S144" s="64">
        <v>0</v>
      </c>
      <c r="T144" s="64">
        <v>100</v>
      </c>
      <c r="U144" s="64">
        <v>29.17</v>
      </c>
      <c r="V144" s="64">
        <v>37.5</v>
      </c>
      <c r="W144" s="64">
        <v>33.33</v>
      </c>
      <c r="X144" s="64">
        <v>63.64</v>
      </c>
      <c r="Y144" s="64">
        <v>15.15</v>
      </c>
      <c r="Z144" s="64">
        <v>21.21</v>
      </c>
      <c r="AA144" s="64">
        <v>25</v>
      </c>
      <c r="AB144" s="64">
        <v>50</v>
      </c>
      <c r="AC144" s="64">
        <v>13</v>
      </c>
      <c r="AD144" s="64">
        <v>27</v>
      </c>
      <c r="AE144" s="64">
        <v>30.77</v>
      </c>
      <c r="AF144" s="64">
        <v>70.37</v>
      </c>
      <c r="AG144" s="51">
        <f t="shared" si="21"/>
        <v>-37.083000000000006</v>
      </c>
      <c r="AH144" s="52">
        <f t="shared" si="22"/>
        <v>37.083000000000006</v>
      </c>
      <c r="AI144" s="52" t="str">
        <f t="shared" si="23"/>
        <v>N</v>
      </c>
      <c r="AJ144" s="52" t="str">
        <f t="shared" si="24"/>
        <v>N</v>
      </c>
      <c r="AK144" s="50" t="str">
        <f t="shared" si="25"/>
        <v>Loss</v>
      </c>
      <c r="AL144" s="50" t="str">
        <f t="shared" si="26"/>
        <v>Loss</v>
      </c>
      <c r="AM144" s="50" t="str">
        <f t="shared" si="27"/>
        <v>Win</v>
      </c>
      <c r="AN144" s="50">
        <f t="shared" si="28"/>
        <v>-50</v>
      </c>
      <c r="AO144" s="50">
        <f t="shared" si="29"/>
        <v>-50</v>
      </c>
      <c r="AP144" s="50">
        <f t="shared" si="30"/>
        <v>33.5</v>
      </c>
    </row>
    <row r="145" spans="1:42" x14ac:dyDescent="0.25">
      <c r="A145" s="63">
        <v>43624</v>
      </c>
      <c r="B145" s="64" t="s">
        <v>384</v>
      </c>
      <c r="C145" s="64" t="s">
        <v>574</v>
      </c>
      <c r="D145" s="64" t="s">
        <v>575</v>
      </c>
      <c r="E145" s="64" t="s">
        <v>576</v>
      </c>
      <c r="F145" s="64" t="s">
        <v>577</v>
      </c>
      <c r="G145" s="64">
        <v>2</v>
      </c>
      <c r="H145" s="64">
        <v>1</v>
      </c>
      <c r="I145" s="64">
        <v>1.7</v>
      </c>
      <c r="J145" s="64">
        <v>3.56</v>
      </c>
      <c r="K145" s="64">
        <v>5.76</v>
      </c>
      <c r="L145" s="64">
        <v>-4.0599999999999996</v>
      </c>
      <c r="M145" s="64">
        <v>6</v>
      </c>
      <c r="N145" s="64">
        <v>8</v>
      </c>
      <c r="O145" s="64">
        <v>0</v>
      </c>
      <c r="P145" s="64">
        <v>3</v>
      </c>
      <c r="Q145" s="64">
        <v>3</v>
      </c>
      <c r="R145" s="64">
        <v>0</v>
      </c>
      <c r="S145" s="64">
        <v>0</v>
      </c>
      <c r="T145" s="64">
        <v>0</v>
      </c>
      <c r="U145" s="64">
        <v>33.33</v>
      </c>
      <c r="V145" s="64">
        <v>16.670000000000002</v>
      </c>
      <c r="W145" s="64">
        <v>50</v>
      </c>
      <c r="X145" s="64">
        <v>50</v>
      </c>
      <c r="Y145" s="64">
        <v>0</v>
      </c>
      <c r="Z145" s="64">
        <v>50</v>
      </c>
      <c r="AA145" s="64">
        <v>66.67</v>
      </c>
      <c r="AB145" s="64">
        <v>33.33</v>
      </c>
      <c r="AC145" s="64">
        <v>3</v>
      </c>
      <c r="AD145" s="64">
        <v>3</v>
      </c>
      <c r="AE145" s="64">
        <v>33.33</v>
      </c>
      <c r="AF145" s="64">
        <v>100</v>
      </c>
      <c r="AG145" s="51">
        <f t="shared" si="21"/>
        <v>-1.6669999999999998</v>
      </c>
      <c r="AH145" s="52">
        <f t="shared" si="22"/>
        <v>1.6669999999999998</v>
      </c>
      <c r="AI145" s="52" t="str">
        <f t="shared" si="23"/>
        <v>N</v>
      </c>
      <c r="AJ145" s="52" t="str">
        <f t="shared" si="24"/>
        <v>N</v>
      </c>
      <c r="AK145" s="50" t="str">
        <f t="shared" si="25"/>
        <v>Win</v>
      </c>
      <c r="AL145" s="50" t="str">
        <f t="shared" si="26"/>
        <v>Loss</v>
      </c>
      <c r="AM145" s="50" t="str">
        <f t="shared" si="27"/>
        <v>Loss</v>
      </c>
      <c r="AN145" s="50">
        <f t="shared" si="28"/>
        <v>35</v>
      </c>
      <c r="AO145" s="50">
        <f t="shared" si="29"/>
        <v>-50</v>
      </c>
      <c r="AP145" s="50">
        <f t="shared" si="30"/>
        <v>-50</v>
      </c>
    </row>
    <row r="146" spans="1:42" x14ac:dyDescent="0.25">
      <c r="A146" s="63">
        <v>43624</v>
      </c>
      <c r="B146" s="64" t="s">
        <v>384</v>
      </c>
      <c r="C146" s="64" t="s">
        <v>574</v>
      </c>
      <c r="D146" s="64" t="s">
        <v>578</v>
      </c>
      <c r="E146" s="64" t="s">
        <v>579</v>
      </c>
      <c r="F146" s="64" t="s">
        <v>580</v>
      </c>
      <c r="G146" s="64">
        <v>1</v>
      </c>
      <c r="H146" s="64">
        <v>0</v>
      </c>
      <c r="I146" s="64">
        <v>1.79</v>
      </c>
      <c r="J146" s="64">
        <v>3.32</v>
      </c>
      <c r="K146" s="64">
        <v>5.56</v>
      </c>
      <c r="L146" s="64">
        <v>-3.77</v>
      </c>
      <c r="M146" s="64">
        <v>6</v>
      </c>
      <c r="N146" s="64">
        <v>6</v>
      </c>
      <c r="O146" s="64">
        <v>0</v>
      </c>
      <c r="P146" s="64">
        <v>2</v>
      </c>
      <c r="Q146" s="64">
        <v>3</v>
      </c>
      <c r="R146" s="64">
        <v>0</v>
      </c>
      <c r="S146" s="64">
        <v>0</v>
      </c>
      <c r="T146" s="64">
        <v>0</v>
      </c>
      <c r="U146" s="64">
        <v>16.670000000000002</v>
      </c>
      <c r="V146" s="64">
        <v>0</v>
      </c>
      <c r="W146" s="64">
        <v>83.33</v>
      </c>
      <c r="X146" s="64">
        <v>33.33</v>
      </c>
      <c r="Y146" s="64">
        <v>0</v>
      </c>
      <c r="Z146" s="64">
        <v>66.67</v>
      </c>
      <c r="AA146" s="64">
        <v>0</v>
      </c>
      <c r="AB146" s="64">
        <v>33.33</v>
      </c>
      <c r="AC146" s="64">
        <v>1</v>
      </c>
      <c r="AD146" s="64">
        <v>1</v>
      </c>
      <c r="AE146" s="64">
        <v>100</v>
      </c>
      <c r="AF146" s="64">
        <v>100</v>
      </c>
      <c r="AG146" s="51">
        <f t="shared" si="21"/>
        <v>-6.6639999999999997</v>
      </c>
      <c r="AH146" s="52">
        <f t="shared" si="22"/>
        <v>6.6639999999999997</v>
      </c>
      <c r="AI146" s="52" t="str">
        <f t="shared" si="23"/>
        <v>N</v>
      </c>
      <c r="AJ146" s="52" t="str">
        <f t="shared" si="24"/>
        <v>N</v>
      </c>
      <c r="AK146" s="50" t="str">
        <f t="shared" si="25"/>
        <v>Win</v>
      </c>
      <c r="AL146" s="50" t="str">
        <f t="shared" si="26"/>
        <v>Loss</v>
      </c>
      <c r="AM146" s="50" t="str">
        <f t="shared" si="27"/>
        <v>Loss</v>
      </c>
      <c r="AN146" s="50">
        <f t="shared" si="28"/>
        <v>39.5</v>
      </c>
      <c r="AO146" s="50">
        <f t="shared" si="29"/>
        <v>-50</v>
      </c>
      <c r="AP146" s="50">
        <f t="shared" si="30"/>
        <v>-50</v>
      </c>
    </row>
    <row r="147" spans="1:42" x14ac:dyDescent="0.25">
      <c r="A147" s="63">
        <v>43624</v>
      </c>
      <c r="B147" s="64" t="s">
        <v>389</v>
      </c>
      <c r="C147" s="64" t="s">
        <v>390</v>
      </c>
      <c r="D147" s="64" t="s">
        <v>581</v>
      </c>
      <c r="E147" s="64" t="s">
        <v>582</v>
      </c>
      <c r="F147" s="64" t="s">
        <v>583</v>
      </c>
      <c r="G147" s="64">
        <v>0</v>
      </c>
      <c r="H147" s="64">
        <v>3</v>
      </c>
      <c r="I147" s="64">
        <v>5.13</v>
      </c>
      <c r="J147" s="64">
        <v>4.7</v>
      </c>
      <c r="K147" s="64">
        <v>1.4</v>
      </c>
      <c r="L147" s="64">
        <v>3.73</v>
      </c>
      <c r="M147" s="64">
        <v>34</v>
      </c>
      <c r="N147" s="64">
        <v>33</v>
      </c>
      <c r="O147" s="64">
        <v>3</v>
      </c>
      <c r="P147" s="64">
        <v>17</v>
      </c>
      <c r="Q147" s="64">
        <v>17</v>
      </c>
      <c r="R147" s="64">
        <v>0</v>
      </c>
      <c r="S147" s="64">
        <v>0</v>
      </c>
      <c r="T147" s="64">
        <v>100</v>
      </c>
      <c r="U147" s="64">
        <v>23.53</v>
      </c>
      <c r="V147" s="64">
        <v>11.76</v>
      </c>
      <c r="W147" s="64">
        <v>64.709999999999994</v>
      </c>
      <c r="X147" s="64">
        <v>57.58</v>
      </c>
      <c r="Y147" s="64">
        <v>21.21</v>
      </c>
      <c r="Z147" s="64">
        <v>21.21</v>
      </c>
      <c r="AA147" s="64">
        <v>23.53</v>
      </c>
      <c r="AB147" s="64">
        <v>58.82</v>
      </c>
      <c r="AC147" s="64">
        <v>8</v>
      </c>
      <c r="AD147" s="64">
        <v>29</v>
      </c>
      <c r="AE147" s="64">
        <v>50</v>
      </c>
      <c r="AF147" s="64">
        <v>58.62</v>
      </c>
      <c r="AG147" s="51">
        <f t="shared" si="21"/>
        <v>-46.455000000000005</v>
      </c>
      <c r="AH147" s="52">
        <f t="shared" si="22"/>
        <v>46.455000000000005</v>
      </c>
      <c r="AI147" s="52" t="str">
        <f t="shared" si="23"/>
        <v>N</v>
      </c>
      <c r="AJ147" s="52" t="str">
        <f t="shared" si="24"/>
        <v>Y</v>
      </c>
      <c r="AK147" s="50" t="str">
        <f t="shared" si="25"/>
        <v>Loss</v>
      </c>
      <c r="AL147" s="50" t="str">
        <f t="shared" si="26"/>
        <v>Loss</v>
      </c>
      <c r="AM147" s="50" t="str">
        <f t="shared" si="27"/>
        <v>Win</v>
      </c>
      <c r="AN147" s="50">
        <f t="shared" si="28"/>
        <v>-50</v>
      </c>
      <c r="AO147" s="50">
        <f t="shared" si="29"/>
        <v>-50</v>
      </c>
      <c r="AP147" s="50">
        <f t="shared" si="30"/>
        <v>20</v>
      </c>
    </row>
    <row r="148" spans="1:42" x14ac:dyDescent="0.25">
      <c r="A148" s="63">
        <v>43624</v>
      </c>
      <c r="B148" s="64" t="s">
        <v>394</v>
      </c>
      <c r="C148" s="64" t="s">
        <v>395</v>
      </c>
      <c r="D148" s="64" t="s">
        <v>584</v>
      </c>
      <c r="E148" s="64" t="s">
        <v>585</v>
      </c>
      <c r="F148" s="64" t="s">
        <v>586</v>
      </c>
      <c r="G148" s="64">
        <v>3</v>
      </c>
      <c r="H148" s="64">
        <v>1</v>
      </c>
      <c r="I148" s="64">
        <v>1.02</v>
      </c>
      <c r="J148" s="64">
        <v>11.78</v>
      </c>
      <c r="K148" s="64">
        <v>18.309999999999999</v>
      </c>
      <c r="L148" s="64">
        <v>-17.29</v>
      </c>
      <c r="M148" s="64">
        <v>20</v>
      </c>
      <c r="N148" s="64">
        <v>1</v>
      </c>
      <c r="O148" s="64">
        <v>0</v>
      </c>
      <c r="P148" s="64">
        <v>10</v>
      </c>
      <c r="Q148" s="64">
        <v>1</v>
      </c>
      <c r="R148" s="64">
        <v>0</v>
      </c>
      <c r="S148" s="64">
        <v>0</v>
      </c>
      <c r="T148" s="64">
        <v>0</v>
      </c>
      <c r="U148" s="64">
        <v>50</v>
      </c>
      <c r="V148" s="64">
        <v>15</v>
      </c>
      <c r="W148" s="64">
        <v>35</v>
      </c>
      <c r="X148" s="64">
        <v>0</v>
      </c>
      <c r="Y148" s="64">
        <v>0</v>
      </c>
      <c r="Z148" s="64">
        <v>100</v>
      </c>
      <c r="AA148" s="64">
        <v>70</v>
      </c>
      <c r="AB148" s="64">
        <v>0</v>
      </c>
      <c r="AC148" s="64">
        <v>9</v>
      </c>
      <c r="AD148" s="64">
        <v>0</v>
      </c>
      <c r="AE148" s="64">
        <v>88.89</v>
      </c>
      <c r="AF148" s="64">
        <v>0</v>
      </c>
      <c r="AG148" s="51">
        <f t="shared" si="21"/>
        <v>24.5</v>
      </c>
      <c r="AH148" s="52">
        <f t="shared" si="22"/>
        <v>-24.5</v>
      </c>
      <c r="AI148" s="52" t="str">
        <f t="shared" si="23"/>
        <v>N</v>
      </c>
      <c r="AJ148" s="52" t="str">
        <f t="shared" si="24"/>
        <v>N</v>
      </c>
      <c r="AK148" s="50" t="str">
        <f t="shared" si="25"/>
        <v>Win</v>
      </c>
      <c r="AL148" s="50" t="str">
        <f t="shared" si="26"/>
        <v>Loss</v>
      </c>
      <c r="AM148" s="50" t="str">
        <f t="shared" si="27"/>
        <v>Loss</v>
      </c>
      <c r="AN148" s="50">
        <f t="shared" si="28"/>
        <v>1</v>
      </c>
      <c r="AO148" s="50">
        <f t="shared" si="29"/>
        <v>-50</v>
      </c>
      <c r="AP148" s="50">
        <f t="shared" si="30"/>
        <v>-50</v>
      </c>
    </row>
    <row r="149" spans="1:42" x14ac:dyDescent="0.25">
      <c r="A149" s="63">
        <v>43624</v>
      </c>
      <c r="B149" s="64" t="s">
        <v>376</v>
      </c>
      <c r="C149" s="64" t="s">
        <v>482</v>
      </c>
      <c r="D149" s="64" t="s">
        <v>587</v>
      </c>
      <c r="E149" s="64" t="s">
        <v>588</v>
      </c>
      <c r="F149" s="64" t="s">
        <v>589</v>
      </c>
      <c r="G149" s="64">
        <v>0</v>
      </c>
      <c r="H149" s="64">
        <v>1</v>
      </c>
      <c r="I149" s="64">
        <v>2.35</v>
      </c>
      <c r="J149" s="64">
        <v>3.53</v>
      </c>
      <c r="K149" s="64">
        <v>2.64</v>
      </c>
      <c r="L149" s="64">
        <v>-0.28999999999999998</v>
      </c>
      <c r="M149" s="64">
        <v>33</v>
      </c>
      <c r="N149" s="64">
        <v>38</v>
      </c>
      <c r="O149" s="64">
        <v>0</v>
      </c>
      <c r="P149" s="64">
        <v>17</v>
      </c>
      <c r="Q149" s="64">
        <v>20</v>
      </c>
      <c r="R149" s="64">
        <v>0</v>
      </c>
      <c r="S149" s="64">
        <v>0</v>
      </c>
      <c r="T149" s="64">
        <v>0</v>
      </c>
      <c r="U149" s="64">
        <v>48.48</v>
      </c>
      <c r="V149" s="64">
        <v>15.15</v>
      </c>
      <c r="W149" s="64">
        <v>36.36</v>
      </c>
      <c r="X149" s="64">
        <v>65.790000000000006</v>
      </c>
      <c r="Y149" s="64">
        <v>21.05</v>
      </c>
      <c r="Z149" s="64">
        <v>13.16</v>
      </c>
      <c r="AA149" s="64">
        <v>47.06</v>
      </c>
      <c r="AB149" s="64">
        <v>65</v>
      </c>
      <c r="AC149" s="64">
        <v>13</v>
      </c>
      <c r="AD149" s="64">
        <v>28</v>
      </c>
      <c r="AE149" s="64">
        <v>69.23</v>
      </c>
      <c r="AF149" s="64">
        <v>75</v>
      </c>
      <c r="AG149" s="51">
        <f t="shared" si="21"/>
        <v>-8.6920000000000019</v>
      </c>
      <c r="AH149" s="52">
        <f t="shared" si="22"/>
        <v>8.6920000000000019</v>
      </c>
      <c r="AI149" s="52" t="str">
        <f t="shared" si="23"/>
        <v>N</v>
      </c>
      <c r="AJ149" s="52" t="str">
        <f t="shared" si="24"/>
        <v>N</v>
      </c>
      <c r="AK149" s="50" t="str">
        <f t="shared" si="25"/>
        <v>Loss</v>
      </c>
      <c r="AL149" s="50" t="str">
        <f t="shared" si="26"/>
        <v>Loss</v>
      </c>
      <c r="AM149" s="50" t="str">
        <f t="shared" si="27"/>
        <v>Win</v>
      </c>
      <c r="AN149" s="50">
        <f t="shared" si="28"/>
        <v>-50</v>
      </c>
      <c r="AO149" s="50">
        <f t="shared" si="29"/>
        <v>-50</v>
      </c>
      <c r="AP149" s="50">
        <f t="shared" si="30"/>
        <v>82</v>
      </c>
    </row>
    <row r="150" spans="1:42" x14ac:dyDescent="0.25">
      <c r="A150" s="63">
        <v>43624</v>
      </c>
      <c r="B150" s="64" t="s">
        <v>376</v>
      </c>
      <c r="C150" s="64" t="s">
        <v>590</v>
      </c>
      <c r="D150" s="64" t="s">
        <v>591</v>
      </c>
      <c r="E150" s="64" t="s">
        <v>592</v>
      </c>
      <c r="F150" s="64" t="s">
        <v>593</v>
      </c>
      <c r="G150" s="64">
        <v>1</v>
      </c>
      <c r="H150" s="64">
        <v>2</v>
      </c>
      <c r="I150" s="64">
        <v>2.15</v>
      </c>
      <c r="J150" s="64">
        <v>3.67</v>
      </c>
      <c r="K150" s="64">
        <v>2.77</v>
      </c>
      <c r="L150" s="64">
        <v>-0.62</v>
      </c>
      <c r="M150" s="64">
        <v>57</v>
      </c>
      <c r="N150" s="64">
        <v>61</v>
      </c>
      <c r="O150" s="64">
        <v>0</v>
      </c>
      <c r="P150" s="64">
        <v>29</v>
      </c>
      <c r="Q150" s="64">
        <v>31</v>
      </c>
      <c r="R150" s="64">
        <v>0</v>
      </c>
      <c r="S150" s="64">
        <v>0</v>
      </c>
      <c r="T150" s="64">
        <v>0</v>
      </c>
      <c r="U150" s="64">
        <v>38.6</v>
      </c>
      <c r="V150" s="64">
        <v>24.56</v>
      </c>
      <c r="W150" s="64">
        <v>36.840000000000003</v>
      </c>
      <c r="X150" s="64">
        <v>44.26</v>
      </c>
      <c r="Y150" s="64">
        <v>24.59</v>
      </c>
      <c r="Z150" s="64">
        <v>31.15</v>
      </c>
      <c r="AA150" s="64">
        <v>44.83</v>
      </c>
      <c r="AB150" s="64">
        <v>35.479999999999997</v>
      </c>
      <c r="AC150" s="64">
        <v>31</v>
      </c>
      <c r="AD150" s="64">
        <v>34</v>
      </c>
      <c r="AE150" s="64">
        <v>61.29</v>
      </c>
      <c r="AF150" s="64">
        <v>50</v>
      </c>
      <c r="AG150" s="51">
        <f t="shared" si="21"/>
        <v>-2.2730000000000015</v>
      </c>
      <c r="AH150" s="52">
        <f t="shared" si="22"/>
        <v>2.2730000000000015</v>
      </c>
      <c r="AI150" s="52" t="str">
        <f t="shared" si="23"/>
        <v>N</v>
      </c>
      <c r="AJ150" s="52" t="str">
        <f t="shared" si="24"/>
        <v>N</v>
      </c>
      <c r="AK150" s="50" t="str">
        <f t="shared" si="25"/>
        <v>Loss</v>
      </c>
      <c r="AL150" s="50" t="str">
        <f t="shared" si="26"/>
        <v>Loss</v>
      </c>
      <c r="AM150" s="50" t="str">
        <f t="shared" si="27"/>
        <v>Win</v>
      </c>
      <c r="AN150" s="50">
        <f t="shared" si="28"/>
        <v>-50</v>
      </c>
      <c r="AO150" s="50">
        <f t="shared" si="29"/>
        <v>-50</v>
      </c>
      <c r="AP150" s="50">
        <f t="shared" si="30"/>
        <v>88.5</v>
      </c>
    </row>
    <row r="151" spans="1:42" x14ac:dyDescent="0.25">
      <c r="A151" s="63">
        <v>43624</v>
      </c>
      <c r="B151" s="64" t="s">
        <v>376</v>
      </c>
      <c r="C151" s="64" t="s">
        <v>411</v>
      </c>
      <c r="D151" s="64" t="s">
        <v>594</v>
      </c>
      <c r="E151" s="64" t="s">
        <v>595</v>
      </c>
      <c r="F151" s="64" t="s">
        <v>596</v>
      </c>
      <c r="G151" s="64">
        <v>4</v>
      </c>
      <c r="H151" s="64">
        <v>1</v>
      </c>
      <c r="I151" s="64">
        <v>1.87</v>
      </c>
      <c r="J151" s="64">
        <v>4.13</v>
      </c>
      <c r="K151" s="64">
        <v>3.17</v>
      </c>
      <c r="L151" s="64">
        <v>-1.3</v>
      </c>
      <c r="M151" s="64">
        <v>35</v>
      </c>
      <c r="N151" s="64">
        <v>8</v>
      </c>
      <c r="O151" s="64">
        <v>0</v>
      </c>
      <c r="P151" s="64">
        <v>18</v>
      </c>
      <c r="Q151" s="64">
        <v>4</v>
      </c>
      <c r="R151" s="64">
        <v>0</v>
      </c>
      <c r="S151" s="64">
        <v>0</v>
      </c>
      <c r="T151" s="64">
        <v>0</v>
      </c>
      <c r="U151" s="64">
        <v>37.14</v>
      </c>
      <c r="V151" s="64">
        <v>22.86</v>
      </c>
      <c r="W151" s="64">
        <v>40</v>
      </c>
      <c r="X151" s="64">
        <v>25</v>
      </c>
      <c r="Y151" s="64">
        <v>25</v>
      </c>
      <c r="Z151" s="64">
        <v>50</v>
      </c>
      <c r="AA151" s="64">
        <v>38.89</v>
      </c>
      <c r="AB151" s="64">
        <v>0</v>
      </c>
      <c r="AC151" s="64">
        <v>11</v>
      </c>
      <c r="AD151" s="64">
        <v>2</v>
      </c>
      <c r="AE151" s="64">
        <v>54.55</v>
      </c>
      <c r="AF151" s="64">
        <v>100</v>
      </c>
      <c r="AG151" s="51">
        <f t="shared" si="21"/>
        <v>4.2140000000000004</v>
      </c>
      <c r="AH151" s="52">
        <f t="shared" si="22"/>
        <v>-4.2140000000000004</v>
      </c>
      <c r="AI151" s="52" t="str">
        <f t="shared" si="23"/>
        <v>N</v>
      </c>
      <c r="AJ151" s="52" t="str">
        <f t="shared" si="24"/>
        <v>N</v>
      </c>
      <c r="AK151" s="50" t="str">
        <f t="shared" si="25"/>
        <v>Win</v>
      </c>
      <c r="AL151" s="50" t="str">
        <f t="shared" si="26"/>
        <v>Loss</v>
      </c>
      <c r="AM151" s="50" t="str">
        <f t="shared" si="27"/>
        <v>Loss</v>
      </c>
      <c r="AN151" s="50">
        <f t="shared" si="28"/>
        <v>43.5</v>
      </c>
      <c r="AO151" s="50">
        <f t="shared" si="29"/>
        <v>-50</v>
      </c>
      <c r="AP151" s="50">
        <f t="shared" si="30"/>
        <v>-50</v>
      </c>
    </row>
    <row r="152" spans="1:42" x14ac:dyDescent="0.25">
      <c r="A152" s="63">
        <v>43624</v>
      </c>
      <c r="B152" s="64" t="s">
        <v>376</v>
      </c>
      <c r="C152" s="64" t="s">
        <v>411</v>
      </c>
      <c r="D152" s="64" t="s">
        <v>597</v>
      </c>
      <c r="E152" s="64" t="s">
        <v>598</v>
      </c>
      <c r="F152" s="64" t="s">
        <v>599</v>
      </c>
      <c r="G152" s="64">
        <v>3</v>
      </c>
      <c r="H152" s="64">
        <v>0</v>
      </c>
      <c r="I152" s="64">
        <v>1.31</v>
      </c>
      <c r="J152" s="64">
        <v>5.64</v>
      </c>
      <c r="K152" s="64">
        <v>6.18</v>
      </c>
      <c r="L152" s="64">
        <v>-4.87</v>
      </c>
      <c r="M152" s="64">
        <v>34</v>
      </c>
      <c r="N152" s="64">
        <v>28</v>
      </c>
      <c r="O152" s="64">
        <v>1</v>
      </c>
      <c r="P152" s="64">
        <v>18</v>
      </c>
      <c r="Q152" s="64">
        <v>17</v>
      </c>
      <c r="R152" s="64">
        <v>0</v>
      </c>
      <c r="S152" s="64">
        <v>100</v>
      </c>
      <c r="T152" s="64">
        <v>0</v>
      </c>
      <c r="U152" s="64">
        <v>35.29</v>
      </c>
      <c r="V152" s="64">
        <v>29.41</v>
      </c>
      <c r="W152" s="64">
        <v>35.29</v>
      </c>
      <c r="X152" s="64">
        <v>39.29</v>
      </c>
      <c r="Y152" s="64">
        <v>25</v>
      </c>
      <c r="Z152" s="64">
        <v>35.71</v>
      </c>
      <c r="AA152" s="64">
        <v>33.33</v>
      </c>
      <c r="AB152" s="64">
        <v>29.41</v>
      </c>
      <c r="AC152" s="64">
        <v>16</v>
      </c>
      <c r="AD152" s="64">
        <v>15</v>
      </c>
      <c r="AE152" s="64">
        <v>31.25</v>
      </c>
      <c r="AF152" s="64">
        <v>60</v>
      </c>
      <c r="AG152" s="51">
        <f t="shared" si="21"/>
        <v>9.7249999999999979</v>
      </c>
      <c r="AH152" s="52">
        <f t="shared" si="22"/>
        <v>10.275000000000002</v>
      </c>
      <c r="AI152" s="52" t="str">
        <f t="shared" si="23"/>
        <v>N</v>
      </c>
      <c r="AJ152" s="52" t="str">
        <f t="shared" si="24"/>
        <v>N</v>
      </c>
      <c r="AK152" s="50" t="str">
        <f t="shared" si="25"/>
        <v>Win</v>
      </c>
      <c r="AL152" s="50" t="str">
        <f t="shared" si="26"/>
        <v>Loss</v>
      </c>
      <c r="AM152" s="50" t="str">
        <f t="shared" si="27"/>
        <v>Loss</v>
      </c>
      <c r="AN152" s="50">
        <f t="shared" si="28"/>
        <v>15.5</v>
      </c>
      <c r="AO152" s="50">
        <f t="shared" si="29"/>
        <v>-50</v>
      </c>
      <c r="AP152" s="50">
        <f t="shared" si="30"/>
        <v>-50</v>
      </c>
    </row>
    <row r="153" spans="1:42" x14ac:dyDescent="0.25">
      <c r="A153" s="63">
        <v>43624</v>
      </c>
      <c r="B153" s="64" t="s">
        <v>376</v>
      </c>
      <c r="C153" s="64" t="s">
        <v>600</v>
      </c>
      <c r="D153" s="64" t="s">
        <v>601</v>
      </c>
      <c r="E153" s="64" t="s">
        <v>602</v>
      </c>
      <c r="F153" s="64" t="s">
        <v>603</v>
      </c>
      <c r="G153" s="64">
        <v>4</v>
      </c>
      <c r="H153" s="64">
        <v>1</v>
      </c>
      <c r="I153" s="64">
        <v>1.1499999999999999</v>
      </c>
      <c r="J153" s="64">
        <v>7.12</v>
      </c>
      <c r="K153" s="64">
        <v>11.33</v>
      </c>
      <c r="L153" s="64">
        <v>-10.18</v>
      </c>
      <c r="M153" s="64">
        <v>6</v>
      </c>
      <c r="N153" s="64">
        <v>33</v>
      </c>
      <c r="O153" s="64">
        <v>0</v>
      </c>
      <c r="P153" s="64">
        <v>4</v>
      </c>
      <c r="Q153" s="64">
        <v>16</v>
      </c>
      <c r="R153" s="64">
        <v>0</v>
      </c>
      <c r="S153" s="64">
        <v>0</v>
      </c>
      <c r="T153" s="64">
        <v>0</v>
      </c>
      <c r="U153" s="64">
        <v>50</v>
      </c>
      <c r="V153" s="64">
        <v>0</v>
      </c>
      <c r="W153" s="64">
        <v>50</v>
      </c>
      <c r="X153" s="64">
        <v>30.3</v>
      </c>
      <c r="Y153" s="64">
        <v>21.21</v>
      </c>
      <c r="Z153" s="64">
        <v>48.48</v>
      </c>
      <c r="AA153" s="64">
        <v>50</v>
      </c>
      <c r="AB153" s="64">
        <v>31.25</v>
      </c>
      <c r="AC153" s="64">
        <v>2</v>
      </c>
      <c r="AD153" s="64">
        <v>19</v>
      </c>
      <c r="AE153" s="64">
        <v>0</v>
      </c>
      <c r="AF153" s="64">
        <v>52.63</v>
      </c>
      <c r="AG153" s="51">
        <f t="shared" si="21"/>
        <v>1.5149999999999988</v>
      </c>
      <c r="AH153" s="52">
        <f t="shared" si="22"/>
        <v>-1.5149999999999988</v>
      </c>
      <c r="AI153" s="52" t="str">
        <f t="shared" si="23"/>
        <v>N</v>
      </c>
      <c r="AJ153" s="52" t="str">
        <f t="shared" si="24"/>
        <v>N</v>
      </c>
      <c r="AK153" s="50" t="str">
        <f t="shared" si="25"/>
        <v>Win</v>
      </c>
      <c r="AL153" s="50" t="str">
        <f t="shared" si="26"/>
        <v>Loss</v>
      </c>
      <c r="AM153" s="50" t="str">
        <f t="shared" si="27"/>
        <v>Loss</v>
      </c>
      <c r="AN153" s="50">
        <f t="shared" si="28"/>
        <v>7.4999999999999929</v>
      </c>
      <c r="AO153" s="50">
        <f t="shared" si="29"/>
        <v>-50</v>
      </c>
      <c r="AP153" s="50">
        <f t="shared" si="30"/>
        <v>-50</v>
      </c>
    </row>
    <row r="154" spans="1:42" x14ac:dyDescent="0.25">
      <c r="A154" s="63">
        <v>43624</v>
      </c>
      <c r="B154" s="64" t="s">
        <v>342</v>
      </c>
      <c r="C154" s="64" t="s">
        <v>343</v>
      </c>
      <c r="D154" s="64" t="s">
        <v>604</v>
      </c>
      <c r="E154" s="64" t="s">
        <v>605</v>
      </c>
      <c r="F154" s="64" t="s">
        <v>606</v>
      </c>
      <c r="G154" s="64">
        <v>2</v>
      </c>
      <c r="H154" s="64">
        <v>0</v>
      </c>
      <c r="I154" s="64">
        <v>1.9</v>
      </c>
      <c r="J154" s="64">
        <v>3.78</v>
      </c>
      <c r="K154" s="64">
        <v>3.23</v>
      </c>
      <c r="L154" s="64">
        <v>-1.33</v>
      </c>
      <c r="M154" s="64">
        <v>22</v>
      </c>
      <c r="N154" s="64">
        <v>24</v>
      </c>
      <c r="O154" s="64">
        <v>3</v>
      </c>
      <c r="P154" s="64">
        <v>11</v>
      </c>
      <c r="Q154" s="64">
        <v>11</v>
      </c>
      <c r="R154" s="64">
        <v>66.67</v>
      </c>
      <c r="S154" s="64">
        <v>0</v>
      </c>
      <c r="T154" s="64">
        <v>33.33</v>
      </c>
      <c r="U154" s="64">
        <v>68.180000000000007</v>
      </c>
      <c r="V154" s="64">
        <v>18.18</v>
      </c>
      <c r="W154" s="64">
        <v>13.64</v>
      </c>
      <c r="X154" s="64">
        <v>75</v>
      </c>
      <c r="Y154" s="64">
        <v>16.670000000000002</v>
      </c>
      <c r="Z154" s="64">
        <v>8.33</v>
      </c>
      <c r="AA154" s="64">
        <v>72.73</v>
      </c>
      <c r="AB154" s="64">
        <v>63.64</v>
      </c>
      <c r="AC154" s="64">
        <v>21</v>
      </c>
      <c r="AD154" s="64">
        <v>19</v>
      </c>
      <c r="AE154" s="64">
        <v>66.67</v>
      </c>
      <c r="AF154" s="64">
        <v>84.21</v>
      </c>
      <c r="AG154" s="51">
        <f t="shared" si="21"/>
        <v>7.7270000000000056</v>
      </c>
      <c r="AH154" s="52">
        <f t="shared" si="22"/>
        <v>-7.7270000000000056</v>
      </c>
      <c r="AI154" s="52" t="str">
        <f t="shared" si="23"/>
        <v>N</v>
      </c>
      <c r="AJ154" s="52" t="str">
        <f t="shared" si="24"/>
        <v>N</v>
      </c>
      <c r="AK154" s="50" t="str">
        <f t="shared" si="25"/>
        <v>Win</v>
      </c>
      <c r="AL154" s="50" t="str">
        <f t="shared" si="26"/>
        <v>Loss</v>
      </c>
      <c r="AM154" s="50" t="str">
        <f t="shared" si="27"/>
        <v>Loss</v>
      </c>
      <c r="AN154" s="50">
        <f t="shared" si="28"/>
        <v>45</v>
      </c>
      <c r="AO154" s="50">
        <f t="shared" si="29"/>
        <v>-50</v>
      </c>
      <c r="AP154" s="50">
        <f t="shared" si="30"/>
        <v>-50</v>
      </c>
    </row>
    <row r="155" spans="1:42" x14ac:dyDescent="0.25">
      <c r="A155" s="63">
        <v>43624</v>
      </c>
      <c r="B155" s="64" t="s">
        <v>364</v>
      </c>
      <c r="C155" s="64" t="s">
        <v>443</v>
      </c>
      <c r="D155" s="64" t="s">
        <v>607</v>
      </c>
      <c r="E155" s="64" t="s">
        <v>608</v>
      </c>
      <c r="F155" s="64" t="s">
        <v>609</v>
      </c>
      <c r="G155" s="64">
        <v>2</v>
      </c>
      <c r="H155" s="64">
        <v>1</v>
      </c>
      <c r="I155" s="64">
        <v>2.65</v>
      </c>
      <c r="J155" s="64">
        <v>3.67</v>
      </c>
      <c r="K155" s="64">
        <v>2.14</v>
      </c>
      <c r="L155" s="64">
        <v>0.51</v>
      </c>
      <c r="M155" s="64">
        <v>38</v>
      </c>
      <c r="N155" s="64">
        <v>36</v>
      </c>
      <c r="O155" s="64">
        <v>0</v>
      </c>
      <c r="P155" s="64">
        <v>19</v>
      </c>
      <c r="Q155" s="64">
        <v>19</v>
      </c>
      <c r="R155" s="64">
        <v>0</v>
      </c>
      <c r="S155" s="64">
        <v>0</v>
      </c>
      <c r="T155" s="64">
        <v>0</v>
      </c>
      <c r="U155" s="64">
        <v>26.32</v>
      </c>
      <c r="V155" s="64">
        <v>28.95</v>
      </c>
      <c r="W155" s="64">
        <v>44.74</v>
      </c>
      <c r="X155" s="64">
        <v>52.78</v>
      </c>
      <c r="Y155" s="64">
        <v>22.22</v>
      </c>
      <c r="Z155" s="64">
        <v>25</v>
      </c>
      <c r="AA155" s="64">
        <v>36.840000000000003</v>
      </c>
      <c r="AB155" s="64">
        <v>42.11</v>
      </c>
      <c r="AC155" s="64">
        <v>14</v>
      </c>
      <c r="AD155" s="64">
        <v>19</v>
      </c>
      <c r="AE155" s="64">
        <v>50</v>
      </c>
      <c r="AF155" s="64">
        <v>78.95</v>
      </c>
      <c r="AG155" s="51">
        <f t="shared" si="21"/>
        <v>-8.5670000000000002</v>
      </c>
      <c r="AH155" s="52">
        <f t="shared" si="22"/>
        <v>8.5670000000000002</v>
      </c>
      <c r="AI155" s="52" t="str">
        <f t="shared" si="23"/>
        <v>N</v>
      </c>
      <c r="AJ155" s="52" t="str">
        <f t="shared" si="24"/>
        <v>N</v>
      </c>
      <c r="AK155" s="50" t="str">
        <f t="shared" si="25"/>
        <v>Win</v>
      </c>
      <c r="AL155" s="50" t="str">
        <f t="shared" si="26"/>
        <v>Loss</v>
      </c>
      <c r="AM155" s="50" t="str">
        <f t="shared" si="27"/>
        <v>Loss</v>
      </c>
      <c r="AN155" s="50">
        <f t="shared" si="28"/>
        <v>82.5</v>
      </c>
      <c r="AO155" s="50">
        <f t="shared" si="29"/>
        <v>-50</v>
      </c>
      <c r="AP155" s="50">
        <f t="shared" si="30"/>
        <v>-50</v>
      </c>
    </row>
    <row r="156" spans="1:42" x14ac:dyDescent="0.25">
      <c r="A156" s="63">
        <v>43624</v>
      </c>
      <c r="B156" s="64" t="s">
        <v>318</v>
      </c>
      <c r="C156" s="64" t="s">
        <v>610</v>
      </c>
      <c r="D156" s="64" t="s">
        <v>611</v>
      </c>
      <c r="E156" s="64" t="s">
        <v>612</v>
      </c>
      <c r="F156" s="64" t="s">
        <v>613</v>
      </c>
      <c r="G156" s="64">
        <v>2</v>
      </c>
      <c r="H156" s="64">
        <v>1</v>
      </c>
      <c r="I156" s="64">
        <v>1.85</v>
      </c>
      <c r="J156" s="64">
        <v>3.65</v>
      </c>
      <c r="K156" s="64">
        <v>3.69</v>
      </c>
      <c r="L156" s="64">
        <v>-1.84</v>
      </c>
      <c r="M156" s="64">
        <v>5</v>
      </c>
      <c r="N156" s="64">
        <v>2</v>
      </c>
      <c r="O156" s="64">
        <v>0</v>
      </c>
      <c r="P156" s="64">
        <v>2</v>
      </c>
      <c r="Q156" s="64">
        <v>2</v>
      </c>
      <c r="R156" s="64">
        <v>0</v>
      </c>
      <c r="S156" s="64">
        <v>0</v>
      </c>
      <c r="T156" s="64">
        <v>0</v>
      </c>
      <c r="U156" s="64">
        <v>60</v>
      </c>
      <c r="V156" s="64">
        <v>0</v>
      </c>
      <c r="W156" s="64">
        <v>40</v>
      </c>
      <c r="X156" s="64">
        <v>50</v>
      </c>
      <c r="Y156" s="64">
        <v>0</v>
      </c>
      <c r="Z156" s="64">
        <v>50</v>
      </c>
      <c r="AA156" s="64">
        <v>50</v>
      </c>
      <c r="AB156" s="64">
        <v>50</v>
      </c>
      <c r="AC156" s="64">
        <v>4</v>
      </c>
      <c r="AD156" s="64">
        <v>0</v>
      </c>
      <c r="AE156" s="64">
        <v>75</v>
      </c>
      <c r="AF156" s="64">
        <v>0</v>
      </c>
      <c r="AG156" s="51">
        <f t="shared" si="21"/>
        <v>4</v>
      </c>
      <c r="AH156" s="52">
        <f t="shared" si="22"/>
        <v>-4</v>
      </c>
      <c r="AI156" s="52" t="str">
        <f t="shared" si="23"/>
        <v>N</v>
      </c>
      <c r="AJ156" s="52" t="str">
        <f t="shared" si="24"/>
        <v>N</v>
      </c>
      <c r="AK156" s="50" t="str">
        <f t="shared" si="25"/>
        <v>Win</v>
      </c>
      <c r="AL156" s="50" t="str">
        <f t="shared" si="26"/>
        <v>Loss</v>
      </c>
      <c r="AM156" s="50" t="str">
        <f t="shared" si="27"/>
        <v>Loss</v>
      </c>
      <c r="AN156" s="50">
        <f t="shared" si="28"/>
        <v>42.5</v>
      </c>
      <c r="AO156" s="50">
        <f t="shared" si="29"/>
        <v>-50</v>
      </c>
      <c r="AP156" s="50">
        <f t="shared" si="30"/>
        <v>-50</v>
      </c>
    </row>
    <row r="157" spans="1:42" x14ac:dyDescent="0.25">
      <c r="A157" s="63">
        <v>43624</v>
      </c>
      <c r="B157" s="64" t="s">
        <v>318</v>
      </c>
      <c r="C157" s="64" t="s">
        <v>614</v>
      </c>
      <c r="D157" s="64" t="s">
        <v>615</v>
      </c>
      <c r="E157" s="64" t="s">
        <v>616</v>
      </c>
      <c r="F157" s="64" t="s">
        <v>617</v>
      </c>
      <c r="G157" s="64">
        <v>1</v>
      </c>
      <c r="H157" s="64">
        <v>0</v>
      </c>
      <c r="I157" s="64">
        <v>1.22</v>
      </c>
      <c r="J157" s="64">
        <v>6.09</v>
      </c>
      <c r="K157" s="64">
        <v>12.59</v>
      </c>
      <c r="L157" s="64">
        <v>-11.37</v>
      </c>
      <c r="M157" s="64">
        <v>8</v>
      </c>
      <c r="N157" s="64">
        <v>3</v>
      </c>
      <c r="O157" s="64">
        <v>0</v>
      </c>
      <c r="P157" s="64">
        <v>4</v>
      </c>
      <c r="Q157" s="64">
        <v>1</v>
      </c>
      <c r="R157" s="64">
        <v>0</v>
      </c>
      <c r="S157" s="64">
        <v>0</v>
      </c>
      <c r="T157" s="64">
        <v>0</v>
      </c>
      <c r="U157" s="64">
        <v>87.5</v>
      </c>
      <c r="V157" s="64">
        <v>0</v>
      </c>
      <c r="W157" s="64">
        <v>12.5</v>
      </c>
      <c r="X157" s="64">
        <v>0</v>
      </c>
      <c r="Y157" s="64">
        <v>0</v>
      </c>
      <c r="Z157" s="64">
        <v>100</v>
      </c>
      <c r="AA157" s="64">
        <v>75</v>
      </c>
      <c r="AB157" s="64">
        <v>0</v>
      </c>
      <c r="AC157" s="64">
        <v>8</v>
      </c>
      <c r="AD157" s="64">
        <v>0</v>
      </c>
      <c r="AE157" s="64">
        <v>87.5</v>
      </c>
      <c r="AF157" s="64">
        <v>0</v>
      </c>
      <c r="AG157" s="51">
        <f t="shared" si="21"/>
        <v>35</v>
      </c>
      <c r="AH157" s="52">
        <f t="shared" si="22"/>
        <v>-35</v>
      </c>
      <c r="AI157" s="52" t="str">
        <f t="shared" si="23"/>
        <v>N</v>
      </c>
      <c r="AJ157" s="52" t="str">
        <f t="shared" si="24"/>
        <v>N</v>
      </c>
      <c r="AK157" s="50" t="str">
        <f t="shared" si="25"/>
        <v>Win</v>
      </c>
      <c r="AL157" s="50" t="str">
        <f t="shared" si="26"/>
        <v>Loss</v>
      </c>
      <c r="AM157" s="50" t="str">
        <f t="shared" si="27"/>
        <v>Loss</v>
      </c>
      <c r="AN157" s="50">
        <f t="shared" si="28"/>
        <v>11</v>
      </c>
      <c r="AO157" s="50">
        <f t="shared" si="29"/>
        <v>-50</v>
      </c>
      <c r="AP157" s="50">
        <f t="shared" si="30"/>
        <v>-50</v>
      </c>
    </row>
    <row r="158" spans="1:42" x14ac:dyDescent="0.25">
      <c r="A158" s="63">
        <v>43624</v>
      </c>
      <c r="B158" s="64" t="s">
        <v>618</v>
      </c>
      <c r="C158" s="64" t="s">
        <v>619</v>
      </c>
      <c r="D158" s="64" t="s">
        <v>620</v>
      </c>
      <c r="E158" s="64" t="s">
        <v>621</v>
      </c>
      <c r="F158" s="64" t="s">
        <v>622</v>
      </c>
      <c r="G158" s="64">
        <v>2</v>
      </c>
      <c r="H158" s="64">
        <v>0</v>
      </c>
      <c r="I158" s="64">
        <v>1.8</v>
      </c>
      <c r="J158" s="64">
        <v>3.25</v>
      </c>
      <c r="K158" s="64">
        <v>4</v>
      </c>
      <c r="L158" s="64">
        <v>-2.2000000000000002</v>
      </c>
      <c r="M158" s="64">
        <v>9</v>
      </c>
      <c r="N158" s="64">
        <v>1</v>
      </c>
      <c r="O158" s="64">
        <v>1</v>
      </c>
      <c r="P158" s="64">
        <v>0</v>
      </c>
      <c r="Q158" s="64">
        <v>0</v>
      </c>
      <c r="R158" s="64">
        <v>0</v>
      </c>
      <c r="S158" s="64">
        <v>100</v>
      </c>
      <c r="T158" s="64">
        <v>0</v>
      </c>
      <c r="U158" s="64">
        <v>0</v>
      </c>
      <c r="V158" s="64">
        <v>55.56</v>
      </c>
      <c r="W158" s="64">
        <v>44.44</v>
      </c>
      <c r="X158" s="64">
        <v>0</v>
      </c>
      <c r="Y158" s="64">
        <v>100</v>
      </c>
      <c r="Z158" s="64">
        <v>0</v>
      </c>
      <c r="AA158" s="64">
        <v>0</v>
      </c>
      <c r="AB158" s="64">
        <v>0</v>
      </c>
      <c r="AC158" s="64">
        <v>0</v>
      </c>
      <c r="AD158" s="64">
        <v>1</v>
      </c>
      <c r="AE158" s="64">
        <v>0</v>
      </c>
      <c r="AF158" s="64">
        <v>0</v>
      </c>
      <c r="AG158" s="51">
        <f t="shared" si="21"/>
        <v>-3.331999999999999</v>
      </c>
      <c r="AH158" s="52">
        <f t="shared" si="22"/>
        <v>23.332000000000001</v>
      </c>
      <c r="AI158" s="52" t="str">
        <f t="shared" si="23"/>
        <v>N</v>
      </c>
      <c r="AJ158" s="52" t="str">
        <f t="shared" si="24"/>
        <v>N</v>
      </c>
      <c r="AK158" s="50" t="str">
        <f t="shared" si="25"/>
        <v>Win</v>
      </c>
      <c r="AL158" s="50" t="str">
        <f t="shared" si="26"/>
        <v>Loss</v>
      </c>
      <c r="AM158" s="50" t="str">
        <f t="shared" si="27"/>
        <v>Loss</v>
      </c>
      <c r="AN158" s="50">
        <f t="shared" si="28"/>
        <v>40</v>
      </c>
      <c r="AO158" s="50">
        <f t="shared" si="29"/>
        <v>-50</v>
      </c>
      <c r="AP158" s="50">
        <f t="shared" si="30"/>
        <v>-50</v>
      </c>
    </row>
    <row r="159" spans="1:42" x14ac:dyDescent="0.25">
      <c r="A159" s="63">
        <v>43624</v>
      </c>
      <c r="B159" s="64" t="s">
        <v>569</v>
      </c>
      <c r="C159" s="64" t="s">
        <v>570</v>
      </c>
      <c r="D159" s="64" t="s">
        <v>623</v>
      </c>
      <c r="E159" s="64" t="s">
        <v>624</v>
      </c>
      <c r="F159" s="64" t="s">
        <v>625</v>
      </c>
      <c r="G159" s="64">
        <v>0</v>
      </c>
      <c r="H159" s="64">
        <v>5</v>
      </c>
      <c r="I159" s="64">
        <v>5.25</v>
      </c>
      <c r="J159" s="64">
        <v>3.6</v>
      </c>
      <c r="K159" s="64">
        <v>1.53</v>
      </c>
      <c r="L159" s="64">
        <v>3.72</v>
      </c>
      <c r="M159" s="64">
        <v>25</v>
      </c>
      <c r="N159" s="64">
        <v>5</v>
      </c>
      <c r="O159" s="64">
        <v>0</v>
      </c>
      <c r="P159" s="64">
        <v>12</v>
      </c>
      <c r="Q159" s="64">
        <v>1</v>
      </c>
      <c r="R159" s="64">
        <v>0</v>
      </c>
      <c r="S159" s="64">
        <v>0</v>
      </c>
      <c r="T159" s="64">
        <v>0</v>
      </c>
      <c r="U159" s="64">
        <v>16</v>
      </c>
      <c r="V159" s="64">
        <v>24</v>
      </c>
      <c r="W159" s="64">
        <v>60</v>
      </c>
      <c r="X159" s="64">
        <v>40</v>
      </c>
      <c r="Y159" s="64">
        <v>60</v>
      </c>
      <c r="Z159" s="64">
        <v>0</v>
      </c>
      <c r="AA159" s="64">
        <v>8.33</v>
      </c>
      <c r="AB159" s="64">
        <v>0</v>
      </c>
      <c r="AC159" s="64">
        <v>7</v>
      </c>
      <c r="AD159" s="64">
        <v>4</v>
      </c>
      <c r="AE159" s="64">
        <v>28.57</v>
      </c>
      <c r="AF159" s="64">
        <v>50</v>
      </c>
      <c r="AG159" s="51">
        <f t="shared" si="21"/>
        <v>-20.399999999999999</v>
      </c>
      <c r="AH159" s="52">
        <f t="shared" si="22"/>
        <v>20.399999999999999</v>
      </c>
      <c r="AI159" s="52" t="str">
        <f t="shared" si="23"/>
        <v>N</v>
      </c>
      <c r="AJ159" s="52" t="str">
        <f t="shared" si="24"/>
        <v>N</v>
      </c>
      <c r="AK159" s="50" t="str">
        <f t="shared" si="25"/>
        <v>Loss</v>
      </c>
      <c r="AL159" s="50" t="str">
        <f t="shared" si="26"/>
        <v>Loss</v>
      </c>
      <c r="AM159" s="50" t="str">
        <f t="shared" si="27"/>
        <v>Win</v>
      </c>
      <c r="AN159" s="50">
        <f t="shared" si="28"/>
        <v>-50</v>
      </c>
      <c r="AO159" s="50">
        <f t="shared" si="29"/>
        <v>-50</v>
      </c>
      <c r="AP159" s="50">
        <f t="shared" si="30"/>
        <v>26.5</v>
      </c>
    </row>
    <row r="160" spans="1:42" x14ac:dyDescent="0.25">
      <c r="A160" s="63">
        <v>43624</v>
      </c>
      <c r="B160" s="64" t="s">
        <v>569</v>
      </c>
      <c r="C160" s="64" t="s">
        <v>570</v>
      </c>
      <c r="D160" s="64" t="s">
        <v>626</v>
      </c>
      <c r="E160" s="64" t="s">
        <v>627</v>
      </c>
      <c r="F160" s="64" t="s">
        <v>628</v>
      </c>
      <c r="G160" s="64">
        <v>3</v>
      </c>
      <c r="H160" s="64">
        <v>1</v>
      </c>
      <c r="I160" s="64">
        <v>1.28</v>
      </c>
      <c r="J160" s="64">
        <v>5.08</v>
      </c>
      <c r="K160" s="64">
        <v>8.84</v>
      </c>
      <c r="L160" s="64">
        <v>-7.56</v>
      </c>
      <c r="M160" s="64">
        <v>38</v>
      </c>
      <c r="N160" s="64">
        <v>28</v>
      </c>
      <c r="O160" s="64">
        <v>0</v>
      </c>
      <c r="P160" s="64">
        <v>19</v>
      </c>
      <c r="Q160" s="64">
        <v>14</v>
      </c>
      <c r="R160" s="64">
        <v>0</v>
      </c>
      <c r="S160" s="64">
        <v>0</v>
      </c>
      <c r="T160" s="64">
        <v>0</v>
      </c>
      <c r="U160" s="64">
        <v>26.32</v>
      </c>
      <c r="V160" s="64">
        <v>26.32</v>
      </c>
      <c r="W160" s="64">
        <v>47.37</v>
      </c>
      <c r="X160" s="64">
        <v>28.57</v>
      </c>
      <c r="Y160" s="64">
        <v>14.29</v>
      </c>
      <c r="Z160" s="64">
        <v>57.14</v>
      </c>
      <c r="AA160" s="64">
        <v>31.58</v>
      </c>
      <c r="AB160" s="64">
        <v>35.71</v>
      </c>
      <c r="AC160" s="64">
        <v>8</v>
      </c>
      <c r="AD160" s="64">
        <v>11</v>
      </c>
      <c r="AE160" s="64">
        <v>50</v>
      </c>
      <c r="AF160" s="64">
        <v>27.27</v>
      </c>
      <c r="AG160" s="51">
        <f t="shared" si="21"/>
        <v>2.7070000000000007</v>
      </c>
      <c r="AH160" s="52">
        <f t="shared" si="22"/>
        <v>-2.7070000000000007</v>
      </c>
      <c r="AI160" s="52" t="str">
        <f t="shared" si="23"/>
        <v>N</v>
      </c>
      <c r="AJ160" s="52" t="str">
        <f t="shared" si="24"/>
        <v>N</v>
      </c>
      <c r="AK160" s="50" t="str">
        <f t="shared" si="25"/>
        <v>Win</v>
      </c>
      <c r="AL160" s="50" t="str">
        <f t="shared" si="26"/>
        <v>Loss</v>
      </c>
      <c r="AM160" s="50" t="str">
        <f t="shared" si="27"/>
        <v>Loss</v>
      </c>
      <c r="AN160" s="50">
        <f t="shared" si="28"/>
        <v>14</v>
      </c>
      <c r="AO160" s="50">
        <f t="shared" si="29"/>
        <v>-50</v>
      </c>
      <c r="AP160" s="50">
        <f t="shared" si="30"/>
        <v>-50</v>
      </c>
    </row>
    <row r="161" spans="1:42" x14ac:dyDescent="0.25">
      <c r="A161" s="63">
        <v>43624</v>
      </c>
      <c r="B161" s="64" t="s">
        <v>110</v>
      </c>
      <c r="C161" s="64" t="s">
        <v>111</v>
      </c>
      <c r="D161" s="64" t="s">
        <v>629</v>
      </c>
      <c r="E161" s="64" t="s">
        <v>630</v>
      </c>
      <c r="F161" s="64" t="s">
        <v>631</v>
      </c>
      <c r="G161" s="64">
        <v>0</v>
      </c>
      <c r="H161" s="64">
        <v>0</v>
      </c>
      <c r="I161" s="64">
        <v>2.29</v>
      </c>
      <c r="J161" s="64">
        <v>2.74</v>
      </c>
      <c r="K161" s="64">
        <v>3.64</v>
      </c>
      <c r="L161" s="64">
        <v>-1.35</v>
      </c>
      <c r="M161" s="64">
        <v>62</v>
      </c>
      <c r="N161" s="64">
        <v>68</v>
      </c>
      <c r="O161" s="64">
        <v>2</v>
      </c>
      <c r="P161" s="64">
        <v>29</v>
      </c>
      <c r="Q161" s="64">
        <v>35</v>
      </c>
      <c r="R161" s="64">
        <v>50</v>
      </c>
      <c r="S161" s="64">
        <v>50</v>
      </c>
      <c r="T161" s="64">
        <v>0</v>
      </c>
      <c r="U161" s="64">
        <v>24.19</v>
      </c>
      <c r="V161" s="64">
        <v>46.77</v>
      </c>
      <c r="W161" s="64">
        <v>29.03</v>
      </c>
      <c r="X161" s="64">
        <v>32.35</v>
      </c>
      <c r="Y161" s="64">
        <v>38.24</v>
      </c>
      <c r="Z161" s="64">
        <v>29.41</v>
      </c>
      <c r="AA161" s="64">
        <v>24.14</v>
      </c>
      <c r="AB161" s="64">
        <v>31.43</v>
      </c>
      <c r="AC161" s="64">
        <v>24</v>
      </c>
      <c r="AD161" s="64">
        <v>36</v>
      </c>
      <c r="AE161" s="64">
        <v>29.17</v>
      </c>
      <c r="AF161" s="64">
        <v>33.33</v>
      </c>
      <c r="AG161" s="51">
        <f t="shared" si="21"/>
        <v>19.296999999999997</v>
      </c>
      <c r="AH161" s="52">
        <f t="shared" si="22"/>
        <v>-9.2969999999999988</v>
      </c>
      <c r="AI161" s="52" t="str">
        <f t="shared" si="23"/>
        <v>N</v>
      </c>
      <c r="AJ161" s="52" t="str">
        <f t="shared" si="24"/>
        <v>N</v>
      </c>
      <c r="AK161" s="50" t="str">
        <f t="shared" si="25"/>
        <v>Loss</v>
      </c>
      <c r="AL161" s="50" t="str">
        <f t="shared" si="26"/>
        <v>Win</v>
      </c>
      <c r="AM161" s="50" t="str">
        <f t="shared" si="27"/>
        <v>Loss</v>
      </c>
      <c r="AN161" s="50">
        <f t="shared" si="28"/>
        <v>-50</v>
      </c>
      <c r="AO161" s="50">
        <f t="shared" si="29"/>
        <v>87</v>
      </c>
      <c r="AP161" s="50">
        <f t="shared" si="30"/>
        <v>-50</v>
      </c>
    </row>
    <row r="162" spans="1:42" x14ac:dyDescent="0.25">
      <c r="A162" s="63">
        <v>43624</v>
      </c>
      <c r="B162" s="64" t="s">
        <v>632</v>
      </c>
      <c r="C162" s="64" t="s">
        <v>633</v>
      </c>
      <c r="D162" s="64" t="s">
        <v>634</v>
      </c>
      <c r="E162" s="64" t="s">
        <v>635</v>
      </c>
      <c r="F162" s="64" t="s">
        <v>636</v>
      </c>
      <c r="G162" s="64">
        <v>2</v>
      </c>
      <c r="H162" s="64">
        <v>0</v>
      </c>
      <c r="I162" s="64">
        <v>2.91</v>
      </c>
      <c r="J162" s="64">
        <v>2.97</v>
      </c>
      <c r="K162" s="64">
        <v>2.3199999999999998</v>
      </c>
      <c r="L162" s="64">
        <v>0.59</v>
      </c>
      <c r="M162" s="64">
        <v>20</v>
      </c>
      <c r="N162" s="64">
        <v>18</v>
      </c>
      <c r="O162" s="64">
        <v>0</v>
      </c>
      <c r="P162" s="64">
        <v>11</v>
      </c>
      <c r="Q162" s="64">
        <v>7</v>
      </c>
      <c r="R162" s="64">
        <v>0</v>
      </c>
      <c r="S162" s="64">
        <v>0</v>
      </c>
      <c r="T162" s="64">
        <v>0</v>
      </c>
      <c r="U162" s="64">
        <v>40</v>
      </c>
      <c r="V162" s="64">
        <v>35</v>
      </c>
      <c r="W162" s="64">
        <v>25</v>
      </c>
      <c r="X162" s="64">
        <v>38.89</v>
      </c>
      <c r="Y162" s="64">
        <v>38.89</v>
      </c>
      <c r="Z162" s="64">
        <v>22.22</v>
      </c>
      <c r="AA162" s="64">
        <v>45.45</v>
      </c>
      <c r="AB162" s="64">
        <v>28.57</v>
      </c>
      <c r="AC162" s="64">
        <v>12</v>
      </c>
      <c r="AD162" s="64">
        <v>9</v>
      </c>
      <c r="AE162" s="64">
        <v>41.67</v>
      </c>
      <c r="AF162" s="64">
        <v>55.56</v>
      </c>
      <c r="AG162" s="51">
        <f t="shared" si="21"/>
        <v>-0.72300000000000075</v>
      </c>
      <c r="AH162" s="52">
        <f t="shared" si="22"/>
        <v>0.72300000000000075</v>
      </c>
      <c r="AI162" s="52" t="str">
        <f t="shared" si="23"/>
        <v>N</v>
      </c>
      <c r="AJ162" s="52" t="str">
        <f t="shared" si="24"/>
        <v>N</v>
      </c>
      <c r="AK162" s="50" t="str">
        <f t="shared" si="25"/>
        <v>Win</v>
      </c>
      <c r="AL162" s="50" t="str">
        <f t="shared" si="26"/>
        <v>Loss</v>
      </c>
      <c r="AM162" s="50" t="str">
        <f t="shared" si="27"/>
        <v>Loss</v>
      </c>
      <c r="AN162" s="50">
        <f t="shared" si="28"/>
        <v>95.5</v>
      </c>
      <c r="AO162" s="50">
        <f t="shared" si="29"/>
        <v>-50</v>
      </c>
      <c r="AP162" s="50">
        <f t="shared" si="30"/>
        <v>-50</v>
      </c>
    </row>
    <row r="163" spans="1:42" x14ac:dyDescent="0.25">
      <c r="A163" s="63">
        <v>43624</v>
      </c>
      <c r="B163" s="64" t="s">
        <v>632</v>
      </c>
      <c r="C163" s="64" t="s">
        <v>633</v>
      </c>
      <c r="D163" s="64" t="s">
        <v>637</v>
      </c>
      <c r="E163" s="64" t="s">
        <v>638</v>
      </c>
      <c r="F163" s="64" t="s">
        <v>639</v>
      </c>
      <c r="G163" s="64">
        <v>0</v>
      </c>
      <c r="H163" s="64">
        <v>1</v>
      </c>
      <c r="I163" s="64">
        <v>2.17</v>
      </c>
      <c r="J163" s="64">
        <v>2.86</v>
      </c>
      <c r="K163" s="64">
        <v>3.29</v>
      </c>
      <c r="L163" s="64">
        <v>-1.1200000000000001</v>
      </c>
      <c r="M163" s="64">
        <v>19</v>
      </c>
      <c r="N163" s="64">
        <v>20</v>
      </c>
      <c r="O163" s="64">
        <v>0</v>
      </c>
      <c r="P163" s="64">
        <v>10</v>
      </c>
      <c r="Q163" s="64">
        <v>11</v>
      </c>
      <c r="R163" s="64">
        <v>0</v>
      </c>
      <c r="S163" s="64">
        <v>0</v>
      </c>
      <c r="T163" s="64">
        <v>0</v>
      </c>
      <c r="U163" s="64">
        <v>42.11</v>
      </c>
      <c r="V163" s="64">
        <v>36.840000000000003</v>
      </c>
      <c r="W163" s="64">
        <v>21.05</v>
      </c>
      <c r="X163" s="64">
        <v>30</v>
      </c>
      <c r="Y163" s="64">
        <v>45</v>
      </c>
      <c r="Z163" s="64">
        <v>25</v>
      </c>
      <c r="AA163" s="64">
        <v>40</v>
      </c>
      <c r="AB163" s="64">
        <v>9.09</v>
      </c>
      <c r="AC163" s="64">
        <v>12</v>
      </c>
      <c r="AD163" s="64">
        <v>7</v>
      </c>
      <c r="AE163" s="64">
        <v>41.67</v>
      </c>
      <c r="AF163" s="64">
        <v>71.430000000000007</v>
      </c>
      <c r="AG163" s="51">
        <f t="shared" si="21"/>
        <v>2.3960000000000017</v>
      </c>
      <c r="AH163" s="52">
        <f t="shared" si="22"/>
        <v>-2.3960000000000017</v>
      </c>
      <c r="AI163" s="52" t="str">
        <f t="shared" si="23"/>
        <v>N</v>
      </c>
      <c r="AJ163" s="52" t="str">
        <f t="shared" si="24"/>
        <v>N</v>
      </c>
      <c r="AK163" s="50" t="str">
        <f t="shared" si="25"/>
        <v>Loss</v>
      </c>
      <c r="AL163" s="50" t="str">
        <f t="shared" si="26"/>
        <v>Loss</v>
      </c>
      <c r="AM163" s="50" t="str">
        <f t="shared" si="27"/>
        <v>Win</v>
      </c>
      <c r="AN163" s="50">
        <f t="shared" si="28"/>
        <v>-50</v>
      </c>
      <c r="AO163" s="50">
        <f t="shared" si="29"/>
        <v>-50</v>
      </c>
      <c r="AP163" s="50">
        <f t="shared" si="30"/>
        <v>114.5</v>
      </c>
    </row>
    <row r="164" spans="1:42" x14ac:dyDescent="0.25">
      <c r="A164" s="63">
        <v>43624</v>
      </c>
      <c r="B164" s="64" t="s">
        <v>456</v>
      </c>
      <c r="C164" s="64" t="s">
        <v>640</v>
      </c>
      <c r="D164" s="64" t="s">
        <v>641</v>
      </c>
      <c r="E164" s="64" t="s">
        <v>642</v>
      </c>
      <c r="F164" s="64" t="s">
        <v>643</v>
      </c>
      <c r="G164" s="64">
        <v>1</v>
      </c>
      <c r="H164" s="64">
        <v>1</v>
      </c>
      <c r="I164" s="64">
        <v>3.13</v>
      </c>
      <c r="J164" s="64">
        <v>3.67</v>
      </c>
      <c r="K164" s="64">
        <v>1.98</v>
      </c>
      <c r="L164" s="64">
        <v>1.1499999999999999</v>
      </c>
      <c r="M164" s="64">
        <v>26</v>
      </c>
      <c r="N164" s="64">
        <v>26</v>
      </c>
      <c r="O164" s="64">
        <v>1</v>
      </c>
      <c r="P164" s="64">
        <v>13</v>
      </c>
      <c r="Q164" s="64">
        <v>12</v>
      </c>
      <c r="R164" s="64">
        <v>0</v>
      </c>
      <c r="S164" s="64">
        <v>0</v>
      </c>
      <c r="T164" s="64">
        <v>100</v>
      </c>
      <c r="U164" s="64">
        <v>30.77</v>
      </c>
      <c r="V164" s="64">
        <v>34.619999999999997</v>
      </c>
      <c r="W164" s="64">
        <v>34.619999999999997</v>
      </c>
      <c r="X164" s="64">
        <v>76.92</v>
      </c>
      <c r="Y164" s="64">
        <v>7.69</v>
      </c>
      <c r="Z164" s="64">
        <v>15.38</v>
      </c>
      <c r="AA164" s="64">
        <v>30.77</v>
      </c>
      <c r="AB164" s="64">
        <v>58.33</v>
      </c>
      <c r="AC164" s="64">
        <v>9</v>
      </c>
      <c r="AD164" s="64">
        <v>25</v>
      </c>
      <c r="AE164" s="64">
        <v>22.22</v>
      </c>
      <c r="AF164" s="64">
        <v>76</v>
      </c>
      <c r="AG164" s="51">
        <f t="shared" si="21"/>
        <v>-40.384999999999998</v>
      </c>
      <c r="AH164" s="52">
        <f t="shared" si="22"/>
        <v>40.384999999999998</v>
      </c>
      <c r="AI164" s="52" t="str">
        <f t="shared" si="23"/>
        <v>N</v>
      </c>
      <c r="AJ164" s="52" t="str">
        <f t="shared" si="24"/>
        <v>N</v>
      </c>
      <c r="AK164" s="50" t="str">
        <f t="shared" si="25"/>
        <v>Loss</v>
      </c>
      <c r="AL164" s="50" t="str">
        <f t="shared" si="26"/>
        <v>Win</v>
      </c>
      <c r="AM164" s="50" t="str">
        <f t="shared" si="27"/>
        <v>Loss</v>
      </c>
      <c r="AN164" s="50">
        <f t="shared" si="28"/>
        <v>-50</v>
      </c>
      <c r="AO164" s="50">
        <f t="shared" si="29"/>
        <v>133.5</v>
      </c>
      <c r="AP164" s="50">
        <f t="shared" si="30"/>
        <v>-50</v>
      </c>
    </row>
    <row r="165" spans="1:42" x14ac:dyDescent="0.25">
      <c r="A165" s="63">
        <v>43624</v>
      </c>
      <c r="B165" s="64" t="s">
        <v>456</v>
      </c>
      <c r="C165" s="64" t="s">
        <v>644</v>
      </c>
      <c r="D165" s="64" t="s">
        <v>645</v>
      </c>
      <c r="E165" s="64" t="s">
        <v>646</v>
      </c>
      <c r="F165" s="64" t="s">
        <v>647</v>
      </c>
      <c r="G165" s="64">
        <v>0</v>
      </c>
      <c r="H165" s="64">
        <v>1</v>
      </c>
      <c r="I165" s="64">
        <v>1.83</v>
      </c>
      <c r="J165" s="64">
        <v>3.75</v>
      </c>
      <c r="K165" s="64">
        <v>3.72</v>
      </c>
      <c r="L165" s="64">
        <v>-1.89</v>
      </c>
      <c r="M165" s="64">
        <v>59</v>
      </c>
      <c r="N165" s="64">
        <v>34</v>
      </c>
      <c r="O165" s="64">
        <v>1</v>
      </c>
      <c r="P165" s="64">
        <v>29</v>
      </c>
      <c r="Q165" s="64">
        <v>16</v>
      </c>
      <c r="R165" s="64">
        <v>100</v>
      </c>
      <c r="S165" s="64">
        <v>0</v>
      </c>
      <c r="T165" s="64">
        <v>0</v>
      </c>
      <c r="U165" s="64">
        <v>52.54</v>
      </c>
      <c r="V165" s="64">
        <v>27.12</v>
      </c>
      <c r="W165" s="64">
        <v>20.34</v>
      </c>
      <c r="X165" s="64">
        <v>61.76</v>
      </c>
      <c r="Y165" s="64">
        <v>20.59</v>
      </c>
      <c r="Z165" s="64">
        <v>17.649999999999999</v>
      </c>
      <c r="AA165" s="64">
        <v>62.07</v>
      </c>
      <c r="AB165" s="64">
        <v>75</v>
      </c>
      <c r="AC165" s="64">
        <v>36</v>
      </c>
      <c r="AD165" s="64">
        <v>30</v>
      </c>
      <c r="AE165" s="64">
        <v>61.11</v>
      </c>
      <c r="AF165" s="64">
        <v>63.33</v>
      </c>
      <c r="AG165" s="51">
        <f t="shared" si="21"/>
        <v>28.271000000000008</v>
      </c>
      <c r="AH165" s="52">
        <f t="shared" si="22"/>
        <v>-28.271000000000008</v>
      </c>
      <c r="AI165" s="52" t="str">
        <f t="shared" si="23"/>
        <v>N</v>
      </c>
      <c r="AJ165" s="52" t="str">
        <f t="shared" si="24"/>
        <v>N</v>
      </c>
      <c r="AK165" s="50" t="str">
        <f t="shared" si="25"/>
        <v>Loss</v>
      </c>
      <c r="AL165" s="50" t="str">
        <f t="shared" si="26"/>
        <v>Loss</v>
      </c>
      <c r="AM165" s="50" t="str">
        <f t="shared" si="27"/>
        <v>Win</v>
      </c>
      <c r="AN165" s="50">
        <f t="shared" si="28"/>
        <v>-50</v>
      </c>
      <c r="AO165" s="50">
        <f t="shared" si="29"/>
        <v>-50</v>
      </c>
      <c r="AP165" s="50">
        <f t="shared" si="30"/>
        <v>136</v>
      </c>
    </row>
    <row r="166" spans="1:42" x14ac:dyDescent="0.25">
      <c r="A166" s="63">
        <v>43624</v>
      </c>
      <c r="B166" s="64" t="s">
        <v>648</v>
      </c>
      <c r="C166" s="64" t="s">
        <v>649</v>
      </c>
      <c r="D166" s="64" t="s">
        <v>650</v>
      </c>
      <c r="E166" s="64" t="s">
        <v>651</v>
      </c>
      <c r="F166" s="64" t="s">
        <v>652</v>
      </c>
      <c r="G166" s="64">
        <v>0</v>
      </c>
      <c r="H166" s="64">
        <v>1</v>
      </c>
      <c r="I166" s="64">
        <v>2.5299999999999998</v>
      </c>
      <c r="J166" s="64">
        <v>3.13</v>
      </c>
      <c r="K166" s="64">
        <v>2.78</v>
      </c>
      <c r="L166" s="64">
        <v>-0.25</v>
      </c>
      <c r="M166" s="64">
        <v>19</v>
      </c>
      <c r="N166" s="64">
        <v>19</v>
      </c>
      <c r="O166" s="64">
        <v>1</v>
      </c>
      <c r="P166" s="64">
        <v>11</v>
      </c>
      <c r="Q166" s="64">
        <v>8</v>
      </c>
      <c r="R166" s="64">
        <v>0</v>
      </c>
      <c r="S166" s="64">
        <v>0</v>
      </c>
      <c r="T166" s="64">
        <v>100</v>
      </c>
      <c r="U166" s="64">
        <v>52.63</v>
      </c>
      <c r="V166" s="64">
        <v>5.26</v>
      </c>
      <c r="W166" s="64">
        <v>42.11</v>
      </c>
      <c r="X166" s="64">
        <v>63.16</v>
      </c>
      <c r="Y166" s="64">
        <v>5.26</v>
      </c>
      <c r="Z166" s="64">
        <v>31.58</v>
      </c>
      <c r="AA166" s="64">
        <v>63.64</v>
      </c>
      <c r="AB166" s="64">
        <v>37.5</v>
      </c>
      <c r="AC166" s="64">
        <v>14</v>
      </c>
      <c r="AD166" s="64">
        <v>15</v>
      </c>
      <c r="AE166" s="64">
        <v>64.290000000000006</v>
      </c>
      <c r="AF166" s="64">
        <v>73.33</v>
      </c>
      <c r="AG166" s="51">
        <f t="shared" si="21"/>
        <v>-34.211999999999996</v>
      </c>
      <c r="AH166" s="52">
        <f t="shared" si="22"/>
        <v>34.211999999999996</v>
      </c>
      <c r="AI166" s="52" t="str">
        <f t="shared" si="23"/>
        <v>N</v>
      </c>
      <c r="AJ166" s="52" t="str">
        <f t="shared" si="24"/>
        <v>N</v>
      </c>
      <c r="AK166" s="50" t="str">
        <f t="shared" si="25"/>
        <v>Loss</v>
      </c>
      <c r="AL166" s="50" t="str">
        <f t="shared" si="26"/>
        <v>Loss</v>
      </c>
      <c r="AM166" s="50" t="str">
        <f t="shared" si="27"/>
        <v>Win</v>
      </c>
      <c r="AN166" s="50">
        <f t="shared" si="28"/>
        <v>-50</v>
      </c>
      <c r="AO166" s="50">
        <f t="shared" si="29"/>
        <v>-50</v>
      </c>
      <c r="AP166" s="50">
        <f t="shared" si="30"/>
        <v>89</v>
      </c>
    </row>
    <row r="167" spans="1:42" x14ac:dyDescent="0.25">
      <c r="A167" s="63">
        <v>43624</v>
      </c>
      <c r="B167" s="64" t="s">
        <v>402</v>
      </c>
      <c r="C167" s="64" t="s">
        <v>403</v>
      </c>
      <c r="D167" s="64" t="s">
        <v>653</v>
      </c>
      <c r="E167" s="64" t="s">
        <v>654</v>
      </c>
      <c r="F167" s="64" t="s">
        <v>655</v>
      </c>
      <c r="G167" s="64">
        <v>0</v>
      </c>
      <c r="H167" s="64">
        <v>7</v>
      </c>
      <c r="I167" s="64">
        <v>14.19</v>
      </c>
      <c r="J167" s="64">
        <v>8.31</v>
      </c>
      <c r="K167" s="64">
        <v>1.0900000000000001</v>
      </c>
      <c r="L167" s="64">
        <v>13.1</v>
      </c>
      <c r="M167" s="64">
        <v>7</v>
      </c>
      <c r="N167" s="64">
        <v>10</v>
      </c>
      <c r="O167" s="64">
        <v>0</v>
      </c>
      <c r="P167" s="64">
        <v>4</v>
      </c>
      <c r="Q167" s="64">
        <v>3</v>
      </c>
      <c r="R167" s="64">
        <v>0</v>
      </c>
      <c r="S167" s="64">
        <v>0</v>
      </c>
      <c r="T167" s="64">
        <v>0</v>
      </c>
      <c r="U167" s="64">
        <v>0</v>
      </c>
      <c r="V167" s="64">
        <v>42.86</v>
      </c>
      <c r="W167" s="64">
        <v>57.14</v>
      </c>
      <c r="X167" s="64">
        <v>80</v>
      </c>
      <c r="Y167" s="64">
        <v>0</v>
      </c>
      <c r="Z167" s="64">
        <v>20</v>
      </c>
      <c r="AA167" s="64">
        <v>0</v>
      </c>
      <c r="AB167" s="64">
        <v>66.67</v>
      </c>
      <c r="AC167" s="64">
        <v>0</v>
      </c>
      <c r="AD167" s="64">
        <v>9</v>
      </c>
      <c r="AE167" s="64">
        <v>0</v>
      </c>
      <c r="AF167" s="64">
        <v>88.89</v>
      </c>
      <c r="AG167" s="51">
        <f t="shared" si="21"/>
        <v>-19.141999999999999</v>
      </c>
      <c r="AH167" s="52">
        <f t="shared" si="22"/>
        <v>19.141999999999999</v>
      </c>
      <c r="AI167" s="52" t="str">
        <f t="shared" si="23"/>
        <v>N</v>
      </c>
      <c r="AJ167" s="52" t="str">
        <f t="shared" si="24"/>
        <v>N</v>
      </c>
      <c r="AK167" s="50" t="str">
        <f t="shared" si="25"/>
        <v>Loss</v>
      </c>
      <c r="AL167" s="50" t="str">
        <f t="shared" si="26"/>
        <v>Loss</v>
      </c>
      <c r="AM167" s="50" t="str">
        <f t="shared" si="27"/>
        <v>Win</v>
      </c>
      <c r="AN167" s="50">
        <f t="shared" si="28"/>
        <v>-50</v>
      </c>
      <c r="AO167" s="50">
        <f t="shared" si="29"/>
        <v>-50</v>
      </c>
      <c r="AP167" s="50">
        <f t="shared" si="30"/>
        <v>4.5000000000000071</v>
      </c>
    </row>
    <row r="168" spans="1:42" x14ac:dyDescent="0.25">
      <c r="A168" s="63">
        <v>43624</v>
      </c>
      <c r="B168" s="64" t="s">
        <v>656</v>
      </c>
      <c r="C168" s="64" t="s">
        <v>657</v>
      </c>
      <c r="D168" s="64" t="s">
        <v>658</v>
      </c>
      <c r="E168" s="64" t="s">
        <v>659</v>
      </c>
      <c r="F168" s="64" t="s">
        <v>660</v>
      </c>
      <c r="G168" s="64">
        <v>2</v>
      </c>
      <c r="H168" s="64">
        <v>1</v>
      </c>
      <c r="I168" s="64">
        <v>1.96</v>
      </c>
      <c r="J168" s="64">
        <v>3.22</v>
      </c>
      <c r="K168" s="64">
        <v>3.4</v>
      </c>
      <c r="L168" s="64">
        <v>-1.44</v>
      </c>
      <c r="M168" s="64">
        <v>27</v>
      </c>
      <c r="N168" s="64">
        <v>21</v>
      </c>
      <c r="O168" s="64">
        <v>2</v>
      </c>
      <c r="P168" s="64">
        <v>16</v>
      </c>
      <c r="Q168" s="64">
        <v>12</v>
      </c>
      <c r="R168" s="64">
        <v>50</v>
      </c>
      <c r="S168" s="64">
        <v>0</v>
      </c>
      <c r="T168" s="64">
        <v>50</v>
      </c>
      <c r="U168" s="64">
        <v>51.85</v>
      </c>
      <c r="V168" s="64">
        <v>22.22</v>
      </c>
      <c r="W168" s="64">
        <v>25.93</v>
      </c>
      <c r="X168" s="64">
        <v>42.86</v>
      </c>
      <c r="Y168" s="64">
        <v>14.29</v>
      </c>
      <c r="Z168" s="64">
        <v>42.86</v>
      </c>
      <c r="AA168" s="64">
        <v>68.75</v>
      </c>
      <c r="AB168" s="64">
        <v>16.670000000000002</v>
      </c>
      <c r="AC168" s="64">
        <v>17</v>
      </c>
      <c r="AD168" s="64">
        <v>9</v>
      </c>
      <c r="AE168" s="64">
        <v>64.709999999999994</v>
      </c>
      <c r="AF168" s="64">
        <v>77.78</v>
      </c>
      <c r="AG168" s="51">
        <f t="shared" si="21"/>
        <v>5.9770000000000003</v>
      </c>
      <c r="AH168" s="52">
        <f t="shared" si="22"/>
        <v>-5.9770000000000003</v>
      </c>
      <c r="AI168" s="52" t="str">
        <f t="shared" si="23"/>
        <v>N</v>
      </c>
      <c r="AJ168" s="52" t="str">
        <f t="shared" si="24"/>
        <v>N</v>
      </c>
      <c r="AK168" s="50" t="str">
        <f t="shared" si="25"/>
        <v>Win</v>
      </c>
      <c r="AL168" s="50" t="str">
        <f t="shared" si="26"/>
        <v>Loss</v>
      </c>
      <c r="AM168" s="50" t="str">
        <f t="shared" si="27"/>
        <v>Loss</v>
      </c>
      <c r="AN168" s="50">
        <f t="shared" si="28"/>
        <v>48</v>
      </c>
      <c r="AO168" s="50">
        <f t="shared" si="29"/>
        <v>-50</v>
      </c>
      <c r="AP168" s="50">
        <f t="shared" si="30"/>
        <v>-50</v>
      </c>
    </row>
    <row r="169" spans="1:42" x14ac:dyDescent="0.25">
      <c r="A169" s="63">
        <v>43624</v>
      </c>
      <c r="B169" s="64" t="s">
        <v>376</v>
      </c>
      <c r="C169" s="64" t="s">
        <v>482</v>
      </c>
      <c r="D169" s="64" t="s">
        <v>661</v>
      </c>
      <c r="E169" s="64" t="s">
        <v>662</v>
      </c>
      <c r="F169" s="64" t="s">
        <v>663</v>
      </c>
      <c r="G169" s="64">
        <v>5</v>
      </c>
      <c r="H169" s="64">
        <v>0</v>
      </c>
      <c r="I169" s="64">
        <v>1.25</v>
      </c>
      <c r="J169" s="64">
        <v>5.85</v>
      </c>
      <c r="K169" s="64">
        <v>8.0399999999999991</v>
      </c>
      <c r="L169" s="64">
        <v>-6.79</v>
      </c>
      <c r="M169" s="64">
        <v>14</v>
      </c>
      <c r="N169" s="64">
        <v>33</v>
      </c>
      <c r="O169" s="64">
        <v>0</v>
      </c>
      <c r="P169" s="64">
        <v>6</v>
      </c>
      <c r="Q169" s="64">
        <v>16</v>
      </c>
      <c r="R169" s="64">
        <v>0</v>
      </c>
      <c r="S169" s="64">
        <v>0</v>
      </c>
      <c r="T169" s="64">
        <v>0</v>
      </c>
      <c r="U169" s="64">
        <v>57.14</v>
      </c>
      <c r="V169" s="64">
        <v>7.14</v>
      </c>
      <c r="W169" s="64">
        <v>35.71</v>
      </c>
      <c r="X169" s="64">
        <v>57.58</v>
      </c>
      <c r="Y169" s="64">
        <v>21.21</v>
      </c>
      <c r="Z169" s="64">
        <v>21.21</v>
      </c>
      <c r="AA169" s="64">
        <v>33.33</v>
      </c>
      <c r="AB169" s="64">
        <v>62.5</v>
      </c>
      <c r="AC169" s="64">
        <v>11</v>
      </c>
      <c r="AD169" s="64">
        <v>24</v>
      </c>
      <c r="AE169" s="64">
        <v>63.64</v>
      </c>
      <c r="AF169" s="64">
        <v>70.83</v>
      </c>
      <c r="AG169" s="51">
        <f t="shared" si="21"/>
        <v>-4.3949999999999987</v>
      </c>
      <c r="AH169" s="52">
        <f t="shared" si="22"/>
        <v>4.3949999999999987</v>
      </c>
      <c r="AI169" s="52" t="str">
        <f t="shared" si="23"/>
        <v>N</v>
      </c>
      <c r="AJ169" s="52" t="str">
        <f t="shared" si="24"/>
        <v>N</v>
      </c>
      <c r="AK169" s="50" t="str">
        <f t="shared" si="25"/>
        <v>Win</v>
      </c>
      <c r="AL169" s="50" t="str">
        <f t="shared" si="26"/>
        <v>Loss</v>
      </c>
      <c r="AM169" s="50" t="str">
        <f t="shared" si="27"/>
        <v>Loss</v>
      </c>
      <c r="AN169" s="50">
        <f t="shared" si="28"/>
        <v>12.5</v>
      </c>
      <c r="AO169" s="50">
        <f t="shared" si="29"/>
        <v>-50</v>
      </c>
      <c r="AP169" s="50">
        <f t="shared" si="30"/>
        <v>-50</v>
      </c>
    </row>
    <row r="170" spans="1:42" x14ac:dyDescent="0.25">
      <c r="A170" s="63">
        <v>43624</v>
      </c>
      <c r="B170" s="64" t="s">
        <v>376</v>
      </c>
      <c r="C170" s="64" t="s">
        <v>407</v>
      </c>
      <c r="D170" s="64" t="s">
        <v>664</v>
      </c>
      <c r="E170" s="64" t="s">
        <v>665</v>
      </c>
      <c r="F170" s="64" t="s">
        <v>666</v>
      </c>
      <c r="G170" s="64">
        <v>1</v>
      </c>
      <c r="H170" s="64">
        <v>2</v>
      </c>
      <c r="I170" s="64">
        <v>1.34</v>
      </c>
      <c r="J170" s="64">
        <v>5.34</v>
      </c>
      <c r="K170" s="64">
        <v>6.15</v>
      </c>
      <c r="L170" s="64">
        <v>-4.8099999999999996</v>
      </c>
      <c r="M170" s="64">
        <v>7</v>
      </c>
      <c r="N170" s="64">
        <v>35</v>
      </c>
      <c r="O170" s="64">
        <v>0</v>
      </c>
      <c r="P170" s="64">
        <v>3</v>
      </c>
      <c r="Q170" s="64">
        <v>16</v>
      </c>
      <c r="R170" s="64">
        <v>0</v>
      </c>
      <c r="S170" s="64">
        <v>0</v>
      </c>
      <c r="T170" s="64">
        <v>0</v>
      </c>
      <c r="U170" s="64">
        <v>28.57</v>
      </c>
      <c r="V170" s="64">
        <v>14.29</v>
      </c>
      <c r="W170" s="64">
        <v>57.14</v>
      </c>
      <c r="X170" s="64">
        <v>34.29</v>
      </c>
      <c r="Y170" s="64">
        <v>14.29</v>
      </c>
      <c r="Z170" s="64">
        <v>51.43</v>
      </c>
      <c r="AA170" s="64">
        <v>0</v>
      </c>
      <c r="AB170" s="64">
        <v>12.5</v>
      </c>
      <c r="AC170" s="64">
        <v>1</v>
      </c>
      <c r="AD170" s="64">
        <v>13</v>
      </c>
      <c r="AE170" s="64">
        <v>100</v>
      </c>
      <c r="AF170" s="64">
        <v>61.54</v>
      </c>
      <c r="AG170" s="51">
        <f t="shared" si="21"/>
        <v>-2.2859999999999996</v>
      </c>
      <c r="AH170" s="52">
        <f t="shared" si="22"/>
        <v>2.2859999999999996</v>
      </c>
      <c r="AI170" s="52" t="str">
        <f t="shared" si="23"/>
        <v>N</v>
      </c>
      <c r="AJ170" s="52" t="str">
        <f t="shared" si="24"/>
        <v>N</v>
      </c>
      <c r="AK170" s="50" t="str">
        <f t="shared" si="25"/>
        <v>Loss</v>
      </c>
      <c r="AL170" s="50" t="str">
        <f t="shared" si="26"/>
        <v>Loss</v>
      </c>
      <c r="AM170" s="50" t="str">
        <f t="shared" si="27"/>
        <v>Win</v>
      </c>
      <c r="AN170" s="50">
        <f t="shared" si="28"/>
        <v>-50</v>
      </c>
      <c r="AO170" s="50">
        <f t="shared" si="29"/>
        <v>-50</v>
      </c>
      <c r="AP170" s="50">
        <f t="shared" si="30"/>
        <v>257.5</v>
      </c>
    </row>
    <row r="171" spans="1:42" x14ac:dyDescent="0.25">
      <c r="A171" s="63">
        <v>43624</v>
      </c>
      <c r="B171" s="64" t="s">
        <v>376</v>
      </c>
      <c r="C171" s="64" t="s">
        <v>418</v>
      </c>
      <c r="D171" s="64" t="s">
        <v>667</v>
      </c>
      <c r="E171" s="64" t="s">
        <v>668</v>
      </c>
      <c r="F171" s="64" t="s">
        <v>669</v>
      </c>
      <c r="G171" s="64">
        <v>10</v>
      </c>
      <c r="H171" s="64">
        <v>1</v>
      </c>
      <c r="I171" s="64">
        <v>1.1200000000000001</v>
      </c>
      <c r="J171" s="64">
        <v>8.1300000000000008</v>
      </c>
      <c r="K171" s="64">
        <v>11.88</v>
      </c>
      <c r="L171" s="64">
        <v>-10.76</v>
      </c>
      <c r="M171" s="64">
        <v>62</v>
      </c>
      <c r="N171" s="64">
        <v>35</v>
      </c>
      <c r="O171" s="64">
        <v>0</v>
      </c>
      <c r="P171" s="64">
        <v>31</v>
      </c>
      <c r="Q171" s="64">
        <v>16</v>
      </c>
      <c r="R171" s="64">
        <v>0</v>
      </c>
      <c r="S171" s="64">
        <v>0</v>
      </c>
      <c r="T171" s="64">
        <v>0</v>
      </c>
      <c r="U171" s="64">
        <v>46.77</v>
      </c>
      <c r="V171" s="64">
        <v>17.739999999999998</v>
      </c>
      <c r="W171" s="64">
        <v>35.479999999999997</v>
      </c>
      <c r="X171" s="64">
        <v>37.14</v>
      </c>
      <c r="Y171" s="64">
        <v>5.71</v>
      </c>
      <c r="Z171" s="64">
        <v>57.14</v>
      </c>
      <c r="AA171" s="64">
        <v>45.16</v>
      </c>
      <c r="AB171" s="64">
        <v>31.25</v>
      </c>
      <c r="AC171" s="64">
        <v>35</v>
      </c>
      <c r="AD171" s="64">
        <v>18</v>
      </c>
      <c r="AE171" s="64">
        <v>60</v>
      </c>
      <c r="AF171" s="64">
        <v>61.11</v>
      </c>
      <c r="AG171" s="51">
        <f t="shared" si="21"/>
        <v>7.4610000000000003</v>
      </c>
      <c r="AH171" s="52">
        <f t="shared" si="22"/>
        <v>-7.4610000000000003</v>
      </c>
      <c r="AI171" s="52" t="str">
        <f t="shared" si="23"/>
        <v>N</v>
      </c>
      <c r="AJ171" s="52" t="str">
        <f t="shared" si="24"/>
        <v>N</v>
      </c>
      <c r="AK171" s="50" t="str">
        <f t="shared" si="25"/>
        <v>Win</v>
      </c>
      <c r="AL171" s="50" t="str">
        <f t="shared" si="26"/>
        <v>Loss</v>
      </c>
      <c r="AM171" s="50" t="str">
        <f t="shared" si="27"/>
        <v>Loss</v>
      </c>
      <c r="AN171" s="50">
        <f t="shared" si="28"/>
        <v>6.0000000000000071</v>
      </c>
      <c r="AO171" s="50">
        <f t="shared" si="29"/>
        <v>-50</v>
      </c>
      <c r="AP171" s="50">
        <f t="shared" si="30"/>
        <v>-50</v>
      </c>
    </row>
    <row r="172" spans="1:42" x14ac:dyDescent="0.25">
      <c r="A172" s="63">
        <v>43624</v>
      </c>
      <c r="B172" s="64" t="s">
        <v>376</v>
      </c>
      <c r="C172" s="64" t="s">
        <v>418</v>
      </c>
      <c r="D172" s="64" t="s">
        <v>670</v>
      </c>
      <c r="E172" s="64" t="s">
        <v>671</v>
      </c>
      <c r="F172" s="64" t="s">
        <v>672</v>
      </c>
      <c r="G172" s="64">
        <v>1</v>
      </c>
      <c r="H172" s="64">
        <v>5</v>
      </c>
      <c r="I172" s="64">
        <v>3.58</v>
      </c>
      <c r="J172" s="64">
        <v>5.0599999999999996</v>
      </c>
      <c r="K172" s="64">
        <v>1.58</v>
      </c>
      <c r="L172" s="64">
        <v>2</v>
      </c>
      <c r="M172" s="64">
        <v>10</v>
      </c>
      <c r="N172" s="64">
        <v>64</v>
      </c>
      <c r="O172" s="64">
        <v>0</v>
      </c>
      <c r="P172" s="64">
        <v>6</v>
      </c>
      <c r="Q172" s="64">
        <v>30</v>
      </c>
      <c r="R172" s="64">
        <v>0</v>
      </c>
      <c r="S172" s="64">
        <v>0</v>
      </c>
      <c r="T172" s="64">
        <v>0</v>
      </c>
      <c r="U172" s="64">
        <v>20</v>
      </c>
      <c r="V172" s="64">
        <v>10</v>
      </c>
      <c r="W172" s="64">
        <v>70</v>
      </c>
      <c r="X172" s="64">
        <v>50</v>
      </c>
      <c r="Y172" s="64">
        <v>18.75</v>
      </c>
      <c r="Z172" s="64">
        <v>31.25</v>
      </c>
      <c r="AA172" s="64">
        <v>33.33</v>
      </c>
      <c r="AB172" s="64">
        <v>43.33</v>
      </c>
      <c r="AC172" s="64">
        <v>2</v>
      </c>
      <c r="AD172" s="64">
        <v>39</v>
      </c>
      <c r="AE172" s="64">
        <v>100</v>
      </c>
      <c r="AF172" s="64">
        <v>53.85</v>
      </c>
      <c r="AG172" s="51">
        <f t="shared" si="21"/>
        <v>-14.625</v>
      </c>
      <c r="AH172" s="52">
        <f t="shared" si="22"/>
        <v>14.625</v>
      </c>
      <c r="AI172" s="52" t="str">
        <f t="shared" si="23"/>
        <v>N</v>
      </c>
      <c r="AJ172" s="52" t="str">
        <f t="shared" si="24"/>
        <v>N</v>
      </c>
      <c r="AK172" s="50" t="str">
        <f t="shared" si="25"/>
        <v>Loss</v>
      </c>
      <c r="AL172" s="50" t="str">
        <f t="shared" si="26"/>
        <v>Loss</v>
      </c>
      <c r="AM172" s="50" t="str">
        <f t="shared" si="27"/>
        <v>Win</v>
      </c>
      <c r="AN172" s="50">
        <f t="shared" si="28"/>
        <v>-50</v>
      </c>
      <c r="AO172" s="50">
        <f t="shared" si="29"/>
        <v>-50</v>
      </c>
      <c r="AP172" s="50">
        <f t="shared" si="30"/>
        <v>29</v>
      </c>
    </row>
    <row r="173" spans="1:42" x14ac:dyDescent="0.25">
      <c r="A173" s="63">
        <v>43624</v>
      </c>
      <c r="B173" s="64" t="s">
        <v>376</v>
      </c>
      <c r="C173" s="64" t="s">
        <v>600</v>
      </c>
      <c r="D173" s="64" t="s">
        <v>673</v>
      </c>
      <c r="E173" s="64" t="s">
        <v>674</v>
      </c>
      <c r="F173" s="64" t="s">
        <v>675</v>
      </c>
      <c r="G173" s="64">
        <v>3</v>
      </c>
      <c r="H173" s="64">
        <v>1</v>
      </c>
      <c r="I173" s="64">
        <v>1.7</v>
      </c>
      <c r="J173" s="64">
        <v>4.18</v>
      </c>
      <c r="K173" s="64">
        <v>3.67</v>
      </c>
      <c r="L173" s="64">
        <v>-1.97</v>
      </c>
      <c r="M173" s="64">
        <v>36</v>
      </c>
      <c r="N173" s="64">
        <v>34</v>
      </c>
      <c r="O173" s="64">
        <v>2</v>
      </c>
      <c r="P173" s="64">
        <v>17</v>
      </c>
      <c r="Q173" s="64">
        <v>17</v>
      </c>
      <c r="R173" s="64">
        <v>0</v>
      </c>
      <c r="S173" s="64">
        <v>100</v>
      </c>
      <c r="T173" s="64">
        <v>0</v>
      </c>
      <c r="U173" s="64">
        <v>38.89</v>
      </c>
      <c r="V173" s="64">
        <v>16.670000000000002</v>
      </c>
      <c r="W173" s="64">
        <v>44.44</v>
      </c>
      <c r="X173" s="64">
        <v>29.41</v>
      </c>
      <c r="Y173" s="64">
        <v>38.24</v>
      </c>
      <c r="Z173" s="64">
        <v>32.35</v>
      </c>
      <c r="AA173" s="64">
        <v>47.06</v>
      </c>
      <c r="AB173" s="64">
        <v>35.29</v>
      </c>
      <c r="AC173" s="64">
        <v>14</v>
      </c>
      <c r="AD173" s="64">
        <v>20</v>
      </c>
      <c r="AE173" s="64">
        <v>42.86</v>
      </c>
      <c r="AF173" s="64">
        <v>30</v>
      </c>
      <c r="AG173" s="51">
        <f t="shared" si="21"/>
        <v>7.3209999999999997</v>
      </c>
      <c r="AH173" s="52">
        <f t="shared" si="22"/>
        <v>12.679</v>
      </c>
      <c r="AI173" s="52" t="str">
        <f t="shared" si="23"/>
        <v>N</v>
      </c>
      <c r="AJ173" s="52" t="str">
        <f t="shared" si="24"/>
        <v>N</v>
      </c>
      <c r="AK173" s="50" t="str">
        <f t="shared" si="25"/>
        <v>Win</v>
      </c>
      <c r="AL173" s="50" t="str">
        <f t="shared" si="26"/>
        <v>Loss</v>
      </c>
      <c r="AM173" s="50" t="str">
        <f t="shared" si="27"/>
        <v>Loss</v>
      </c>
      <c r="AN173" s="50">
        <f t="shared" si="28"/>
        <v>35</v>
      </c>
      <c r="AO173" s="50">
        <f t="shared" si="29"/>
        <v>-50</v>
      </c>
      <c r="AP173" s="50">
        <f t="shared" si="30"/>
        <v>-50</v>
      </c>
    </row>
    <row r="174" spans="1:42" x14ac:dyDescent="0.25">
      <c r="A174" s="63">
        <v>43624</v>
      </c>
      <c r="B174" s="64" t="s">
        <v>342</v>
      </c>
      <c r="C174" s="64" t="s">
        <v>343</v>
      </c>
      <c r="D174" s="64" t="s">
        <v>676</v>
      </c>
      <c r="E174" s="64" t="s">
        <v>677</v>
      </c>
      <c r="F174" s="64" t="s">
        <v>678</v>
      </c>
      <c r="G174" s="64">
        <v>4</v>
      </c>
      <c r="H174" s="64">
        <v>1</v>
      </c>
      <c r="I174" s="64">
        <v>1.62</v>
      </c>
      <c r="J174" s="64">
        <v>4.32</v>
      </c>
      <c r="K174" s="64">
        <v>4.13</v>
      </c>
      <c r="L174" s="64">
        <v>-2.5099999999999998</v>
      </c>
      <c r="M174" s="64">
        <v>26</v>
      </c>
      <c r="N174" s="64">
        <v>25</v>
      </c>
      <c r="O174" s="64">
        <v>2</v>
      </c>
      <c r="P174" s="64">
        <v>14</v>
      </c>
      <c r="Q174" s="64">
        <v>14</v>
      </c>
      <c r="R174" s="64">
        <v>50</v>
      </c>
      <c r="S174" s="64">
        <v>50</v>
      </c>
      <c r="T174" s="64">
        <v>0</v>
      </c>
      <c r="U174" s="64">
        <v>73.08</v>
      </c>
      <c r="V174" s="64">
        <v>11.54</v>
      </c>
      <c r="W174" s="64">
        <v>15.38</v>
      </c>
      <c r="X174" s="64">
        <v>52</v>
      </c>
      <c r="Y174" s="64">
        <v>24</v>
      </c>
      <c r="Z174" s="64">
        <v>24</v>
      </c>
      <c r="AA174" s="64">
        <v>85.71</v>
      </c>
      <c r="AB174" s="64">
        <v>42.86</v>
      </c>
      <c r="AC174" s="64">
        <v>21</v>
      </c>
      <c r="AD174" s="64">
        <v>16</v>
      </c>
      <c r="AE174" s="64">
        <v>80.95</v>
      </c>
      <c r="AF174" s="64">
        <v>75</v>
      </c>
      <c r="AG174" s="51">
        <f t="shared" si="21"/>
        <v>24.693999999999999</v>
      </c>
      <c r="AH174" s="52">
        <f t="shared" si="22"/>
        <v>-14.693999999999999</v>
      </c>
      <c r="AI174" s="52" t="str">
        <f t="shared" si="23"/>
        <v>Y</v>
      </c>
      <c r="AJ174" s="52" t="str">
        <f t="shared" si="24"/>
        <v>N</v>
      </c>
      <c r="AK174" s="50" t="str">
        <f t="shared" si="25"/>
        <v>Win</v>
      </c>
      <c r="AL174" s="50" t="str">
        <f t="shared" si="26"/>
        <v>Loss</v>
      </c>
      <c r="AM174" s="50" t="str">
        <f t="shared" si="27"/>
        <v>Loss</v>
      </c>
      <c r="AN174" s="50">
        <f t="shared" si="28"/>
        <v>31</v>
      </c>
      <c r="AO174" s="50">
        <f t="shared" si="29"/>
        <v>-50</v>
      </c>
      <c r="AP174" s="50">
        <f t="shared" si="30"/>
        <v>-50</v>
      </c>
    </row>
    <row r="175" spans="1:42" x14ac:dyDescent="0.25">
      <c r="A175" s="63">
        <v>43624</v>
      </c>
      <c r="B175" s="64" t="s">
        <v>342</v>
      </c>
      <c r="C175" s="64" t="s">
        <v>343</v>
      </c>
      <c r="D175" s="64" t="s">
        <v>679</v>
      </c>
      <c r="E175" s="64" t="s">
        <v>680</v>
      </c>
      <c r="F175" s="64" t="s">
        <v>681</v>
      </c>
      <c r="G175" s="64">
        <v>1</v>
      </c>
      <c r="H175" s="64">
        <v>1</v>
      </c>
      <c r="I175" s="64">
        <v>2.33</v>
      </c>
      <c r="J175" s="64">
        <v>3.26</v>
      </c>
      <c r="K175" s="64">
        <v>2.83</v>
      </c>
      <c r="L175" s="64">
        <v>-0.5</v>
      </c>
      <c r="M175" s="64">
        <v>27</v>
      </c>
      <c r="N175" s="64">
        <v>21</v>
      </c>
      <c r="O175" s="64">
        <v>1</v>
      </c>
      <c r="P175" s="64">
        <v>12</v>
      </c>
      <c r="Q175" s="64">
        <v>9</v>
      </c>
      <c r="R175" s="64">
        <v>0</v>
      </c>
      <c r="S175" s="64">
        <v>0</v>
      </c>
      <c r="T175" s="64">
        <v>100</v>
      </c>
      <c r="U175" s="64">
        <v>48.15</v>
      </c>
      <c r="V175" s="64">
        <v>7.41</v>
      </c>
      <c r="W175" s="64">
        <v>44.44</v>
      </c>
      <c r="X175" s="64">
        <v>28.57</v>
      </c>
      <c r="Y175" s="64">
        <v>28.57</v>
      </c>
      <c r="Z175" s="64">
        <v>42.86</v>
      </c>
      <c r="AA175" s="64">
        <v>58.33</v>
      </c>
      <c r="AB175" s="64">
        <v>22.22</v>
      </c>
      <c r="AC175" s="64">
        <v>14</v>
      </c>
      <c r="AD175" s="64">
        <v>8</v>
      </c>
      <c r="AE175" s="64">
        <v>85.71</v>
      </c>
      <c r="AF175" s="64">
        <v>37.5</v>
      </c>
      <c r="AG175" s="51">
        <f t="shared" si="21"/>
        <v>-28.515999999999991</v>
      </c>
      <c r="AH175" s="52">
        <f t="shared" si="22"/>
        <v>28.515999999999991</v>
      </c>
      <c r="AI175" s="52" t="str">
        <f t="shared" si="23"/>
        <v>N</v>
      </c>
      <c r="AJ175" s="52" t="str">
        <f t="shared" si="24"/>
        <v>N</v>
      </c>
      <c r="AK175" s="50" t="str">
        <f t="shared" si="25"/>
        <v>Loss</v>
      </c>
      <c r="AL175" s="50" t="str">
        <f t="shared" si="26"/>
        <v>Win</v>
      </c>
      <c r="AM175" s="50" t="str">
        <f t="shared" si="27"/>
        <v>Loss</v>
      </c>
      <c r="AN175" s="50">
        <f t="shared" si="28"/>
        <v>-50</v>
      </c>
      <c r="AO175" s="50">
        <f t="shared" si="29"/>
        <v>113</v>
      </c>
      <c r="AP175" s="50">
        <f t="shared" si="30"/>
        <v>-50</v>
      </c>
    </row>
    <row r="176" spans="1:42" x14ac:dyDescent="0.25">
      <c r="A176" s="63">
        <v>43624</v>
      </c>
      <c r="B176" s="64" t="s">
        <v>342</v>
      </c>
      <c r="C176" s="64" t="s">
        <v>343</v>
      </c>
      <c r="D176" s="64" t="s">
        <v>682</v>
      </c>
      <c r="E176" s="64" t="s">
        <v>683</v>
      </c>
      <c r="F176" s="64" t="s">
        <v>684</v>
      </c>
      <c r="G176" s="64">
        <v>6</v>
      </c>
      <c r="H176" s="64">
        <v>2</v>
      </c>
      <c r="I176" s="64">
        <v>1.55</v>
      </c>
      <c r="J176" s="64">
        <v>4.0199999999999996</v>
      </c>
      <c r="K176" s="64">
        <v>5.0199999999999996</v>
      </c>
      <c r="L176" s="64">
        <v>-3.47</v>
      </c>
      <c r="M176" s="64">
        <v>23</v>
      </c>
      <c r="N176" s="64">
        <v>24</v>
      </c>
      <c r="O176" s="64">
        <v>2</v>
      </c>
      <c r="P176" s="64">
        <v>11</v>
      </c>
      <c r="Q176" s="64">
        <v>12</v>
      </c>
      <c r="R176" s="64">
        <v>0</v>
      </c>
      <c r="S176" s="64">
        <v>100</v>
      </c>
      <c r="T176" s="64">
        <v>0</v>
      </c>
      <c r="U176" s="64">
        <v>26.09</v>
      </c>
      <c r="V176" s="64">
        <v>13.04</v>
      </c>
      <c r="W176" s="64">
        <v>60.87</v>
      </c>
      <c r="X176" s="64">
        <v>20.83</v>
      </c>
      <c r="Y176" s="64">
        <v>16.670000000000002</v>
      </c>
      <c r="Z176" s="64">
        <v>62.5</v>
      </c>
      <c r="AA176" s="64">
        <v>27.27</v>
      </c>
      <c r="AB176" s="64">
        <v>16.670000000000002</v>
      </c>
      <c r="AC176" s="64">
        <v>7</v>
      </c>
      <c r="AD176" s="64">
        <v>5</v>
      </c>
      <c r="AE176" s="64">
        <v>57.14</v>
      </c>
      <c r="AF176" s="64">
        <v>80</v>
      </c>
      <c r="AG176" s="51">
        <f t="shared" si="21"/>
        <v>11.014999999999999</v>
      </c>
      <c r="AH176" s="52">
        <f t="shared" si="22"/>
        <v>8.9849999999999994</v>
      </c>
      <c r="AI176" s="52" t="str">
        <f t="shared" si="23"/>
        <v>N</v>
      </c>
      <c r="AJ176" s="52" t="str">
        <f t="shared" si="24"/>
        <v>N</v>
      </c>
      <c r="AK176" s="50" t="str">
        <f t="shared" si="25"/>
        <v>Win</v>
      </c>
      <c r="AL176" s="50" t="str">
        <f t="shared" si="26"/>
        <v>Loss</v>
      </c>
      <c r="AM176" s="50" t="str">
        <f t="shared" si="27"/>
        <v>Loss</v>
      </c>
      <c r="AN176" s="50">
        <f t="shared" si="28"/>
        <v>27.5</v>
      </c>
      <c r="AO176" s="50">
        <f t="shared" si="29"/>
        <v>-50</v>
      </c>
      <c r="AP176" s="50">
        <f t="shared" si="30"/>
        <v>-50</v>
      </c>
    </row>
    <row r="177" spans="1:42" x14ac:dyDescent="0.25">
      <c r="A177" s="63">
        <v>43624</v>
      </c>
      <c r="B177" s="64" t="s">
        <v>342</v>
      </c>
      <c r="C177" s="64" t="s">
        <v>351</v>
      </c>
      <c r="D177" s="64" t="s">
        <v>685</v>
      </c>
      <c r="E177" s="64" t="s">
        <v>686</v>
      </c>
      <c r="F177" s="64" t="s">
        <v>687</v>
      </c>
      <c r="G177" s="64">
        <v>3</v>
      </c>
      <c r="H177" s="64">
        <v>2</v>
      </c>
      <c r="I177" s="64">
        <v>1.32</v>
      </c>
      <c r="J177" s="64">
        <v>5.0599999999999996</v>
      </c>
      <c r="K177" s="64">
        <v>6.59</v>
      </c>
      <c r="L177" s="64">
        <v>-5.27</v>
      </c>
      <c r="M177" s="64">
        <v>23</v>
      </c>
      <c r="N177" s="64">
        <v>22</v>
      </c>
      <c r="O177" s="64">
        <v>0</v>
      </c>
      <c r="P177" s="64">
        <v>12</v>
      </c>
      <c r="Q177" s="64">
        <v>10</v>
      </c>
      <c r="R177" s="64">
        <v>0</v>
      </c>
      <c r="S177" s="64">
        <v>0</v>
      </c>
      <c r="T177" s="64">
        <v>0</v>
      </c>
      <c r="U177" s="64">
        <v>21.74</v>
      </c>
      <c r="V177" s="64">
        <v>13.04</v>
      </c>
      <c r="W177" s="64">
        <v>65.22</v>
      </c>
      <c r="X177" s="64">
        <v>4.55</v>
      </c>
      <c r="Y177" s="64">
        <v>18.18</v>
      </c>
      <c r="Z177" s="64">
        <v>77.27</v>
      </c>
      <c r="AA177" s="64">
        <v>25</v>
      </c>
      <c r="AB177" s="64">
        <v>0</v>
      </c>
      <c r="AC177" s="64">
        <v>2</v>
      </c>
      <c r="AD177" s="64">
        <v>1</v>
      </c>
      <c r="AE177" s="64">
        <v>0</v>
      </c>
      <c r="AF177" s="64">
        <v>0</v>
      </c>
      <c r="AG177" s="51">
        <f t="shared" si="21"/>
        <v>5.3340000000000014</v>
      </c>
      <c r="AH177" s="52">
        <f t="shared" si="22"/>
        <v>-5.3340000000000014</v>
      </c>
      <c r="AI177" s="52" t="str">
        <f t="shared" si="23"/>
        <v>N</v>
      </c>
      <c r="AJ177" s="52" t="str">
        <f t="shared" si="24"/>
        <v>N</v>
      </c>
      <c r="AK177" s="50" t="str">
        <f t="shared" si="25"/>
        <v>Win</v>
      </c>
      <c r="AL177" s="50" t="str">
        <f t="shared" si="26"/>
        <v>Loss</v>
      </c>
      <c r="AM177" s="50" t="str">
        <f t="shared" si="27"/>
        <v>Loss</v>
      </c>
      <c r="AN177" s="50">
        <f t="shared" si="28"/>
        <v>16</v>
      </c>
      <c r="AO177" s="50">
        <f t="shared" si="29"/>
        <v>-50</v>
      </c>
      <c r="AP177" s="50">
        <f t="shared" si="30"/>
        <v>-50</v>
      </c>
    </row>
    <row r="178" spans="1:42" x14ac:dyDescent="0.25">
      <c r="A178" s="63">
        <v>43624</v>
      </c>
      <c r="B178" s="64" t="s">
        <v>342</v>
      </c>
      <c r="C178" s="64" t="s">
        <v>351</v>
      </c>
      <c r="D178" s="64" t="s">
        <v>688</v>
      </c>
      <c r="E178" s="64" t="s">
        <v>689</v>
      </c>
      <c r="F178" s="64" t="s">
        <v>690</v>
      </c>
      <c r="G178" s="64">
        <v>2</v>
      </c>
      <c r="H178" s="64">
        <v>1</v>
      </c>
      <c r="I178" s="64">
        <v>3.29</v>
      </c>
      <c r="J178" s="64">
        <v>3.6</v>
      </c>
      <c r="K178" s="64">
        <v>1.94</v>
      </c>
      <c r="L178" s="64">
        <v>1.35</v>
      </c>
      <c r="M178" s="64">
        <v>27</v>
      </c>
      <c r="N178" s="64">
        <v>28</v>
      </c>
      <c r="O178" s="64">
        <v>1</v>
      </c>
      <c r="P178" s="64">
        <v>16</v>
      </c>
      <c r="Q178" s="64">
        <v>14</v>
      </c>
      <c r="R178" s="64">
        <v>0</v>
      </c>
      <c r="S178" s="64">
        <v>0</v>
      </c>
      <c r="T178" s="64">
        <v>100</v>
      </c>
      <c r="U178" s="64">
        <v>59.26</v>
      </c>
      <c r="V178" s="64">
        <v>7.41</v>
      </c>
      <c r="W178" s="64">
        <v>33.33</v>
      </c>
      <c r="X178" s="64">
        <v>57.14</v>
      </c>
      <c r="Y178" s="64">
        <v>25</v>
      </c>
      <c r="Z178" s="64">
        <v>17.86</v>
      </c>
      <c r="AA178" s="64">
        <v>68.75</v>
      </c>
      <c r="AB178" s="64">
        <v>42.86</v>
      </c>
      <c r="AC178" s="64">
        <v>18</v>
      </c>
      <c r="AD178" s="64">
        <v>22</v>
      </c>
      <c r="AE178" s="64">
        <v>77.78</v>
      </c>
      <c r="AF178" s="64">
        <v>63.64</v>
      </c>
      <c r="AG178" s="51">
        <f t="shared" si="21"/>
        <v>-34.429000000000002</v>
      </c>
      <c r="AH178" s="52">
        <f t="shared" si="22"/>
        <v>34.429000000000002</v>
      </c>
      <c r="AI178" s="52" t="str">
        <f t="shared" si="23"/>
        <v>N</v>
      </c>
      <c r="AJ178" s="52" t="str">
        <f t="shared" si="24"/>
        <v>N</v>
      </c>
      <c r="AK178" s="50" t="str">
        <f t="shared" si="25"/>
        <v>Win</v>
      </c>
      <c r="AL178" s="50" t="str">
        <f t="shared" si="26"/>
        <v>Loss</v>
      </c>
      <c r="AM178" s="50" t="str">
        <f t="shared" si="27"/>
        <v>Loss</v>
      </c>
      <c r="AN178" s="50">
        <f t="shared" si="28"/>
        <v>114.5</v>
      </c>
      <c r="AO178" s="50">
        <f t="shared" si="29"/>
        <v>-50</v>
      </c>
      <c r="AP178" s="50">
        <f t="shared" si="30"/>
        <v>-50</v>
      </c>
    </row>
    <row r="179" spans="1:42" x14ac:dyDescent="0.25">
      <c r="A179" s="63">
        <v>43624</v>
      </c>
      <c r="B179" s="64" t="s">
        <v>364</v>
      </c>
      <c r="C179" s="64" t="s">
        <v>691</v>
      </c>
      <c r="D179" s="64" t="s">
        <v>692</v>
      </c>
      <c r="E179" s="64" t="s">
        <v>693</v>
      </c>
      <c r="F179" s="64" t="s">
        <v>694</v>
      </c>
      <c r="G179" s="64">
        <v>0</v>
      </c>
      <c r="H179" s="64">
        <v>0</v>
      </c>
      <c r="I179" s="64">
        <v>3.87</v>
      </c>
      <c r="J179" s="64">
        <v>3.8</v>
      </c>
      <c r="K179" s="64">
        <v>1.77</v>
      </c>
      <c r="L179" s="64">
        <v>2.1</v>
      </c>
      <c r="M179" s="64">
        <v>44</v>
      </c>
      <c r="N179" s="64">
        <v>39</v>
      </c>
      <c r="O179" s="64">
        <v>2</v>
      </c>
      <c r="P179" s="64">
        <v>23</v>
      </c>
      <c r="Q179" s="64">
        <v>21</v>
      </c>
      <c r="R179" s="64">
        <v>0</v>
      </c>
      <c r="S179" s="64">
        <v>100</v>
      </c>
      <c r="T179" s="64">
        <v>0</v>
      </c>
      <c r="U179" s="64">
        <v>27.27</v>
      </c>
      <c r="V179" s="64">
        <v>43.18</v>
      </c>
      <c r="W179" s="64">
        <v>29.55</v>
      </c>
      <c r="X179" s="64">
        <v>33.33</v>
      </c>
      <c r="Y179" s="64">
        <v>35.9</v>
      </c>
      <c r="Z179" s="64">
        <v>30.77</v>
      </c>
      <c r="AA179" s="64">
        <v>26.09</v>
      </c>
      <c r="AB179" s="64">
        <v>23.81</v>
      </c>
      <c r="AC179" s="64">
        <v>15</v>
      </c>
      <c r="AD179" s="64">
        <v>26</v>
      </c>
      <c r="AE179" s="64">
        <v>40</v>
      </c>
      <c r="AF179" s="64">
        <v>46.15</v>
      </c>
      <c r="AG179" s="51">
        <f t="shared" si="21"/>
        <v>9.7600000000000016</v>
      </c>
      <c r="AH179" s="52">
        <f t="shared" si="22"/>
        <v>10.239999999999998</v>
      </c>
      <c r="AI179" s="52" t="str">
        <f t="shared" si="23"/>
        <v>N</v>
      </c>
      <c r="AJ179" s="52" t="str">
        <f t="shared" si="24"/>
        <v>N</v>
      </c>
      <c r="AK179" s="50" t="str">
        <f t="shared" si="25"/>
        <v>Loss</v>
      </c>
      <c r="AL179" s="50" t="str">
        <f t="shared" si="26"/>
        <v>Win</v>
      </c>
      <c r="AM179" s="50" t="str">
        <f t="shared" si="27"/>
        <v>Loss</v>
      </c>
      <c r="AN179" s="50">
        <f t="shared" si="28"/>
        <v>-50</v>
      </c>
      <c r="AO179" s="50">
        <f t="shared" si="29"/>
        <v>140</v>
      </c>
      <c r="AP179" s="50">
        <f t="shared" si="30"/>
        <v>-50</v>
      </c>
    </row>
    <row r="180" spans="1:42" x14ac:dyDescent="0.25">
      <c r="A180" s="63">
        <v>43624</v>
      </c>
      <c r="B180" s="64" t="s">
        <v>364</v>
      </c>
      <c r="C180" s="64" t="s">
        <v>691</v>
      </c>
      <c r="D180" s="64" t="s">
        <v>695</v>
      </c>
      <c r="E180" s="64" t="s">
        <v>696</v>
      </c>
      <c r="F180" s="64" t="s">
        <v>697</v>
      </c>
      <c r="G180" s="64">
        <v>0</v>
      </c>
      <c r="H180" s="64">
        <v>0</v>
      </c>
      <c r="I180" s="64">
        <v>2.79</v>
      </c>
      <c r="J180" s="64">
        <v>3.22</v>
      </c>
      <c r="K180" s="64">
        <v>2.39</v>
      </c>
      <c r="L180" s="64">
        <v>0.4</v>
      </c>
      <c r="M180" s="64">
        <v>12</v>
      </c>
      <c r="N180" s="64">
        <v>43</v>
      </c>
      <c r="O180" s="64">
        <v>0</v>
      </c>
      <c r="P180" s="64">
        <v>5</v>
      </c>
      <c r="Q180" s="64">
        <v>22</v>
      </c>
      <c r="R180" s="64">
        <v>0</v>
      </c>
      <c r="S180" s="64">
        <v>0</v>
      </c>
      <c r="T180" s="64">
        <v>0</v>
      </c>
      <c r="U180" s="64">
        <v>33.33</v>
      </c>
      <c r="V180" s="64">
        <v>16.670000000000002</v>
      </c>
      <c r="W180" s="64">
        <v>50</v>
      </c>
      <c r="X180" s="64">
        <v>32.56</v>
      </c>
      <c r="Y180" s="64">
        <v>34.880000000000003</v>
      </c>
      <c r="Z180" s="64">
        <v>32.56</v>
      </c>
      <c r="AA180" s="64">
        <v>60</v>
      </c>
      <c r="AB180" s="64">
        <v>36.36</v>
      </c>
      <c r="AC180" s="64">
        <v>5</v>
      </c>
      <c r="AD180" s="64">
        <v>17</v>
      </c>
      <c r="AE180" s="64">
        <v>60</v>
      </c>
      <c r="AF180" s="64">
        <v>47.06</v>
      </c>
      <c r="AG180" s="51">
        <f t="shared" si="21"/>
        <v>-5.1550000000000011</v>
      </c>
      <c r="AH180" s="52">
        <f t="shared" si="22"/>
        <v>5.1550000000000011</v>
      </c>
      <c r="AI180" s="52" t="str">
        <f t="shared" si="23"/>
        <v>N</v>
      </c>
      <c r="AJ180" s="52" t="str">
        <f t="shared" si="24"/>
        <v>N</v>
      </c>
      <c r="AK180" s="50" t="str">
        <f t="shared" si="25"/>
        <v>Loss</v>
      </c>
      <c r="AL180" s="50" t="str">
        <f t="shared" si="26"/>
        <v>Win</v>
      </c>
      <c r="AM180" s="50" t="str">
        <f t="shared" si="27"/>
        <v>Loss</v>
      </c>
      <c r="AN180" s="50">
        <f t="shared" si="28"/>
        <v>-50</v>
      </c>
      <c r="AO180" s="50">
        <f t="shared" si="29"/>
        <v>111</v>
      </c>
      <c r="AP180" s="50">
        <f t="shared" si="30"/>
        <v>-50</v>
      </c>
    </row>
    <row r="181" spans="1:42" x14ac:dyDescent="0.25">
      <c r="A181" s="63">
        <v>43624</v>
      </c>
      <c r="B181" s="64" t="s">
        <v>364</v>
      </c>
      <c r="C181" s="64" t="s">
        <v>691</v>
      </c>
      <c r="D181" s="64" t="s">
        <v>698</v>
      </c>
      <c r="E181" s="64" t="s">
        <v>699</v>
      </c>
      <c r="F181" s="64" t="s">
        <v>700</v>
      </c>
      <c r="G181" s="64">
        <v>3</v>
      </c>
      <c r="H181" s="64">
        <v>2</v>
      </c>
      <c r="I181" s="64">
        <v>1.77</v>
      </c>
      <c r="J181" s="64">
        <v>3.87</v>
      </c>
      <c r="K181" s="64">
        <v>3.77</v>
      </c>
      <c r="L181" s="64">
        <v>-2</v>
      </c>
      <c r="M181" s="64">
        <v>40</v>
      </c>
      <c r="N181" s="64">
        <v>39</v>
      </c>
      <c r="O181" s="64">
        <v>2</v>
      </c>
      <c r="P181" s="64">
        <v>20</v>
      </c>
      <c r="Q181" s="64">
        <v>19</v>
      </c>
      <c r="R181" s="64">
        <v>50</v>
      </c>
      <c r="S181" s="64">
        <v>50</v>
      </c>
      <c r="T181" s="64">
        <v>0</v>
      </c>
      <c r="U181" s="64">
        <v>35</v>
      </c>
      <c r="V181" s="64">
        <v>20</v>
      </c>
      <c r="W181" s="64">
        <v>45</v>
      </c>
      <c r="X181" s="64">
        <v>30.77</v>
      </c>
      <c r="Y181" s="64">
        <v>23.08</v>
      </c>
      <c r="Z181" s="64">
        <v>46.15</v>
      </c>
      <c r="AA181" s="64">
        <v>55</v>
      </c>
      <c r="AB181" s="64">
        <v>15.79</v>
      </c>
      <c r="AC181" s="64">
        <v>15</v>
      </c>
      <c r="AD181" s="64">
        <v>11</v>
      </c>
      <c r="AE181" s="64">
        <v>53.33</v>
      </c>
      <c r="AF181" s="64">
        <v>45.45</v>
      </c>
      <c r="AG181" s="51">
        <f t="shared" si="21"/>
        <v>20.768000000000001</v>
      </c>
      <c r="AH181" s="52">
        <f t="shared" si="22"/>
        <v>-10.768000000000001</v>
      </c>
      <c r="AI181" s="52" t="str">
        <f t="shared" si="23"/>
        <v>N</v>
      </c>
      <c r="AJ181" s="52" t="str">
        <f t="shared" si="24"/>
        <v>N</v>
      </c>
      <c r="AK181" s="50" t="str">
        <f t="shared" si="25"/>
        <v>Win</v>
      </c>
      <c r="AL181" s="50" t="str">
        <f t="shared" si="26"/>
        <v>Loss</v>
      </c>
      <c r="AM181" s="50" t="str">
        <f t="shared" si="27"/>
        <v>Loss</v>
      </c>
      <c r="AN181" s="50">
        <f t="shared" si="28"/>
        <v>38.5</v>
      </c>
      <c r="AO181" s="50">
        <f t="shared" si="29"/>
        <v>-50</v>
      </c>
      <c r="AP181" s="50">
        <f t="shared" si="30"/>
        <v>-50</v>
      </c>
    </row>
    <row r="182" spans="1:42" x14ac:dyDescent="0.25">
      <c r="A182" s="63">
        <v>43624</v>
      </c>
      <c r="B182" s="64" t="s">
        <v>364</v>
      </c>
      <c r="C182" s="64" t="s">
        <v>691</v>
      </c>
      <c r="D182" s="64" t="s">
        <v>701</v>
      </c>
      <c r="E182" s="64" t="s">
        <v>702</v>
      </c>
      <c r="F182" s="64" t="s">
        <v>703</v>
      </c>
      <c r="G182" s="64">
        <v>2</v>
      </c>
      <c r="H182" s="64">
        <v>0</v>
      </c>
      <c r="I182" s="64">
        <v>1.25</v>
      </c>
      <c r="J182" s="64">
        <v>5.59</v>
      </c>
      <c r="K182" s="64">
        <v>9.27</v>
      </c>
      <c r="L182" s="64">
        <v>-8.02</v>
      </c>
      <c r="M182" s="64">
        <v>44</v>
      </c>
      <c r="N182" s="64">
        <v>46</v>
      </c>
      <c r="O182" s="64">
        <v>2</v>
      </c>
      <c r="P182" s="64">
        <v>21</v>
      </c>
      <c r="Q182" s="64">
        <v>22</v>
      </c>
      <c r="R182" s="64">
        <v>0</v>
      </c>
      <c r="S182" s="64">
        <v>100</v>
      </c>
      <c r="T182" s="64">
        <v>0</v>
      </c>
      <c r="U182" s="64">
        <v>54.55</v>
      </c>
      <c r="V182" s="64">
        <v>27.27</v>
      </c>
      <c r="W182" s="64">
        <v>18.18</v>
      </c>
      <c r="X182" s="64">
        <v>30.43</v>
      </c>
      <c r="Y182" s="64">
        <v>32.61</v>
      </c>
      <c r="Z182" s="64">
        <v>36.96</v>
      </c>
      <c r="AA182" s="64">
        <v>52.38</v>
      </c>
      <c r="AB182" s="64">
        <v>22.73</v>
      </c>
      <c r="AC182" s="64">
        <v>38</v>
      </c>
      <c r="AD182" s="64">
        <v>23</v>
      </c>
      <c r="AE182" s="64">
        <v>55.26</v>
      </c>
      <c r="AF182" s="64">
        <v>47.83</v>
      </c>
      <c r="AG182" s="51">
        <f t="shared" si="21"/>
        <v>18.045999999999999</v>
      </c>
      <c r="AH182" s="52">
        <f t="shared" si="22"/>
        <v>1.9539999999999997</v>
      </c>
      <c r="AI182" s="52" t="str">
        <f t="shared" si="23"/>
        <v>N</v>
      </c>
      <c r="AJ182" s="52" t="str">
        <f t="shared" si="24"/>
        <v>N</v>
      </c>
      <c r="AK182" s="50" t="str">
        <f t="shared" si="25"/>
        <v>Win</v>
      </c>
      <c r="AL182" s="50" t="str">
        <f t="shared" si="26"/>
        <v>Loss</v>
      </c>
      <c r="AM182" s="50" t="str">
        <f t="shared" si="27"/>
        <v>Loss</v>
      </c>
      <c r="AN182" s="50">
        <f t="shared" si="28"/>
        <v>12.5</v>
      </c>
      <c r="AO182" s="50">
        <f t="shared" si="29"/>
        <v>-50</v>
      </c>
      <c r="AP182" s="50">
        <f t="shared" si="30"/>
        <v>-50</v>
      </c>
    </row>
    <row r="183" spans="1:42" x14ac:dyDescent="0.25">
      <c r="A183" s="63">
        <v>43624</v>
      </c>
      <c r="B183" s="64" t="s">
        <v>364</v>
      </c>
      <c r="C183" s="64" t="s">
        <v>704</v>
      </c>
      <c r="D183" s="64" t="s">
        <v>705</v>
      </c>
      <c r="E183" s="64" t="s">
        <v>706</v>
      </c>
      <c r="F183" s="64" t="s">
        <v>707</v>
      </c>
      <c r="G183" s="64">
        <v>1</v>
      </c>
      <c r="H183" s="64">
        <v>2</v>
      </c>
      <c r="I183" s="64">
        <v>2.5299999999999998</v>
      </c>
      <c r="J183" s="64">
        <v>3.47</v>
      </c>
      <c r="K183" s="64">
        <v>2.4900000000000002</v>
      </c>
      <c r="L183" s="64">
        <v>0.04</v>
      </c>
      <c r="M183" s="64">
        <v>46</v>
      </c>
      <c r="N183" s="64">
        <v>17</v>
      </c>
      <c r="O183" s="64">
        <v>0</v>
      </c>
      <c r="P183" s="64">
        <v>23</v>
      </c>
      <c r="Q183" s="64">
        <v>8</v>
      </c>
      <c r="R183" s="64">
        <v>0</v>
      </c>
      <c r="S183" s="64">
        <v>0</v>
      </c>
      <c r="T183" s="64">
        <v>0</v>
      </c>
      <c r="U183" s="64">
        <v>43.48</v>
      </c>
      <c r="V183" s="64">
        <v>23.91</v>
      </c>
      <c r="W183" s="64">
        <v>32.61</v>
      </c>
      <c r="X183" s="64">
        <v>17.649999999999999</v>
      </c>
      <c r="Y183" s="64">
        <v>35.29</v>
      </c>
      <c r="Z183" s="64">
        <v>47.06</v>
      </c>
      <c r="AA183" s="64">
        <v>43.48</v>
      </c>
      <c r="AB183" s="64">
        <v>37.5</v>
      </c>
      <c r="AC183" s="64">
        <v>24</v>
      </c>
      <c r="AD183" s="64">
        <v>13</v>
      </c>
      <c r="AE183" s="64">
        <v>50</v>
      </c>
      <c r="AF183" s="64">
        <v>15.38</v>
      </c>
      <c r="AG183" s="51">
        <f t="shared" si="21"/>
        <v>6.918000000000001</v>
      </c>
      <c r="AH183" s="52">
        <f t="shared" si="22"/>
        <v>-6.918000000000001</v>
      </c>
      <c r="AI183" s="52" t="str">
        <f t="shared" si="23"/>
        <v>N</v>
      </c>
      <c r="AJ183" s="52" t="str">
        <f t="shared" si="24"/>
        <v>N</v>
      </c>
      <c r="AK183" s="50" t="str">
        <f t="shared" si="25"/>
        <v>Loss</v>
      </c>
      <c r="AL183" s="50" t="str">
        <f t="shared" si="26"/>
        <v>Loss</v>
      </c>
      <c r="AM183" s="50" t="str">
        <f t="shared" si="27"/>
        <v>Win</v>
      </c>
      <c r="AN183" s="50">
        <f t="shared" si="28"/>
        <v>-50</v>
      </c>
      <c r="AO183" s="50">
        <f t="shared" si="29"/>
        <v>-50</v>
      </c>
      <c r="AP183" s="50">
        <f t="shared" si="30"/>
        <v>74.500000000000014</v>
      </c>
    </row>
    <row r="184" spans="1:42" x14ac:dyDescent="0.25">
      <c r="A184" s="63">
        <v>43624</v>
      </c>
      <c r="B184" s="64" t="s">
        <v>364</v>
      </c>
      <c r="C184" s="64" t="s">
        <v>704</v>
      </c>
      <c r="D184" s="64" t="s">
        <v>708</v>
      </c>
      <c r="E184" s="64" t="s">
        <v>709</v>
      </c>
      <c r="F184" s="64" t="s">
        <v>710</v>
      </c>
      <c r="G184" s="64">
        <v>3</v>
      </c>
      <c r="H184" s="64">
        <v>1</v>
      </c>
      <c r="I184" s="64">
        <v>1.94</v>
      </c>
      <c r="J184" s="64">
        <v>3.65</v>
      </c>
      <c r="K184" s="64">
        <v>3.4</v>
      </c>
      <c r="L184" s="64">
        <v>-1.46</v>
      </c>
      <c r="M184" s="64">
        <v>68</v>
      </c>
      <c r="N184" s="64">
        <v>41</v>
      </c>
      <c r="O184" s="64">
        <v>0</v>
      </c>
      <c r="P184" s="64">
        <v>34</v>
      </c>
      <c r="Q184" s="64">
        <v>20</v>
      </c>
      <c r="R184" s="64">
        <v>0</v>
      </c>
      <c r="S184" s="64">
        <v>0</v>
      </c>
      <c r="T184" s="64">
        <v>0</v>
      </c>
      <c r="U184" s="64">
        <v>44.12</v>
      </c>
      <c r="V184" s="64">
        <v>29.41</v>
      </c>
      <c r="W184" s="64">
        <v>26.47</v>
      </c>
      <c r="X184" s="64">
        <v>51.22</v>
      </c>
      <c r="Y184" s="64">
        <v>29.27</v>
      </c>
      <c r="Z184" s="64">
        <v>19.510000000000002</v>
      </c>
      <c r="AA184" s="64">
        <v>44.12</v>
      </c>
      <c r="AB184" s="64">
        <v>40</v>
      </c>
      <c r="AC184" s="64">
        <v>38</v>
      </c>
      <c r="AD184" s="64">
        <v>29</v>
      </c>
      <c r="AE184" s="64">
        <v>47.37</v>
      </c>
      <c r="AF184" s="64">
        <v>55.17</v>
      </c>
      <c r="AG184" s="51">
        <f t="shared" si="21"/>
        <v>-2.7979999999999987</v>
      </c>
      <c r="AH184" s="52">
        <f t="shared" si="22"/>
        <v>2.7979999999999987</v>
      </c>
      <c r="AI184" s="52" t="str">
        <f t="shared" si="23"/>
        <v>N</v>
      </c>
      <c r="AJ184" s="52" t="str">
        <f t="shared" si="24"/>
        <v>N</v>
      </c>
      <c r="AK184" s="50" t="str">
        <f t="shared" si="25"/>
        <v>Win</v>
      </c>
      <c r="AL184" s="50" t="str">
        <f t="shared" si="26"/>
        <v>Loss</v>
      </c>
      <c r="AM184" s="50" t="str">
        <f t="shared" si="27"/>
        <v>Loss</v>
      </c>
      <c r="AN184" s="50">
        <f t="shared" si="28"/>
        <v>47</v>
      </c>
      <c r="AO184" s="50">
        <f t="shared" si="29"/>
        <v>-50</v>
      </c>
      <c r="AP184" s="50">
        <f t="shared" si="30"/>
        <v>-50</v>
      </c>
    </row>
    <row r="185" spans="1:42" x14ac:dyDescent="0.25">
      <c r="A185" s="63">
        <v>43624</v>
      </c>
      <c r="B185" s="64" t="s">
        <v>364</v>
      </c>
      <c r="C185" s="64" t="s">
        <v>704</v>
      </c>
      <c r="D185" s="64" t="s">
        <v>711</v>
      </c>
      <c r="E185" s="64" t="s">
        <v>712</v>
      </c>
      <c r="F185" s="64" t="s">
        <v>713</v>
      </c>
      <c r="G185" s="64">
        <v>2</v>
      </c>
      <c r="H185" s="64">
        <v>1</v>
      </c>
      <c r="I185" s="64">
        <v>4.13</v>
      </c>
      <c r="J185" s="64">
        <v>4.01</v>
      </c>
      <c r="K185" s="64">
        <v>1.68</v>
      </c>
      <c r="L185" s="64">
        <v>2.4500000000000002</v>
      </c>
      <c r="M185" s="64">
        <v>42</v>
      </c>
      <c r="N185" s="64">
        <v>42</v>
      </c>
      <c r="O185" s="64">
        <v>2</v>
      </c>
      <c r="P185" s="64">
        <v>20</v>
      </c>
      <c r="Q185" s="64">
        <v>21</v>
      </c>
      <c r="R185" s="64">
        <v>0</v>
      </c>
      <c r="S185" s="64">
        <v>0</v>
      </c>
      <c r="T185" s="64">
        <v>100</v>
      </c>
      <c r="U185" s="64">
        <v>26.19</v>
      </c>
      <c r="V185" s="64">
        <v>23.81</v>
      </c>
      <c r="W185" s="64">
        <v>50</v>
      </c>
      <c r="X185" s="64">
        <v>40.479999999999997</v>
      </c>
      <c r="Y185" s="64">
        <v>21.43</v>
      </c>
      <c r="Z185" s="64">
        <v>38.1</v>
      </c>
      <c r="AA185" s="64">
        <v>30</v>
      </c>
      <c r="AB185" s="64">
        <v>28.57</v>
      </c>
      <c r="AC185" s="64">
        <v>13</v>
      </c>
      <c r="AD185" s="64">
        <v>26</v>
      </c>
      <c r="AE185" s="64">
        <v>30.77</v>
      </c>
      <c r="AF185" s="64">
        <v>42.31</v>
      </c>
      <c r="AG185" s="51">
        <f t="shared" si="21"/>
        <v>-35</v>
      </c>
      <c r="AH185" s="52">
        <f t="shared" si="22"/>
        <v>35</v>
      </c>
      <c r="AI185" s="52" t="str">
        <f t="shared" si="23"/>
        <v>N</v>
      </c>
      <c r="AJ185" s="52" t="str">
        <f t="shared" si="24"/>
        <v>N</v>
      </c>
      <c r="AK185" s="50" t="str">
        <f t="shared" si="25"/>
        <v>Win</v>
      </c>
      <c r="AL185" s="50" t="str">
        <f t="shared" si="26"/>
        <v>Loss</v>
      </c>
      <c r="AM185" s="50" t="str">
        <f t="shared" si="27"/>
        <v>Loss</v>
      </c>
      <c r="AN185" s="50">
        <f t="shared" si="28"/>
        <v>156.5</v>
      </c>
      <c r="AO185" s="50">
        <f t="shared" si="29"/>
        <v>-50</v>
      </c>
      <c r="AP185" s="50">
        <f t="shared" si="30"/>
        <v>-50</v>
      </c>
    </row>
    <row r="186" spans="1:42" x14ac:dyDescent="0.25">
      <c r="A186" s="63">
        <v>43624</v>
      </c>
      <c r="B186" s="64" t="s">
        <v>364</v>
      </c>
      <c r="C186" s="64" t="s">
        <v>704</v>
      </c>
      <c r="D186" s="64" t="s">
        <v>714</v>
      </c>
      <c r="E186" s="64" t="s">
        <v>715</v>
      </c>
      <c r="F186" s="64" t="s">
        <v>716</v>
      </c>
      <c r="G186" s="64">
        <v>3</v>
      </c>
      <c r="H186" s="64">
        <v>0</v>
      </c>
      <c r="I186" s="64">
        <v>1.95</v>
      </c>
      <c r="J186" s="64">
        <v>3.42</v>
      </c>
      <c r="K186" s="64">
        <v>3.54</v>
      </c>
      <c r="L186" s="64">
        <v>-1.59</v>
      </c>
      <c r="M186" s="64">
        <v>40</v>
      </c>
      <c r="N186" s="64">
        <v>12</v>
      </c>
      <c r="O186" s="64">
        <v>0</v>
      </c>
      <c r="P186" s="64">
        <v>20</v>
      </c>
      <c r="Q186" s="64">
        <v>6</v>
      </c>
      <c r="R186" s="64">
        <v>0</v>
      </c>
      <c r="S186" s="64">
        <v>0</v>
      </c>
      <c r="T186" s="64">
        <v>0</v>
      </c>
      <c r="U186" s="64">
        <v>40</v>
      </c>
      <c r="V186" s="64">
        <v>32.5</v>
      </c>
      <c r="W186" s="64">
        <v>27.5</v>
      </c>
      <c r="X186" s="64">
        <v>33.33</v>
      </c>
      <c r="Y186" s="64">
        <v>41.67</v>
      </c>
      <c r="Z186" s="64">
        <v>25</v>
      </c>
      <c r="AA186" s="64">
        <v>40</v>
      </c>
      <c r="AB186" s="64">
        <v>33.33</v>
      </c>
      <c r="AC186" s="64">
        <v>34</v>
      </c>
      <c r="AD186" s="64">
        <v>11</v>
      </c>
      <c r="AE186" s="64">
        <v>41.18</v>
      </c>
      <c r="AF186" s="64">
        <v>36.36</v>
      </c>
      <c r="AG186" s="51">
        <f t="shared" si="21"/>
        <v>-8.3000000000001073E-2</v>
      </c>
      <c r="AH186" s="52">
        <f t="shared" si="22"/>
        <v>8.3000000000001073E-2</v>
      </c>
      <c r="AI186" s="52" t="str">
        <f t="shared" si="23"/>
        <v>N</v>
      </c>
      <c r="AJ186" s="52" t="str">
        <f t="shared" si="24"/>
        <v>N</v>
      </c>
      <c r="AK186" s="50" t="str">
        <f t="shared" si="25"/>
        <v>Win</v>
      </c>
      <c r="AL186" s="50" t="str">
        <f t="shared" si="26"/>
        <v>Loss</v>
      </c>
      <c r="AM186" s="50" t="str">
        <f t="shared" si="27"/>
        <v>Loss</v>
      </c>
      <c r="AN186" s="50">
        <f t="shared" si="28"/>
        <v>47.5</v>
      </c>
      <c r="AO186" s="50">
        <f t="shared" si="29"/>
        <v>-50</v>
      </c>
      <c r="AP186" s="50">
        <f t="shared" si="30"/>
        <v>-50</v>
      </c>
    </row>
    <row r="187" spans="1:42" x14ac:dyDescent="0.25">
      <c r="A187" s="63">
        <v>43624</v>
      </c>
      <c r="B187" s="64" t="s">
        <v>364</v>
      </c>
      <c r="C187" s="64" t="s">
        <v>443</v>
      </c>
      <c r="D187" s="64" t="s">
        <v>717</v>
      </c>
      <c r="E187" s="64" t="s">
        <v>718</v>
      </c>
      <c r="F187" s="64" t="s">
        <v>719</v>
      </c>
      <c r="G187" s="64">
        <v>3</v>
      </c>
      <c r="H187" s="64">
        <v>0</v>
      </c>
      <c r="I187" s="64">
        <v>1.52</v>
      </c>
      <c r="J187" s="64">
        <v>4.3499999999999996</v>
      </c>
      <c r="K187" s="64">
        <v>4.38</v>
      </c>
      <c r="L187" s="64">
        <v>-2.86</v>
      </c>
      <c r="M187" s="64">
        <v>35</v>
      </c>
      <c r="N187" s="64">
        <v>35</v>
      </c>
      <c r="O187" s="64">
        <v>2</v>
      </c>
      <c r="P187" s="64">
        <v>18</v>
      </c>
      <c r="Q187" s="64">
        <v>17</v>
      </c>
      <c r="R187" s="64">
        <v>50</v>
      </c>
      <c r="S187" s="64">
        <v>0</v>
      </c>
      <c r="T187" s="64">
        <v>50</v>
      </c>
      <c r="U187" s="64">
        <v>51.43</v>
      </c>
      <c r="V187" s="64">
        <v>28.57</v>
      </c>
      <c r="W187" s="64">
        <v>20</v>
      </c>
      <c r="X187" s="64">
        <v>31.43</v>
      </c>
      <c r="Y187" s="64">
        <v>25.71</v>
      </c>
      <c r="Z187" s="64">
        <v>42.86</v>
      </c>
      <c r="AA187" s="64">
        <v>38.89</v>
      </c>
      <c r="AB187" s="64">
        <v>29.41</v>
      </c>
      <c r="AC187" s="64">
        <v>26</v>
      </c>
      <c r="AD187" s="64">
        <v>13</v>
      </c>
      <c r="AE187" s="64">
        <v>61.54</v>
      </c>
      <c r="AF187" s="64">
        <v>46.15</v>
      </c>
      <c r="AG187" s="51">
        <f t="shared" si="21"/>
        <v>8.8580000000000005</v>
      </c>
      <c r="AH187" s="52">
        <f t="shared" si="22"/>
        <v>-8.8580000000000005</v>
      </c>
      <c r="AI187" s="52" t="str">
        <f t="shared" si="23"/>
        <v>N</v>
      </c>
      <c r="AJ187" s="52" t="str">
        <f t="shared" si="24"/>
        <v>N</v>
      </c>
      <c r="AK187" s="50" t="str">
        <f t="shared" si="25"/>
        <v>Win</v>
      </c>
      <c r="AL187" s="50" t="str">
        <f t="shared" si="26"/>
        <v>Loss</v>
      </c>
      <c r="AM187" s="50" t="str">
        <f t="shared" si="27"/>
        <v>Loss</v>
      </c>
      <c r="AN187" s="50">
        <f t="shared" si="28"/>
        <v>26</v>
      </c>
      <c r="AO187" s="50">
        <f t="shared" si="29"/>
        <v>-50</v>
      </c>
      <c r="AP187" s="50">
        <f t="shared" si="30"/>
        <v>-50</v>
      </c>
    </row>
    <row r="188" spans="1:42" x14ac:dyDescent="0.25">
      <c r="A188" s="63">
        <v>43624</v>
      </c>
      <c r="B188" s="64" t="s">
        <v>364</v>
      </c>
      <c r="C188" s="64" t="s">
        <v>443</v>
      </c>
      <c r="D188" s="64" t="s">
        <v>720</v>
      </c>
      <c r="E188" s="64" t="s">
        <v>721</v>
      </c>
      <c r="F188" s="64" t="s">
        <v>722</v>
      </c>
      <c r="G188" s="64">
        <v>2</v>
      </c>
      <c r="H188" s="64">
        <v>1</v>
      </c>
      <c r="I188" s="64">
        <v>1.21</v>
      </c>
      <c r="J188" s="64">
        <v>5.59</v>
      </c>
      <c r="K188" s="64">
        <v>8.69</v>
      </c>
      <c r="L188" s="64">
        <v>-7.48</v>
      </c>
      <c r="M188" s="64">
        <v>57</v>
      </c>
      <c r="N188" s="64">
        <v>35</v>
      </c>
      <c r="O188" s="64">
        <v>2</v>
      </c>
      <c r="P188" s="64">
        <v>28</v>
      </c>
      <c r="Q188" s="64">
        <v>18</v>
      </c>
      <c r="R188" s="64">
        <v>100</v>
      </c>
      <c r="S188" s="64">
        <v>0</v>
      </c>
      <c r="T188" s="64">
        <v>0</v>
      </c>
      <c r="U188" s="64">
        <v>49.12</v>
      </c>
      <c r="V188" s="64">
        <v>19.3</v>
      </c>
      <c r="W188" s="64">
        <v>31.58</v>
      </c>
      <c r="X188" s="64">
        <v>28.57</v>
      </c>
      <c r="Y188" s="64">
        <v>17.14</v>
      </c>
      <c r="Z188" s="64">
        <v>54.29</v>
      </c>
      <c r="AA188" s="64">
        <v>67.86</v>
      </c>
      <c r="AB188" s="64">
        <v>38.89</v>
      </c>
      <c r="AC188" s="64">
        <v>38</v>
      </c>
      <c r="AD188" s="64">
        <v>10</v>
      </c>
      <c r="AE188" s="64">
        <v>60.53</v>
      </c>
      <c r="AF188" s="64">
        <v>20</v>
      </c>
      <c r="AG188" s="51">
        <f t="shared" si="21"/>
        <v>38.867999999999995</v>
      </c>
      <c r="AH188" s="52">
        <f t="shared" si="22"/>
        <v>-38.867999999999995</v>
      </c>
      <c r="AI188" s="52" t="str">
        <f t="shared" si="23"/>
        <v>N</v>
      </c>
      <c r="AJ188" s="52" t="str">
        <f t="shared" si="24"/>
        <v>N</v>
      </c>
      <c r="AK188" s="50" t="str">
        <f t="shared" si="25"/>
        <v>Win</v>
      </c>
      <c r="AL188" s="50" t="str">
        <f t="shared" si="26"/>
        <v>Loss</v>
      </c>
      <c r="AM188" s="50" t="str">
        <f t="shared" si="27"/>
        <v>Loss</v>
      </c>
      <c r="AN188" s="50">
        <f t="shared" si="28"/>
        <v>10.5</v>
      </c>
      <c r="AO188" s="50">
        <f t="shared" si="29"/>
        <v>-50</v>
      </c>
      <c r="AP188" s="50">
        <f t="shared" si="30"/>
        <v>-50</v>
      </c>
    </row>
    <row r="189" spans="1:42" x14ac:dyDescent="0.25">
      <c r="A189" s="63">
        <v>43624</v>
      </c>
      <c r="B189" s="64" t="s">
        <v>364</v>
      </c>
      <c r="C189" s="64" t="s">
        <v>443</v>
      </c>
      <c r="D189" s="64" t="s">
        <v>723</v>
      </c>
      <c r="E189" s="64" t="s">
        <v>724</v>
      </c>
      <c r="F189" s="64" t="s">
        <v>725</v>
      </c>
      <c r="G189" s="64">
        <v>2</v>
      </c>
      <c r="H189" s="64">
        <v>2</v>
      </c>
      <c r="I189" s="64">
        <v>1.94</v>
      </c>
      <c r="J189" s="64">
        <v>3.68</v>
      </c>
      <c r="K189" s="64">
        <v>3.02</v>
      </c>
      <c r="L189" s="64">
        <v>-1.08</v>
      </c>
      <c r="M189" s="64">
        <v>36</v>
      </c>
      <c r="N189" s="64">
        <v>37</v>
      </c>
      <c r="O189" s="64">
        <v>2</v>
      </c>
      <c r="P189" s="64">
        <v>18</v>
      </c>
      <c r="Q189" s="64">
        <v>19</v>
      </c>
      <c r="R189" s="64">
        <v>100</v>
      </c>
      <c r="S189" s="64">
        <v>0</v>
      </c>
      <c r="T189" s="64">
        <v>0</v>
      </c>
      <c r="U189" s="64">
        <v>33.33</v>
      </c>
      <c r="V189" s="64">
        <v>13.89</v>
      </c>
      <c r="W189" s="64">
        <v>52.78</v>
      </c>
      <c r="X189" s="64">
        <v>24.32</v>
      </c>
      <c r="Y189" s="64">
        <v>29.73</v>
      </c>
      <c r="Z189" s="64">
        <v>45.95</v>
      </c>
      <c r="AA189" s="64">
        <v>38.89</v>
      </c>
      <c r="AB189" s="64">
        <v>21.05</v>
      </c>
      <c r="AC189" s="64">
        <v>18</v>
      </c>
      <c r="AD189" s="64">
        <v>19</v>
      </c>
      <c r="AE189" s="64">
        <v>33.33</v>
      </c>
      <c r="AF189" s="64">
        <v>36.840000000000003</v>
      </c>
      <c r="AG189" s="51">
        <f t="shared" si="21"/>
        <v>28.852</v>
      </c>
      <c r="AH189" s="52">
        <f t="shared" si="22"/>
        <v>-28.852</v>
      </c>
      <c r="AI189" s="52" t="str">
        <f t="shared" si="23"/>
        <v>N</v>
      </c>
      <c r="AJ189" s="52" t="str">
        <f t="shared" si="24"/>
        <v>N</v>
      </c>
      <c r="AK189" s="50" t="str">
        <f t="shared" si="25"/>
        <v>Loss</v>
      </c>
      <c r="AL189" s="50" t="str">
        <f t="shared" si="26"/>
        <v>Win</v>
      </c>
      <c r="AM189" s="50" t="str">
        <f t="shared" si="27"/>
        <v>Loss</v>
      </c>
      <c r="AN189" s="50">
        <f t="shared" si="28"/>
        <v>-50</v>
      </c>
      <c r="AO189" s="50">
        <f t="shared" si="29"/>
        <v>134</v>
      </c>
      <c r="AP189" s="50">
        <f t="shared" si="30"/>
        <v>-50</v>
      </c>
    </row>
    <row r="190" spans="1:42" x14ac:dyDescent="0.25">
      <c r="A190" s="63">
        <v>43624</v>
      </c>
      <c r="B190" s="64" t="s">
        <v>364</v>
      </c>
      <c r="C190" s="64" t="s">
        <v>443</v>
      </c>
      <c r="D190" s="64" t="s">
        <v>726</v>
      </c>
      <c r="E190" s="64" t="s">
        <v>727</v>
      </c>
      <c r="F190" s="64" t="s">
        <v>728</v>
      </c>
      <c r="G190" s="64">
        <v>1</v>
      </c>
      <c r="H190" s="64">
        <v>4</v>
      </c>
      <c r="I190" s="64">
        <v>1.56</v>
      </c>
      <c r="J190" s="64">
        <v>4.0999999999999996</v>
      </c>
      <c r="K190" s="64">
        <v>4.29</v>
      </c>
      <c r="L190" s="64">
        <v>-2.73</v>
      </c>
      <c r="M190" s="64">
        <v>10</v>
      </c>
      <c r="N190" s="64">
        <v>35</v>
      </c>
      <c r="O190" s="64">
        <v>0</v>
      </c>
      <c r="P190" s="64">
        <v>5</v>
      </c>
      <c r="Q190" s="64">
        <v>17</v>
      </c>
      <c r="R190" s="64">
        <v>0</v>
      </c>
      <c r="S190" s="64">
        <v>0</v>
      </c>
      <c r="T190" s="64">
        <v>0</v>
      </c>
      <c r="U190" s="64">
        <v>40</v>
      </c>
      <c r="V190" s="64">
        <v>40</v>
      </c>
      <c r="W190" s="64">
        <v>20</v>
      </c>
      <c r="X190" s="64">
        <v>31.43</v>
      </c>
      <c r="Y190" s="64">
        <v>28.57</v>
      </c>
      <c r="Z190" s="64">
        <v>40</v>
      </c>
      <c r="AA190" s="64">
        <v>60</v>
      </c>
      <c r="AB190" s="64">
        <v>23.53</v>
      </c>
      <c r="AC190" s="64">
        <v>4</v>
      </c>
      <c r="AD190" s="64">
        <v>13</v>
      </c>
      <c r="AE190" s="64">
        <v>50</v>
      </c>
      <c r="AF190" s="64">
        <v>38.46</v>
      </c>
      <c r="AG190" s="51">
        <f t="shared" si="21"/>
        <v>6.8569999999999993</v>
      </c>
      <c r="AH190" s="52">
        <f t="shared" si="22"/>
        <v>-6.8569999999999993</v>
      </c>
      <c r="AI190" s="52" t="str">
        <f t="shared" si="23"/>
        <v>N</v>
      </c>
      <c r="AJ190" s="52" t="str">
        <f t="shared" si="24"/>
        <v>N</v>
      </c>
      <c r="AK190" s="50" t="str">
        <f t="shared" si="25"/>
        <v>Loss</v>
      </c>
      <c r="AL190" s="50" t="str">
        <f t="shared" si="26"/>
        <v>Loss</v>
      </c>
      <c r="AM190" s="50" t="str">
        <f t="shared" si="27"/>
        <v>Win</v>
      </c>
      <c r="AN190" s="50">
        <f t="shared" si="28"/>
        <v>-50</v>
      </c>
      <c r="AO190" s="50">
        <f t="shared" si="29"/>
        <v>-50</v>
      </c>
      <c r="AP190" s="50">
        <f t="shared" si="30"/>
        <v>164.5</v>
      </c>
    </row>
    <row r="191" spans="1:42" x14ac:dyDescent="0.25">
      <c r="A191" s="63">
        <v>43624</v>
      </c>
      <c r="B191" s="64" t="s">
        <v>364</v>
      </c>
      <c r="C191" s="64" t="s">
        <v>504</v>
      </c>
      <c r="D191" s="64" t="s">
        <v>729</v>
      </c>
      <c r="E191" s="64" t="s">
        <v>730</v>
      </c>
      <c r="F191" s="64" t="s">
        <v>731</v>
      </c>
      <c r="G191" s="64">
        <v>1</v>
      </c>
      <c r="H191" s="64">
        <v>0</v>
      </c>
      <c r="I191" s="64">
        <v>1.31</v>
      </c>
      <c r="J191" s="64">
        <v>5.01</v>
      </c>
      <c r="K191" s="64">
        <v>6.33</v>
      </c>
      <c r="L191" s="64">
        <v>-5.0199999999999996</v>
      </c>
      <c r="M191" s="64">
        <v>35</v>
      </c>
      <c r="N191" s="64">
        <v>10</v>
      </c>
      <c r="O191" s="64">
        <v>0</v>
      </c>
      <c r="P191" s="64">
        <v>18</v>
      </c>
      <c r="Q191" s="64">
        <v>5</v>
      </c>
      <c r="R191" s="64">
        <v>0</v>
      </c>
      <c r="S191" s="64">
        <v>0</v>
      </c>
      <c r="T191" s="64">
        <v>0</v>
      </c>
      <c r="U191" s="64">
        <v>62.86</v>
      </c>
      <c r="V191" s="64">
        <v>22.86</v>
      </c>
      <c r="W191" s="64">
        <v>14.29</v>
      </c>
      <c r="X191" s="64">
        <v>40</v>
      </c>
      <c r="Y191" s="64">
        <v>30</v>
      </c>
      <c r="Z191" s="64">
        <v>30</v>
      </c>
      <c r="AA191" s="64">
        <v>72.22</v>
      </c>
      <c r="AB191" s="64">
        <v>0</v>
      </c>
      <c r="AC191" s="64">
        <v>32</v>
      </c>
      <c r="AD191" s="64">
        <v>2</v>
      </c>
      <c r="AE191" s="64">
        <v>65.63</v>
      </c>
      <c r="AF191" s="64">
        <v>100</v>
      </c>
      <c r="AG191" s="51">
        <f t="shared" si="21"/>
        <v>7</v>
      </c>
      <c r="AH191" s="52">
        <f t="shared" si="22"/>
        <v>-7</v>
      </c>
      <c r="AI191" s="52" t="str">
        <f t="shared" si="23"/>
        <v>N</v>
      </c>
      <c r="AJ191" s="52" t="str">
        <f t="shared" si="24"/>
        <v>N</v>
      </c>
      <c r="AK191" s="50" t="str">
        <f t="shared" si="25"/>
        <v>Win</v>
      </c>
      <c r="AL191" s="50" t="str">
        <f t="shared" si="26"/>
        <v>Loss</v>
      </c>
      <c r="AM191" s="50" t="str">
        <f t="shared" si="27"/>
        <v>Loss</v>
      </c>
      <c r="AN191" s="50">
        <f t="shared" si="28"/>
        <v>15.5</v>
      </c>
      <c r="AO191" s="50">
        <f t="shared" si="29"/>
        <v>-50</v>
      </c>
      <c r="AP191" s="50">
        <f t="shared" si="30"/>
        <v>-50</v>
      </c>
    </row>
    <row r="192" spans="1:42" x14ac:dyDescent="0.25">
      <c r="A192" s="63">
        <v>43624</v>
      </c>
      <c r="B192" s="64" t="s">
        <v>364</v>
      </c>
      <c r="C192" s="64" t="s">
        <v>511</v>
      </c>
      <c r="D192" s="64" t="s">
        <v>732</v>
      </c>
      <c r="E192" s="64" t="s">
        <v>733</v>
      </c>
      <c r="F192" s="64" t="s">
        <v>734</v>
      </c>
      <c r="G192" s="64">
        <v>1</v>
      </c>
      <c r="H192" s="64">
        <v>1</v>
      </c>
      <c r="I192" s="64">
        <v>1.38</v>
      </c>
      <c r="J192" s="64">
        <v>4.76</v>
      </c>
      <c r="K192" s="64">
        <v>5.54</v>
      </c>
      <c r="L192" s="64">
        <v>-4.16</v>
      </c>
      <c r="M192" s="64">
        <v>29</v>
      </c>
      <c r="N192" s="64">
        <v>51</v>
      </c>
      <c r="O192" s="64">
        <v>0</v>
      </c>
      <c r="P192" s="64">
        <v>16</v>
      </c>
      <c r="Q192" s="64">
        <v>25</v>
      </c>
      <c r="R192" s="64">
        <v>0</v>
      </c>
      <c r="S192" s="64">
        <v>0</v>
      </c>
      <c r="T192" s="64">
        <v>0</v>
      </c>
      <c r="U192" s="64">
        <v>41.38</v>
      </c>
      <c r="V192" s="64">
        <v>13.79</v>
      </c>
      <c r="W192" s="64">
        <v>44.83</v>
      </c>
      <c r="X192" s="64">
        <v>49.02</v>
      </c>
      <c r="Y192" s="64">
        <v>17.649999999999999</v>
      </c>
      <c r="Z192" s="64">
        <v>33.33</v>
      </c>
      <c r="AA192" s="64">
        <v>37.5</v>
      </c>
      <c r="AB192" s="64">
        <v>40</v>
      </c>
      <c r="AC192" s="64">
        <v>23</v>
      </c>
      <c r="AD192" s="64">
        <v>24</v>
      </c>
      <c r="AE192" s="64">
        <v>52.17</v>
      </c>
      <c r="AF192" s="64">
        <v>62.5</v>
      </c>
      <c r="AG192" s="51">
        <f t="shared" si="21"/>
        <v>-4.2140000000000004</v>
      </c>
      <c r="AH192" s="52">
        <f t="shared" si="22"/>
        <v>4.2140000000000004</v>
      </c>
      <c r="AI192" s="52" t="str">
        <f t="shared" si="23"/>
        <v>N</v>
      </c>
      <c r="AJ192" s="52" t="str">
        <f t="shared" si="24"/>
        <v>N</v>
      </c>
      <c r="AK192" s="50" t="str">
        <f t="shared" si="25"/>
        <v>Loss</v>
      </c>
      <c r="AL192" s="50" t="str">
        <f t="shared" si="26"/>
        <v>Win</v>
      </c>
      <c r="AM192" s="50" t="str">
        <f t="shared" si="27"/>
        <v>Loss</v>
      </c>
      <c r="AN192" s="50">
        <f t="shared" si="28"/>
        <v>-50</v>
      </c>
      <c r="AO192" s="50">
        <f t="shared" si="29"/>
        <v>188</v>
      </c>
      <c r="AP192" s="50">
        <f t="shared" si="30"/>
        <v>-50</v>
      </c>
    </row>
    <row r="193" spans="1:42" x14ac:dyDescent="0.25">
      <c r="A193" s="63">
        <v>43624</v>
      </c>
      <c r="B193" s="64" t="s">
        <v>364</v>
      </c>
      <c r="C193" s="64" t="s">
        <v>530</v>
      </c>
      <c r="D193" s="64" t="s">
        <v>735</v>
      </c>
      <c r="E193" s="64" t="s">
        <v>736</v>
      </c>
      <c r="F193" s="64" t="s">
        <v>737</v>
      </c>
      <c r="G193" s="64">
        <v>6</v>
      </c>
      <c r="H193" s="64">
        <v>1</v>
      </c>
      <c r="I193" s="64">
        <v>2.27</v>
      </c>
      <c r="J193" s="64">
        <v>3.5</v>
      </c>
      <c r="K193" s="64">
        <v>2.75</v>
      </c>
      <c r="L193" s="64">
        <v>-0.48</v>
      </c>
      <c r="M193" s="64">
        <v>39</v>
      </c>
      <c r="N193" s="64">
        <v>11</v>
      </c>
      <c r="O193" s="64">
        <v>1</v>
      </c>
      <c r="P193" s="64">
        <v>19</v>
      </c>
      <c r="Q193" s="64">
        <v>5</v>
      </c>
      <c r="R193" s="64">
        <v>100</v>
      </c>
      <c r="S193" s="64">
        <v>0</v>
      </c>
      <c r="T193" s="64">
        <v>0</v>
      </c>
      <c r="U193" s="64">
        <v>20.51</v>
      </c>
      <c r="V193" s="64">
        <v>23.08</v>
      </c>
      <c r="W193" s="64">
        <v>56.41</v>
      </c>
      <c r="X193" s="64">
        <v>27.27</v>
      </c>
      <c r="Y193" s="64">
        <v>27.27</v>
      </c>
      <c r="Z193" s="64">
        <v>45.45</v>
      </c>
      <c r="AA193" s="64">
        <v>15.79</v>
      </c>
      <c r="AB193" s="64">
        <v>0</v>
      </c>
      <c r="AC193" s="64">
        <v>10</v>
      </c>
      <c r="AD193" s="64">
        <v>3</v>
      </c>
      <c r="AE193" s="64">
        <v>40</v>
      </c>
      <c r="AF193" s="64">
        <v>33.33</v>
      </c>
      <c r="AG193" s="51">
        <f t="shared" si="21"/>
        <v>26.037000000000006</v>
      </c>
      <c r="AH193" s="52">
        <f t="shared" si="22"/>
        <v>-26.037000000000006</v>
      </c>
      <c r="AI193" s="52" t="str">
        <f t="shared" si="23"/>
        <v>N</v>
      </c>
      <c r="AJ193" s="52" t="str">
        <f t="shared" si="24"/>
        <v>N</v>
      </c>
      <c r="AK193" s="50" t="str">
        <f t="shared" si="25"/>
        <v>Win</v>
      </c>
      <c r="AL193" s="50" t="str">
        <f t="shared" si="26"/>
        <v>Loss</v>
      </c>
      <c r="AM193" s="50" t="str">
        <f t="shared" si="27"/>
        <v>Loss</v>
      </c>
      <c r="AN193" s="50">
        <f t="shared" si="28"/>
        <v>63.5</v>
      </c>
      <c r="AO193" s="50">
        <f t="shared" si="29"/>
        <v>-50</v>
      </c>
      <c r="AP193" s="50">
        <f t="shared" si="30"/>
        <v>-50</v>
      </c>
    </row>
    <row r="194" spans="1:42" x14ac:dyDescent="0.25">
      <c r="A194" s="63">
        <v>43624</v>
      </c>
      <c r="B194" s="64" t="s">
        <v>364</v>
      </c>
      <c r="C194" s="64" t="s">
        <v>530</v>
      </c>
      <c r="D194" s="64" t="s">
        <v>738</v>
      </c>
      <c r="E194" s="64" t="s">
        <v>739</v>
      </c>
      <c r="F194" s="64" t="s">
        <v>740</v>
      </c>
      <c r="G194" s="64">
        <v>0</v>
      </c>
      <c r="H194" s="64">
        <v>2</v>
      </c>
      <c r="I194" s="64">
        <v>1.78</v>
      </c>
      <c r="J194" s="64">
        <v>3.98</v>
      </c>
      <c r="K194" s="64">
        <v>3.29</v>
      </c>
      <c r="L194" s="64">
        <v>-1.51</v>
      </c>
      <c r="M194" s="64">
        <v>10</v>
      </c>
      <c r="N194" s="64">
        <v>29</v>
      </c>
      <c r="O194" s="64">
        <v>0</v>
      </c>
      <c r="P194" s="64">
        <v>5</v>
      </c>
      <c r="Q194" s="64">
        <v>14</v>
      </c>
      <c r="R194" s="64">
        <v>0</v>
      </c>
      <c r="S194" s="64">
        <v>0</v>
      </c>
      <c r="T194" s="64">
        <v>0</v>
      </c>
      <c r="U194" s="64">
        <v>30</v>
      </c>
      <c r="V194" s="64">
        <v>50</v>
      </c>
      <c r="W194" s="64">
        <v>20</v>
      </c>
      <c r="X194" s="64">
        <v>34.479999999999997</v>
      </c>
      <c r="Y194" s="64">
        <v>34.479999999999997</v>
      </c>
      <c r="Z194" s="64">
        <v>31.03</v>
      </c>
      <c r="AA194" s="64">
        <v>40</v>
      </c>
      <c r="AB194" s="64">
        <v>42.86</v>
      </c>
      <c r="AC194" s="64">
        <v>3</v>
      </c>
      <c r="AD194" s="64">
        <v>9</v>
      </c>
      <c r="AE194" s="64">
        <v>66.67</v>
      </c>
      <c r="AF194" s="64">
        <v>66.67</v>
      </c>
      <c r="AG194" s="51">
        <f t="shared" si="21"/>
        <v>2.8620000000000005</v>
      </c>
      <c r="AH194" s="52">
        <f t="shared" si="22"/>
        <v>-2.8620000000000005</v>
      </c>
      <c r="AI194" s="52" t="str">
        <f t="shared" si="23"/>
        <v>N</v>
      </c>
      <c r="AJ194" s="52" t="str">
        <f t="shared" si="24"/>
        <v>N</v>
      </c>
      <c r="AK194" s="50" t="str">
        <f t="shared" si="25"/>
        <v>Loss</v>
      </c>
      <c r="AL194" s="50" t="str">
        <f t="shared" si="26"/>
        <v>Loss</v>
      </c>
      <c r="AM194" s="50" t="str">
        <f t="shared" si="27"/>
        <v>Win</v>
      </c>
      <c r="AN194" s="50">
        <f t="shared" si="28"/>
        <v>-50</v>
      </c>
      <c r="AO194" s="50">
        <f t="shared" si="29"/>
        <v>-50</v>
      </c>
      <c r="AP194" s="50">
        <f t="shared" si="30"/>
        <v>114.5</v>
      </c>
    </row>
    <row r="195" spans="1:42" x14ac:dyDescent="0.25">
      <c r="A195" s="63">
        <v>43624</v>
      </c>
      <c r="B195" s="64" t="s">
        <v>364</v>
      </c>
      <c r="C195" s="64" t="s">
        <v>365</v>
      </c>
      <c r="D195" s="64" t="s">
        <v>741</v>
      </c>
      <c r="E195" s="64" t="s">
        <v>742</v>
      </c>
      <c r="F195" s="64" t="s">
        <v>743</v>
      </c>
      <c r="G195" s="64">
        <v>4</v>
      </c>
      <c r="H195" s="64">
        <v>0</v>
      </c>
      <c r="I195" s="64">
        <v>1.97</v>
      </c>
      <c r="J195" s="64">
        <v>3.72</v>
      </c>
      <c r="K195" s="64">
        <v>3.11</v>
      </c>
      <c r="L195" s="64">
        <v>-1.1399999999999999</v>
      </c>
      <c r="M195" s="64">
        <v>35</v>
      </c>
      <c r="N195" s="64">
        <v>53</v>
      </c>
      <c r="O195" s="64">
        <v>1</v>
      </c>
      <c r="P195" s="64">
        <v>18</v>
      </c>
      <c r="Q195" s="64">
        <v>27</v>
      </c>
      <c r="R195" s="64">
        <v>100</v>
      </c>
      <c r="S195" s="64">
        <v>0</v>
      </c>
      <c r="T195" s="64">
        <v>0</v>
      </c>
      <c r="U195" s="64">
        <v>57.14</v>
      </c>
      <c r="V195" s="64">
        <v>2.86</v>
      </c>
      <c r="W195" s="64">
        <v>40</v>
      </c>
      <c r="X195" s="64">
        <v>24.53</v>
      </c>
      <c r="Y195" s="64">
        <v>24.53</v>
      </c>
      <c r="Z195" s="64">
        <v>50.94</v>
      </c>
      <c r="AA195" s="64">
        <v>66.67</v>
      </c>
      <c r="AB195" s="64">
        <v>14.81</v>
      </c>
      <c r="AC195" s="64">
        <v>26</v>
      </c>
      <c r="AD195" s="64">
        <v>13</v>
      </c>
      <c r="AE195" s="64">
        <v>69.23</v>
      </c>
      <c r="AF195" s="64">
        <v>46.15</v>
      </c>
      <c r="AG195" s="51">
        <f t="shared" si="21"/>
        <v>36.542999999999999</v>
      </c>
      <c r="AH195" s="52">
        <f t="shared" si="22"/>
        <v>-36.542999999999999</v>
      </c>
      <c r="AI195" s="52" t="str">
        <f t="shared" si="23"/>
        <v>N</v>
      </c>
      <c r="AJ195" s="52" t="str">
        <f t="shared" si="24"/>
        <v>N</v>
      </c>
      <c r="AK195" s="50" t="str">
        <f t="shared" si="25"/>
        <v>Win</v>
      </c>
      <c r="AL195" s="50" t="str">
        <f t="shared" si="26"/>
        <v>Loss</v>
      </c>
      <c r="AM195" s="50" t="str">
        <f t="shared" si="27"/>
        <v>Loss</v>
      </c>
      <c r="AN195" s="50">
        <f t="shared" si="28"/>
        <v>48.5</v>
      </c>
      <c r="AO195" s="50">
        <f t="shared" si="29"/>
        <v>-50</v>
      </c>
      <c r="AP195" s="50">
        <f t="shared" si="30"/>
        <v>-50</v>
      </c>
    </row>
    <row r="196" spans="1:42" x14ac:dyDescent="0.25">
      <c r="A196" s="63">
        <v>43624</v>
      </c>
      <c r="B196" s="64" t="s">
        <v>364</v>
      </c>
      <c r="C196" s="64" t="s">
        <v>365</v>
      </c>
      <c r="D196" s="64" t="s">
        <v>744</v>
      </c>
      <c r="E196" s="64" t="s">
        <v>745</v>
      </c>
      <c r="F196" s="64" t="s">
        <v>746</v>
      </c>
      <c r="G196" s="64">
        <v>0</v>
      </c>
      <c r="H196" s="64">
        <v>7</v>
      </c>
      <c r="I196" s="64">
        <v>4.58</v>
      </c>
      <c r="J196" s="64">
        <v>4.3499999999999996</v>
      </c>
      <c r="K196" s="64">
        <v>1.54</v>
      </c>
      <c r="L196" s="64">
        <v>3.04</v>
      </c>
      <c r="M196" s="64">
        <v>11</v>
      </c>
      <c r="N196" s="64">
        <v>11</v>
      </c>
      <c r="O196" s="64">
        <v>0</v>
      </c>
      <c r="P196" s="64">
        <v>6</v>
      </c>
      <c r="Q196" s="64">
        <v>6</v>
      </c>
      <c r="R196" s="64">
        <v>0</v>
      </c>
      <c r="S196" s="64">
        <v>0</v>
      </c>
      <c r="T196" s="64">
        <v>0</v>
      </c>
      <c r="U196" s="64">
        <v>27.27</v>
      </c>
      <c r="V196" s="64">
        <v>18.18</v>
      </c>
      <c r="W196" s="64">
        <v>54.55</v>
      </c>
      <c r="X196" s="64">
        <v>63.64</v>
      </c>
      <c r="Y196" s="64">
        <v>9.09</v>
      </c>
      <c r="Z196" s="64">
        <v>27.27</v>
      </c>
      <c r="AA196" s="64">
        <v>16.670000000000002</v>
      </c>
      <c r="AB196" s="64">
        <v>50</v>
      </c>
      <c r="AC196" s="64">
        <v>1</v>
      </c>
      <c r="AD196" s="64">
        <v>8</v>
      </c>
      <c r="AE196" s="64">
        <v>0</v>
      </c>
      <c r="AF196" s="64">
        <v>75</v>
      </c>
      <c r="AG196" s="51">
        <f t="shared" si="21"/>
        <v>-11.820999999999998</v>
      </c>
      <c r="AH196" s="52">
        <f t="shared" si="22"/>
        <v>11.820999999999998</v>
      </c>
      <c r="AI196" s="52" t="str">
        <f t="shared" si="23"/>
        <v>N</v>
      </c>
      <c r="AJ196" s="52" t="str">
        <f t="shared" si="24"/>
        <v>N</v>
      </c>
      <c r="AK196" s="50" t="str">
        <f t="shared" si="25"/>
        <v>Loss</v>
      </c>
      <c r="AL196" s="50" t="str">
        <f t="shared" si="26"/>
        <v>Loss</v>
      </c>
      <c r="AM196" s="50" t="str">
        <f t="shared" si="27"/>
        <v>Win</v>
      </c>
      <c r="AN196" s="50">
        <f t="shared" si="28"/>
        <v>-50</v>
      </c>
      <c r="AO196" s="50">
        <f t="shared" si="29"/>
        <v>-50</v>
      </c>
      <c r="AP196" s="50">
        <f t="shared" si="30"/>
        <v>27</v>
      </c>
    </row>
    <row r="197" spans="1:42" x14ac:dyDescent="0.25">
      <c r="A197" s="63">
        <v>43624</v>
      </c>
      <c r="B197" s="64" t="s">
        <v>364</v>
      </c>
      <c r="C197" s="64" t="s">
        <v>747</v>
      </c>
      <c r="D197" s="64" t="s">
        <v>748</v>
      </c>
      <c r="E197" s="64" t="s">
        <v>749</v>
      </c>
      <c r="F197" s="64" t="s">
        <v>750</v>
      </c>
      <c r="G197" s="64">
        <v>2</v>
      </c>
      <c r="H197" s="64">
        <v>0</v>
      </c>
      <c r="I197" s="64">
        <v>2.4900000000000002</v>
      </c>
      <c r="J197" s="64">
        <v>3.4</v>
      </c>
      <c r="K197" s="64">
        <v>2.72</v>
      </c>
      <c r="L197" s="64">
        <v>-0.23</v>
      </c>
      <c r="M197" s="64">
        <v>43</v>
      </c>
      <c r="N197" s="64">
        <v>15</v>
      </c>
      <c r="O197" s="64">
        <v>0</v>
      </c>
      <c r="P197" s="64">
        <v>21</v>
      </c>
      <c r="Q197" s="64">
        <v>9</v>
      </c>
      <c r="R197" s="64">
        <v>0</v>
      </c>
      <c r="S197" s="64">
        <v>0</v>
      </c>
      <c r="T197" s="64">
        <v>0</v>
      </c>
      <c r="U197" s="64">
        <v>58.14</v>
      </c>
      <c r="V197" s="64">
        <v>18.600000000000001</v>
      </c>
      <c r="W197" s="64">
        <v>23.26</v>
      </c>
      <c r="X197" s="64">
        <v>33.33</v>
      </c>
      <c r="Y197" s="64">
        <v>33.33</v>
      </c>
      <c r="Z197" s="64">
        <v>33.33</v>
      </c>
      <c r="AA197" s="64">
        <v>57.14</v>
      </c>
      <c r="AB197" s="64">
        <v>33.33</v>
      </c>
      <c r="AC197" s="64">
        <v>33</v>
      </c>
      <c r="AD197" s="64">
        <v>4</v>
      </c>
      <c r="AE197" s="64">
        <v>66.67</v>
      </c>
      <c r="AF197" s="64">
        <v>50</v>
      </c>
      <c r="AG197" s="51">
        <f t="shared" si="21"/>
        <v>5.5029999999999983</v>
      </c>
      <c r="AH197" s="52">
        <f t="shared" si="22"/>
        <v>-5.5029999999999983</v>
      </c>
      <c r="AI197" s="52" t="str">
        <f t="shared" si="23"/>
        <v>N</v>
      </c>
      <c r="AJ197" s="52" t="str">
        <f t="shared" si="24"/>
        <v>N</v>
      </c>
      <c r="AK197" s="50" t="str">
        <f t="shared" si="25"/>
        <v>Win</v>
      </c>
      <c r="AL197" s="50" t="str">
        <f t="shared" si="26"/>
        <v>Loss</v>
      </c>
      <c r="AM197" s="50" t="str">
        <f t="shared" si="27"/>
        <v>Loss</v>
      </c>
      <c r="AN197" s="50">
        <f t="shared" si="28"/>
        <v>74.500000000000014</v>
      </c>
      <c r="AO197" s="50">
        <f t="shared" si="29"/>
        <v>-50</v>
      </c>
      <c r="AP197" s="50">
        <f t="shared" si="30"/>
        <v>-50</v>
      </c>
    </row>
    <row r="198" spans="1:42" x14ac:dyDescent="0.25">
      <c r="A198" s="63">
        <v>43624</v>
      </c>
      <c r="B198" s="64" t="s">
        <v>364</v>
      </c>
      <c r="C198" s="64" t="s">
        <v>747</v>
      </c>
      <c r="D198" s="64" t="s">
        <v>751</v>
      </c>
      <c r="E198" s="64" t="s">
        <v>752</v>
      </c>
      <c r="F198" s="64" t="s">
        <v>753</v>
      </c>
      <c r="G198" s="64">
        <v>0</v>
      </c>
      <c r="H198" s="64">
        <v>0</v>
      </c>
      <c r="I198" s="64">
        <v>2.74</v>
      </c>
      <c r="J198" s="64">
        <v>3.29</v>
      </c>
      <c r="K198" s="64">
        <v>2.54</v>
      </c>
      <c r="L198" s="64">
        <v>0.2</v>
      </c>
      <c r="M198" s="64">
        <v>12</v>
      </c>
      <c r="N198" s="64">
        <v>15</v>
      </c>
      <c r="O198" s="64">
        <v>0</v>
      </c>
      <c r="P198" s="64">
        <v>6</v>
      </c>
      <c r="Q198" s="64">
        <v>8</v>
      </c>
      <c r="R198" s="64">
        <v>0</v>
      </c>
      <c r="S198" s="64">
        <v>0</v>
      </c>
      <c r="T198" s="64">
        <v>0</v>
      </c>
      <c r="U198" s="64">
        <v>25</v>
      </c>
      <c r="V198" s="64">
        <v>41.67</v>
      </c>
      <c r="W198" s="64">
        <v>33.33</v>
      </c>
      <c r="X198" s="64">
        <v>33.33</v>
      </c>
      <c r="Y198" s="64">
        <v>13.33</v>
      </c>
      <c r="Z198" s="64">
        <v>53.33</v>
      </c>
      <c r="AA198" s="64">
        <v>33.33</v>
      </c>
      <c r="AB198" s="64">
        <v>37.5</v>
      </c>
      <c r="AC198" s="64">
        <v>4</v>
      </c>
      <c r="AD198" s="64">
        <v>7</v>
      </c>
      <c r="AE198" s="64">
        <v>25</v>
      </c>
      <c r="AF198" s="64">
        <v>42.86</v>
      </c>
      <c r="AG198" s="51">
        <f t="shared" si="21"/>
        <v>5.168000000000001</v>
      </c>
      <c r="AH198" s="52">
        <f t="shared" si="22"/>
        <v>-5.168000000000001</v>
      </c>
      <c r="AI198" s="52" t="str">
        <f t="shared" si="23"/>
        <v>N</v>
      </c>
      <c r="AJ198" s="52" t="str">
        <f t="shared" si="24"/>
        <v>N</v>
      </c>
      <c r="AK198" s="50" t="str">
        <f t="shared" si="25"/>
        <v>Loss</v>
      </c>
      <c r="AL198" s="50" t="str">
        <f t="shared" si="26"/>
        <v>Win</v>
      </c>
      <c r="AM198" s="50" t="str">
        <f t="shared" si="27"/>
        <v>Loss</v>
      </c>
      <c r="AN198" s="50">
        <f t="shared" si="28"/>
        <v>-50</v>
      </c>
      <c r="AO198" s="50">
        <f t="shared" si="29"/>
        <v>114.5</v>
      </c>
      <c r="AP198" s="50">
        <f t="shared" si="30"/>
        <v>-50</v>
      </c>
    </row>
    <row r="199" spans="1:42" x14ac:dyDescent="0.25">
      <c r="A199" s="63">
        <v>43624</v>
      </c>
      <c r="B199" s="64" t="s">
        <v>364</v>
      </c>
      <c r="C199" s="64" t="s">
        <v>747</v>
      </c>
      <c r="D199" s="64" t="s">
        <v>754</v>
      </c>
      <c r="E199" s="64" t="s">
        <v>755</v>
      </c>
      <c r="F199" s="64" t="s">
        <v>756</v>
      </c>
      <c r="G199" s="64">
        <v>1</v>
      </c>
      <c r="H199" s="64">
        <v>1</v>
      </c>
      <c r="I199" s="64">
        <v>2.31</v>
      </c>
      <c r="J199" s="64">
        <v>3.38</v>
      </c>
      <c r="K199" s="64">
        <v>2.96</v>
      </c>
      <c r="L199" s="64">
        <v>-0.65</v>
      </c>
      <c r="M199" s="64">
        <v>15</v>
      </c>
      <c r="N199" s="64">
        <v>40</v>
      </c>
      <c r="O199" s="64">
        <v>0</v>
      </c>
      <c r="P199" s="64">
        <v>7</v>
      </c>
      <c r="Q199" s="64">
        <v>18</v>
      </c>
      <c r="R199" s="64">
        <v>0</v>
      </c>
      <c r="S199" s="64">
        <v>0</v>
      </c>
      <c r="T199" s="64">
        <v>0</v>
      </c>
      <c r="U199" s="64">
        <v>33.33</v>
      </c>
      <c r="V199" s="64">
        <v>6.67</v>
      </c>
      <c r="W199" s="64">
        <v>60</v>
      </c>
      <c r="X199" s="64">
        <v>72.5</v>
      </c>
      <c r="Y199" s="64">
        <v>15</v>
      </c>
      <c r="Z199" s="64">
        <v>12.5</v>
      </c>
      <c r="AA199" s="64">
        <v>28.57</v>
      </c>
      <c r="AB199" s="64">
        <v>61.11</v>
      </c>
      <c r="AC199" s="64">
        <v>12</v>
      </c>
      <c r="AD199" s="64">
        <v>33</v>
      </c>
      <c r="AE199" s="64">
        <v>33.33</v>
      </c>
      <c r="AF199" s="64">
        <v>72.73</v>
      </c>
      <c r="AG199" s="51">
        <f t="shared" si="21"/>
        <v>-18.167000000000002</v>
      </c>
      <c r="AH199" s="52">
        <f t="shared" si="22"/>
        <v>18.167000000000002</v>
      </c>
      <c r="AI199" s="52" t="str">
        <f t="shared" si="23"/>
        <v>N</v>
      </c>
      <c r="AJ199" s="52" t="str">
        <f t="shared" si="24"/>
        <v>N</v>
      </c>
      <c r="AK199" s="50" t="str">
        <f t="shared" si="25"/>
        <v>Loss</v>
      </c>
      <c r="AL199" s="50" t="str">
        <f t="shared" si="26"/>
        <v>Win</v>
      </c>
      <c r="AM199" s="50" t="str">
        <f t="shared" si="27"/>
        <v>Loss</v>
      </c>
      <c r="AN199" s="50">
        <f t="shared" si="28"/>
        <v>-50</v>
      </c>
      <c r="AO199" s="50">
        <f t="shared" si="29"/>
        <v>119</v>
      </c>
      <c r="AP199" s="50">
        <f t="shared" si="30"/>
        <v>-50</v>
      </c>
    </row>
    <row r="200" spans="1:42" x14ac:dyDescent="0.25">
      <c r="A200" s="63">
        <v>43624</v>
      </c>
      <c r="B200" s="64" t="s">
        <v>757</v>
      </c>
      <c r="C200" s="64" t="s">
        <v>758</v>
      </c>
      <c r="D200" s="64" t="s">
        <v>759</v>
      </c>
      <c r="E200" s="64" t="s">
        <v>760</v>
      </c>
      <c r="F200" s="64" t="s">
        <v>761</v>
      </c>
      <c r="G200" s="64">
        <v>2</v>
      </c>
      <c r="H200" s="64">
        <v>0</v>
      </c>
      <c r="I200" s="64">
        <v>3.33</v>
      </c>
      <c r="J200" s="64">
        <v>2.85</v>
      </c>
      <c r="K200" s="64">
        <v>2.34</v>
      </c>
      <c r="L200" s="64">
        <v>0.99</v>
      </c>
      <c r="M200" s="64">
        <v>29</v>
      </c>
      <c r="N200" s="64">
        <v>35</v>
      </c>
      <c r="O200" s="64">
        <v>1</v>
      </c>
      <c r="P200" s="64">
        <v>13</v>
      </c>
      <c r="Q200" s="64">
        <v>16</v>
      </c>
      <c r="R200" s="64">
        <v>0</v>
      </c>
      <c r="S200" s="64">
        <v>100</v>
      </c>
      <c r="T200" s="64">
        <v>0</v>
      </c>
      <c r="U200" s="64">
        <v>48.28</v>
      </c>
      <c r="V200" s="64">
        <v>34.479999999999997</v>
      </c>
      <c r="W200" s="64">
        <v>17.239999999999998</v>
      </c>
      <c r="X200" s="64">
        <v>25.71</v>
      </c>
      <c r="Y200" s="64">
        <v>22.86</v>
      </c>
      <c r="Z200" s="64">
        <v>51.43</v>
      </c>
      <c r="AA200" s="64">
        <v>46.15</v>
      </c>
      <c r="AB200" s="64">
        <v>18.75</v>
      </c>
      <c r="AC200" s="64">
        <v>23</v>
      </c>
      <c r="AD200" s="64">
        <v>5</v>
      </c>
      <c r="AE200" s="64">
        <v>56.52</v>
      </c>
      <c r="AF200" s="64">
        <v>40</v>
      </c>
      <c r="AG200" s="51">
        <f t="shared" si="21"/>
        <v>22.514000000000003</v>
      </c>
      <c r="AH200" s="52">
        <f t="shared" si="22"/>
        <v>-2.5140000000000011</v>
      </c>
      <c r="AI200" s="52" t="str">
        <f t="shared" si="23"/>
        <v>N</v>
      </c>
      <c r="AJ200" s="52" t="str">
        <f t="shared" si="24"/>
        <v>N</v>
      </c>
      <c r="AK200" s="50" t="str">
        <f t="shared" si="25"/>
        <v>Win</v>
      </c>
      <c r="AL200" s="50" t="str">
        <f t="shared" si="26"/>
        <v>Loss</v>
      </c>
      <c r="AM200" s="50" t="str">
        <f t="shared" si="27"/>
        <v>Loss</v>
      </c>
      <c r="AN200" s="50">
        <f t="shared" si="28"/>
        <v>116.5</v>
      </c>
      <c r="AO200" s="50">
        <f t="shared" si="29"/>
        <v>-50</v>
      </c>
      <c r="AP200" s="50">
        <f t="shared" si="30"/>
        <v>-50</v>
      </c>
    </row>
    <row r="201" spans="1:42" x14ac:dyDescent="0.25">
      <c r="A201" s="63">
        <v>43624</v>
      </c>
      <c r="B201" s="64" t="s">
        <v>569</v>
      </c>
      <c r="C201" s="64" t="s">
        <v>570</v>
      </c>
      <c r="D201" s="64" t="s">
        <v>762</v>
      </c>
      <c r="E201" s="64" t="s">
        <v>763</v>
      </c>
      <c r="F201" s="64" t="s">
        <v>764</v>
      </c>
      <c r="G201" s="64">
        <v>6</v>
      </c>
      <c r="H201" s="64">
        <v>1</v>
      </c>
      <c r="I201" s="64">
        <v>1.29</v>
      </c>
      <c r="J201" s="64">
        <v>4.92</v>
      </c>
      <c r="K201" s="64">
        <v>7.63</v>
      </c>
      <c r="L201" s="64">
        <v>-6.34</v>
      </c>
      <c r="M201" s="64">
        <v>34</v>
      </c>
      <c r="N201" s="64">
        <v>29</v>
      </c>
      <c r="O201" s="64">
        <v>2</v>
      </c>
      <c r="P201" s="64">
        <v>17</v>
      </c>
      <c r="Q201" s="64">
        <v>18</v>
      </c>
      <c r="R201" s="64">
        <v>0</v>
      </c>
      <c r="S201" s="64">
        <v>50</v>
      </c>
      <c r="T201" s="64">
        <v>50</v>
      </c>
      <c r="U201" s="64">
        <v>38.24</v>
      </c>
      <c r="V201" s="64">
        <v>29.41</v>
      </c>
      <c r="W201" s="64">
        <v>32.35</v>
      </c>
      <c r="X201" s="64">
        <v>17.239999999999998</v>
      </c>
      <c r="Y201" s="64">
        <v>31.03</v>
      </c>
      <c r="Z201" s="64">
        <v>51.72</v>
      </c>
      <c r="AA201" s="64">
        <v>52.94</v>
      </c>
      <c r="AB201" s="64">
        <v>27.78</v>
      </c>
      <c r="AC201" s="64">
        <v>17</v>
      </c>
      <c r="AD201" s="64">
        <v>10</v>
      </c>
      <c r="AE201" s="64">
        <v>58.82</v>
      </c>
      <c r="AF201" s="64">
        <v>20</v>
      </c>
      <c r="AG201" s="51">
        <f t="shared" si="21"/>
        <v>-2.0879999999999992</v>
      </c>
      <c r="AH201" s="52">
        <f t="shared" si="22"/>
        <v>12.088000000000001</v>
      </c>
      <c r="AI201" s="52" t="str">
        <f t="shared" si="23"/>
        <v>N</v>
      </c>
      <c r="AJ201" s="52" t="str">
        <f t="shared" si="24"/>
        <v>N</v>
      </c>
      <c r="AK201" s="50" t="str">
        <f t="shared" si="25"/>
        <v>Win</v>
      </c>
      <c r="AL201" s="50" t="str">
        <f t="shared" si="26"/>
        <v>Loss</v>
      </c>
      <c r="AM201" s="50" t="str">
        <f t="shared" si="27"/>
        <v>Loss</v>
      </c>
      <c r="AN201" s="50">
        <f t="shared" si="28"/>
        <v>14.5</v>
      </c>
      <c r="AO201" s="50">
        <f t="shared" si="29"/>
        <v>-50</v>
      </c>
      <c r="AP201" s="50">
        <f t="shared" si="30"/>
        <v>-50</v>
      </c>
    </row>
    <row r="202" spans="1:42" x14ac:dyDescent="0.25">
      <c r="A202" s="63">
        <v>43624</v>
      </c>
      <c r="B202" s="64" t="s">
        <v>569</v>
      </c>
      <c r="C202" s="64" t="s">
        <v>570</v>
      </c>
      <c r="D202" s="64" t="s">
        <v>765</v>
      </c>
      <c r="E202" s="64" t="s">
        <v>766</v>
      </c>
      <c r="F202" s="64" t="s">
        <v>767</v>
      </c>
      <c r="G202" s="64">
        <v>0</v>
      </c>
      <c r="H202" s="64">
        <v>2</v>
      </c>
      <c r="I202" s="64">
        <v>4.28</v>
      </c>
      <c r="J202" s="64">
        <v>3.63</v>
      </c>
      <c r="K202" s="64">
        <v>1.67</v>
      </c>
      <c r="L202" s="64">
        <v>2.61</v>
      </c>
      <c r="M202" s="64">
        <v>27</v>
      </c>
      <c r="N202" s="64">
        <v>27</v>
      </c>
      <c r="O202" s="64">
        <v>1</v>
      </c>
      <c r="P202" s="64">
        <v>13</v>
      </c>
      <c r="Q202" s="64">
        <v>11</v>
      </c>
      <c r="R202" s="64">
        <v>100</v>
      </c>
      <c r="S202" s="64">
        <v>0</v>
      </c>
      <c r="T202" s="64">
        <v>0</v>
      </c>
      <c r="U202" s="64">
        <v>33.33</v>
      </c>
      <c r="V202" s="64">
        <v>25.93</v>
      </c>
      <c r="W202" s="64">
        <v>40.74</v>
      </c>
      <c r="X202" s="64">
        <v>59.26</v>
      </c>
      <c r="Y202" s="64">
        <v>18.52</v>
      </c>
      <c r="Z202" s="64">
        <v>22.22</v>
      </c>
      <c r="AA202" s="64">
        <v>23.08</v>
      </c>
      <c r="AB202" s="64">
        <v>63.64</v>
      </c>
      <c r="AC202" s="64">
        <v>10</v>
      </c>
      <c r="AD202" s="64">
        <v>19</v>
      </c>
      <c r="AE202" s="64">
        <v>30</v>
      </c>
      <c r="AF202" s="64">
        <v>73.680000000000007</v>
      </c>
      <c r="AG202" s="51">
        <f t="shared" si="21"/>
        <v>21.850999999999996</v>
      </c>
      <c r="AH202" s="52">
        <f t="shared" si="22"/>
        <v>-21.850999999999996</v>
      </c>
      <c r="AI202" s="52" t="str">
        <f t="shared" si="23"/>
        <v>N</v>
      </c>
      <c r="AJ202" s="52" t="str">
        <f t="shared" si="24"/>
        <v>N</v>
      </c>
      <c r="AK202" s="50" t="str">
        <f t="shared" si="25"/>
        <v>Loss</v>
      </c>
      <c r="AL202" s="50" t="str">
        <f t="shared" si="26"/>
        <v>Loss</v>
      </c>
      <c r="AM202" s="50" t="str">
        <f t="shared" si="27"/>
        <v>Win</v>
      </c>
      <c r="AN202" s="50">
        <f t="shared" si="28"/>
        <v>-50</v>
      </c>
      <c r="AO202" s="50">
        <f t="shared" si="29"/>
        <v>-50</v>
      </c>
      <c r="AP202" s="50">
        <f t="shared" si="30"/>
        <v>33.5</v>
      </c>
    </row>
    <row r="203" spans="1:42" x14ac:dyDescent="0.25">
      <c r="A203" s="63">
        <v>43624</v>
      </c>
      <c r="B203" s="64" t="s">
        <v>632</v>
      </c>
      <c r="C203" s="64" t="s">
        <v>633</v>
      </c>
      <c r="D203" s="64" t="s">
        <v>768</v>
      </c>
      <c r="E203" s="64" t="s">
        <v>769</v>
      </c>
      <c r="F203" s="64" t="s">
        <v>770</v>
      </c>
      <c r="G203" s="64">
        <v>1</v>
      </c>
      <c r="H203" s="64">
        <v>4</v>
      </c>
      <c r="I203" s="64">
        <v>2.2799999999999998</v>
      </c>
      <c r="J203" s="64">
        <v>2.82</v>
      </c>
      <c r="K203" s="64">
        <v>3.09</v>
      </c>
      <c r="L203" s="64">
        <v>-0.81</v>
      </c>
      <c r="M203" s="64">
        <v>17</v>
      </c>
      <c r="N203" s="64">
        <v>17</v>
      </c>
      <c r="O203" s="64">
        <v>2</v>
      </c>
      <c r="P203" s="64">
        <v>6</v>
      </c>
      <c r="Q203" s="64">
        <v>8</v>
      </c>
      <c r="R203" s="64">
        <v>50</v>
      </c>
      <c r="S203" s="64">
        <v>50</v>
      </c>
      <c r="T203" s="64">
        <v>0</v>
      </c>
      <c r="U203" s="64">
        <v>11.76</v>
      </c>
      <c r="V203" s="64">
        <v>58.82</v>
      </c>
      <c r="W203" s="64">
        <v>29.41</v>
      </c>
      <c r="X203" s="64">
        <v>17.649999999999999</v>
      </c>
      <c r="Y203" s="64">
        <v>35.29</v>
      </c>
      <c r="Z203" s="64">
        <v>47.06</v>
      </c>
      <c r="AA203" s="64">
        <v>0</v>
      </c>
      <c r="AB203" s="64">
        <v>12.5</v>
      </c>
      <c r="AC203" s="64">
        <v>6</v>
      </c>
      <c r="AD203" s="64">
        <v>9</v>
      </c>
      <c r="AE203" s="64">
        <v>0</v>
      </c>
      <c r="AF203" s="64">
        <v>22.22</v>
      </c>
      <c r="AG203" s="51">
        <f t="shared" si="21"/>
        <v>24.704999999999998</v>
      </c>
      <c r="AH203" s="52">
        <f t="shared" si="22"/>
        <v>-14.705000000000002</v>
      </c>
      <c r="AI203" s="52" t="str">
        <f t="shared" si="23"/>
        <v>N</v>
      </c>
      <c r="AJ203" s="52" t="str">
        <f t="shared" si="24"/>
        <v>N</v>
      </c>
      <c r="AK203" s="50" t="str">
        <f t="shared" si="25"/>
        <v>Loss</v>
      </c>
      <c r="AL203" s="50" t="str">
        <f t="shared" si="26"/>
        <v>Loss</v>
      </c>
      <c r="AM203" s="50" t="str">
        <f t="shared" si="27"/>
        <v>Win</v>
      </c>
      <c r="AN203" s="50">
        <f t="shared" si="28"/>
        <v>-50</v>
      </c>
      <c r="AO203" s="50">
        <f t="shared" si="29"/>
        <v>-50</v>
      </c>
      <c r="AP203" s="50">
        <f t="shared" si="30"/>
        <v>104.5</v>
      </c>
    </row>
    <row r="204" spans="1:42" x14ac:dyDescent="0.25">
      <c r="A204" s="63">
        <v>43624</v>
      </c>
      <c r="B204" s="64" t="s">
        <v>632</v>
      </c>
      <c r="C204" s="64" t="s">
        <v>633</v>
      </c>
      <c r="D204" s="64" t="s">
        <v>771</v>
      </c>
      <c r="E204" s="64" t="s">
        <v>772</v>
      </c>
      <c r="F204" s="64" t="s">
        <v>773</v>
      </c>
      <c r="G204" s="64">
        <v>0</v>
      </c>
      <c r="H204" s="64">
        <v>2</v>
      </c>
      <c r="I204" s="64">
        <v>2.69</v>
      </c>
      <c r="J204" s="64">
        <v>2.78</v>
      </c>
      <c r="K204" s="64">
        <v>2.71</v>
      </c>
      <c r="L204" s="64">
        <v>-0.02</v>
      </c>
      <c r="M204" s="64">
        <v>16</v>
      </c>
      <c r="N204" s="64">
        <v>17</v>
      </c>
      <c r="O204" s="64">
        <v>0</v>
      </c>
      <c r="P204" s="64">
        <v>9</v>
      </c>
      <c r="Q204" s="64">
        <v>9</v>
      </c>
      <c r="R204" s="64">
        <v>0</v>
      </c>
      <c r="S204" s="64">
        <v>0</v>
      </c>
      <c r="T204" s="64">
        <v>0</v>
      </c>
      <c r="U204" s="64">
        <v>25</v>
      </c>
      <c r="V204" s="64">
        <v>25</v>
      </c>
      <c r="W204" s="64">
        <v>50</v>
      </c>
      <c r="X204" s="64">
        <v>29.41</v>
      </c>
      <c r="Y204" s="64">
        <v>23.53</v>
      </c>
      <c r="Z204" s="64">
        <v>47.06</v>
      </c>
      <c r="AA204" s="64">
        <v>33.33</v>
      </c>
      <c r="AB204" s="64">
        <v>33.33</v>
      </c>
      <c r="AC204" s="64">
        <v>8</v>
      </c>
      <c r="AD204" s="64">
        <v>8</v>
      </c>
      <c r="AE204" s="64">
        <v>25</v>
      </c>
      <c r="AF204" s="64">
        <v>25</v>
      </c>
      <c r="AG204" s="51">
        <f t="shared" si="21"/>
        <v>-1.3230000000000004</v>
      </c>
      <c r="AH204" s="52">
        <f t="shared" si="22"/>
        <v>1.3230000000000004</v>
      </c>
      <c r="AI204" s="52" t="str">
        <f t="shared" si="23"/>
        <v>N</v>
      </c>
      <c r="AJ204" s="52" t="str">
        <f t="shared" si="24"/>
        <v>N</v>
      </c>
      <c r="AK204" s="50" t="str">
        <f t="shared" si="25"/>
        <v>Loss</v>
      </c>
      <c r="AL204" s="50" t="str">
        <f t="shared" si="26"/>
        <v>Loss</v>
      </c>
      <c r="AM204" s="50" t="str">
        <f t="shared" si="27"/>
        <v>Win</v>
      </c>
      <c r="AN204" s="50">
        <f t="shared" si="28"/>
        <v>-50</v>
      </c>
      <c r="AO204" s="50">
        <f t="shared" si="29"/>
        <v>-50</v>
      </c>
      <c r="AP204" s="50">
        <f t="shared" si="30"/>
        <v>85.5</v>
      </c>
    </row>
    <row r="205" spans="1:42" x14ac:dyDescent="0.25">
      <c r="A205" s="63">
        <v>43624</v>
      </c>
      <c r="B205" s="64" t="s">
        <v>632</v>
      </c>
      <c r="C205" s="64" t="s">
        <v>633</v>
      </c>
      <c r="D205" s="64" t="s">
        <v>774</v>
      </c>
      <c r="E205" s="64" t="s">
        <v>775</v>
      </c>
      <c r="F205" s="64" t="s">
        <v>776</v>
      </c>
      <c r="G205" s="64">
        <v>1</v>
      </c>
      <c r="H205" s="64">
        <v>1</v>
      </c>
      <c r="I205" s="64">
        <v>2.4</v>
      </c>
      <c r="J205" s="64">
        <v>2.4900000000000002</v>
      </c>
      <c r="K205" s="64">
        <v>3.57</v>
      </c>
      <c r="L205" s="64">
        <v>-1.17</v>
      </c>
      <c r="M205" s="64">
        <v>14</v>
      </c>
      <c r="N205" s="64">
        <v>14</v>
      </c>
      <c r="O205" s="64">
        <v>1</v>
      </c>
      <c r="P205" s="64">
        <v>8</v>
      </c>
      <c r="Q205" s="64">
        <v>8</v>
      </c>
      <c r="R205" s="64">
        <v>100</v>
      </c>
      <c r="S205" s="64">
        <v>0</v>
      </c>
      <c r="T205" s="64">
        <v>0</v>
      </c>
      <c r="U205" s="64">
        <v>42.86</v>
      </c>
      <c r="V205" s="64">
        <v>28.57</v>
      </c>
      <c r="W205" s="64">
        <v>28.57</v>
      </c>
      <c r="X205" s="64">
        <v>28.57</v>
      </c>
      <c r="Y205" s="64">
        <v>28.57</v>
      </c>
      <c r="Z205" s="64">
        <v>42.86</v>
      </c>
      <c r="AA205" s="64">
        <v>50</v>
      </c>
      <c r="AB205" s="64">
        <v>12.5</v>
      </c>
      <c r="AC205" s="64">
        <v>10</v>
      </c>
      <c r="AD205" s="64">
        <v>2</v>
      </c>
      <c r="AE205" s="64">
        <v>40</v>
      </c>
      <c r="AF205" s="64">
        <v>100</v>
      </c>
      <c r="AG205" s="51">
        <f t="shared" si="21"/>
        <v>35.716000000000008</v>
      </c>
      <c r="AH205" s="52">
        <f t="shared" si="22"/>
        <v>-35.716000000000008</v>
      </c>
      <c r="AI205" s="52" t="str">
        <f t="shared" si="23"/>
        <v>N</v>
      </c>
      <c r="AJ205" s="52" t="str">
        <f t="shared" si="24"/>
        <v>N</v>
      </c>
      <c r="AK205" s="50" t="str">
        <f t="shared" si="25"/>
        <v>Loss</v>
      </c>
      <c r="AL205" s="50" t="str">
        <f t="shared" si="26"/>
        <v>Win</v>
      </c>
      <c r="AM205" s="50" t="str">
        <f t="shared" si="27"/>
        <v>Loss</v>
      </c>
      <c r="AN205" s="50">
        <f t="shared" si="28"/>
        <v>-50</v>
      </c>
      <c r="AO205" s="50">
        <f t="shared" si="29"/>
        <v>74.500000000000014</v>
      </c>
      <c r="AP205" s="50">
        <f t="shared" si="30"/>
        <v>-50</v>
      </c>
    </row>
    <row r="206" spans="1:42" x14ac:dyDescent="0.25">
      <c r="A206" s="63">
        <v>43624</v>
      </c>
      <c r="B206" s="64" t="s">
        <v>303</v>
      </c>
      <c r="C206" s="64" t="s">
        <v>304</v>
      </c>
      <c r="D206" s="64" t="s">
        <v>777</v>
      </c>
      <c r="E206" s="64" t="s">
        <v>778</v>
      </c>
      <c r="F206" s="64" t="s">
        <v>779</v>
      </c>
      <c r="G206" s="64">
        <v>2</v>
      </c>
      <c r="H206" s="64">
        <v>1</v>
      </c>
      <c r="I206" s="64">
        <v>1.43</v>
      </c>
      <c r="J206" s="64">
        <v>4.5199999999999996</v>
      </c>
      <c r="K206" s="64">
        <v>5.63</v>
      </c>
      <c r="L206" s="64">
        <v>-4.2</v>
      </c>
      <c r="M206" s="64">
        <v>32</v>
      </c>
      <c r="N206" s="64">
        <v>31</v>
      </c>
      <c r="O206" s="64">
        <v>1</v>
      </c>
      <c r="P206" s="64">
        <v>15</v>
      </c>
      <c r="Q206" s="64">
        <v>15</v>
      </c>
      <c r="R206" s="64">
        <v>100</v>
      </c>
      <c r="S206" s="64">
        <v>0</v>
      </c>
      <c r="T206" s="64">
        <v>0</v>
      </c>
      <c r="U206" s="64">
        <v>43.75</v>
      </c>
      <c r="V206" s="64">
        <v>0</v>
      </c>
      <c r="W206" s="64">
        <v>56.25</v>
      </c>
      <c r="X206" s="64">
        <v>48.39</v>
      </c>
      <c r="Y206" s="64">
        <v>0</v>
      </c>
      <c r="Z206" s="64">
        <v>51.61</v>
      </c>
      <c r="AA206" s="64">
        <v>53.33</v>
      </c>
      <c r="AB206" s="64">
        <v>40</v>
      </c>
      <c r="AC206" s="64">
        <v>9</v>
      </c>
      <c r="AD206" s="64">
        <v>12</v>
      </c>
      <c r="AE206" s="64">
        <v>66.67</v>
      </c>
      <c r="AF206" s="64">
        <v>66.67</v>
      </c>
      <c r="AG206" s="51">
        <f t="shared" si="21"/>
        <v>28.143999999999998</v>
      </c>
      <c r="AH206" s="52">
        <f t="shared" si="22"/>
        <v>-28.143999999999998</v>
      </c>
      <c r="AI206" s="52" t="str">
        <f t="shared" si="23"/>
        <v>N</v>
      </c>
      <c r="AJ206" s="52" t="str">
        <f t="shared" si="24"/>
        <v>N</v>
      </c>
      <c r="AK206" s="50" t="str">
        <f t="shared" si="25"/>
        <v>Win</v>
      </c>
      <c r="AL206" s="50" t="str">
        <f t="shared" si="26"/>
        <v>Loss</v>
      </c>
      <c r="AM206" s="50" t="str">
        <f t="shared" si="27"/>
        <v>Loss</v>
      </c>
      <c r="AN206" s="50">
        <f t="shared" si="28"/>
        <v>21.5</v>
      </c>
      <c r="AO206" s="50">
        <f t="shared" si="29"/>
        <v>-50</v>
      </c>
      <c r="AP206" s="50">
        <f t="shared" si="30"/>
        <v>-50</v>
      </c>
    </row>
    <row r="207" spans="1:42" x14ac:dyDescent="0.25">
      <c r="A207" s="63">
        <v>43624</v>
      </c>
      <c r="B207" s="64" t="s">
        <v>303</v>
      </c>
      <c r="C207" s="64" t="s">
        <v>304</v>
      </c>
      <c r="D207" s="64" t="s">
        <v>780</v>
      </c>
      <c r="E207" s="64" t="s">
        <v>781</v>
      </c>
      <c r="F207" s="64" t="s">
        <v>782</v>
      </c>
      <c r="G207" s="64">
        <v>0</v>
      </c>
      <c r="H207" s="64">
        <v>2</v>
      </c>
      <c r="I207" s="64">
        <v>4.3099999999999996</v>
      </c>
      <c r="J207" s="64">
        <v>4.07</v>
      </c>
      <c r="K207" s="64">
        <v>1.64</v>
      </c>
      <c r="L207" s="64">
        <v>2.67</v>
      </c>
      <c r="M207" s="64">
        <v>31</v>
      </c>
      <c r="N207" s="64">
        <v>32</v>
      </c>
      <c r="O207" s="64">
        <v>1</v>
      </c>
      <c r="P207" s="64">
        <v>16</v>
      </c>
      <c r="Q207" s="64">
        <v>15</v>
      </c>
      <c r="R207" s="64">
        <v>0</v>
      </c>
      <c r="S207" s="64">
        <v>0</v>
      </c>
      <c r="T207" s="64">
        <v>100</v>
      </c>
      <c r="U207" s="64">
        <v>29.03</v>
      </c>
      <c r="V207" s="64">
        <v>0</v>
      </c>
      <c r="W207" s="64">
        <v>70.97</v>
      </c>
      <c r="X207" s="64">
        <v>68.75</v>
      </c>
      <c r="Y207" s="64">
        <v>0</v>
      </c>
      <c r="Z207" s="64">
        <v>31.25</v>
      </c>
      <c r="AA207" s="64">
        <v>37.5</v>
      </c>
      <c r="AB207" s="64">
        <v>66.67</v>
      </c>
      <c r="AC207" s="64">
        <v>8</v>
      </c>
      <c r="AD207" s="64">
        <v>26</v>
      </c>
      <c r="AE207" s="64">
        <v>37.5</v>
      </c>
      <c r="AF207" s="64">
        <v>76.92</v>
      </c>
      <c r="AG207" s="51">
        <f t="shared" ref="AG207:AG270" si="31">(+R207*$R$12)+(S207*$S$12)-(T207*$T$12)+(U207*$U$12)+(V207*$V$12)-(W207*$W$12)-(X207*$X$12)-(Y207*$Y$12)+(Z207*$Z$12)</f>
        <v>-45.887999999999998</v>
      </c>
      <c r="AH207" s="52">
        <f t="shared" ref="AH207:AH270" si="32">(-R207*$R$12)+(S207*$S$12)+(T207*$T$12)-(U207*$U$12)-(V207*$V$12)+(W207*$W$12)+(X207*$X$12)+(Y207*$Y$12)-(Z207*$Z$12)</f>
        <v>45.887999999999998</v>
      </c>
      <c r="AI207" s="52" t="str">
        <f t="shared" ref="AI207:AI270" si="33">IF(AG207&gt;=$AG$12,"Y",IF(AA207&gt;=$AA$12,"Y","N"))</f>
        <v>N</v>
      </c>
      <c r="AJ207" s="52" t="str">
        <f t="shared" ref="AJ207:AJ270" si="34">IF(AH207&gt;=$AH$12,"Y",IF(AB207&gt;=$AB$12,"Y","N"))</f>
        <v>Y</v>
      </c>
      <c r="AK207" s="50" t="str">
        <f t="shared" ref="AK207:AK270" si="35">IF(G207&gt;H207,"Win","Loss")</f>
        <v>Loss</v>
      </c>
      <c r="AL207" s="50" t="str">
        <f t="shared" ref="AL207:AL270" si="36">IF(G207=H207,"Win","Loss")</f>
        <v>Loss</v>
      </c>
      <c r="AM207" s="50" t="str">
        <f t="shared" ref="AM207:AM270" si="37">IF(G207&lt;H207,"Win","Loss")</f>
        <v>Win</v>
      </c>
      <c r="AN207" s="50">
        <f t="shared" ref="AN207:AN270" si="38">IF(AK207="Win",(I207*$B$2)-$B$2,-$B$2)</f>
        <v>-50</v>
      </c>
      <c r="AO207" s="50">
        <f t="shared" ref="AO207:AO270" si="39">IF(AL207="Win",(J207*$B$2)-$B$2,-$B$2)</f>
        <v>-50</v>
      </c>
      <c r="AP207" s="50">
        <f t="shared" ref="AP207:AP270" si="40">IF(AM207="Win",(K207*$B$2)-$B$2,-$B$2)</f>
        <v>32</v>
      </c>
    </row>
    <row r="208" spans="1:42" x14ac:dyDescent="0.25">
      <c r="A208" s="63">
        <v>43624</v>
      </c>
      <c r="B208" s="64" t="s">
        <v>303</v>
      </c>
      <c r="C208" s="64" t="s">
        <v>304</v>
      </c>
      <c r="D208" s="64" t="s">
        <v>783</v>
      </c>
      <c r="E208" s="64" t="s">
        <v>784</v>
      </c>
      <c r="F208" s="64" t="s">
        <v>785</v>
      </c>
      <c r="G208" s="64">
        <v>7</v>
      </c>
      <c r="H208" s="64">
        <v>1</v>
      </c>
      <c r="I208" s="64">
        <v>1.1200000000000001</v>
      </c>
      <c r="J208" s="64">
        <v>7.44</v>
      </c>
      <c r="K208" s="64">
        <v>13.61</v>
      </c>
      <c r="L208" s="64">
        <v>-12.49</v>
      </c>
      <c r="M208" s="64">
        <v>30</v>
      </c>
      <c r="N208" s="64">
        <v>33</v>
      </c>
      <c r="O208" s="64">
        <v>1</v>
      </c>
      <c r="P208" s="64">
        <v>15</v>
      </c>
      <c r="Q208" s="64">
        <v>15</v>
      </c>
      <c r="R208" s="64">
        <v>100</v>
      </c>
      <c r="S208" s="64">
        <v>0</v>
      </c>
      <c r="T208" s="64">
        <v>0</v>
      </c>
      <c r="U208" s="64">
        <v>76.67</v>
      </c>
      <c r="V208" s="64">
        <v>0</v>
      </c>
      <c r="W208" s="64">
        <v>23.33</v>
      </c>
      <c r="X208" s="64">
        <v>54.55</v>
      </c>
      <c r="Y208" s="64">
        <v>0</v>
      </c>
      <c r="Z208" s="64">
        <v>45.45</v>
      </c>
      <c r="AA208" s="64">
        <v>86.67</v>
      </c>
      <c r="AB208" s="64">
        <v>46.67</v>
      </c>
      <c r="AC208" s="64">
        <v>25</v>
      </c>
      <c r="AD208" s="64">
        <v>13</v>
      </c>
      <c r="AE208" s="64">
        <v>84</v>
      </c>
      <c r="AF208" s="64">
        <v>69.23</v>
      </c>
      <c r="AG208" s="51">
        <f t="shared" si="31"/>
        <v>38.848000000000006</v>
      </c>
      <c r="AH208" s="52">
        <f t="shared" si="32"/>
        <v>-38.848000000000006</v>
      </c>
      <c r="AI208" s="52" t="str">
        <f t="shared" si="33"/>
        <v>Y</v>
      </c>
      <c r="AJ208" s="52" t="str">
        <f t="shared" si="34"/>
        <v>N</v>
      </c>
      <c r="AK208" s="50" t="str">
        <f t="shared" si="35"/>
        <v>Win</v>
      </c>
      <c r="AL208" s="50" t="str">
        <f t="shared" si="36"/>
        <v>Loss</v>
      </c>
      <c r="AM208" s="50" t="str">
        <f t="shared" si="37"/>
        <v>Loss</v>
      </c>
      <c r="AN208" s="50">
        <f t="shared" si="38"/>
        <v>6.0000000000000071</v>
      </c>
      <c r="AO208" s="50">
        <f t="shared" si="39"/>
        <v>-50</v>
      </c>
      <c r="AP208" s="50">
        <f t="shared" si="40"/>
        <v>-50</v>
      </c>
    </row>
    <row r="209" spans="1:42" x14ac:dyDescent="0.25">
      <c r="A209" s="63">
        <v>43624</v>
      </c>
      <c r="B209" s="64" t="s">
        <v>303</v>
      </c>
      <c r="C209" s="64" t="s">
        <v>304</v>
      </c>
      <c r="D209" s="64" t="s">
        <v>786</v>
      </c>
      <c r="E209" s="64" t="s">
        <v>787</v>
      </c>
      <c r="F209" s="64" t="s">
        <v>788</v>
      </c>
      <c r="G209" s="64">
        <v>2</v>
      </c>
      <c r="H209" s="64">
        <v>1</v>
      </c>
      <c r="I209" s="64">
        <v>1.74</v>
      </c>
      <c r="J209" s="64">
        <v>3.83</v>
      </c>
      <c r="K209" s="64">
        <v>3.93</v>
      </c>
      <c r="L209" s="64">
        <v>-2.19</v>
      </c>
      <c r="M209" s="64">
        <v>31</v>
      </c>
      <c r="N209" s="64">
        <v>31</v>
      </c>
      <c r="O209" s="64">
        <v>1</v>
      </c>
      <c r="P209" s="64">
        <v>16</v>
      </c>
      <c r="Q209" s="64">
        <v>16</v>
      </c>
      <c r="R209" s="64">
        <v>0</v>
      </c>
      <c r="S209" s="64">
        <v>0</v>
      </c>
      <c r="T209" s="64">
        <v>100</v>
      </c>
      <c r="U209" s="64">
        <v>41.94</v>
      </c>
      <c r="V209" s="64">
        <v>0</v>
      </c>
      <c r="W209" s="64">
        <v>58.06</v>
      </c>
      <c r="X209" s="64">
        <v>48.39</v>
      </c>
      <c r="Y209" s="64">
        <v>0</v>
      </c>
      <c r="Z209" s="64">
        <v>51.61</v>
      </c>
      <c r="AA209" s="64">
        <v>62.5</v>
      </c>
      <c r="AB209" s="64">
        <v>37.5</v>
      </c>
      <c r="AC209" s="64">
        <v>13</v>
      </c>
      <c r="AD209" s="64">
        <v>9</v>
      </c>
      <c r="AE209" s="64">
        <v>61.54</v>
      </c>
      <c r="AF209" s="64">
        <v>88.89</v>
      </c>
      <c r="AG209" s="51">
        <f t="shared" si="31"/>
        <v>-32.58</v>
      </c>
      <c r="AH209" s="52">
        <f t="shared" si="32"/>
        <v>32.58</v>
      </c>
      <c r="AI209" s="52" t="str">
        <f t="shared" si="33"/>
        <v>N</v>
      </c>
      <c r="AJ209" s="52" t="str">
        <f t="shared" si="34"/>
        <v>N</v>
      </c>
      <c r="AK209" s="50" t="str">
        <f t="shared" si="35"/>
        <v>Win</v>
      </c>
      <c r="AL209" s="50" t="str">
        <f t="shared" si="36"/>
        <v>Loss</v>
      </c>
      <c r="AM209" s="50" t="str">
        <f t="shared" si="37"/>
        <v>Loss</v>
      </c>
      <c r="AN209" s="50">
        <f t="shared" si="38"/>
        <v>37</v>
      </c>
      <c r="AO209" s="50">
        <f t="shared" si="39"/>
        <v>-50</v>
      </c>
      <c r="AP209" s="50">
        <f t="shared" si="40"/>
        <v>-50</v>
      </c>
    </row>
    <row r="210" spans="1:42" x14ac:dyDescent="0.25">
      <c r="A210" s="63">
        <v>43624</v>
      </c>
      <c r="B210" s="64" t="s">
        <v>303</v>
      </c>
      <c r="C210" s="64" t="s">
        <v>789</v>
      </c>
      <c r="D210" s="64" t="s">
        <v>790</v>
      </c>
      <c r="E210" s="64" t="s">
        <v>791</v>
      </c>
      <c r="F210" s="64" t="s">
        <v>792</v>
      </c>
      <c r="G210" s="64">
        <v>2</v>
      </c>
      <c r="H210" s="64">
        <v>5</v>
      </c>
      <c r="I210" s="64">
        <v>4.71</v>
      </c>
      <c r="J210" s="64">
        <v>4.51</v>
      </c>
      <c r="K210" s="64">
        <v>1.51</v>
      </c>
      <c r="L210" s="64">
        <v>3.2</v>
      </c>
      <c r="M210" s="64">
        <v>28</v>
      </c>
      <c r="N210" s="64">
        <v>29</v>
      </c>
      <c r="O210" s="64">
        <v>1</v>
      </c>
      <c r="P210" s="64">
        <v>14</v>
      </c>
      <c r="Q210" s="64">
        <v>14</v>
      </c>
      <c r="R210" s="64">
        <v>0</v>
      </c>
      <c r="S210" s="64">
        <v>100</v>
      </c>
      <c r="T210" s="64">
        <v>0</v>
      </c>
      <c r="U210" s="64">
        <v>35.71</v>
      </c>
      <c r="V210" s="64">
        <v>32.14</v>
      </c>
      <c r="W210" s="64">
        <v>32.14</v>
      </c>
      <c r="X210" s="64">
        <v>55.17</v>
      </c>
      <c r="Y210" s="64">
        <v>20.69</v>
      </c>
      <c r="Z210" s="64">
        <v>24.14</v>
      </c>
      <c r="AA210" s="64">
        <v>42.86</v>
      </c>
      <c r="AB210" s="64">
        <v>50</v>
      </c>
      <c r="AC210" s="64">
        <v>18</v>
      </c>
      <c r="AD210" s="64">
        <v>24</v>
      </c>
      <c r="AE210" s="64">
        <v>44.44</v>
      </c>
      <c r="AF210" s="64">
        <v>62.5</v>
      </c>
      <c r="AG210" s="51">
        <f t="shared" si="31"/>
        <v>5.6530000000000005</v>
      </c>
      <c r="AH210" s="52">
        <f t="shared" si="32"/>
        <v>14.347000000000001</v>
      </c>
      <c r="AI210" s="52" t="str">
        <f t="shared" si="33"/>
        <v>N</v>
      </c>
      <c r="AJ210" s="52" t="str">
        <f t="shared" si="34"/>
        <v>N</v>
      </c>
      <c r="AK210" s="50" t="str">
        <f t="shared" si="35"/>
        <v>Loss</v>
      </c>
      <c r="AL210" s="50" t="str">
        <f t="shared" si="36"/>
        <v>Loss</v>
      </c>
      <c r="AM210" s="50" t="str">
        <f t="shared" si="37"/>
        <v>Win</v>
      </c>
      <c r="AN210" s="50">
        <f t="shared" si="38"/>
        <v>-50</v>
      </c>
      <c r="AO210" s="50">
        <f t="shared" si="39"/>
        <v>-50</v>
      </c>
      <c r="AP210" s="50">
        <f t="shared" si="40"/>
        <v>25.5</v>
      </c>
    </row>
    <row r="211" spans="1:42" x14ac:dyDescent="0.25">
      <c r="A211" s="63">
        <v>43624</v>
      </c>
      <c r="B211" s="64" t="s">
        <v>303</v>
      </c>
      <c r="C211" s="64" t="s">
        <v>789</v>
      </c>
      <c r="D211" s="64" t="s">
        <v>793</v>
      </c>
      <c r="E211" s="64" t="s">
        <v>794</v>
      </c>
      <c r="F211" s="64" t="s">
        <v>795</v>
      </c>
      <c r="G211" s="64">
        <v>0</v>
      </c>
      <c r="H211" s="64">
        <v>5</v>
      </c>
      <c r="I211" s="64">
        <v>13.67</v>
      </c>
      <c r="J211" s="64">
        <v>8.93</v>
      </c>
      <c r="K211" s="64">
        <v>1.0900000000000001</v>
      </c>
      <c r="L211" s="64">
        <v>12.58</v>
      </c>
      <c r="M211" s="64">
        <v>28</v>
      </c>
      <c r="N211" s="64">
        <v>30</v>
      </c>
      <c r="O211" s="64">
        <v>1</v>
      </c>
      <c r="P211" s="64">
        <v>14</v>
      </c>
      <c r="Q211" s="64">
        <v>15</v>
      </c>
      <c r="R211" s="64">
        <v>0</v>
      </c>
      <c r="S211" s="64">
        <v>0</v>
      </c>
      <c r="T211" s="64">
        <v>100</v>
      </c>
      <c r="U211" s="64">
        <v>0</v>
      </c>
      <c r="V211" s="64">
        <v>17.86</v>
      </c>
      <c r="W211" s="64">
        <v>82.14</v>
      </c>
      <c r="X211" s="64">
        <v>63.33</v>
      </c>
      <c r="Y211" s="64">
        <v>10</v>
      </c>
      <c r="Z211" s="64">
        <v>26.67</v>
      </c>
      <c r="AA211" s="64">
        <v>0</v>
      </c>
      <c r="AB211" s="64">
        <v>73.33</v>
      </c>
      <c r="AC211" s="64">
        <v>0</v>
      </c>
      <c r="AD211" s="64">
        <v>16</v>
      </c>
      <c r="AE211" s="64">
        <v>0</v>
      </c>
      <c r="AF211" s="64">
        <v>75</v>
      </c>
      <c r="AG211" s="51">
        <f t="shared" si="31"/>
        <v>-52.97399999999999</v>
      </c>
      <c r="AH211" s="52">
        <f t="shared" si="32"/>
        <v>52.97399999999999</v>
      </c>
      <c r="AI211" s="52" t="str">
        <f t="shared" si="33"/>
        <v>N</v>
      </c>
      <c r="AJ211" s="52" t="str">
        <f t="shared" si="34"/>
        <v>Y</v>
      </c>
      <c r="AK211" s="50" t="str">
        <f t="shared" si="35"/>
        <v>Loss</v>
      </c>
      <c r="AL211" s="50" t="str">
        <f t="shared" si="36"/>
        <v>Loss</v>
      </c>
      <c r="AM211" s="50" t="str">
        <f t="shared" si="37"/>
        <v>Win</v>
      </c>
      <c r="AN211" s="50">
        <f t="shared" si="38"/>
        <v>-50</v>
      </c>
      <c r="AO211" s="50">
        <f t="shared" si="39"/>
        <v>-50</v>
      </c>
      <c r="AP211" s="50">
        <f t="shared" si="40"/>
        <v>4.5000000000000071</v>
      </c>
    </row>
    <row r="212" spans="1:42" x14ac:dyDescent="0.25">
      <c r="A212" s="63">
        <v>43624</v>
      </c>
      <c r="B212" s="64" t="s">
        <v>303</v>
      </c>
      <c r="C212" s="64" t="s">
        <v>789</v>
      </c>
      <c r="D212" s="64" t="s">
        <v>796</v>
      </c>
      <c r="E212" s="64" t="s">
        <v>797</v>
      </c>
      <c r="F212" s="64" t="s">
        <v>798</v>
      </c>
      <c r="G212" s="64">
        <v>2</v>
      </c>
      <c r="H212" s="64">
        <v>3</v>
      </c>
      <c r="I212" s="64">
        <v>5.45</v>
      </c>
      <c r="J212" s="64">
        <v>4.6100000000000003</v>
      </c>
      <c r="K212" s="64">
        <v>1.44</v>
      </c>
      <c r="L212" s="64">
        <v>4.01</v>
      </c>
      <c r="M212" s="64">
        <v>27</v>
      </c>
      <c r="N212" s="64">
        <v>27</v>
      </c>
      <c r="O212" s="64">
        <v>1</v>
      </c>
      <c r="P212" s="64">
        <v>13</v>
      </c>
      <c r="Q212" s="64">
        <v>14</v>
      </c>
      <c r="R212" s="64">
        <v>100</v>
      </c>
      <c r="S212" s="64">
        <v>0</v>
      </c>
      <c r="T212" s="64">
        <v>0</v>
      </c>
      <c r="U212" s="64">
        <v>22.22</v>
      </c>
      <c r="V212" s="64">
        <v>18.52</v>
      </c>
      <c r="W212" s="64">
        <v>59.26</v>
      </c>
      <c r="X212" s="64">
        <v>29.63</v>
      </c>
      <c r="Y212" s="64">
        <v>18.52</v>
      </c>
      <c r="Z212" s="64">
        <v>51.85</v>
      </c>
      <c r="AA212" s="64">
        <v>23.08</v>
      </c>
      <c r="AB212" s="64">
        <v>14.29</v>
      </c>
      <c r="AC212" s="64">
        <v>7</v>
      </c>
      <c r="AD212" s="64">
        <v>10</v>
      </c>
      <c r="AE212" s="64">
        <v>28.57</v>
      </c>
      <c r="AF212" s="64">
        <v>50</v>
      </c>
      <c r="AG212" s="51">
        <f t="shared" si="31"/>
        <v>27.036000000000001</v>
      </c>
      <c r="AH212" s="52">
        <f t="shared" si="32"/>
        <v>-27.036000000000001</v>
      </c>
      <c r="AI212" s="52" t="str">
        <f t="shared" si="33"/>
        <v>N</v>
      </c>
      <c r="AJ212" s="52" t="str">
        <f t="shared" si="34"/>
        <v>N</v>
      </c>
      <c r="AK212" s="50" t="str">
        <f t="shared" si="35"/>
        <v>Loss</v>
      </c>
      <c r="AL212" s="50" t="str">
        <f t="shared" si="36"/>
        <v>Loss</v>
      </c>
      <c r="AM212" s="50" t="str">
        <f t="shared" si="37"/>
        <v>Win</v>
      </c>
      <c r="AN212" s="50">
        <f t="shared" si="38"/>
        <v>-50</v>
      </c>
      <c r="AO212" s="50">
        <f t="shared" si="39"/>
        <v>-50</v>
      </c>
      <c r="AP212" s="50">
        <f t="shared" si="40"/>
        <v>22</v>
      </c>
    </row>
    <row r="213" spans="1:42" x14ac:dyDescent="0.25">
      <c r="A213" s="63">
        <v>43624</v>
      </c>
      <c r="B213" s="64" t="s">
        <v>303</v>
      </c>
      <c r="C213" s="64" t="s">
        <v>789</v>
      </c>
      <c r="D213" s="64" t="s">
        <v>799</v>
      </c>
      <c r="E213" s="64" t="s">
        <v>800</v>
      </c>
      <c r="F213" s="64" t="s">
        <v>801</v>
      </c>
      <c r="G213" s="64">
        <v>2</v>
      </c>
      <c r="H213" s="64">
        <v>2</v>
      </c>
      <c r="I213" s="64">
        <v>2.71</v>
      </c>
      <c r="J213" s="64">
        <v>3.45</v>
      </c>
      <c r="K213" s="64">
        <v>2.27</v>
      </c>
      <c r="L213" s="64">
        <v>0.44</v>
      </c>
      <c r="M213" s="64">
        <v>31</v>
      </c>
      <c r="N213" s="64">
        <v>30</v>
      </c>
      <c r="O213" s="64">
        <v>1</v>
      </c>
      <c r="P213" s="64">
        <v>15</v>
      </c>
      <c r="Q213" s="64">
        <v>13</v>
      </c>
      <c r="R213" s="64">
        <v>0</v>
      </c>
      <c r="S213" s="64">
        <v>0</v>
      </c>
      <c r="T213" s="64">
        <v>100</v>
      </c>
      <c r="U213" s="64">
        <v>51.61</v>
      </c>
      <c r="V213" s="64">
        <v>16.13</v>
      </c>
      <c r="W213" s="64">
        <v>32.26</v>
      </c>
      <c r="X213" s="64">
        <v>60</v>
      </c>
      <c r="Y213" s="64">
        <v>20</v>
      </c>
      <c r="Z213" s="64">
        <v>20</v>
      </c>
      <c r="AA213" s="64">
        <v>40</v>
      </c>
      <c r="AB213" s="64">
        <v>53.85</v>
      </c>
      <c r="AC213" s="64">
        <v>17</v>
      </c>
      <c r="AD213" s="64">
        <v>25</v>
      </c>
      <c r="AE213" s="64">
        <v>52.94</v>
      </c>
      <c r="AF213" s="64">
        <v>64</v>
      </c>
      <c r="AG213" s="51">
        <f t="shared" si="31"/>
        <v>-34.516999999999996</v>
      </c>
      <c r="AH213" s="52">
        <f t="shared" si="32"/>
        <v>34.516999999999996</v>
      </c>
      <c r="AI213" s="52" t="str">
        <f t="shared" si="33"/>
        <v>N</v>
      </c>
      <c r="AJ213" s="52" t="str">
        <f t="shared" si="34"/>
        <v>N</v>
      </c>
      <c r="AK213" s="50" t="str">
        <f t="shared" si="35"/>
        <v>Loss</v>
      </c>
      <c r="AL213" s="50" t="str">
        <f t="shared" si="36"/>
        <v>Win</v>
      </c>
      <c r="AM213" s="50" t="str">
        <f t="shared" si="37"/>
        <v>Loss</v>
      </c>
      <c r="AN213" s="50">
        <f t="shared" si="38"/>
        <v>-50</v>
      </c>
      <c r="AO213" s="50">
        <f t="shared" si="39"/>
        <v>122.5</v>
      </c>
      <c r="AP213" s="50">
        <f t="shared" si="40"/>
        <v>-50</v>
      </c>
    </row>
    <row r="214" spans="1:42" x14ac:dyDescent="0.25">
      <c r="A214" s="63">
        <v>43624</v>
      </c>
      <c r="B214" s="64" t="s">
        <v>303</v>
      </c>
      <c r="C214" s="64" t="s">
        <v>789</v>
      </c>
      <c r="D214" s="64" t="s">
        <v>802</v>
      </c>
      <c r="E214" s="64" t="s">
        <v>803</v>
      </c>
      <c r="F214" s="64" t="s">
        <v>804</v>
      </c>
      <c r="G214" s="64">
        <v>1</v>
      </c>
      <c r="H214" s="64">
        <v>1</v>
      </c>
      <c r="I214" s="64">
        <v>1.74</v>
      </c>
      <c r="J214" s="64">
        <v>3.85</v>
      </c>
      <c r="K214" s="64">
        <v>3.86</v>
      </c>
      <c r="L214" s="64">
        <v>-2.12</v>
      </c>
      <c r="M214" s="64">
        <v>28</v>
      </c>
      <c r="N214" s="64">
        <v>28</v>
      </c>
      <c r="O214" s="64">
        <v>1</v>
      </c>
      <c r="P214" s="64">
        <v>14</v>
      </c>
      <c r="Q214" s="64">
        <v>14</v>
      </c>
      <c r="R214" s="64">
        <v>0</v>
      </c>
      <c r="S214" s="64">
        <v>0</v>
      </c>
      <c r="T214" s="64">
        <v>100</v>
      </c>
      <c r="U214" s="64">
        <v>28.57</v>
      </c>
      <c r="V214" s="64">
        <v>25</v>
      </c>
      <c r="W214" s="64">
        <v>46.43</v>
      </c>
      <c r="X214" s="64">
        <v>32.14</v>
      </c>
      <c r="Y214" s="64">
        <v>28.57</v>
      </c>
      <c r="Z214" s="64">
        <v>39.29</v>
      </c>
      <c r="AA214" s="64">
        <v>28.57</v>
      </c>
      <c r="AB214" s="64">
        <v>14.29</v>
      </c>
      <c r="AC214" s="64">
        <v>8</v>
      </c>
      <c r="AD214" s="64">
        <v>14</v>
      </c>
      <c r="AE214" s="64">
        <v>37.5</v>
      </c>
      <c r="AF214" s="64">
        <v>50</v>
      </c>
      <c r="AG214" s="51">
        <f t="shared" si="31"/>
        <v>-32.498999999999995</v>
      </c>
      <c r="AH214" s="52">
        <f t="shared" si="32"/>
        <v>32.498999999999995</v>
      </c>
      <c r="AI214" s="52" t="str">
        <f t="shared" si="33"/>
        <v>N</v>
      </c>
      <c r="AJ214" s="52" t="str">
        <f t="shared" si="34"/>
        <v>N</v>
      </c>
      <c r="AK214" s="50" t="str">
        <f t="shared" si="35"/>
        <v>Loss</v>
      </c>
      <c r="AL214" s="50" t="str">
        <f t="shared" si="36"/>
        <v>Win</v>
      </c>
      <c r="AM214" s="50" t="str">
        <f t="shared" si="37"/>
        <v>Loss</v>
      </c>
      <c r="AN214" s="50">
        <f t="shared" si="38"/>
        <v>-50</v>
      </c>
      <c r="AO214" s="50">
        <f t="shared" si="39"/>
        <v>142.5</v>
      </c>
      <c r="AP214" s="50">
        <f t="shared" si="40"/>
        <v>-50</v>
      </c>
    </row>
    <row r="215" spans="1:42" x14ac:dyDescent="0.25">
      <c r="A215" s="63">
        <v>43624</v>
      </c>
      <c r="B215" s="64" t="s">
        <v>303</v>
      </c>
      <c r="C215" s="64" t="s">
        <v>789</v>
      </c>
      <c r="D215" s="64" t="s">
        <v>805</v>
      </c>
      <c r="E215" s="64" t="s">
        <v>806</v>
      </c>
      <c r="F215" s="64" t="s">
        <v>807</v>
      </c>
      <c r="G215" s="64">
        <v>2</v>
      </c>
      <c r="H215" s="64">
        <v>1</v>
      </c>
      <c r="I215" s="64">
        <v>2.06</v>
      </c>
      <c r="J215" s="64">
        <v>3.53</v>
      </c>
      <c r="K215" s="64">
        <v>3.25</v>
      </c>
      <c r="L215" s="64">
        <v>-1.19</v>
      </c>
      <c r="M215" s="64">
        <v>28</v>
      </c>
      <c r="N215" s="64">
        <v>30</v>
      </c>
      <c r="O215" s="64">
        <v>1</v>
      </c>
      <c r="P215" s="64">
        <v>14</v>
      </c>
      <c r="Q215" s="64">
        <v>15</v>
      </c>
      <c r="R215" s="64">
        <v>0</v>
      </c>
      <c r="S215" s="64">
        <v>0</v>
      </c>
      <c r="T215" s="64">
        <v>100</v>
      </c>
      <c r="U215" s="64">
        <v>35.71</v>
      </c>
      <c r="V215" s="64">
        <v>21.43</v>
      </c>
      <c r="W215" s="64">
        <v>42.86</v>
      </c>
      <c r="X215" s="64">
        <v>40</v>
      </c>
      <c r="Y215" s="64">
        <v>13.33</v>
      </c>
      <c r="Z215" s="64">
        <v>46.67</v>
      </c>
      <c r="AA215" s="64">
        <v>35.71</v>
      </c>
      <c r="AB215" s="64">
        <v>53.33</v>
      </c>
      <c r="AC215" s="64">
        <v>13</v>
      </c>
      <c r="AD215" s="64">
        <v>11</v>
      </c>
      <c r="AE215" s="64">
        <v>46.15</v>
      </c>
      <c r="AF215" s="64">
        <v>63.64</v>
      </c>
      <c r="AG215" s="51">
        <f t="shared" si="31"/>
        <v>-29.285999999999994</v>
      </c>
      <c r="AH215" s="52">
        <f t="shared" si="32"/>
        <v>29.285999999999994</v>
      </c>
      <c r="AI215" s="52" t="str">
        <f t="shared" si="33"/>
        <v>N</v>
      </c>
      <c r="AJ215" s="52" t="str">
        <f t="shared" si="34"/>
        <v>N</v>
      </c>
      <c r="AK215" s="50" t="str">
        <f t="shared" si="35"/>
        <v>Win</v>
      </c>
      <c r="AL215" s="50" t="str">
        <f t="shared" si="36"/>
        <v>Loss</v>
      </c>
      <c r="AM215" s="50" t="str">
        <f t="shared" si="37"/>
        <v>Loss</v>
      </c>
      <c r="AN215" s="50">
        <f t="shared" si="38"/>
        <v>53</v>
      </c>
      <c r="AO215" s="50">
        <f t="shared" si="39"/>
        <v>-50</v>
      </c>
      <c r="AP215" s="50">
        <f t="shared" si="40"/>
        <v>-50</v>
      </c>
    </row>
    <row r="216" spans="1:42" x14ac:dyDescent="0.25">
      <c r="A216" s="63">
        <v>43624</v>
      </c>
      <c r="B216" s="64" t="s">
        <v>303</v>
      </c>
      <c r="C216" s="64" t="s">
        <v>789</v>
      </c>
      <c r="D216" s="64" t="s">
        <v>808</v>
      </c>
      <c r="E216" s="64" t="s">
        <v>809</v>
      </c>
      <c r="F216" s="64" t="s">
        <v>810</v>
      </c>
      <c r="G216" s="64">
        <v>0</v>
      </c>
      <c r="H216" s="64">
        <v>0</v>
      </c>
      <c r="I216" s="64">
        <v>2.02</v>
      </c>
      <c r="J216" s="64">
        <v>3.75</v>
      </c>
      <c r="K216" s="64">
        <v>3.09</v>
      </c>
      <c r="L216" s="64">
        <v>-1.07</v>
      </c>
      <c r="M216" s="64">
        <v>30</v>
      </c>
      <c r="N216" s="64">
        <v>29</v>
      </c>
      <c r="O216" s="64">
        <v>1</v>
      </c>
      <c r="P216" s="64">
        <v>15</v>
      </c>
      <c r="Q216" s="64">
        <v>14</v>
      </c>
      <c r="R216" s="64">
        <v>0</v>
      </c>
      <c r="S216" s="64">
        <v>100</v>
      </c>
      <c r="T216" s="64">
        <v>0</v>
      </c>
      <c r="U216" s="64">
        <v>30</v>
      </c>
      <c r="V216" s="64">
        <v>23.33</v>
      </c>
      <c r="W216" s="64">
        <v>46.67</v>
      </c>
      <c r="X216" s="64">
        <v>34.479999999999997</v>
      </c>
      <c r="Y216" s="64">
        <v>20.69</v>
      </c>
      <c r="Z216" s="64">
        <v>44.83</v>
      </c>
      <c r="AA216" s="64">
        <v>26.67</v>
      </c>
      <c r="AB216" s="64">
        <v>28.57</v>
      </c>
      <c r="AC216" s="64">
        <v>8</v>
      </c>
      <c r="AD216" s="64">
        <v>11</v>
      </c>
      <c r="AE216" s="64">
        <v>62.5</v>
      </c>
      <c r="AF216" s="64">
        <v>45.45</v>
      </c>
      <c r="AG216" s="51">
        <f t="shared" si="31"/>
        <v>8.9999999999999964</v>
      </c>
      <c r="AH216" s="52">
        <f t="shared" si="32"/>
        <v>11.000000000000002</v>
      </c>
      <c r="AI216" s="52" t="str">
        <f t="shared" si="33"/>
        <v>N</v>
      </c>
      <c r="AJ216" s="52" t="str">
        <f t="shared" si="34"/>
        <v>N</v>
      </c>
      <c r="AK216" s="50" t="str">
        <f t="shared" si="35"/>
        <v>Loss</v>
      </c>
      <c r="AL216" s="50" t="str">
        <f t="shared" si="36"/>
        <v>Win</v>
      </c>
      <c r="AM216" s="50" t="str">
        <f t="shared" si="37"/>
        <v>Loss</v>
      </c>
      <c r="AN216" s="50">
        <f t="shared" si="38"/>
        <v>-50</v>
      </c>
      <c r="AO216" s="50">
        <f t="shared" si="39"/>
        <v>137.5</v>
      </c>
      <c r="AP216" s="50">
        <f t="shared" si="40"/>
        <v>-50</v>
      </c>
    </row>
    <row r="217" spans="1:42" x14ac:dyDescent="0.25">
      <c r="A217" s="63">
        <v>43624</v>
      </c>
      <c r="B217" s="64" t="s">
        <v>303</v>
      </c>
      <c r="C217" s="64" t="s">
        <v>789</v>
      </c>
      <c r="D217" s="64" t="s">
        <v>811</v>
      </c>
      <c r="E217" s="64" t="s">
        <v>812</v>
      </c>
      <c r="F217" s="64" t="s">
        <v>813</v>
      </c>
      <c r="G217" s="64">
        <v>2</v>
      </c>
      <c r="H217" s="64">
        <v>0</v>
      </c>
      <c r="I217" s="64">
        <v>1.1499999999999999</v>
      </c>
      <c r="J217" s="64">
        <v>7.03</v>
      </c>
      <c r="K217" s="64">
        <v>10.6</v>
      </c>
      <c r="L217" s="64">
        <v>-9.4499999999999993</v>
      </c>
      <c r="M217" s="64">
        <v>29</v>
      </c>
      <c r="N217" s="64">
        <v>30</v>
      </c>
      <c r="O217" s="64">
        <v>1</v>
      </c>
      <c r="P217" s="64">
        <v>14</v>
      </c>
      <c r="Q217" s="64">
        <v>14</v>
      </c>
      <c r="R217" s="64">
        <v>0</v>
      </c>
      <c r="S217" s="64">
        <v>0</v>
      </c>
      <c r="T217" s="64">
        <v>100</v>
      </c>
      <c r="U217" s="64">
        <v>62.07</v>
      </c>
      <c r="V217" s="64">
        <v>10.34</v>
      </c>
      <c r="W217" s="64">
        <v>27.59</v>
      </c>
      <c r="X217" s="64">
        <v>46.67</v>
      </c>
      <c r="Y217" s="64">
        <v>30</v>
      </c>
      <c r="Z217" s="64">
        <v>23.33</v>
      </c>
      <c r="AA217" s="64">
        <v>71.430000000000007</v>
      </c>
      <c r="AB217" s="64">
        <v>35.71</v>
      </c>
      <c r="AC217" s="64">
        <v>22</v>
      </c>
      <c r="AD217" s="64">
        <v>23</v>
      </c>
      <c r="AE217" s="64">
        <v>77.27</v>
      </c>
      <c r="AF217" s="64">
        <v>47.83</v>
      </c>
      <c r="AG217" s="51">
        <f t="shared" si="31"/>
        <v>-29.738000000000003</v>
      </c>
      <c r="AH217" s="52">
        <f t="shared" si="32"/>
        <v>29.738000000000003</v>
      </c>
      <c r="AI217" s="52" t="str">
        <f t="shared" si="33"/>
        <v>N</v>
      </c>
      <c r="AJ217" s="52" t="str">
        <f t="shared" si="34"/>
        <v>N</v>
      </c>
      <c r="AK217" s="50" t="str">
        <f t="shared" si="35"/>
        <v>Win</v>
      </c>
      <c r="AL217" s="50" t="str">
        <f t="shared" si="36"/>
        <v>Loss</v>
      </c>
      <c r="AM217" s="50" t="str">
        <f t="shared" si="37"/>
        <v>Loss</v>
      </c>
      <c r="AN217" s="50">
        <f t="shared" si="38"/>
        <v>7.4999999999999929</v>
      </c>
      <c r="AO217" s="50">
        <f t="shared" si="39"/>
        <v>-50</v>
      </c>
      <c r="AP217" s="50">
        <f t="shared" si="40"/>
        <v>-50</v>
      </c>
    </row>
    <row r="218" spans="1:42" x14ac:dyDescent="0.25">
      <c r="A218" s="63">
        <v>43624</v>
      </c>
      <c r="B218" s="64" t="s">
        <v>402</v>
      </c>
      <c r="C218" s="64" t="s">
        <v>403</v>
      </c>
      <c r="D218" s="64" t="s">
        <v>814</v>
      </c>
      <c r="E218" s="64" t="s">
        <v>815</v>
      </c>
      <c r="F218" s="64" t="s">
        <v>816</v>
      </c>
      <c r="G218" s="64">
        <v>0</v>
      </c>
      <c r="H218" s="64">
        <v>1</v>
      </c>
      <c r="I218" s="64">
        <v>3.99</v>
      </c>
      <c r="J218" s="64">
        <v>3.92</v>
      </c>
      <c r="K218" s="64">
        <v>1.66</v>
      </c>
      <c r="L218" s="64">
        <v>2.33</v>
      </c>
      <c r="M218" s="64">
        <v>5</v>
      </c>
      <c r="N218" s="64">
        <v>10</v>
      </c>
      <c r="O218" s="64">
        <v>0</v>
      </c>
      <c r="P218" s="64">
        <v>3</v>
      </c>
      <c r="Q218" s="64">
        <v>3</v>
      </c>
      <c r="R218" s="64">
        <v>0</v>
      </c>
      <c r="S218" s="64">
        <v>0</v>
      </c>
      <c r="T218" s="64">
        <v>0</v>
      </c>
      <c r="U218" s="64">
        <v>20</v>
      </c>
      <c r="V218" s="64">
        <v>40</v>
      </c>
      <c r="W218" s="64">
        <v>40</v>
      </c>
      <c r="X218" s="64">
        <v>70</v>
      </c>
      <c r="Y218" s="64">
        <v>10</v>
      </c>
      <c r="Z218" s="64">
        <v>20</v>
      </c>
      <c r="AA218" s="64">
        <v>0</v>
      </c>
      <c r="AB218" s="64">
        <v>100</v>
      </c>
      <c r="AC218" s="64">
        <v>5</v>
      </c>
      <c r="AD218" s="64">
        <v>9</v>
      </c>
      <c r="AE218" s="64">
        <v>20</v>
      </c>
      <c r="AF218" s="64">
        <v>77.78</v>
      </c>
      <c r="AG218" s="51">
        <f t="shared" si="31"/>
        <v>-11</v>
      </c>
      <c r="AH218" s="52">
        <f t="shared" si="32"/>
        <v>11</v>
      </c>
      <c r="AI218" s="52" t="str">
        <f t="shared" si="33"/>
        <v>N</v>
      </c>
      <c r="AJ218" s="52" t="str">
        <f t="shared" si="34"/>
        <v>Y</v>
      </c>
      <c r="AK218" s="50" t="str">
        <f t="shared" si="35"/>
        <v>Loss</v>
      </c>
      <c r="AL218" s="50" t="str">
        <f t="shared" si="36"/>
        <v>Loss</v>
      </c>
      <c r="AM218" s="50" t="str">
        <f t="shared" si="37"/>
        <v>Win</v>
      </c>
      <c r="AN218" s="50">
        <f t="shared" si="38"/>
        <v>-50</v>
      </c>
      <c r="AO218" s="50">
        <f t="shared" si="39"/>
        <v>-50</v>
      </c>
      <c r="AP218" s="50">
        <f t="shared" si="40"/>
        <v>33</v>
      </c>
    </row>
    <row r="219" spans="1:42" x14ac:dyDescent="0.25">
      <c r="A219" s="63">
        <v>43624</v>
      </c>
      <c r="B219" s="64" t="s">
        <v>556</v>
      </c>
      <c r="C219" s="64" t="s">
        <v>557</v>
      </c>
      <c r="D219" s="64" t="s">
        <v>817</v>
      </c>
      <c r="E219" s="64" t="s">
        <v>818</v>
      </c>
      <c r="F219" s="64" t="s">
        <v>819</v>
      </c>
      <c r="G219" s="64">
        <v>1</v>
      </c>
      <c r="H219" s="64">
        <v>0</v>
      </c>
      <c r="I219" s="64">
        <v>2.25</v>
      </c>
      <c r="J219" s="64">
        <v>3.97</v>
      </c>
      <c r="K219" s="64">
        <v>2.48</v>
      </c>
      <c r="L219" s="64">
        <v>-0.23</v>
      </c>
      <c r="M219" s="64">
        <v>2</v>
      </c>
      <c r="N219" s="64">
        <v>37</v>
      </c>
      <c r="O219" s="64">
        <v>1</v>
      </c>
      <c r="P219" s="64">
        <v>0</v>
      </c>
      <c r="Q219" s="64">
        <v>17</v>
      </c>
      <c r="R219" s="64">
        <v>0</v>
      </c>
      <c r="S219" s="64">
        <v>100</v>
      </c>
      <c r="T219" s="64">
        <v>0</v>
      </c>
      <c r="U219" s="64">
        <v>50</v>
      </c>
      <c r="V219" s="64">
        <v>50</v>
      </c>
      <c r="W219" s="64">
        <v>0</v>
      </c>
      <c r="X219" s="64">
        <v>24.32</v>
      </c>
      <c r="Y219" s="64">
        <v>18.920000000000002</v>
      </c>
      <c r="Z219" s="64">
        <v>56.76</v>
      </c>
      <c r="AA219" s="64">
        <v>0</v>
      </c>
      <c r="AB219" s="64">
        <v>11.76</v>
      </c>
      <c r="AC219" s="64">
        <v>1</v>
      </c>
      <c r="AD219" s="64">
        <v>13</v>
      </c>
      <c r="AE219" s="64">
        <v>100</v>
      </c>
      <c r="AF219" s="64">
        <v>38.46</v>
      </c>
      <c r="AG219" s="51">
        <f t="shared" si="31"/>
        <v>29.596</v>
      </c>
      <c r="AH219" s="52">
        <f t="shared" si="32"/>
        <v>-9.5960000000000001</v>
      </c>
      <c r="AI219" s="52" t="str">
        <f t="shared" si="33"/>
        <v>N</v>
      </c>
      <c r="AJ219" s="52" t="str">
        <f t="shared" si="34"/>
        <v>N</v>
      </c>
      <c r="AK219" s="50" t="str">
        <f t="shared" si="35"/>
        <v>Win</v>
      </c>
      <c r="AL219" s="50" t="str">
        <f t="shared" si="36"/>
        <v>Loss</v>
      </c>
      <c r="AM219" s="50" t="str">
        <f t="shared" si="37"/>
        <v>Loss</v>
      </c>
      <c r="AN219" s="50">
        <f t="shared" si="38"/>
        <v>62.5</v>
      </c>
      <c r="AO219" s="50">
        <f t="shared" si="39"/>
        <v>-50</v>
      </c>
      <c r="AP219" s="50">
        <f t="shared" si="40"/>
        <v>-50</v>
      </c>
    </row>
    <row r="220" spans="1:42" x14ac:dyDescent="0.25">
      <c r="A220" s="63">
        <v>43624</v>
      </c>
      <c r="B220" s="64" t="s">
        <v>376</v>
      </c>
      <c r="C220" s="64" t="s">
        <v>590</v>
      </c>
      <c r="D220" s="64" t="s">
        <v>820</v>
      </c>
      <c r="E220" s="64" t="s">
        <v>821</v>
      </c>
      <c r="F220" s="64" t="s">
        <v>822</v>
      </c>
      <c r="G220" s="64">
        <v>1</v>
      </c>
      <c r="H220" s="64">
        <v>4</v>
      </c>
      <c r="I220" s="64">
        <v>2.72</v>
      </c>
      <c r="J220" s="64">
        <v>4.1100000000000003</v>
      </c>
      <c r="K220" s="64">
        <v>1.97</v>
      </c>
      <c r="L220" s="64">
        <v>0.75</v>
      </c>
      <c r="M220" s="64">
        <v>7</v>
      </c>
      <c r="N220" s="64">
        <v>35</v>
      </c>
      <c r="O220" s="64">
        <v>0</v>
      </c>
      <c r="P220" s="64">
        <v>5</v>
      </c>
      <c r="Q220" s="64">
        <v>17</v>
      </c>
      <c r="R220" s="64">
        <v>0</v>
      </c>
      <c r="S220" s="64">
        <v>0</v>
      </c>
      <c r="T220" s="64">
        <v>0</v>
      </c>
      <c r="U220" s="64">
        <v>28.57</v>
      </c>
      <c r="V220" s="64">
        <v>14.29</v>
      </c>
      <c r="W220" s="64">
        <v>57.14</v>
      </c>
      <c r="X220" s="64">
        <v>40</v>
      </c>
      <c r="Y220" s="64">
        <v>22.86</v>
      </c>
      <c r="Z220" s="64">
        <v>37.14</v>
      </c>
      <c r="AA220" s="64">
        <v>40</v>
      </c>
      <c r="AB220" s="64">
        <v>29.41</v>
      </c>
      <c r="AC220" s="64">
        <v>1</v>
      </c>
      <c r="AD220" s="64">
        <v>14</v>
      </c>
      <c r="AE220" s="64">
        <v>0</v>
      </c>
      <c r="AF220" s="64">
        <v>64.290000000000006</v>
      </c>
      <c r="AG220" s="51">
        <f t="shared" si="31"/>
        <v>-7.1429999999999989</v>
      </c>
      <c r="AH220" s="52">
        <f t="shared" si="32"/>
        <v>7.1429999999999989</v>
      </c>
      <c r="AI220" s="52" t="str">
        <f t="shared" si="33"/>
        <v>N</v>
      </c>
      <c r="AJ220" s="52" t="str">
        <f t="shared" si="34"/>
        <v>N</v>
      </c>
      <c r="AK220" s="50" t="str">
        <f t="shared" si="35"/>
        <v>Loss</v>
      </c>
      <c r="AL220" s="50" t="str">
        <f t="shared" si="36"/>
        <v>Loss</v>
      </c>
      <c r="AM220" s="50" t="str">
        <f t="shared" si="37"/>
        <v>Win</v>
      </c>
      <c r="AN220" s="50">
        <f t="shared" si="38"/>
        <v>-50</v>
      </c>
      <c r="AO220" s="50">
        <f t="shared" si="39"/>
        <v>-50</v>
      </c>
      <c r="AP220" s="50">
        <f t="shared" si="40"/>
        <v>48.5</v>
      </c>
    </row>
    <row r="221" spans="1:42" x14ac:dyDescent="0.25">
      <c r="A221" s="63">
        <v>43624</v>
      </c>
      <c r="B221" s="64" t="s">
        <v>342</v>
      </c>
      <c r="C221" s="64" t="s">
        <v>347</v>
      </c>
      <c r="D221" s="64" t="s">
        <v>823</v>
      </c>
      <c r="E221" s="64" t="s">
        <v>824</v>
      </c>
      <c r="F221" s="64" t="s">
        <v>825</v>
      </c>
      <c r="G221" s="64">
        <v>2</v>
      </c>
      <c r="H221" s="64">
        <v>1</v>
      </c>
      <c r="I221" s="64">
        <v>2.13</v>
      </c>
      <c r="J221" s="64">
        <v>3.53</v>
      </c>
      <c r="K221" s="64">
        <v>2.78</v>
      </c>
      <c r="L221" s="64">
        <v>-0.65</v>
      </c>
      <c r="M221" s="64">
        <v>29</v>
      </c>
      <c r="N221" s="64">
        <v>27</v>
      </c>
      <c r="O221" s="64">
        <v>1</v>
      </c>
      <c r="P221" s="64">
        <v>15</v>
      </c>
      <c r="Q221" s="64">
        <v>14</v>
      </c>
      <c r="R221" s="64">
        <v>100</v>
      </c>
      <c r="S221" s="64">
        <v>0</v>
      </c>
      <c r="T221" s="64">
        <v>0</v>
      </c>
      <c r="U221" s="64">
        <v>20.69</v>
      </c>
      <c r="V221" s="64">
        <v>24.14</v>
      </c>
      <c r="W221" s="64">
        <v>55.17</v>
      </c>
      <c r="X221" s="64">
        <v>33.33</v>
      </c>
      <c r="Y221" s="64">
        <v>18.52</v>
      </c>
      <c r="Z221" s="64">
        <v>48.15</v>
      </c>
      <c r="AA221" s="64">
        <v>26.67</v>
      </c>
      <c r="AB221" s="64">
        <v>35.71</v>
      </c>
      <c r="AC221" s="64">
        <v>11</v>
      </c>
      <c r="AD221" s="64">
        <v>8</v>
      </c>
      <c r="AE221" s="64">
        <v>36.36</v>
      </c>
      <c r="AF221" s="64">
        <v>62.5</v>
      </c>
      <c r="AG221" s="51">
        <f t="shared" si="31"/>
        <v>26.630000000000003</v>
      </c>
      <c r="AH221" s="52">
        <f t="shared" si="32"/>
        <v>-26.630000000000003</v>
      </c>
      <c r="AI221" s="52" t="str">
        <f t="shared" si="33"/>
        <v>N</v>
      </c>
      <c r="AJ221" s="52" t="str">
        <f t="shared" si="34"/>
        <v>N</v>
      </c>
      <c r="AK221" s="50" t="str">
        <f t="shared" si="35"/>
        <v>Win</v>
      </c>
      <c r="AL221" s="50" t="str">
        <f t="shared" si="36"/>
        <v>Loss</v>
      </c>
      <c r="AM221" s="50" t="str">
        <f t="shared" si="37"/>
        <v>Loss</v>
      </c>
      <c r="AN221" s="50">
        <f t="shared" si="38"/>
        <v>56.5</v>
      </c>
      <c r="AO221" s="50">
        <f t="shared" si="39"/>
        <v>-50</v>
      </c>
      <c r="AP221" s="50">
        <f t="shared" si="40"/>
        <v>-50</v>
      </c>
    </row>
    <row r="222" spans="1:42" x14ac:dyDescent="0.25">
      <c r="A222" s="63">
        <v>43624</v>
      </c>
      <c r="B222" s="64" t="s">
        <v>342</v>
      </c>
      <c r="C222" s="64" t="s">
        <v>347</v>
      </c>
      <c r="D222" s="64" t="s">
        <v>826</v>
      </c>
      <c r="E222" s="64" t="s">
        <v>827</v>
      </c>
      <c r="F222" s="64" t="s">
        <v>828</v>
      </c>
      <c r="G222" s="64">
        <v>2</v>
      </c>
      <c r="H222" s="64">
        <v>3</v>
      </c>
      <c r="I222" s="64">
        <v>2.87</v>
      </c>
      <c r="J222" s="64">
        <v>3.39</v>
      </c>
      <c r="K222" s="64">
        <v>2.17</v>
      </c>
      <c r="L222" s="64">
        <v>0.7</v>
      </c>
      <c r="M222" s="64">
        <v>22</v>
      </c>
      <c r="N222" s="64">
        <v>66</v>
      </c>
      <c r="O222" s="64">
        <v>1</v>
      </c>
      <c r="P222" s="64">
        <v>10</v>
      </c>
      <c r="Q222" s="64">
        <v>33</v>
      </c>
      <c r="R222" s="64">
        <v>100</v>
      </c>
      <c r="S222" s="64">
        <v>0</v>
      </c>
      <c r="T222" s="64">
        <v>0</v>
      </c>
      <c r="U222" s="64">
        <v>40.909999999999997</v>
      </c>
      <c r="V222" s="64">
        <v>22.73</v>
      </c>
      <c r="W222" s="64">
        <v>36.36</v>
      </c>
      <c r="X222" s="64">
        <v>33.33</v>
      </c>
      <c r="Y222" s="64">
        <v>27.27</v>
      </c>
      <c r="Z222" s="64">
        <v>39.39</v>
      </c>
      <c r="AA222" s="64">
        <v>40</v>
      </c>
      <c r="AB222" s="64">
        <v>21.21</v>
      </c>
      <c r="AC222" s="64">
        <v>9</v>
      </c>
      <c r="AD222" s="64">
        <v>36</v>
      </c>
      <c r="AE222" s="64">
        <v>66.67</v>
      </c>
      <c r="AF222" s="64">
        <v>52.78</v>
      </c>
      <c r="AG222" s="51">
        <f t="shared" si="31"/>
        <v>31.668000000000006</v>
      </c>
      <c r="AH222" s="52">
        <f t="shared" si="32"/>
        <v>-31.668000000000006</v>
      </c>
      <c r="AI222" s="52" t="str">
        <f t="shared" si="33"/>
        <v>N</v>
      </c>
      <c r="AJ222" s="52" t="str">
        <f t="shared" si="34"/>
        <v>N</v>
      </c>
      <c r="AK222" s="50" t="str">
        <f t="shared" si="35"/>
        <v>Loss</v>
      </c>
      <c r="AL222" s="50" t="str">
        <f t="shared" si="36"/>
        <v>Loss</v>
      </c>
      <c r="AM222" s="50" t="str">
        <f t="shared" si="37"/>
        <v>Win</v>
      </c>
      <c r="AN222" s="50">
        <f t="shared" si="38"/>
        <v>-50</v>
      </c>
      <c r="AO222" s="50">
        <f t="shared" si="39"/>
        <v>-50</v>
      </c>
      <c r="AP222" s="50">
        <f t="shared" si="40"/>
        <v>58.5</v>
      </c>
    </row>
    <row r="223" spans="1:42" x14ac:dyDescent="0.25">
      <c r="A223" s="63">
        <v>43624</v>
      </c>
      <c r="B223" s="64" t="s">
        <v>342</v>
      </c>
      <c r="C223" s="64" t="s">
        <v>351</v>
      </c>
      <c r="D223" s="64" t="s">
        <v>829</v>
      </c>
      <c r="E223" s="64" t="s">
        <v>830</v>
      </c>
      <c r="F223" s="64" t="s">
        <v>831</v>
      </c>
      <c r="G223" s="64">
        <v>2</v>
      </c>
      <c r="H223" s="64">
        <v>2</v>
      </c>
      <c r="I223" s="64">
        <v>2.29</v>
      </c>
      <c r="J223" s="64">
        <v>3.6</v>
      </c>
      <c r="K223" s="64">
        <v>2.52</v>
      </c>
      <c r="L223" s="64">
        <v>-0.23</v>
      </c>
      <c r="M223" s="64">
        <v>26</v>
      </c>
      <c r="N223" s="64">
        <v>60</v>
      </c>
      <c r="O223" s="64">
        <v>1</v>
      </c>
      <c r="P223" s="64">
        <v>13</v>
      </c>
      <c r="Q223" s="64">
        <v>30</v>
      </c>
      <c r="R223" s="64">
        <v>100</v>
      </c>
      <c r="S223" s="64">
        <v>0</v>
      </c>
      <c r="T223" s="64">
        <v>0</v>
      </c>
      <c r="U223" s="64">
        <v>34.619999999999997</v>
      </c>
      <c r="V223" s="64">
        <v>11.54</v>
      </c>
      <c r="W223" s="64">
        <v>53.85</v>
      </c>
      <c r="X223" s="64">
        <v>26.67</v>
      </c>
      <c r="Y223" s="64">
        <v>16.670000000000002</v>
      </c>
      <c r="Z223" s="64">
        <v>56.67</v>
      </c>
      <c r="AA223" s="64">
        <v>38.46</v>
      </c>
      <c r="AB223" s="64">
        <v>23.33</v>
      </c>
      <c r="AC223" s="64">
        <v>9</v>
      </c>
      <c r="AD223" s="64">
        <v>16</v>
      </c>
      <c r="AE223" s="64">
        <v>33.33</v>
      </c>
      <c r="AF223" s="64">
        <v>37.5</v>
      </c>
      <c r="AG223" s="51">
        <f t="shared" si="31"/>
        <v>31.640999999999998</v>
      </c>
      <c r="AH223" s="52">
        <f t="shared" si="32"/>
        <v>-31.640999999999998</v>
      </c>
      <c r="AI223" s="52" t="str">
        <f t="shared" si="33"/>
        <v>N</v>
      </c>
      <c r="AJ223" s="52" t="str">
        <f t="shared" si="34"/>
        <v>N</v>
      </c>
      <c r="AK223" s="50" t="str">
        <f t="shared" si="35"/>
        <v>Loss</v>
      </c>
      <c r="AL223" s="50" t="str">
        <f t="shared" si="36"/>
        <v>Win</v>
      </c>
      <c r="AM223" s="50" t="str">
        <f t="shared" si="37"/>
        <v>Loss</v>
      </c>
      <c r="AN223" s="50">
        <f t="shared" si="38"/>
        <v>-50</v>
      </c>
      <c r="AO223" s="50">
        <f t="shared" si="39"/>
        <v>130</v>
      </c>
      <c r="AP223" s="50">
        <f t="shared" si="40"/>
        <v>-50</v>
      </c>
    </row>
    <row r="224" spans="1:42" x14ac:dyDescent="0.25">
      <c r="A224" s="63">
        <v>43624</v>
      </c>
      <c r="B224" s="64" t="s">
        <v>342</v>
      </c>
      <c r="C224" s="64" t="s">
        <v>351</v>
      </c>
      <c r="D224" s="64" t="s">
        <v>832</v>
      </c>
      <c r="E224" s="64" t="s">
        <v>833</v>
      </c>
      <c r="F224" s="64" t="s">
        <v>834</v>
      </c>
      <c r="G224" s="64">
        <v>3</v>
      </c>
      <c r="H224" s="64">
        <v>1</v>
      </c>
      <c r="I224" s="64">
        <v>1.85</v>
      </c>
      <c r="J224" s="64">
        <v>3.72</v>
      </c>
      <c r="K224" s="64">
        <v>3.27</v>
      </c>
      <c r="L224" s="64">
        <v>-1.42</v>
      </c>
      <c r="M224" s="64">
        <v>26</v>
      </c>
      <c r="N224" s="64">
        <v>25</v>
      </c>
      <c r="O224" s="64">
        <v>1</v>
      </c>
      <c r="P224" s="64">
        <v>10</v>
      </c>
      <c r="Q224" s="64">
        <v>14</v>
      </c>
      <c r="R224" s="64">
        <v>100</v>
      </c>
      <c r="S224" s="64">
        <v>0</v>
      </c>
      <c r="T224" s="64">
        <v>0</v>
      </c>
      <c r="U224" s="64">
        <v>38.46</v>
      </c>
      <c r="V224" s="64">
        <v>19.23</v>
      </c>
      <c r="W224" s="64">
        <v>42.31</v>
      </c>
      <c r="X224" s="64">
        <v>32</v>
      </c>
      <c r="Y224" s="64">
        <v>12</v>
      </c>
      <c r="Z224" s="64">
        <v>56</v>
      </c>
      <c r="AA224" s="64">
        <v>40</v>
      </c>
      <c r="AB224" s="64">
        <v>35.71</v>
      </c>
      <c r="AC224" s="64">
        <v>14</v>
      </c>
      <c r="AD224" s="64">
        <v>6</v>
      </c>
      <c r="AE224" s="64">
        <v>64.290000000000006</v>
      </c>
      <c r="AF224" s="64">
        <v>66.67</v>
      </c>
      <c r="AG224" s="51">
        <f t="shared" si="31"/>
        <v>34.753</v>
      </c>
      <c r="AH224" s="52">
        <f t="shared" si="32"/>
        <v>-34.753</v>
      </c>
      <c r="AI224" s="52" t="str">
        <f t="shared" si="33"/>
        <v>N</v>
      </c>
      <c r="AJ224" s="52" t="str">
        <f t="shared" si="34"/>
        <v>N</v>
      </c>
      <c r="AK224" s="50" t="str">
        <f t="shared" si="35"/>
        <v>Win</v>
      </c>
      <c r="AL224" s="50" t="str">
        <f t="shared" si="36"/>
        <v>Loss</v>
      </c>
      <c r="AM224" s="50" t="str">
        <f t="shared" si="37"/>
        <v>Loss</v>
      </c>
      <c r="AN224" s="50">
        <f t="shared" si="38"/>
        <v>42.5</v>
      </c>
      <c r="AO224" s="50">
        <f t="shared" si="39"/>
        <v>-50</v>
      </c>
      <c r="AP224" s="50">
        <f t="shared" si="40"/>
        <v>-50</v>
      </c>
    </row>
    <row r="225" spans="1:42" x14ac:dyDescent="0.25">
      <c r="A225" s="63">
        <v>43624</v>
      </c>
      <c r="B225" s="64" t="s">
        <v>342</v>
      </c>
      <c r="C225" s="64" t="s">
        <v>835</v>
      </c>
      <c r="D225" s="64" t="s">
        <v>836</v>
      </c>
      <c r="E225" s="64" t="s">
        <v>837</v>
      </c>
      <c r="F225" s="64" t="s">
        <v>838</v>
      </c>
      <c r="G225" s="64">
        <v>0</v>
      </c>
      <c r="H225" s="64">
        <v>2</v>
      </c>
      <c r="I225" s="64">
        <v>2.77</v>
      </c>
      <c r="J225" s="64">
        <v>3.62</v>
      </c>
      <c r="K225" s="64">
        <v>2.13</v>
      </c>
      <c r="L225" s="64">
        <v>0.64</v>
      </c>
      <c r="M225" s="64">
        <v>31</v>
      </c>
      <c r="N225" s="64">
        <v>63</v>
      </c>
      <c r="O225" s="64">
        <v>1</v>
      </c>
      <c r="P225" s="64">
        <v>16</v>
      </c>
      <c r="Q225" s="64">
        <v>31</v>
      </c>
      <c r="R225" s="64">
        <v>100</v>
      </c>
      <c r="S225" s="64">
        <v>0</v>
      </c>
      <c r="T225" s="64">
        <v>0</v>
      </c>
      <c r="U225" s="64">
        <v>41.94</v>
      </c>
      <c r="V225" s="64">
        <v>32.26</v>
      </c>
      <c r="W225" s="64">
        <v>25.81</v>
      </c>
      <c r="X225" s="64">
        <v>31.75</v>
      </c>
      <c r="Y225" s="64">
        <v>28.57</v>
      </c>
      <c r="Z225" s="64">
        <v>39.68</v>
      </c>
      <c r="AA225" s="64">
        <v>18.75</v>
      </c>
      <c r="AB225" s="64">
        <v>29.03</v>
      </c>
      <c r="AC225" s="64">
        <v>14</v>
      </c>
      <c r="AD225" s="64">
        <v>28</v>
      </c>
      <c r="AE225" s="64">
        <v>35.71</v>
      </c>
      <c r="AF225" s="64">
        <v>42.86</v>
      </c>
      <c r="AG225" s="51">
        <f t="shared" si="31"/>
        <v>35.180999999999997</v>
      </c>
      <c r="AH225" s="52">
        <f t="shared" si="32"/>
        <v>-35.180999999999997</v>
      </c>
      <c r="AI225" s="52" t="str">
        <f t="shared" si="33"/>
        <v>N</v>
      </c>
      <c r="AJ225" s="52" t="str">
        <f t="shared" si="34"/>
        <v>N</v>
      </c>
      <c r="AK225" s="50" t="str">
        <f t="shared" si="35"/>
        <v>Loss</v>
      </c>
      <c r="AL225" s="50" t="str">
        <f t="shared" si="36"/>
        <v>Loss</v>
      </c>
      <c r="AM225" s="50" t="str">
        <f t="shared" si="37"/>
        <v>Win</v>
      </c>
      <c r="AN225" s="50">
        <f t="shared" si="38"/>
        <v>-50</v>
      </c>
      <c r="AO225" s="50">
        <f t="shared" si="39"/>
        <v>-50</v>
      </c>
      <c r="AP225" s="50">
        <f t="shared" si="40"/>
        <v>56.5</v>
      </c>
    </row>
    <row r="226" spans="1:42" x14ac:dyDescent="0.25">
      <c r="A226" s="63">
        <v>43624</v>
      </c>
      <c r="B226" s="64" t="s">
        <v>342</v>
      </c>
      <c r="C226" s="64" t="s">
        <v>835</v>
      </c>
      <c r="D226" s="64" t="s">
        <v>839</v>
      </c>
      <c r="E226" s="64" t="s">
        <v>840</v>
      </c>
      <c r="F226" s="64" t="s">
        <v>841</v>
      </c>
      <c r="G226" s="64">
        <v>1</v>
      </c>
      <c r="H226" s="64">
        <v>5</v>
      </c>
      <c r="I226" s="64">
        <v>4.74</v>
      </c>
      <c r="J226" s="64">
        <v>4.07</v>
      </c>
      <c r="K226" s="64">
        <v>1.56</v>
      </c>
      <c r="L226" s="64">
        <v>3.18</v>
      </c>
      <c r="M226" s="64">
        <v>29</v>
      </c>
      <c r="N226" s="64">
        <v>31</v>
      </c>
      <c r="O226" s="64">
        <v>1</v>
      </c>
      <c r="P226" s="64">
        <v>14</v>
      </c>
      <c r="Q226" s="64">
        <v>14</v>
      </c>
      <c r="R226" s="64">
        <v>0</v>
      </c>
      <c r="S226" s="64">
        <v>0</v>
      </c>
      <c r="T226" s="64">
        <v>100</v>
      </c>
      <c r="U226" s="64">
        <v>17.239999999999998</v>
      </c>
      <c r="V226" s="64">
        <v>24.14</v>
      </c>
      <c r="W226" s="64">
        <v>58.62</v>
      </c>
      <c r="X226" s="64">
        <v>61.29</v>
      </c>
      <c r="Y226" s="64">
        <v>16.13</v>
      </c>
      <c r="Z226" s="64">
        <v>22.58</v>
      </c>
      <c r="AA226" s="64">
        <v>21.43</v>
      </c>
      <c r="AB226" s="64">
        <v>50</v>
      </c>
      <c r="AC226" s="64">
        <v>1</v>
      </c>
      <c r="AD226" s="64">
        <v>29</v>
      </c>
      <c r="AE226" s="64">
        <v>100</v>
      </c>
      <c r="AF226" s="64">
        <v>65.52</v>
      </c>
      <c r="AG226" s="51">
        <f t="shared" si="31"/>
        <v>-45.216999999999999</v>
      </c>
      <c r="AH226" s="52">
        <f t="shared" si="32"/>
        <v>45.216999999999999</v>
      </c>
      <c r="AI226" s="52" t="str">
        <f t="shared" si="33"/>
        <v>N</v>
      </c>
      <c r="AJ226" s="52" t="str">
        <f t="shared" si="34"/>
        <v>Y</v>
      </c>
      <c r="AK226" s="50" t="str">
        <f t="shared" si="35"/>
        <v>Loss</v>
      </c>
      <c r="AL226" s="50" t="str">
        <f t="shared" si="36"/>
        <v>Loss</v>
      </c>
      <c r="AM226" s="50" t="str">
        <f t="shared" si="37"/>
        <v>Win</v>
      </c>
      <c r="AN226" s="50">
        <f t="shared" si="38"/>
        <v>-50</v>
      </c>
      <c r="AO226" s="50">
        <f t="shared" si="39"/>
        <v>-50</v>
      </c>
      <c r="AP226" s="50">
        <f t="shared" si="40"/>
        <v>28</v>
      </c>
    </row>
    <row r="227" spans="1:42" x14ac:dyDescent="0.25">
      <c r="A227" s="63">
        <v>43624</v>
      </c>
      <c r="B227" s="64" t="s">
        <v>342</v>
      </c>
      <c r="C227" s="64" t="s">
        <v>835</v>
      </c>
      <c r="D227" s="64" t="s">
        <v>842</v>
      </c>
      <c r="E227" s="64" t="s">
        <v>843</v>
      </c>
      <c r="F227" s="64" t="s">
        <v>844</v>
      </c>
      <c r="G227" s="64">
        <v>1</v>
      </c>
      <c r="H227" s="64">
        <v>1</v>
      </c>
      <c r="I227" s="64">
        <v>1.34</v>
      </c>
      <c r="J227" s="64">
        <v>4.53</v>
      </c>
      <c r="K227" s="64">
        <v>6.23</v>
      </c>
      <c r="L227" s="64">
        <v>-4.8899999999999997</v>
      </c>
      <c r="M227" s="64">
        <v>49</v>
      </c>
      <c r="N227" s="64">
        <v>28</v>
      </c>
      <c r="O227" s="64">
        <v>1</v>
      </c>
      <c r="P227" s="64">
        <v>24</v>
      </c>
      <c r="Q227" s="64">
        <v>13</v>
      </c>
      <c r="R227" s="64">
        <v>100</v>
      </c>
      <c r="S227" s="64">
        <v>0</v>
      </c>
      <c r="T227" s="64">
        <v>0</v>
      </c>
      <c r="U227" s="64">
        <v>55.1</v>
      </c>
      <c r="V227" s="64">
        <v>22.45</v>
      </c>
      <c r="W227" s="64">
        <v>22.45</v>
      </c>
      <c r="X227" s="64">
        <v>39.29</v>
      </c>
      <c r="Y227" s="64">
        <v>21.43</v>
      </c>
      <c r="Z227" s="64">
        <v>39.29</v>
      </c>
      <c r="AA227" s="64">
        <v>66.67</v>
      </c>
      <c r="AB227" s="64">
        <v>30.77</v>
      </c>
      <c r="AC227" s="64">
        <v>38</v>
      </c>
      <c r="AD227" s="64">
        <v>14</v>
      </c>
      <c r="AE227" s="64">
        <v>68.42</v>
      </c>
      <c r="AF227" s="64">
        <v>64.290000000000006</v>
      </c>
      <c r="AG227" s="51">
        <f t="shared" si="31"/>
        <v>36.631999999999998</v>
      </c>
      <c r="AH227" s="52">
        <f t="shared" si="32"/>
        <v>-36.631999999999998</v>
      </c>
      <c r="AI227" s="52" t="str">
        <f t="shared" si="33"/>
        <v>N</v>
      </c>
      <c r="AJ227" s="52" t="str">
        <f t="shared" si="34"/>
        <v>N</v>
      </c>
      <c r="AK227" s="50" t="str">
        <f t="shared" si="35"/>
        <v>Loss</v>
      </c>
      <c r="AL227" s="50" t="str">
        <f t="shared" si="36"/>
        <v>Win</v>
      </c>
      <c r="AM227" s="50" t="str">
        <f t="shared" si="37"/>
        <v>Loss</v>
      </c>
      <c r="AN227" s="50">
        <f t="shared" si="38"/>
        <v>-50</v>
      </c>
      <c r="AO227" s="50">
        <f t="shared" si="39"/>
        <v>176.5</v>
      </c>
      <c r="AP227" s="50">
        <f t="shared" si="40"/>
        <v>-50</v>
      </c>
    </row>
    <row r="228" spans="1:42" x14ac:dyDescent="0.25">
      <c r="A228" s="63">
        <v>43624</v>
      </c>
      <c r="B228" s="64" t="s">
        <v>342</v>
      </c>
      <c r="C228" s="64" t="s">
        <v>835</v>
      </c>
      <c r="D228" s="64" t="s">
        <v>845</v>
      </c>
      <c r="E228" s="64" t="s">
        <v>846</v>
      </c>
      <c r="F228" s="64" t="s">
        <v>847</v>
      </c>
      <c r="G228" s="64">
        <v>1</v>
      </c>
      <c r="H228" s="64">
        <v>6</v>
      </c>
      <c r="I228" s="64">
        <v>4.5</v>
      </c>
      <c r="J228" s="64">
        <v>3.98</v>
      </c>
      <c r="K228" s="64">
        <v>1.57</v>
      </c>
      <c r="L228" s="64">
        <v>2.93</v>
      </c>
      <c r="M228" s="64">
        <v>31</v>
      </c>
      <c r="N228" s="64">
        <v>31</v>
      </c>
      <c r="O228" s="64">
        <v>1</v>
      </c>
      <c r="P228" s="64">
        <v>14</v>
      </c>
      <c r="Q228" s="64">
        <v>14</v>
      </c>
      <c r="R228" s="64">
        <v>0</v>
      </c>
      <c r="S228" s="64">
        <v>0</v>
      </c>
      <c r="T228" s="64">
        <v>100</v>
      </c>
      <c r="U228" s="64">
        <v>22.58</v>
      </c>
      <c r="V228" s="64">
        <v>25.81</v>
      </c>
      <c r="W228" s="64">
        <v>51.61</v>
      </c>
      <c r="X228" s="64">
        <v>54.84</v>
      </c>
      <c r="Y228" s="64">
        <v>22.58</v>
      </c>
      <c r="Z228" s="64">
        <v>22.58</v>
      </c>
      <c r="AA228" s="64">
        <v>28.57</v>
      </c>
      <c r="AB228" s="64">
        <v>50</v>
      </c>
      <c r="AC228" s="64">
        <v>11</v>
      </c>
      <c r="AD228" s="64">
        <v>25</v>
      </c>
      <c r="AE228" s="64">
        <v>36.36</v>
      </c>
      <c r="AF228" s="64">
        <v>48</v>
      </c>
      <c r="AG228" s="51">
        <f t="shared" si="31"/>
        <v>-41.935000000000009</v>
      </c>
      <c r="AH228" s="52">
        <f t="shared" si="32"/>
        <v>41.935000000000009</v>
      </c>
      <c r="AI228" s="52" t="str">
        <f t="shared" si="33"/>
        <v>N</v>
      </c>
      <c r="AJ228" s="52" t="str">
        <f t="shared" si="34"/>
        <v>Y</v>
      </c>
      <c r="AK228" s="50" t="str">
        <f t="shared" si="35"/>
        <v>Loss</v>
      </c>
      <c r="AL228" s="50" t="str">
        <f t="shared" si="36"/>
        <v>Loss</v>
      </c>
      <c r="AM228" s="50" t="str">
        <f t="shared" si="37"/>
        <v>Win</v>
      </c>
      <c r="AN228" s="50">
        <f t="shared" si="38"/>
        <v>-50</v>
      </c>
      <c r="AO228" s="50">
        <f t="shared" si="39"/>
        <v>-50</v>
      </c>
      <c r="AP228" s="50">
        <f t="shared" si="40"/>
        <v>28.5</v>
      </c>
    </row>
    <row r="229" spans="1:42" x14ac:dyDescent="0.25">
      <c r="A229" s="63">
        <v>43624</v>
      </c>
      <c r="B229" s="64" t="s">
        <v>342</v>
      </c>
      <c r="C229" s="64" t="s">
        <v>835</v>
      </c>
      <c r="D229" s="64" t="s">
        <v>848</v>
      </c>
      <c r="E229" s="64" t="s">
        <v>849</v>
      </c>
      <c r="F229" s="64" t="s">
        <v>850</v>
      </c>
      <c r="G229" s="64">
        <v>5</v>
      </c>
      <c r="H229" s="64">
        <v>2</v>
      </c>
      <c r="I229" s="64">
        <v>2.64</v>
      </c>
      <c r="J229" s="64">
        <v>3.55</v>
      </c>
      <c r="K229" s="64">
        <v>2.21</v>
      </c>
      <c r="L229" s="64">
        <v>0.43</v>
      </c>
      <c r="M229" s="64">
        <v>18</v>
      </c>
      <c r="N229" s="64">
        <v>26</v>
      </c>
      <c r="O229" s="64">
        <v>1</v>
      </c>
      <c r="P229" s="64">
        <v>9</v>
      </c>
      <c r="Q229" s="64">
        <v>12</v>
      </c>
      <c r="R229" s="64">
        <v>0</v>
      </c>
      <c r="S229" s="64">
        <v>100</v>
      </c>
      <c r="T229" s="64">
        <v>0</v>
      </c>
      <c r="U229" s="64">
        <v>16.670000000000002</v>
      </c>
      <c r="V229" s="64">
        <v>16.670000000000002</v>
      </c>
      <c r="W229" s="64">
        <v>66.67</v>
      </c>
      <c r="X229" s="64">
        <v>30.77</v>
      </c>
      <c r="Y229" s="64">
        <v>23.08</v>
      </c>
      <c r="Z229" s="64">
        <v>46.15</v>
      </c>
      <c r="AA229" s="64">
        <v>22.22</v>
      </c>
      <c r="AB229" s="64">
        <v>25</v>
      </c>
      <c r="AC229" s="64">
        <v>3</v>
      </c>
      <c r="AD229" s="64">
        <v>11</v>
      </c>
      <c r="AE229" s="64">
        <v>33.33</v>
      </c>
      <c r="AF229" s="64">
        <v>27.27</v>
      </c>
      <c r="AG229" s="51">
        <f t="shared" si="31"/>
        <v>2.4349999999999987</v>
      </c>
      <c r="AH229" s="52">
        <f t="shared" si="32"/>
        <v>17.564999999999998</v>
      </c>
      <c r="AI229" s="52" t="str">
        <f t="shared" si="33"/>
        <v>N</v>
      </c>
      <c r="AJ229" s="52" t="str">
        <f t="shared" si="34"/>
        <v>N</v>
      </c>
      <c r="AK229" s="50" t="str">
        <f t="shared" si="35"/>
        <v>Win</v>
      </c>
      <c r="AL229" s="50" t="str">
        <f t="shared" si="36"/>
        <v>Loss</v>
      </c>
      <c r="AM229" s="50" t="str">
        <f t="shared" si="37"/>
        <v>Loss</v>
      </c>
      <c r="AN229" s="50">
        <f t="shared" si="38"/>
        <v>82</v>
      </c>
      <c r="AO229" s="50">
        <f t="shared" si="39"/>
        <v>-50</v>
      </c>
      <c r="AP229" s="50">
        <f t="shared" si="40"/>
        <v>-50</v>
      </c>
    </row>
    <row r="230" spans="1:42" x14ac:dyDescent="0.25">
      <c r="A230" s="63">
        <v>43624</v>
      </c>
      <c r="B230" s="64" t="s">
        <v>342</v>
      </c>
      <c r="C230" s="64" t="s">
        <v>835</v>
      </c>
      <c r="D230" s="64" t="s">
        <v>851</v>
      </c>
      <c r="E230" s="64" t="s">
        <v>852</v>
      </c>
      <c r="F230" s="64" t="s">
        <v>853</v>
      </c>
      <c r="G230" s="64">
        <v>3</v>
      </c>
      <c r="H230" s="64">
        <v>0</v>
      </c>
      <c r="I230" s="64">
        <v>2.66</v>
      </c>
      <c r="J230" s="64">
        <v>3.35</v>
      </c>
      <c r="K230" s="64">
        <v>2.2999999999999998</v>
      </c>
      <c r="L230" s="64">
        <v>0.36</v>
      </c>
      <c r="M230" s="64">
        <v>30</v>
      </c>
      <c r="N230" s="64">
        <v>32</v>
      </c>
      <c r="O230" s="64">
        <v>1</v>
      </c>
      <c r="P230" s="64">
        <v>15</v>
      </c>
      <c r="Q230" s="64">
        <v>15</v>
      </c>
      <c r="R230" s="64">
        <v>0</v>
      </c>
      <c r="S230" s="64">
        <v>0</v>
      </c>
      <c r="T230" s="64">
        <v>100</v>
      </c>
      <c r="U230" s="64">
        <v>33.33</v>
      </c>
      <c r="V230" s="64">
        <v>30</v>
      </c>
      <c r="W230" s="64">
        <v>36.67</v>
      </c>
      <c r="X230" s="64">
        <v>43.75</v>
      </c>
      <c r="Y230" s="64">
        <v>28.13</v>
      </c>
      <c r="Z230" s="64">
        <v>28.13</v>
      </c>
      <c r="AA230" s="64">
        <v>53.33</v>
      </c>
      <c r="AB230" s="64">
        <v>40</v>
      </c>
      <c r="AC230" s="64">
        <v>15</v>
      </c>
      <c r="AD230" s="64">
        <v>23</v>
      </c>
      <c r="AE230" s="64">
        <v>46.67</v>
      </c>
      <c r="AF230" s="64">
        <v>47.83</v>
      </c>
      <c r="AG230" s="51">
        <f t="shared" si="31"/>
        <v>-33.605000000000004</v>
      </c>
      <c r="AH230" s="52">
        <f t="shared" si="32"/>
        <v>33.605000000000004</v>
      </c>
      <c r="AI230" s="52" t="str">
        <f t="shared" si="33"/>
        <v>N</v>
      </c>
      <c r="AJ230" s="52" t="str">
        <f t="shared" si="34"/>
        <v>N</v>
      </c>
      <c r="AK230" s="50" t="str">
        <f t="shared" si="35"/>
        <v>Win</v>
      </c>
      <c r="AL230" s="50" t="str">
        <f t="shared" si="36"/>
        <v>Loss</v>
      </c>
      <c r="AM230" s="50" t="str">
        <f t="shared" si="37"/>
        <v>Loss</v>
      </c>
      <c r="AN230" s="50">
        <f t="shared" si="38"/>
        <v>83</v>
      </c>
      <c r="AO230" s="50">
        <f t="shared" si="39"/>
        <v>-50</v>
      </c>
      <c r="AP230" s="50">
        <f t="shared" si="40"/>
        <v>-50</v>
      </c>
    </row>
    <row r="231" spans="1:42" x14ac:dyDescent="0.25">
      <c r="A231" s="63">
        <v>43624</v>
      </c>
      <c r="B231" s="64" t="s">
        <v>342</v>
      </c>
      <c r="C231" s="64" t="s">
        <v>835</v>
      </c>
      <c r="D231" s="64" t="s">
        <v>854</v>
      </c>
      <c r="E231" s="64" t="s">
        <v>855</v>
      </c>
      <c r="F231" s="64" t="s">
        <v>856</v>
      </c>
      <c r="G231" s="64">
        <v>1</v>
      </c>
      <c r="H231" s="64">
        <v>0</v>
      </c>
      <c r="I231" s="64">
        <v>2.36</v>
      </c>
      <c r="J231" s="64">
        <v>3.38</v>
      </c>
      <c r="K231" s="64">
        <v>2.6</v>
      </c>
      <c r="L231" s="64">
        <v>-0.24</v>
      </c>
      <c r="M231" s="64">
        <v>31</v>
      </c>
      <c r="N231" s="64">
        <v>30</v>
      </c>
      <c r="O231" s="64">
        <v>1</v>
      </c>
      <c r="P231" s="64">
        <v>14</v>
      </c>
      <c r="Q231" s="64">
        <v>15</v>
      </c>
      <c r="R231" s="64">
        <v>0</v>
      </c>
      <c r="S231" s="64">
        <v>0</v>
      </c>
      <c r="T231" s="64">
        <v>100</v>
      </c>
      <c r="U231" s="64">
        <v>41.94</v>
      </c>
      <c r="V231" s="64">
        <v>29.03</v>
      </c>
      <c r="W231" s="64">
        <v>29.03</v>
      </c>
      <c r="X231" s="64">
        <v>36.67</v>
      </c>
      <c r="Y231" s="64">
        <v>30</v>
      </c>
      <c r="Z231" s="64">
        <v>33.33</v>
      </c>
      <c r="AA231" s="64">
        <v>50</v>
      </c>
      <c r="AB231" s="64">
        <v>40</v>
      </c>
      <c r="AC231" s="64">
        <v>17</v>
      </c>
      <c r="AD231" s="64">
        <v>20</v>
      </c>
      <c r="AE231" s="64">
        <v>47.06</v>
      </c>
      <c r="AF231" s="64">
        <v>45</v>
      </c>
      <c r="AG231" s="51">
        <f t="shared" si="31"/>
        <v>-28.183000000000003</v>
      </c>
      <c r="AH231" s="52">
        <f t="shared" si="32"/>
        <v>28.183000000000003</v>
      </c>
      <c r="AI231" s="52" t="str">
        <f t="shared" si="33"/>
        <v>N</v>
      </c>
      <c r="AJ231" s="52" t="str">
        <f t="shared" si="34"/>
        <v>N</v>
      </c>
      <c r="AK231" s="50" t="str">
        <f t="shared" si="35"/>
        <v>Win</v>
      </c>
      <c r="AL231" s="50" t="str">
        <f t="shared" si="36"/>
        <v>Loss</v>
      </c>
      <c r="AM231" s="50" t="str">
        <f t="shared" si="37"/>
        <v>Loss</v>
      </c>
      <c r="AN231" s="50">
        <f t="shared" si="38"/>
        <v>68</v>
      </c>
      <c r="AO231" s="50">
        <f t="shared" si="39"/>
        <v>-50</v>
      </c>
      <c r="AP231" s="50">
        <f t="shared" si="40"/>
        <v>-50</v>
      </c>
    </row>
    <row r="232" spans="1:42" x14ac:dyDescent="0.25">
      <c r="A232" s="63">
        <v>43624</v>
      </c>
      <c r="B232" s="64" t="s">
        <v>342</v>
      </c>
      <c r="C232" s="64" t="s">
        <v>835</v>
      </c>
      <c r="D232" s="64" t="s">
        <v>857</v>
      </c>
      <c r="E232" s="64" t="s">
        <v>858</v>
      </c>
      <c r="F232" s="64" t="s">
        <v>859</v>
      </c>
      <c r="G232" s="64">
        <v>2</v>
      </c>
      <c r="H232" s="64">
        <v>0</v>
      </c>
      <c r="I232" s="64">
        <v>1.42</v>
      </c>
      <c r="J232" s="64">
        <v>4.58</v>
      </c>
      <c r="K232" s="64">
        <v>5.43</v>
      </c>
      <c r="L232" s="64">
        <v>-4.01</v>
      </c>
      <c r="M232" s="64">
        <v>29</v>
      </c>
      <c r="N232" s="64">
        <v>27</v>
      </c>
      <c r="O232" s="64">
        <v>1</v>
      </c>
      <c r="P232" s="64">
        <v>14</v>
      </c>
      <c r="Q232" s="64">
        <v>14</v>
      </c>
      <c r="R232" s="64">
        <v>0</v>
      </c>
      <c r="S232" s="64">
        <v>100</v>
      </c>
      <c r="T232" s="64">
        <v>0</v>
      </c>
      <c r="U232" s="64">
        <v>34.479999999999997</v>
      </c>
      <c r="V232" s="64">
        <v>24.14</v>
      </c>
      <c r="W232" s="64">
        <v>41.38</v>
      </c>
      <c r="X232" s="64">
        <v>22.22</v>
      </c>
      <c r="Y232" s="64">
        <v>11.11</v>
      </c>
      <c r="Z232" s="64">
        <v>66.67</v>
      </c>
      <c r="AA232" s="64">
        <v>42.86</v>
      </c>
      <c r="AB232" s="64">
        <v>7.14</v>
      </c>
      <c r="AC232" s="64">
        <v>11</v>
      </c>
      <c r="AD232" s="64">
        <v>2</v>
      </c>
      <c r="AE232" s="64">
        <v>45.45</v>
      </c>
      <c r="AF232" s="64">
        <v>50</v>
      </c>
      <c r="AG232" s="51">
        <f t="shared" si="31"/>
        <v>18.813000000000002</v>
      </c>
      <c r="AH232" s="52">
        <f t="shared" si="32"/>
        <v>1.1869999999999994</v>
      </c>
      <c r="AI232" s="52" t="str">
        <f t="shared" si="33"/>
        <v>N</v>
      </c>
      <c r="AJ232" s="52" t="str">
        <f t="shared" si="34"/>
        <v>N</v>
      </c>
      <c r="AK232" s="50" t="str">
        <f t="shared" si="35"/>
        <v>Win</v>
      </c>
      <c r="AL232" s="50" t="str">
        <f t="shared" si="36"/>
        <v>Loss</v>
      </c>
      <c r="AM232" s="50" t="str">
        <f t="shared" si="37"/>
        <v>Loss</v>
      </c>
      <c r="AN232" s="50">
        <f t="shared" si="38"/>
        <v>21</v>
      </c>
      <c r="AO232" s="50">
        <f t="shared" si="39"/>
        <v>-50</v>
      </c>
      <c r="AP232" s="50">
        <f t="shared" si="40"/>
        <v>-50</v>
      </c>
    </row>
    <row r="233" spans="1:42" x14ac:dyDescent="0.25">
      <c r="A233" s="63">
        <v>43624</v>
      </c>
      <c r="B233" s="64" t="s">
        <v>342</v>
      </c>
      <c r="C233" s="64" t="s">
        <v>492</v>
      </c>
      <c r="D233" s="64" t="s">
        <v>860</v>
      </c>
      <c r="E233" s="64" t="s">
        <v>861</v>
      </c>
      <c r="F233" s="64" t="s">
        <v>862</v>
      </c>
      <c r="G233" s="64">
        <v>1</v>
      </c>
      <c r="H233" s="64">
        <v>0</v>
      </c>
      <c r="I233" s="64">
        <v>1.52</v>
      </c>
      <c r="J233" s="64">
        <v>4.0199999999999996</v>
      </c>
      <c r="K233" s="64">
        <v>4.8600000000000003</v>
      </c>
      <c r="L233" s="64">
        <v>-3.34</v>
      </c>
      <c r="M233" s="64">
        <v>32</v>
      </c>
      <c r="N233" s="64">
        <v>28</v>
      </c>
      <c r="O233" s="64">
        <v>1</v>
      </c>
      <c r="P233" s="64">
        <v>17</v>
      </c>
      <c r="Q233" s="64">
        <v>13</v>
      </c>
      <c r="R233" s="64">
        <v>100</v>
      </c>
      <c r="S233" s="64">
        <v>0</v>
      </c>
      <c r="T233" s="64">
        <v>0</v>
      </c>
      <c r="U233" s="64">
        <v>31.25</v>
      </c>
      <c r="V233" s="64">
        <v>25</v>
      </c>
      <c r="W233" s="64">
        <v>43.75</v>
      </c>
      <c r="X233" s="64">
        <v>32.14</v>
      </c>
      <c r="Y233" s="64">
        <v>25</v>
      </c>
      <c r="Z233" s="64">
        <v>42.86</v>
      </c>
      <c r="AA233" s="64">
        <v>47.06</v>
      </c>
      <c r="AB233" s="64">
        <v>15.38</v>
      </c>
      <c r="AC233" s="64">
        <v>9</v>
      </c>
      <c r="AD233" s="64">
        <v>16</v>
      </c>
      <c r="AE233" s="64">
        <v>44.44</v>
      </c>
      <c r="AF233" s="64">
        <v>50</v>
      </c>
      <c r="AG233" s="51">
        <f t="shared" si="31"/>
        <v>29.643999999999998</v>
      </c>
      <c r="AH233" s="52">
        <f t="shared" si="32"/>
        <v>-29.643999999999998</v>
      </c>
      <c r="AI233" s="52" t="str">
        <f t="shared" si="33"/>
        <v>N</v>
      </c>
      <c r="AJ233" s="52" t="str">
        <f t="shared" si="34"/>
        <v>N</v>
      </c>
      <c r="AK233" s="50" t="str">
        <f t="shared" si="35"/>
        <v>Win</v>
      </c>
      <c r="AL233" s="50" t="str">
        <f t="shared" si="36"/>
        <v>Loss</v>
      </c>
      <c r="AM233" s="50" t="str">
        <f t="shared" si="37"/>
        <v>Loss</v>
      </c>
      <c r="AN233" s="50">
        <f t="shared" si="38"/>
        <v>26</v>
      </c>
      <c r="AO233" s="50">
        <f t="shared" si="39"/>
        <v>-50</v>
      </c>
      <c r="AP233" s="50">
        <f t="shared" si="40"/>
        <v>-50</v>
      </c>
    </row>
    <row r="234" spans="1:42" x14ac:dyDescent="0.25">
      <c r="A234" s="63">
        <v>43624</v>
      </c>
      <c r="B234" s="64" t="s">
        <v>342</v>
      </c>
      <c r="C234" s="64" t="s">
        <v>492</v>
      </c>
      <c r="D234" s="64" t="s">
        <v>863</v>
      </c>
      <c r="E234" s="64" t="s">
        <v>864</v>
      </c>
      <c r="F234" s="64" t="s">
        <v>865</v>
      </c>
      <c r="G234" s="64">
        <v>2</v>
      </c>
      <c r="H234" s="64">
        <v>1</v>
      </c>
      <c r="I234" s="64">
        <v>1.58</v>
      </c>
      <c r="J234" s="64">
        <v>3.99</v>
      </c>
      <c r="K234" s="64">
        <v>4.45</v>
      </c>
      <c r="L234" s="64">
        <v>-2.87</v>
      </c>
      <c r="M234" s="64">
        <v>60</v>
      </c>
      <c r="N234" s="64">
        <v>28</v>
      </c>
      <c r="O234" s="64">
        <v>1</v>
      </c>
      <c r="P234" s="64">
        <v>29</v>
      </c>
      <c r="Q234" s="64">
        <v>13</v>
      </c>
      <c r="R234" s="64">
        <v>0</v>
      </c>
      <c r="S234" s="64">
        <v>100</v>
      </c>
      <c r="T234" s="64">
        <v>0</v>
      </c>
      <c r="U234" s="64">
        <v>48.33</v>
      </c>
      <c r="V234" s="64">
        <v>30</v>
      </c>
      <c r="W234" s="64">
        <v>21.67</v>
      </c>
      <c r="X234" s="64">
        <v>71.430000000000007</v>
      </c>
      <c r="Y234" s="64">
        <v>17.86</v>
      </c>
      <c r="Z234" s="64">
        <v>10.71</v>
      </c>
      <c r="AA234" s="64">
        <v>58.62</v>
      </c>
      <c r="AB234" s="64">
        <v>61.54</v>
      </c>
      <c r="AC234" s="64">
        <v>44</v>
      </c>
      <c r="AD234" s="64">
        <v>22</v>
      </c>
      <c r="AE234" s="64">
        <v>54.55</v>
      </c>
      <c r="AF234" s="64">
        <v>81.819999999999993</v>
      </c>
      <c r="AG234" s="51">
        <f t="shared" si="31"/>
        <v>4.4019999999999992</v>
      </c>
      <c r="AH234" s="52">
        <f t="shared" si="32"/>
        <v>15.598000000000003</v>
      </c>
      <c r="AI234" s="52" t="str">
        <f t="shared" si="33"/>
        <v>N</v>
      </c>
      <c r="AJ234" s="52" t="str">
        <f t="shared" si="34"/>
        <v>N</v>
      </c>
      <c r="AK234" s="50" t="str">
        <f t="shared" si="35"/>
        <v>Win</v>
      </c>
      <c r="AL234" s="50" t="str">
        <f t="shared" si="36"/>
        <v>Loss</v>
      </c>
      <c r="AM234" s="50" t="str">
        <f t="shared" si="37"/>
        <v>Loss</v>
      </c>
      <c r="AN234" s="50">
        <f t="shared" si="38"/>
        <v>29</v>
      </c>
      <c r="AO234" s="50">
        <f t="shared" si="39"/>
        <v>-50</v>
      </c>
      <c r="AP234" s="50">
        <f t="shared" si="40"/>
        <v>-50</v>
      </c>
    </row>
    <row r="235" spans="1:42" x14ac:dyDescent="0.25">
      <c r="A235" s="63">
        <v>43624</v>
      </c>
      <c r="B235" s="64" t="s">
        <v>342</v>
      </c>
      <c r="C235" s="64" t="s">
        <v>492</v>
      </c>
      <c r="D235" s="64" t="s">
        <v>866</v>
      </c>
      <c r="E235" s="64" t="s">
        <v>867</v>
      </c>
      <c r="F235" s="64" t="s">
        <v>868</v>
      </c>
      <c r="G235" s="64">
        <v>2</v>
      </c>
      <c r="H235" s="64">
        <v>0</v>
      </c>
      <c r="I235" s="64">
        <v>2.42</v>
      </c>
      <c r="J235" s="64">
        <v>3.66</v>
      </c>
      <c r="K235" s="64">
        <v>2.16</v>
      </c>
      <c r="L235" s="64">
        <v>0.26</v>
      </c>
      <c r="M235" s="64">
        <v>27</v>
      </c>
      <c r="N235" s="64">
        <v>25</v>
      </c>
      <c r="O235" s="64">
        <v>1</v>
      </c>
      <c r="P235" s="64">
        <v>13</v>
      </c>
      <c r="Q235" s="64">
        <v>12</v>
      </c>
      <c r="R235" s="64">
        <v>100</v>
      </c>
      <c r="S235" s="64">
        <v>0</v>
      </c>
      <c r="T235" s="64">
        <v>0</v>
      </c>
      <c r="U235" s="64">
        <v>40.74</v>
      </c>
      <c r="V235" s="64">
        <v>25.93</v>
      </c>
      <c r="W235" s="64">
        <v>33.33</v>
      </c>
      <c r="X235" s="64">
        <v>24</v>
      </c>
      <c r="Y235" s="64">
        <v>36</v>
      </c>
      <c r="Z235" s="64">
        <v>40</v>
      </c>
      <c r="AA235" s="64">
        <v>61.54</v>
      </c>
      <c r="AB235" s="64">
        <v>41.67</v>
      </c>
      <c r="AC235" s="64">
        <v>13</v>
      </c>
      <c r="AD235" s="64">
        <v>10</v>
      </c>
      <c r="AE235" s="64">
        <v>61.54</v>
      </c>
      <c r="AF235" s="64">
        <v>10</v>
      </c>
      <c r="AG235" s="51">
        <f t="shared" si="31"/>
        <v>33.674999999999997</v>
      </c>
      <c r="AH235" s="52">
        <f t="shared" si="32"/>
        <v>-33.674999999999997</v>
      </c>
      <c r="AI235" s="52" t="str">
        <f t="shared" si="33"/>
        <v>N</v>
      </c>
      <c r="AJ235" s="52" t="str">
        <f t="shared" si="34"/>
        <v>N</v>
      </c>
      <c r="AK235" s="50" t="str">
        <f t="shared" si="35"/>
        <v>Win</v>
      </c>
      <c r="AL235" s="50" t="str">
        <f t="shared" si="36"/>
        <v>Loss</v>
      </c>
      <c r="AM235" s="50" t="str">
        <f t="shared" si="37"/>
        <v>Loss</v>
      </c>
      <c r="AN235" s="50">
        <f t="shared" si="38"/>
        <v>71</v>
      </c>
      <c r="AO235" s="50">
        <f t="shared" si="39"/>
        <v>-50</v>
      </c>
      <c r="AP235" s="50">
        <f t="shared" si="40"/>
        <v>-50</v>
      </c>
    </row>
    <row r="236" spans="1:42" x14ac:dyDescent="0.25">
      <c r="A236" s="63">
        <v>43624</v>
      </c>
      <c r="B236" s="64" t="s">
        <v>342</v>
      </c>
      <c r="C236" s="64" t="s">
        <v>492</v>
      </c>
      <c r="D236" s="64" t="s">
        <v>869</v>
      </c>
      <c r="E236" s="64" t="s">
        <v>870</v>
      </c>
      <c r="F236" s="64" t="s">
        <v>871</v>
      </c>
      <c r="G236" s="64">
        <v>4</v>
      </c>
      <c r="H236" s="64">
        <v>3</v>
      </c>
      <c r="I236" s="64">
        <v>1.56</v>
      </c>
      <c r="J236" s="64">
        <v>4.09</v>
      </c>
      <c r="K236" s="64">
        <v>4.45</v>
      </c>
      <c r="L236" s="64">
        <v>-2.89</v>
      </c>
      <c r="M236" s="64">
        <v>66</v>
      </c>
      <c r="N236" s="64">
        <v>30</v>
      </c>
      <c r="O236" s="64">
        <v>1</v>
      </c>
      <c r="P236" s="64">
        <v>33</v>
      </c>
      <c r="Q236" s="64">
        <v>15</v>
      </c>
      <c r="R236" s="64">
        <v>0</v>
      </c>
      <c r="S236" s="64">
        <v>100</v>
      </c>
      <c r="T236" s="64">
        <v>0</v>
      </c>
      <c r="U236" s="64">
        <v>39.39</v>
      </c>
      <c r="V236" s="64">
        <v>27.27</v>
      </c>
      <c r="W236" s="64">
        <v>33.33</v>
      </c>
      <c r="X236" s="64">
        <v>26.67</v>
      </c>
      <c r="Y236" s="64">
        <v>23.33</v>
      </c>
      <c r="Z236" s="64">
        <v>50</v>
      </c>
      <c r="AA236" s="64">
        <v>51.52</v>
      </c>
      <c r="AB236" s="64">
        <v>6.67</v>
      </c>
      <c r="AC236" s="64">
        <v>43</v>
      </c>
      <c r="AD236" s="64">
        <v>13</v>
      </c>
      <c r="AE236" s="64">
        <v>51.16</v>
      </c>
      <c r="AF236" s="64">
        <v>46.15</v>
      </c>
      <c r="AG236" s="51">
        <f t="shared" si="31"/>
        <v>16.271999999999998</v>
      </c>
      <c r="AH236" s="52">
        <f t="shared" si="32"/>
        <v>3.7279999999999998</v>
      </c>
      <c r="AI236" s="52" t="str">
        <f t="shared" si="33"/>
        <v>N</v>
      </c>
      <c r="AJ236" s="52" t="str">
        <f t="shared" si="34"/>
        <v>N</v>
      </c>
      <c r="AK236" s="50" t="str">
        <f t="shared" si="35"/>
        <v>Win</v>
      </c>
      <c r="AL236" s="50" t="str">
        <f t="shared" si="36"/>
        <v>Loss</v>
      </c>
      <c r="AM236" s="50" t="str">
        <f t="shared" si="37"/>
        <v>Loss</v>
      </c>
      <c r="AN236" s="50">
        <f t="shared" si="38"/>
        <v>28</v>
      </c>
      <c r="AO236" s="50">
        <f t="shared" si="39"/>
        <v>-50</v>
      </c>
      <c r="AP236" s="50">
        <f t="shared" si="40"/>
        <v>-50</v>
      </c>
    </row>
    <row r="237" spans="1:42" x14ac:dyDescent="0.25">
      <c r="A237" s="63">
        <v>43624</v>
      </c>
      <c r="B237" s="64" t="s">
        <v>342</v>
      </c>
      <c r="C237" s="64" t="s">
        <v>492</v>
      </c>
      <c r="D237" s="64" t="s">
        <v>872</v>
      </c>
      <c r="E237" s="64" t="s">
        <v>873</v>
      </c>
      <c r="F237" s="64" t="s">
        <v>874</v>
      </c>
      <c r="G237" s="64">
        <v>0</v>
      </c>
      <c r="H237" s="64">
        <v>3</v>
      </c>
      <c r="I237" s="64">
        <v>2</v>
      </c>
      <c r="J237" s="64">
        <v>3.49</v>
      </c>
      <c r="K237" s="64">
        <v>3.05</v>
      </c>
      <c r="L237" s="64">
        <v>-1.05</v>
      </c>
      <c r="M237" s="64">
        <v>29</v>
      </c>
      <c r="N237" s="64">
        <v>27</v>
      </c>
      <c r="O237" s="64">
        <v>1</v>
      </c>
      <c r="P237" s="64">
        <v>15</v>
      </c>
      <c r="Q237" s="64">
        <v>14</v>
      </c>
      <c r="R237" s="64">
        <v>0</v>
      </c>
      <c r="S237" s="64">
        <v>0</v>
      </c>
      <c r="T237" s="64">
        <v>100</v>
      </c>
      <c r="U237" s="64">
        <v>31.03</v>
      </c>
      <c r="V237" s="64">
        <v>34.479999999999997</v>
      </c>
      <c r="W237" s="64">
        <v>34.479999999999997</v>
      </c>
      <c r="X237" s="64">
        <v>25.93</v>
      </c>
      <c r="Y237" s="64">
        <v>40.74</v>
      </c>
      <c r="Z237" s="64">
        <v>33.33</v>
      </c>
      <c r="AA237" s="64">
        <v>46.67</v>
      </c>
      <c r="AB237" s="64">
        <v>7.14</v>
      </c>
      <c r="AC237" s="64">
        <v>15</v>
      </c>
      <c r="AD237" s="64">
        <v>11</v>
      </c>
      <c r="AE237" s="64">
        <v>40</v>
      </c>
      <c r="AF237" s="64">
        <v>54.55</v>
      </c>
      <c r="AG237" s="51">
        <f t="shared" si="31"/>
        <v>-29.835999999999995</v>
      </c>
      <c r="AH237" s="52">
        <f t="shared" si="32"/>
        <v>29.835999999999995</v>
      </c>
      <c r="AI237" s="52" t="str">
        <f t="shared" si="33"/>
        <v>N</v>
      </c>
      <c r="AJ237" s="52" t="str">
        <f t="shared" si="34"/>
        <v>N</v>
      </c>
      <c r="AK237" s="50" t="str">
        <f t="shared" si="35"/>
        <v>Loss</v>
      </c>
      <c r="AL237" s="50" t="str">
        <f t="shared" si="36"/>
        <v>Loss</v>
      </c>
      <c r="AM237" s="50" t="str">
        <f t="shared" si="37"/>
        <v>Win</v>
      </c>
      <c r="AN237" s="50">
        <f t="shared" si="38"/>
        <v>-50</v>
      </c>
      <c r="AO237" s="50">
        <f t="shared" si="39"/>
        <v>-50</v>
      </c>
      <c r="AP237" s="50">
        <f t="shared" si="40"/>
        <v>102.5</v>
      </c>
    </row>
    <row r="238" spans="1:42" x14ac:dyDescent="0.25">
      <c r="A238" s="63">
        <v>43624</v>
      </c>
      <c r="B238" s="64" t="s">
        <v>342</v>
      </c>
      <c r="C238" s="64" t="s">
        <v>492</v>
      </c>
      <c r="D238" s="64" t="s">
        <v>875</v>
      </c>
      <c r="E238" s="64" t="s">
        <v>876</v>
      </c>
      <c r="F238" s="64" t="s">
        <v>877</v>
      </c>
      <c r="G238" s="64">
        <v>1</v>
      </c>
      <c r="H238" s="64">
        <v>1</v>
      </c>
      <c r="I238" s="64">
        <v>3.18</v>
      </c>
      <c r="J238" s="64">
        <v>3.44</v>
      </c>
      <c r="K238" s="64">
        <v>2.0499999999999998</v>
      </c>
      <c r="L238" s="64">
        <v>1.1299999999999999</v>
      </c>
      <c r="M238" s="64">
        <v>15</v>
      </c>
      <c r="N238" s="64">
        <v>26</v>
      </c>
      <c r="O238" s="64">
        <v>0</v>
      </c>
      <c r="P238" s="64">
        <v>7</v>
      </c>
      <c r="Q238" s="64">
        <v>13</v>
      </c>
      <c r="R238" s="64">
        <v>0</v>
      </c>
      <c r="S238" s="64">
        <v>0</v>
      </c>
      <c r="T238" s="64">
        <v>0</v>
      </c>
      <c r="U238" s="64">
        <v>26.67</v>
      </c>
      <c r="V238" s="64">
        <v>26.67</v>
      </c>
      <c r="W238" s="64">
        <v>46.67</v>
      </c>
      <c r="X238" s="64">
        <v>38.46</v>
      </c>
      <c r="Y238" s="64">
        <v>23.08</v>
      </c>
      <c r="Z238" s="64">
        <v>38.46</v>
      </c>
      <c r="AA238" s="64">
        <v>28.57</v>
      </c>
      <c r="AB238" s="64">
        <v>23.08</v>
      </c>
      <c r="AC238" s="64">
        <v>10</v>
      </c>
      <c r="AD238" s="64">
        <v>7</v>
      </c>
      <c r="AE238" s="64">
        <v>40</v>
      </c>
      <c r="AF238" s="64">
        <v>57.14</v>
      </c>
      <c r="AG238" s="51">
        <f t="shared" si="31"/>
        <v>-3.641</v>
      </c>
      <c r="AH238" s="52">
        <f t="shared" si="32"/>
        <v>3.641</v>
      </c>
      <c r="AI238" s="52" t="str">
        <f t="shared" si="33"/>
        <v>N</v>
      </c>
      <c r="AJ238" s="52" t="str">
        <f t="shared" si="34"/>
        <v>N</v>
      </c>
      <c r="AK238" s="50" t="str">
        <f t="shared" si="35"/>
        <v>Loss</v>
      </c>
      <c r="AL238" s="50" t="str">
        <f t="shared" si="36"/>
        <v>Win</v>
      </c>
      <c r="AM238" s="50" t="str">
        <f t="shared" si="37"/>
        <v>Loss</v>
      </c>
      <c r="AN238" s="50">
        <f t="shared" si="38"/>
        <v>-50</v>
      </c>
      <c r="AO238" s="50">
        <f t="shared" si="39"/>
        <v>122</v>
      </c>
      <c r="AP238" s="50">
        <f t="shared" si="40"/>
        <v>-50</v>
      </c>
    </row>
    <row r="239" spans="1:42" x14ac:dyDescent="0.25">
      <c r="A239" s="63">
        <v>43624</v>
      </c>
      <c r="B239" s="64" t="s">
        <v>342</v>
      </c>
      <c r="C239" s="64" t="s">
        <v>492</v>
      </c>
      <c r="D239" s="64" t="s">
        <v>878</v>
      </c>
      <c r="E239" s="64" t="s">
        <v>879</v>
      </c>
      <c r="F239" s="64" t="s">
        <v>880</v>
      </c>
      <c r="G239" s="64">
        <v>4</v>
      </c>
      <c r="H239" s="64">
        <v>2</v>
      </c>
      <c r="I239" s="64">
        <v>2.13</v>
      </c>
      <c r="J239" s="64">
        <v>3.5</v>
      </c>
      <c r="K239" s="64">
        <v>2.96</v>
      </c>
      <c r="L239" s="64">
        <v>-0.83</v>
      </c>
      <c r="M239" s="64">
        <v>28</v>
      </c>
      <c r="N239" s="64">
        <v>26</v>
      </c>
      <c r="O239" s="64">
        <v>1</v>
      </c>
      <c r="P239" s="64">
        <v>12</v>
      </c>
      <c r="Q239" s="64">
        <v>13</v>
      </c>
      <c r="R239" s="64">
        <v>0</v>
      </c>
      <c r="S239" s="64">
        <v>0</v>
      </c>
      <c r="T239" s="64">
        <v>100</v>
      </c>
      <c r="U239" s="64">
        <v>14.29</v>
      </c>
      <c r="V239" s="64">
        <v>21.43</v>
      </c>
      <c r="W239" s="64">
        <v>64.290000000000006</v>
      </c>
      <c r="X239" s="64">
        <v>15.38</v>
      </c>
      <c r="Y239" s="64">
        <v>19.23</v>
      </c>
      <c r="Z239" s="64">
        <v>65.38</v>
      </c>
      <c r="AA239" s="64">
        <v>25</v>
      </c>
      <c r="AB239" s="64">
        <v>0</v>
      </c>
      <c r="AC239" s="64">
        <v>4</v>
      </c>
      <c r="AD239" s="64">
        <v>4</v>
      </c>
      <c r="AE239" s="64">
        <v>25</v>
      </c>
      <c r="AF239" s="64">
        <v>50</v>
      </c>
      <c r="AG239" s="51">
        <f t="shared" si="31"/>
        <v>-29.78</v>
      </c>
      <c r="AH239" s="52">
        <f t="shared" si="32"/>
        <v>29.78</v>
      </c>
      <c r="AI239" s="52" t="str">
        <f t="shared" si="33"/>
        <v>N</v>
      </c>
      <c r="AJ239" s="52" t="str">
        <f t="shared" si="34"/>
        <v>N</v>
      </c>
      <c r="AK239" s="50" t="str">
        <f t="shared" si="35"/>
        <v>Win</v>
      </c>
      <c r="AL239" s="50" t="str">
        <f t="shared" si="36"/>
        <v>Loss</v>
      </c>
      <c r="AM239" s="50" t="str">
        <f t="shared" si="37"/>
        <v>Loss</v>
      </c>
      <c r="AN239" s="50">
        <f t="shared" si="38"/>
        <v>56.5</v>
      </c>
      <c r="AO239" s="50">
        <f t="shared" si="39"/>
        <v>-50</v>
      </c>
      <c r="AP239" s="50">
        <f t="shared" si="40"/>
        <v>-50</v>
      </c>
    </row>
    <row r="240" spans="1:42" x14ac:dyDescent="0.25">
      <c r="A240" s="63">
        <v>43624</v>
      </c>
      <c r="B240" s="64" t="s">
        <v>342</v>
      </c>
      <c r="C240" s="64" t="s">
        <v>492</v>
      </c>
      <c r="D240" s="64" t="s">
        <v>881</v>
      </c>
      <c r="E240" s="64" t="s">
        <v>882</v>
      </c>
      <c r="F240" s="64" t="s">
        <v>883</v>
      </c>
      <c r="G240" s="64">
        <v>1</v>
      </c>
      <c r="H240" s="64">
        <v>0</v>
      </c>
      <c r="I240" s="64">
        <v>2.27</v>
      </c>
      <c r="J240" s="64">
        <v>3.53</v>
      </c>
      <c r="K240" s="64">
        <v>2.57</v>
      </c>
      <c r="L240" s="64">
        <v>-0.3</v>
      </c>
      <c r="M240" s="64">
        <v>66</v>
      </c>
      <c r="N240" s="64">
        <v>28</v>
      </c>
      <c r="O240" s="64">
        <v>1</v>
      </c>
      <c r="P240" s="64">
        <v>32</v>
      </c>
      <c r="Q240" s="64">
        <v>14</v>
      </c>
      <c r="R240" s="64">
        <v>100</v>
      </c>
      <c r="S240" s="64">
        <v>0</v>
      </c>
      <c r="T240" s="64">
        <v>0</v>
      </c>
      <c r="U240" s="64">
        <v>43.94</v>
      </c>
      <c r="V240" s="64">
        <v>28.79</v>
      </c>
      <c r="W240" s="64">
        <v>27.27</v>
      </c>
      <c r="X240" s="64">
        <v>35.71</v>
      </c>
      <c r="Y240" s="64">
        <v>14.29</v>
      </c>
      <c r="Z240" s="64">
        <v>50</v>
      </c>
      <c r="AA240" s="64">
        <v>43.75</v>
      </c>
      <c r="AB240" s="64">
        <v>42.86</v>
      </c>
      <c r="AC240" s="64">
        <v>46</v>
      </c>
      <c r="AD240" s="64">
        <v>7</v>
      </c>
      <c r="AE240" s="64">
        <v>52.17</v>
      </c>
      <c r="AF240" s="64">
        <v>57.14</v>
      </c>
      <c r="AG240" s="51">
        <f t="shared" si="31"/>
        <v>37.641999999999996</v>
      </c>
      <c r="AH240" s="52">
        <f t="shared" si="32"/>
        <v>-37.641999999999996</v>
      </c>
      <c r="AI240" s="52" t="str">
        <f t="shared" si="33"/>
        <v>N</v>
      </c>
      <c r="AJ240" s="52" t="str">
        <f t="shared" si="34"/>
        <v>N</v>
      </c>
      <c r="AK240" s="50" t="str">
        <f t="shared" si="35"/>
        <v>Win</v>
      </c>
      <c r="AL240" s="50" t="str">
        <f t="shared" si="36"/>
        <v>Loss</v>
      </c>
      <c r="AM240" s="50" t="str">
        <f t="shared" si="37"/>
        <v>Loss</v>
      </c>
      <c r="AN240" s="50">
        <f t="shared" si="38"/>
        <v>63.5</v>
      </c>
      <c r="AO240" s="50">
        <f t="shared" si="39"/>
        <v>-50</v>
      </c>
      <c r="AP240" s="50">
        <f t="shared" si="40"/>
        <v>-50</v>
      </c>
    </row>
    <row r="241" spans="1:42" x14ac:dyDescent="0.25">
      <c r="A241" s="63">
        <v>43624</v>
      </c>
      <c r="B241" s="64" t="s">
        <v>318</v>
      </c>
      <c r="C241" s="64" t="s">
        <v>610</v>
      </c>
      <c r="D241" s="64" t="s">
        <v>884</v>
      </c>
      <c r="E241" s="64" t="s">
        <v>885</v>
      </c>
      <c r="F241" s="64" t="s">
        <v>886</v>
      </c>
      <c r="G241" s="64">
        <v>5</v>
      </c>
      <c r="H241" s="64">
        <v>0</v>
      </c>
      <c r="I241" s="64">
        <v>1.02</v>
      </c>
      <c r="J241" s="64">
        <v>15.29</v>
      </c>
      <c r="K241" s="64">
        <v>40.29</v>
      </c>
      <c r="L241" s="64">
        <v>-39.270000000000003</v>
      </c>
      <c r="M241" s="64">
        <v>7</v>
      </c>
      <c r="N241" s="64">
        <v>2</v>
      </c>
      <c r="O241" s="64">
        <v>0</v>
      </c>
      <c r="P241" s="64">
        <v>4</v>
      </c>
      <c r="Q241" s="64">
        <v>1</v>
      </c>
      <c r="R241" s="64">
        <v>0</v>
      </c>
      <c r="S241" s="64">
        <v>0</v>
      </c>
      <c r="T241" s="64">
        <v>0</v>
      </c>
      <c r="U241" s="64">
        <v>71.430000000000007</v>
      </c>
      <c r="V241" s="64">
        <v>14.29</v>
      </c>
      <c r="W241" s="64">
        <v>14.29</v>
      </c>
      <c r="X241" s="64">
        <v>0</v>
      </c>
      <c r="Y241" s="64">
        <v>0</v>
      </c>
      <c r="Z241" s="64">
        <v>100</v>
      </c>
      <c r="AA241" s="64">
        <v>50</v>
      </c>
      <c r="AB241" s="64">
        <v>0</v>
      </c>
      <c r="AC241" s="64">
        <v>7</v>
      </c>
      <c r="AD241" s="64">
        <v>1</v>
      </c>
      <c r="AE241" s="64">
        <v>71.430000000000007</v>
      </c>
      <c r="AF241" s="64">
        <v>0</v>
      </c>
      <c r="AG241" s="51">
        <f t="shared" si="31"/>
        <v>32.856999999999999</v>
      </c>
      <c r="AH241" s="52">
        <f t="shared" si="32"/>
        <v>-32.856999999999999</v>
      </c>
      <c r="AI241" s="52" t="str">
        <f t="shared" si="33"/>
        <v>N</v>
      </c>
      <c r="AJ241" s="52" t="str">
        <f t="shared" si="34"/>
        <v>N</v>
      </c>
      <c r="AK241" s="50" t="str">
        <f t="shared" si="35"/>
        <v>Win</v>
      </c>
      <c r="AL241" s="50" t="str">
        <f t="shared" si="36"/>
        <v>Loss</v>
      </c>
      <c r="AM241" s="50" t="str">
        <f t="shared" si="37"/>
        <v>Loss</v>
      </c>
      <c r="AN241" s="50">
        <f t="shared" si="38"/>
        <v>1</v>
      </c>
      <c r="AO241" s="50">
        <f t="shared" si="39"/>
        <v>-50</v>
      </c>
      <c r="AP241" s="50">
        <f t="shared" si="40"/>
        <v>-50</v>
      </c>
    </row>
    <row r="242" spans="1:42" x14ac:dyDescent="0.25">
      <c r="A242" s="63">
        <v>43624</v>
      </c>
      <c r="B242" s="64" t="s">
        <v>318</v>
      </c>
      <c r="C242" s="64" t="s">
        <v>887</v>
      </c>
      <c r="D242" s="64" t="s">
        <v>888</v>
      </c>
      <c r="E242" s="64" t="s">
        <v>889</v>
      </c>
      <c r="F242" s="64" t="s">
        <v>890</v>
      </c>
      <c r="G242" s="64">
        <v>1</v>
      </c>
      <c r="H242" s="64">
        <v>2</v>
      </c>
      <c r="I242" s="64">
        <v>2.79</v>
      </c>
      <c r="J242" s="64">
        <v>3.1</v>
      </c>
      <c r="K242" s="64">
        <v>2.61</v>
      </c>
      <c r="L242" s="64">
        <v>0.18</v>
      </c>
      <c r="M242" s="64">
        <v>9</v>
      </c>
      <c r="N242" s="64">
        <v>7</v>
      </c>
      <c r="O242" s="64">
        <v>1</v>
      </c>
      <c r="P242" s="64">
        <v>4</v>
      </c>
      <c r="Q242" s="64">
        <v>3</v>
      </c>
      <c r="R242" s="64">
        <v>0</v>
      </c>
      <c r="S242" s="64">
        <v>100</v>
      </c>
      <c r="T242" s="64">
        <v>0</v>
      </c>
      <c r="U242" s="64">
        <v>55.56</v>
      </c>
      <c r="V242" s="64">
        <v>22.22</v>
      </c>
      <c r="W242" s="64">
        <v>22.22</v>
      </c>
      <c r="X242" s="64">
        <v>28.57</v>
      </c>
      <c r="Y242" s="64">
        <v>42.86</v>
      </c>
      <c r="Z242" s="64">
        <v>28.57</v>
      </c>
      <c r="AA242" s="64">
        <v>75</v>
      </c>
      <c r="AB242" s="64">
        <v>33.33</v>
      </c>
      <c r="AC242" s="64">
        <v>4</v>
      </c>
      <c r="AD242" s="64">
        <v>5</v>
      </c>
      <c r="AE242" s="64">
        <v>50</v>
      </c>
      <c r="AF242" s="64">
        <v>20</v>
      </c>
      <c r="AG242" s="51">
        <f t="shared" si="31"/>
        <v>14.604000000000005</v>
      </c>
      <c r="AH242" s="52">
        <f t="shared" si="32"/>
        <v>5.395999999999999</v>
      </c>
      <c r="AI242" s="52" t="str">
        <f t="shared" si="33"/>
        <v>N</v>
      </c>
      <c r="AJ242" s="52" t="str">
        <f t="shared" si="34"/>
        <v>N</v>
      </c>
      <c r="AK242" s="50" t="str">
        <f t="shared" si="35"/>
        <v>Loss</v>
      </c>
      <c r="AL242" s="50" t="str">
        <f t="shared" si="36"/>
        <v>Loss</v>
      </c>
      <c r="AM242" s="50" t="str">
        <f t="shared" si="37"/>
        <v>Win</v>
      </c>
      <c r="AN242" s="50">
        <f t="shared" si="38"/>
        <v>-50</v>
      </c>
      <c r="AO242" s="50">
        <f t="shared" si="39"/>
        <v>-50</v>
      </c>
      <c r="AP242" s="50">
        <f t="shared" si="40"/>
        <v>80.5</v>
      </c>
    </row>
    <row r="243" spans="1:42" x14ac:dyDescent="0.25">
      <c r="A243" s="63">
        <v>43624</v>
      </c>
      <c r="B243" s="64" t="s">
        <v>891</v>
      </c>
      <c r="C243" s="64" t="s">
        <v>892</v>
      </c>
      <c r="D243" s="64" t="s">
        <v>893</v>
      </c>
      <c r="E243" s="64" t="s">
        <v>894</v>
      </c>
      <c r="F243" s="64" t="s">
        <v>895</v>
      </c>
      <c r="G243" s="64">
        <v>2</v>
      </c>
      <c r="H243" s="64">
        <v>0</v>
      </c>
      <c r="I243" s="64">
        <v>1.46</v>
      </c>
      <c r="J243" s="64">
        <v>3.51</v>
      </c>
      <c r="K243" s="64">
        <v>7.57</v>
      </c>
      <c r="L243" s="64">
        <v>-6.11</v>
      </c>
      <c r="M243" s="64">
        <v>36</v>
      </c>
      <c r="N243" s="64">
        <v>21</v>
      </c>
      <c r="O243" s="64">
        <v>0</v>
      </c>
      <c r="P243" s="64">
        <v>17</v>
      </c>
      <c r="Q243" s="64">
        <v>10</v>
      </c>
      <c r="R243" s="64">
        <v>0</v>
      </c>
      <c r="S243" s="64">
        <v>0</v>
      </c>
      <c r="T243" s="64">
        <v>0</v>
      </c>
      <c r="U243" s="64">
        <v>41.67</v>
      </c>
      <c r="V243" s="64">
        <v>30.56</v>
      </c>
      <c r="W243" s="64">
        <v>27.78</v>
      </c>
      <c r="X243" s="64">
        <v>47.62</v>
      </c>
      <c r="Y243" s="64">
        <v>14.29</v>
      </c>
      <c r="Z243" s="64">
        <v>38.1</v>
      </c>
      <c r="AA243" s="64">
        <v>52.94</v>
      </c>
      <c r="AB243" s="64">
        <v>40</v>
      </c>
      <c r="AC243" s="64">
        <v>18</v>
      </c>
      <c r="AD243" s="64">
        <v>8</v>
      </c>
      <c r="AE243" s="64">
        <v>61.11</v>
      </c>
      <c r="AF243" s="64">
        <v>75</v>
      </c>
      <c r="AG243" s="51">
        <f t="shared" si="31"/>
        <v>2.5010000000000012</v>
      </c>
      <c r="AH243" s="52">
        <f t="shared" si="32"/>
        <v>-2.5010000000000012</v>
      </c>
      <c r="AI243" s="52" t="str">
        <f t="shared" si="33"/>
        <v>N</v>
      </c>
      <c r="AJ243" s="52" t="str">
        <f t="shared" si="34"/>
        <v>N</v>
      </c>
      <c r="AK243" s="50" t="str">
        <f t="shared" si="35"/>
        <v>Win</v>
      </c>
      <c r="AL243" s="50" t="str">
        <f t="shared" si="36"/>
        <v>Loss</v>
      </c>
      <c r="AM243" s="50" t="str">
        <f t="shared" si="37"/>
        <v>Loss</v>
      </c>
      <c r="AN243" s="50">
        <f t="shared" si="38"/>
        <v>23</v>
      </c>
      <c r="AO243" s="50">
        <f t="shared" si="39"/>
        <v>-50</v>
      </c>
      <c r="AP243" s="50">
        <f t="shared" si="40"/>
        <v>-50</v>
      </c>
    </row>
    <row r="244" spans="1:42" x14ac:dyDescent="0.25">
      <c r="A244" s="63">
        <v>43624</v>
      </c>
      <c r="B244" s="64" t="s">
        <v>384</v>
      </c>
      <c r="C244" s="64" t="s">
        <v>574</v>
      </c>
      <c r="D244" s="64" t="s">
        <v>896</v>
      </c>
      <c r="E244" s="64" t="s">
        <v>897</v>
      </c>
      <c r="F244" s="64" t="s">
        <v>898</v>
      </c>
      <c r="G244" s="64">
        <v>1</v>
      </c>
      <c r="H244" s="64">
        <v>0</v>
      </c>
      <c r="I244" s="64">
        <v>1.48</v>
      </c>
      <c r="J244" s="64">
        <v>3.89</v>
      </c>
      <c r="K244" s="64">
        <v>9.08</v>
      </c>
      <c r="L244" s="64">
        <v>-7.6</v>
      </c>
      <c r="M244" s="64">
        <v>8</v>
      </c>
      <c r="N244" s="64">
        <v>8</v>
      </c>
      <c r="O244" s="64">
        <v>0</v>
      </c>
      <c r="P244" s="64">
        <v>4</v>
      </c>
      <c r="Q244" s="64">
        <v>3</v>
      </c>
      <c r="R244" s="64">
        <v>0</v>
      </c>
      <c r="S244" s="64">
        <v>0</v>
      </c>
      <c r="T244" s="64">
        <v>0</v>
      </c>
      <c r="U244" s="64">
        <v>25</v>
      </c>
      <c r="V244" s="64">
        <v>37.5</v>
      </c>
      <c r="W244" s="64">
        <v>37.5</v>
      </c>
      <c r="X244" s="64">
        <v>0</v>
      </c>
      <c r="Y244" s="64">
        <v>50</v>
      </c>
      <c r="Z244" s="64">
        <v>50</v>
      </c>
      <c r="AA244" s="64">
        <v>25</v>
      </c>
      <c r="AB244" s="64">
        <v>0</v>
      </c>
      <c r="AC244" s="64">
        <v>3</v>
      </c>
      <c r="AD244" s="64">
        <v>0</v>
      </c>
      <c r="AE244" s="64">
        <v>66.67</v>
      </c>
      <c r="AF244" s="64">
        <v>0</v>
      </c>
      <c r="AG244" s="51">
        <f t="shared" si="31"/>
        <v>6.25</v>
      </c>
      <c r="AH244" s="52">
        <f t="shared" si="32"/>
        <v>-6.25</v>
      </c>
      <c r="AI244" s="52" t="str">
        <f t="shared" si="33"/>
        <v>N</v>
      </c>
      <c r="AJ244" s="52" t="str">
        <f t="shared" si="34"/>
        <v>N</v>
      </c>
      <c r="AK244" s="50" t="str">
        <f t="shared" si="35"/>
        <v>Win</v>
      </c>
      <c r="AL244" s="50" t="str">
        <f t="shared" si="36"/>
        <v>Loss</v>
      </c>
      <c r="AM244" s="50" t="str">
        <f t="shared" si="37"/>
        <v>Loss</v>
      </c>
      <c r="AN244" s="50">
        <f t="shared" si="38"/>
        <v>24</v>
      </c>
      <c r="AO244" s="50">
        <f t="shared" si="39"/>
        <v>-50</v>
      </c>
      <c r="AP244" s="50">
        <f t="shared" si="40"/>
        <v>-50</v>
      </c>
    </row>
    <row r="245" spans="1:42" x14ac:dyDescent="0.25">
      <c r="A245" s="63">
        <v>43624</v>
      </c>
      <c r="B245" s="64" t="s">
        <v>384</v>
      </c>
      <c r="C245" s="64" t="s">
        <v>574</v>
      </c>
      <c r="D245" s="64" t="s">
        <v>899</v>
      </c>
      <c r="E245" s="64" t="s">
        <v>900</v>
      </c>
      <c r="F245" s="64" t="s">
        <v>901</v>
      </c>
      <c r="G245" s="64">
        <v>1</v>
      </c>
      <c r="H245" s="64">
        <v>2</v>
      </c>
      <c r="I245" s="64">
        <v>5.14</v>
      </c>
      <c r="J245" s="64">
        <v>3.1</v>
      </c>
      <c r="K245" s="64">
        <v>1.9</v>
      </c>
      <c r="L245" s="64">
        <v>3.24</v>
      </c>
      <c r="M245" s="64">
        <v>9</v>
      </c>
      <c r="N245" s="64">
        <v>9</v>
      </c>
      <c r="O245" s="64">
        <v>1</v>
      </c>
      <c r="P245" s="64">
        <v>4</v>
      </c>
      <c r="Q245" s="64">
        <v>4</v>
      </c>
      <c r="R245" s="64">
        <v>0</v>
      </c>
      <c r="S245" s="64">
        <v>0</v>
      </c>
      <c r="T245" s="64">
        <v>100</v>
      </c>
      <c r="U245" s="64">
        <v>22.22</v>
      </c>
      <c r="V245" s="64">
        <v>11.11</v>
      </c>
      <c r="W245" s="64">
        <v>66.67</v>
      </c>
      <c r="X245" s="64">
        <v>22.22</v>
      </c>
      <c r="Y245" s="64">
        <v>0</v>
      </c>
      <c r="Z245" s="64">
        <v>77.78</v>
      </c>
      <c r="AA245" s="64">
        <v>25</v>
      </c>
      <c r="AB245" s="64">
        <v>0</v>
      </c>
      <c r="AC245" s="64">
        <v>2</v>
      </c>
      <c r="AD245" s="64">
        <v>2</v>
      </c>
      <c r="AE245" s="64">
        <v>50</v>
      </c>
      <c r="AF245" s="64">
        <v>100</v>
      </c>
      <c r="AG245" s="51">
        <f t="shared" si="31"/>
        <v>-26.667000000000005</v>
      </c>
      <c r="AH245" s="52">
        <f t="shared" si="32"/>
        <v>26.667000000000005</v>
      </c>
      <c r="AI245" s="52" t="str">
        <f t="shared" si="33"/>
        <v>N</v>
      </c>
      <c r="AJ245" s="52" t="str">
        <f t="shared" si="34"/>
        <v>N</v>
      </c>
      <c r="AK245" s="50" t="str">
        <f t="shared" si="35"/>
        <v>Loss</v>
      </c>
      <c r="AL245" s="50" t="str">
        <f t="shared" si="36"/>
        <v>Loss</v>
      </c>
      <c r="AM245" s="50" t="str">
        <f t="shared" si="37"/>
        <v>Win</v>
      </c>
      <c r="AN245" s="50">
        <f t="shared" si="38"/>
        <v>-50</v>
      </c>
      <c r="AO245" s="50">
        <f t="shared" si="39"/>
        <v>-50</v>
      </c>
      <c r="AP245" s="50">
        <f t="shared" si="40"/>
        <v>45</v>
      </c>
    </row>
    <row r="246" spans="1:42" x14ac:dyDescent="0.25">
      <c r="A246" s="63">
        <v>43624</v>
      </c>
      <c r="B246" s="64" t="s">
        <v>384</v>
      </c>
      <c r="C246" s="64" t="s">
        <v>574</v>
      </c>
      <c r="D246" s="64" t="s">
        <v>902</v>
      </c>
      <c r="E246" s="64" t="s">
        <v>903</v>
      </c>
      <c r="F246" s="64" t="s">
        <v>904</v>
      </c>
      <c r="G246" s="64">
        <v>1</v>
      </c>
      <c r="H246" s="64">
        <v>3</v>
      </c>
      <c r="I246" s="64">
        <v>4.04</v>
      </c>
      <c r="J246" s="64">
        <v>3.16</v>
      </c>
      <c r="K246" s="64">
        <v>2.09</v>
      </c>
      <c r="L246" s="64">
        <v>1.95</v>
      </c>
      <c r="M246" s="64">
        <v>7</v>
      </c>
      <c r="N246" s="64">
        <v>8</v>
      </c>
      <c r="O246" s="64">
        <v>0</v>
      </c>
      <c r="P246" s="64">
        <v>3</v>
      </c>
      <c r="Q246" s="64">
        <v>4</v>
      </c>
      <c r="R246" s="64">
        <v>0</v>
      </c>
      <c r="S246" s="64">
        <v>0</v>
      </c>
      <c r="T246" s="64">
        <v>0</v>
      </c>
      <c r="U246" s="64">
        <v>28.57</v>
      </c>
      <c r="V246" s="64">
        <v>42.86</v>
      </c>
      <c r="W246" s="64">
        <v>28.57</v>
      </c>
      <c r="X246" s="64">
        <v>50</v>
      </c>
      <c r="Y246" s="64">
        <v>12.5</v>
      </c>
      <c r="Z246" s="64">
        <v>37.5</v>
      </c>
      <c r="AA246" s="64">
        <v>33.33</v>
      </c>
      <c r="AB246" s="64">
        <v>0</v>
      </c>
      <c r="AC246" s="64">
        <v>5</v>
      </c>
      <c r="AD246" s="64">
        <v>3</v>
      </c>
      <c r="AE246" s="64">
        <v>40</v>
      </c>
      <c r="AF246" s="64">
        <v>66.67</v>
      </c>
      <c r="AG246" s="51">
        <f t="shared" si="31"/>
        <v>0.53599999999999959</v>
      </c>
      <c r="AH246" s="52">
        <f t="shared" si="32"/>
        <v>-0.53599999999999959</v>
      </c>
      <c r="AI246" s="52" t="str">
        <f t="shared" si="33"/>
        <v>N</v>
      </c>
      <c r="AJ246" s="52" t="str">
        <f t="shared" si="34"/>
        <v>N</v>
      </c>
      <c r="AK246" s="50" t="str">
        <f t="shared" si="35"/>
        <v>Loss</v>
      </c>
      <c r="AL246" s="50" t="str">
        <f t="shared" si="36"/>
        <v>Loss</v>
      </c>
      <c r="AM246" s="50" t="str">
        <f t="shared" si="37"/>
        <v>Win</v>
      </c>
      <c r="AN246" s="50">
        <f t="shared" si="38"/>
        <v>-50</v>
      </c>
      <c r="AO246" s="50">
        <f t="shared" si="39"/>
        <v>-50</v>
      </c>
      <c r="AP246" s="50">
        <f t="shared" si="40"/>
        <v>54.5</v>
      </c>
    </row>
    <row r="247" spans="1:42" x14ac:dyDescent="0.25">
      <c r="A247" s="63">
        <v>43624</v>
      </c>
      <c r="B247" s="64" t="s">
        <v>384</v>
      </c>
      <c r="C247" s="64" t="s">
        <v>574</v>
      </c>
      <c r="D247" s="64" t="s">
        <v>905</v>
      </c>
      <c r="E247" s="64" t="s">
        <v>496</v>
      </c>
      <c r="F247" s="64" t="s">
        <v>906</v>
      </c>
      <c r="G247" s="64">
        <v>9</v>
      </c>
      <c r="H247" s="64">
        <v>0</v>
      </c>
      <c r="I247" s="64">
        <v>1.01</v>
      </c>
      <c r="J247" s="64">
        <v>30.89</v>
      </c>
      <c r="K247" s="64">
        <v>68.06</v>
      </c>
      <c r="L247" s="64">
        <v>-67.05</v>
      </c>
      <c r="M247" s="64">
        <v>6</v>
      </c>
      <c r="N247" s="64">
        <v>8</v>
      </c>
      <c r="O247" s="64">
        <v>0</v>
      </c>
      <c r="P247" s="64">
        <v>2</v>
      </c>
      <c r="Q247" s="64">
        <v>4</v>
      </c>
      <c r="R247" s="64">
        <v>0</v>
      </c>
      <c r="S247" s="64">
        <v>0</v>
      </c>
      <c r="T247" s="64">
        <v>0</v>
      </c>
      <c r="U247" s="64">
        <v>50</v>
      </c>
      <c r="V247" s="64">
        <v>16.670000000000002</v>
      </c>
      <c r="W247" s="64">
        <v>33.33</v>
      </c>
      <c r="X247" s="64">
        <v>0</v>
      </c>
      <c r="Y247" s="64">
        <v>0</v>
      </c>
      <c r="Z247" s="64">
        <v>100</v>
      </c>
      <c r="AA247" s="64">
        <v>50</v>
      </c>
      <c r="AB247" s="64">
        <v>0</v>
      </c>
      <c r="AC247" s="64">
        <v>3</v>
      </c>
      <c r="AD247" s="64">
        <v>0</v>
      </c>
      <c r="AE247" s="64">
        <v>66.67</v>
      </c>
      <c r="AF247" s="64">
        <v>0</v>
      </c>
      <c r="AG247" s="51">
        <f t="shared" si="31"/>
        <v>25.000999999999998</v>
      </c>
      <c r="AH247" s="52">
        <f t="shared" si="32"/>
        <v>-25.000999999999998</v>
      </c>
      <c r="AI247" s="52" t="str">
        <f t="shared" si="33"/>
        <v>N</v>
      </c>
      <c r="AJ247" s="52" t="str">
        <f t="shared" si="34"/>
        <v>N</v>
      </c>
      <c r="AK247" s="50" t="str">
        <f t="shared" si="35"/>
        <v>Win</v>
      </c>
      <c r="AL247" s="50" t="str">
        <f t="shared" si="36"/>
        <v>Loss</v>
      </c>
      <c r="AM247" s="50" t="str">
        <f t="shared" si="37"/>
        <v>Loss</v>
      </c>
      <c r="AN247" s="50">
        <f t="shared" si="38"/>
        <v>0.5</v>
      </c>
      <c r="AO247" s="50">
        <f t="shared" si="39"/>
        <v>-50</v>
      </c>
      <c r="AP247" s="50">
        <f t="shared" si="40"/>
        <v>-50</v>
      </c>
    </row>
    <row r="248" spans="1:42" x14ac:dyDescent="0.25">
      <c r="A248" s="63">
        <v>43624</v>
      </c>
      <c r="B248" s="64" t="s">
        <v>384</v>
      </c>
      <c r="C248" s="64" t="s">
        <v>574</v>
      </c>
      <c r="D248" s="64" t="s">
        <v>907</v>
      </c>
      <c r="E248" s="64" t="s">
        <v>908</v>
      </c>
      <c r="F248" s="64" t="s">
        <v>909</v>
      </c>
      <c r="G248" s="64">
        <v>3</v>
      </c>
      <c r="H248" s="64">
        <v>0</v>
      </c>
      <c r="I248" s="64">
        <v>1.1399999999999999</v>
      </c>
      <c r="J248" s="64">
        <v>8.5299999999999994</v>
      </c>
      <c r="K248" s="64">
        <v>20.78</v>
      </c>
      <c r="L248" s="64">
        <v>-19.64</v>
      </c>
      <c r="M248" s="64">
        <v>8</v>
      </c>
      <c r="N248" s="64">
        <v>8</v>
      </c>
      <c r="O248" s="64">
        <v>2</v>
      </c>
      <c r="P248" s="64">
        <v>4</v>
      </c>
      <c r="Q248" s="64">
        <v>4</v>
      </c>
      <c r="R248" s="64">
        <v>50</v>
      </c>
      <c r="S248" s="64">
        <v>50</v>
      </c>
      <c r="T248" s="64">
        <v>0</v>
      </c>
      <c r="U248" s="64">
        <v>37.5</v>
      </c>
      <c r="V248" s="64">
        <v>12.5</v>
      </c>
      <c r="W248" s="64">
        <v>50</v>
      </c>
      <c r="X248" s="64">
        <v>12.5</v>
      </c>
      <c r="Y248" s="64">
        <v>12.5</v>
      </c>
      <c r="Z248" s="64">
        <v>75</v>
      </c>
      <c r="AA248" s="64">
        <v>50</v>
      </c>
      <c r="AB248" s="64">
        <v>0</v>
      </c>
      <c r="AC248" s="64">
        <v>4</v>
      </c>
      <c r="AD248" s="64">
        <v>2</v>
      </c>
      <c r="AE248" s="64">
        <v>50</v>
      </c>
      <c r="AF248" s="64">
        <v>50</v>
      </c>
      <c r="AG248" s="51">
        <f t="shared" si="31"/>
        <v>30</v>
      </c>
      <c r="AH248" s="52">
        <f t="shared" si="32"/>
        <v>-20</v>
      </c>
      <c r="AI248" s="52" t="str">
        <f t="shared" si="33"/>
        <v>N</v>
      </c>
      <c r="AJ248" s="52" t="str">
        <f t="shared" si="34"/>
        <v>N</v>
      </c>
      <c r="AK248" s="50" t="str">
        <f t="shared" si="35"/>
        <v>Win</v>
      </c>
      <c r="AL248" s="50" t="str">
        <f t="shared" si="36"/>
        <v>Loss</v>
      </c>
      <c r="AM248" s="50" t="str">
        <f t="shared" si="37"/>
        <v>Loss</v>
      </c>
      <c r="AN248" s="50">
        <f t="shared" si="38"/>
        <v>6.9999999999999929</v>
      </c>
      <c r="AO248" s="50">
        <f t="shared" si="39"/>
        <v>-50</v>
      </c>
      <c r="AP248" s="50">
        <f t="shared" si="40"/>
        <v>-50</v>
      </c>
    </row>
    <row r="249" spans="1:42" x14ac:dyDescent="0.25">
      <c r="A249" s="63">
        <v>43624</v>
      </c>
      <c r="B249" s="64" t="s">
        <v>384</v>
      </c>
      <c r="C249" s="64" t="s">
        <v>574</v>
      </c>
      <c r="D249" s="64" t="s">
        <v>910</v>
      </c>
      <c r="E249" s="64" t="s">
        <v>389</v>
      </c>
      <c r="F249" s="64" t="s">
        <v>911</v>
      </c>
      <c r="G249" s="64">
        <v>2</v>
      </c>
      <c r="H249" s="64">
        <v>0</v>
      </c>
      <c r="I249" s="64">
        <v>2.59</v>
      </c>
      <c r="J249" s="64">
        <v>3.07</v>
      </c>
      <c r="K249" s="64">
        <v>3.07</v>
      </c>
      <c r="L249" s="64">
        <v>-0.48</v>
      </c>
      <c r="M249" s="64">
        <v>8</v>
      </c>
      <c r="N249" s="64">
        <v>6</v>
      </c>
      <c r="O249" s="64">
        <v>0</v>
      </c>
      <c r="P249" s="64">
        <v>3</v>
      </c>
      <c r="Q249" s="64">
        <v>2</v>
      </c>
      <c r="R249" s="64">
        <v>0</v>
      </c>
      <c r="S249" s="64">
        <v>0</v>
      </c>
      <c r="T249" s="64">
        <v>0</v>
      </c>
      <c r="U249" s="64">
        <v>62.5</v>
      </c>
      <c r="V249" s="64">
        <v>0</v>
      </c>
      <c r="W249" s="64">
        <v>37.5</v>
      </c>
      <c r="X249" s="64">
        <v>66.67</v>
      </c>
      <c r="Y249" s="64">
        <v>33.33</v>
      </c>
      <c r="Z249" s="64">
        <v>0</v>
      </c>
      <c r="AA249" s="64">
        <v>100</v>
      </c>
      <c r="AB249" s="64">
        <v>50</v>
      </c>
      <c r="AC249" s="64">
        <v>5</v>
      </c>
      <c r="AD249" s="64">
        <v>4</v>
      </c>
      <c r="AE249" s="64">
        <v>100</v>
      </c>
      <c r="AF249" s="64">
        <v>75</v>
      </c>
      <c r="AG249" s="51">
        <f t="shared" si="31"/>
        <v>-11.667000000000002</v>
      </c>
      <c r="AH249" s="52">
        <f t="shared" si="32"/>
        <v>11.667000000000002</v>
      </c>
      <c r="AI249" s="52" t="str">
        <f t="shared" si="33"/>
        <v>Y</v>
      </c>
      <c r="AJ249" s="52" t="str">
        <f t="shared" si="34"/>
        <v>N</v>
      </c>
      <c r="AK249" s="50" t="str">
        <f t="shared" si="35"/>
        <v>Win</v>
      </c>
      <c r="AL249" s="50" t="str">
        <f t="shared" si="36"/>
        <v>Loss</v>
      </c>
      <c r="AM249" s="50" t="str">
        <f t="shared" si="37"/>
        <v>Loss</v>
      </c>
      <c r="AN249" s="50">
        <f t="shared" si="38"/>
        <v>79.5</v>
      </c>
      <c r="AO249" s="50">
        <f t="shared" si="39"/>
        <v>-50</v>
      </c>
      <c r="AP249" s="50">
        <f t="shared" si="40"/>
        <v>-50</v>
      </c>
    </row>
    <row r="250" spans="1:42" x14ac:dyDescent="0.25">
      <c r="A250" s="63">
        <v>43624</v>
      </c>
      <c r="B250" s="64" t="s">
        <v>648</v>
      </c>
      <c r="C250" s="64" t="s">
        <v>649</v>
      </c>
      <c r="D250" s="64" t="s">
        <v>912</v>
      </c>
      <c r="E250" s="64" t="s">
        <v>913</v>
      </c>
      <c r="F250" s="64" t="s">
        <v>914</v>
      </c>
      <c r="G250" s="64">
        <v>4</v>
      </c>
      <c r="H250" s="64">
        <v>2</v>
      </c>
      <c r="I250" s="64">
        <v>1.2</v>
      </c>
      <c r="J250" s="64">
        <v>6.45</v>
      </c>
      <c r="K250" s="64">
        <v>11.01</v>
      </c>
      <c r="L250" s="64">
        <v>-9.81</v>
      </c>
      <c r="M250" s="64">
        <v>18</v>
      </c>
      <c r="N250" s="64">
        <v>17</v>
      </c>
      <c r="O250" s="64">
        <v>1</v>
      </c>
      <c r="P250" s="64">
        <v>10</v>
      </c>
      <c r="Q250" s="64">
        <v>8</v>
      </c>
      <c r="R250" s="64">
        <v>100</v>
      </c>
      <c r="S250" s="64">
        <v>0</v>
      </c>
      <c r="T250" s="64">
        <v>0</v>
      </c>
      <c r="U250" s="64">
        <v>55.56</v>
      </c>
      <c r="V250" s="64">
        <v>11.11</v>
      </c>
      <c r="W250" s="64">
        <v>33.33</v>
      </c>
      <c r="X250" s="64">
        <v>17.649999999999999</v>
      </c>
      <c r="Y250" s="64">
        <v>11.76</v>
      </c>
      <c r="Z250" s="64">
        <v>70.59</v>
      </c>
      <c r="AA250" s="64">
        <v>50</v>
      </c>
      <c r="AB250" s="64">
        <v>25</v>
      </c>
      <c r="AC250" s="64">
        <v>12</v>
      </c>
      <c r="AD250" s="64">
        <v>4</v>
      </c>
      <c r="AE250" s="64">
        <v>66.67</v>
      </c>
      <c r="AF250" s="64">
        <v>25</v>
      </c>
      <c r="AG250" s="51">
        <f t="shared" si="31"/>
        <v>44.969000000000008</v>
      </c>
      <c r="AH250" s="52">
        <f t="shared" si="32"/>
        <v>-44.969000000000008</v>
      </c>
      <c r="AI250" s="52" t="str">
        <f t="shared" si="33"/>
        <v>Y</v>
      </c>
      <c r="AJ250" s="52" t="str">
        <f t="shared" si="34"/>
        <v>N</v>
      </c>
      <c r="AK250" s="50" t="str">
        <f t="shared" si="35"/>
        <v>Win</v>
      </c>
      <c r="AL250" s="50" t="str">
        <f t="shared" si="36"/>
        <v>Loss</v>
      </c>
      <c r="AM250" s="50" t="str">
        <f t="shared" si="37"/>
        <v>Loss</v>
      </c>
      <c r="AN250" s="50">
        <f t="shared" si="38"/>
        <v>10</v>
      </c>
      <c r="AO250" s="50">
        <f t="shared" si="39"/>
        <v>-50</v>
      </c>
      <c r="AP250" s="50">
        <f t="shared" si="40"/>
        <v>-50</v>
      </c>
    </row>
    <row r="251" spans="1:42" x14ac:dyDescent="0.25">
      <c r="A251" s="63">
        <v>43624</v>
      </c>
      <c r="B251" s="64" t="s">
        <v>656</v>
      </c>
      <c r="C251" s="64" t="s">
        <v>657</v>
      </c>
      <c r="D251" s="64" t="s">
        <v>915</v>
      </c>
      <c r="E251" s="64" t="s">
        <v>916</v>
      </c>
      <c r="F251" s="64" t="s">
        <v>917</v>
      </c>
      <c r="G251" s="64">
        <v>1</v>
      </c>
      <c r="H251" s="64">
        <v>3</v>
      </c>
      <c r="I251" s="64">
        <v>2.4900000000000002</v>
      </c>
      <c r="J251" s="64">
        <v>2.96</v>
      </c>
      <c r="K251" s="64">
        <v>2.75</v>
      </c>
      <c r="L251" s="64">
        <v>-0.26</v>
      </c>
      <c r="M251" s="64">
        <v>22</v>
      </c>
      <c r="N251" s="64">
        <v>24</v>
      </c>
      <c r="O251" s="64">
        <v>2</v>
      </c>
      <c r="P251" s="64">
        <v>9</v>
      </c>
      <c r="Q251" s="64">
        <v>12</v>
      </c>
      <c r="R251" s="64">
        <v>0</v>
      </c>
      <c r="S251" s="64">
        <v>100</v>
      </c>
      <c r="T251" s="64">
        <v>0</v>
      </c>
      <c r="U251" s="64">
        <v>36.36</v>
      </c>
      <c r="V251" s="64">
        <v>45.45</v>
      </c>
      <c r="W251" s="64">
        <v>18.18</v>
      </c>
      <c r="X251" s="64">
        <v>37.5</v>
      </c>
      <c r="Y251" s="64">
        <v>37.5</v>
      </c>
      <c r="Z251" s="64">
        <v>25</v>
      </c>
      <c r="AA251" s="64">
        <v>77.78</v>
      </c>
      <c r="AB251" s="64">
        <v>0</v>
      </c>
      <c r="AC251" s="64">
        <v>10</v>
      </c>
      <c r="AD251" s="64">
        <v>13</v>
      </c>
      <c r="AE251" s="64">
        <v>70</v>
      </c>
      <c r="AF251" s="64">
        <v>69.23</v>
      </c>
      <c r="AG251" s="51">
        <f t="shared" si="31"/>
        <v>11.931000000000001</v>
      </c>
      <c r="AH251" s="52">
        <f t="shared" si="32"/>
        <v>8.0689999999999991</v>
      </c>
      <c r="AI251" s="52" t="str">
        <f t="shared" si="33"/>
        <v>N</v>
      </c>
      <c r="AJ251" s="52" t="str">
        <f t="shared" si="34"/>
        <v>N</v>
      </c>
      <c r="AK251" s="50" t="str">
        <f t="shared" si="35"/>
        <v>Loss</v>
      </c>
      <c r="AL251" s="50" t="str">
        <f t="shared" si="36"/>
        <v>Loss</v>
      </c>
      <c r="AM251" s="50" t="str">
        <f t="shared" si="37"/>
        <v>Win</v>
      </c>
      <c r="AN251" s="50">
        <f t="shared" si="38"/>
        <v>-50</v>
      </c>
      <c r="AO251" s="50">
        <f t="shared" si="39"/>
        <v>-50</v>
      </c>
      <c r="AP251" s="50">
        <f t="shared" si="40"/>
        <v>87.5</v>
      </c>
    </row>
    <row r="252" spans="1:42" x14ac:dyDescent="0.25">
      <c r="A252" s="63">
        <v>43624</v>
      </c>
      <c r="B252" s="64" t="s">
        <v>342</v>
      </c>
      <c r="C252" s="64" t="s">
        <v>347</v>
      </c>
      <c r="D252" s="64" t="s">
        <v>918</v>
      </c>
      <c r="E252" s="64" t="s">
        <v>919</v>
      </c>
      <c r="F252" s="64" t="s">
        <v>920</v>
      </c>
      <c r="G252" s="64">
        <v>1</v>
      </c>
      <c r="H252" s="64">
        <v>1</v>
      </c>
      <c r="I252" s="64">
        <v>6.71</v>
      </c>
      <c r="J252" s="64">
        <v>4.57</v>
      </c>
      <c r="K252" s="64">
        <v>1.37</v>
      </c>
      <c r="L252" s="64">
        <v>5.34</v>
      </c>
      <c r="M252" s="64">
        <v>25</v>
      </c>
      <c r="N252" s="64">
        <v>37</v>
      </c>
      <c r="O252" s="64">
        <v>1</v>
      </c>
      <c r="P252" s="64">
        <v>13</v>
      </c>
      <c r="Q252" s="64">
        <v>17</v>
      </c>
      <c r="R252" s="64">
        <v>0</v>
      </c>
      <c r="S252" s="64">
        <v>0</v>
      </c>
      <c r="T252" s="64">
        <v>100</v>
      </c>
      <c r="U252" s="64">
        <v>0</v>
      </c>
      <c r="V252" s="64">
        <v>8</v>
      </c>
      <c r="W252" s="64">
        <v>92</v>
      </c>
      <c r="X252" s="64">
        <v>48.65</v>
      </c>
      <c r="Y252" s="64">
        <v>18.920000000000002</v>
      </c>
      <c r="Z252" s="64">
        <v>32.43</v>
      </c>
      <c r="AA252" s="64">
        <v>0</v>
      </c>
      <c r="AB252" s="64">
        <v>29.41</v>
      </c>
      <c r="AC252" s="64">
        <v>1</v>
      </c>
      <c r="AD252" s="64">
        <v>26</v>
      </c>
      <c r="AE252" s="64">
        <v>0</v>
      </c>
      <c r="AF252" s="64">
        <v>57.69</v>
      </c>
      <c r="AG252" s="51">
        <f t="shared" si="31"/>
        <v>-52.736000000000004</v>
      </c>
      <c r="AH252" s="52">
        <f t="shared" si="32"/>
        <v>52.736000000000004</v>
      </c>
      <c r="AI252" s="52" t="str">
        <f t="shared" si="33"/>
        <v>N</v>
      </c>
      <c r="AJ252" s="52" t="str">
        <f t="shared" si="34"/>
        <v>Y</v>
      </c>
      <c r="AK252" s="50" t="str">
        <f t="shared" si="35"/>
        <v>Loss</v>
      </c>
      <c r="AL252" s="50" t="str">
        <f t="shared" si="36"/>
        <v>Win</v>
      </c>
      <c r="AM252" s="50" t="str">
        <f t="shared" si="37"/>
        <v>Loss</v>
      </c>
      <c r="AN252" s="50">
        <f t="shared" si="38"/>
        <v>-50</v>
      </c>
      <c r="AO252" s="50">
        <f t="shared" si="39"/>
        <v>178.5</v>
      </c>
      <c r="AP252" s="50">
        <f t="shared" si="40"/>
        <v>-50</v>
      </c>
    </row>
    <row r="253" spans="1:42" x14ac:dyDescent="0.25">
      <c r="A253" s="63">
        <v>43624</v>
      </c>
      <c r="B253" s="64" t="s">
        <v>342</v>
      </c>
      <c r="C253" s="64" t="s">
        <v>347</v>
      </c>
      <c r="D253" s="64" t="s">
        <v>921</v>
      </c>
      <c r="E253" s="64" t="s">
        <v>922</v>
      </c>
      <c r="F253" s="64" t="s">
        <v>923</v>
      </c>
      <c r="G253" s="64">
        <v>1</v>
      </c>
      <c r="H253" s="64">
        <v>2</v>
      </c>
      <c r="I253" s="64">
        <v>3.49</v>
      </c>
      <c r="J253" s="64">
        <v>3.85</v>
      </c>
      <c r="K253" s="64">
        <v>1.81</v>
      </c>
      <c r="L253" s="64">
        <v>1.68</v>
      </c>
      <c r="M253" s="64">
        <v>27</v>
      </c>
      <c r="N253" s="64">
        <v>60</v>
      </c>
      <c r="O253" s="64">
        <v>1</v>
      </c>
      <c r="P253" s="64">
        <v>12</v>
      </c>
      <c r="Q253" s="64">
        <v>31</v>
      </c>
      <c r="R253" s="64">
        <v>100</v>
      </c>
      <c r="S253" s="64">
        <v>0</v>
      </c>
      <c r="T253" s="64">
        <v>0</v>
      </c>
      <c r="U253" s="64">
        <v>51.85</v>
      </c>
      <c r="V253" s="64">
        <v>18.52</v>
      </c>
      <c r="W253" s="64">
        <v>29.63</v>
      </c>
      <c r="X253" s="64">
        <v>33.33</v>
      </c>
      <c r="Y253" s="64">
        <v>31.67</v>
      </c>
      <c r="Z253" s="64">
        <v>35</v>
      </c>
      <c r="AA253" s="64">
        <v>66.67</v>
      </c>
      <c r="AB253" s="64">
        <v>32.26</v>
      </c>
      <c r="AC253" s="64">
        <v>16</v>
      </c>
      <c r="AD253" s="64">
        <v>27</v>
      </c>
      <c r="AE253" s="64">
        <v>62.5</v>
      </c>
      <c r="AF253" s="64">
        <v>33.33</v>
      </c>
      <c r="AG253" s="51">
        <f t="shared" si="31"/>
        <v>33.462999999999994</v>
      </c>
      <c r="AH253" s="52">
        <f t="shared" si="32"/>
        <v>-33.462999999999994</v>
      </c>
      <c r="AI253" s="52" t="str">
        <f t="shared" si="33"/>
        <v>N</v>
      </c>
      <c r="AJ253" s="52" t="str">
        <f t="shared" si="34"/>
        <v>N</v>
      </c>
      <c r="AK253" s="50" t="str">
        <f t="shared" si="35"/>
        <v>Loss</v>
      </c>
      <c r="AL253" s="50" t="str">
        <f t="shared" si="36"/>
        <v>Loss</v>
      </c>
      <c r="AM253" s="50" t="str">
        <f t="shared" si="37"/>
        <v>Win</v>
      </c>
      <c r="AN253" s="50">
        <f t="shared" si="38"/>
        <v>-50</v>
      </c>
      <c r="AO253" s="50">
        <f t="shared" si="39"/>
        <v>-50</v>
      </c>
      <c r="AP253" s="50">
        <f t="shared" si="40"/>
        <v>40.5</v>
      </c>
    </row>
    <row r="254" spans="1:42" x14ac:dyDescent="0.25">
      <c r="A254" s="63">
        <v>43624</v>
      </c>
      <c r="B254" s="64" t="s">
        <v>342</v>
      </c>
      <c r="C254" s="64" t="s">
        <v>351</v>
      </c>
      <c r="D254" s="64" t="s">
        <v>924</v>
      </c>
      <c r="E254" s="64" t="s">
        <v>925</v>
      </c>
      <c r="F254" s="64" t="s">
        <v>926</v>
      </c>
      <c r="G254" s="64">
        <v>3</v>
      </c>
      <c r="H254" s="64">
        <v>0</v>
      </c>
      <c r="I254" s="64">
        <v>1.38</v>
      </c>
      <c r="J254" s="64">
        <v>4.5</v>
      </c>
      <c r="K254" s="64">
        <v>6.27</v>
      </c>
      <c r="L254" s="64">
        <v>-4.8899999999999997</v>
      </c>
      <c r="M254" s="64">
        <v>22</v>
      </c>
      <c r="N254" s="64">
        <v>27</v>
      </c>
      <c r="O254" s="64">
        <v>1</v>
      </c>
      <c r="P254" s="64">
        <v>12</v>
      </c>
      <c r="Q254" s="64">
        <v>14</v>
      </c>
      <c r="R254" s="64">
        <v>0</v>
      </c>
      <c r="S254" s="64">
        <v>0</v>
      </c>
      <c r="T254" s="64">
        <v>100</v>
      </c>
      <c r="U254" s="64">
        <v>63.64</v>
      </c>
      <c r="V254" s="64">
        <v>18.18</v>
      </c>
      <c r="W254" s="64">
        <v>18.18</v>
      </c>
      <c r="X254" s="64">
        <v>48.15</v>
      </c>
      <c r="Y254" s="64">
        <v>7.41</v>
      </c>
      <c r="Z254" s="64">
        <v>44.44</v>
      </c>
      <c r="AA254" s="64">
        <v>83.33</v>
      </c>
      <c r="AB254" s="64">
        <v>28.57</v>
      </c>
      <c r="AC254" s="64">
        <v>19</v>
      </c>
      <c r="AD254" s="64">
        <v>13</v>
      </c>
      <c r="AE254" s="64">
        <v>68.42</v>
      </c>
      <c r="AF254" s="64">
        <v>69.23</v>
      </c>
      <c r="AG254" s="51">
        <f t="shared" si="31"/>
        <v>-20.573</v>
      </c>
      <c r="AH254" s="52">
        <f t="shared" si="32"/>
        <v>20.573</v>
      </c>
      <c r="AI254" s="52" t="str">
        <f t="shared" si="33"/>
        <v>Y</v>
      </c>
      <c r="AJ254" s="52" t="str">
        <f t="shared" si="34"/>
        <v>N</v>
      </c>
      <c r="AK254" s="50" t="str">
        <f t="shared" si="35"/>
        <v>Win</v>
      </c>
      <c r="AL254" s="50" t="str">
        <f t="shared" si="36"/>
        <v>Loss</v>
      </c>
      <c r="AM254" s="50" t="str">
        <f t="shared" si="37"/>
        <v>Loss</v>
      </c>
      <c r="AN254" s="50">
        <f t="shared" si="38"/>
        <v>19</v>
      </c>
      <c r="AO254" s="50">
        <f t="shared" si="39"/>
        <v>-50</v>
      </c>
      <c r="AP254" s="50">
        <f t="shared" si="40"/>
        <v>-50</v>
      </c>
    </row>
    <row r="255" spans="1:42" x14ac:dyDescent="0.25">
      <c r="A255" s="63">
        <v>43624</v>
      </c>
      <c r="B255" s="64" t="s">
        <v>927</v>
      </c>
      <c r="C255" s="64" t="s">
        <v>928</v>
      </c>
      <c r="D255" s="64" t="s">
        <v>929</v>
      </c>
      <c r="E255" s="64" t="s">
        <v>930</v>
      </c>
      <c r="F255" s="64" t="s">
        <v>931</v>
      </c>
      <c r="G255" s="64">
        <v>0</v>
      </c>
      <c r="H255" s="64">
        <v>0</v>
      </c>
      <c r="I255" s="64">
        <v>2.4</v>
      </c>
      <c r="J255" s="64">
        <v>2.87</v>
      </c>
      <c r="K255" s="64">
        <v>3</v>
      </c>
      <c r="L255" s="64">
        <v>-0.6</v>
      </c>
      <c r="M255" s="64">
        <v>20</v>
      </c>
      <c r="N255" s="64">
        <v>19</v>
      </c>
      <c r="O255" s="64">
        <v>0</v>
      </c>
      <c r="P255" s="64">
        <v>12</v>
      </c>
      <c r="Q255" s="64">
        <v>9</v>
      </c>
      <c r="R255" s="64">
        <v>0</v>
      </c>
      <c r="S255" s="64">
        <v>0</v>
      </c>
      <c r="T255" s="64">
        <v>0</v>
      </c>
      <c r="U255" s="64">
        <v>35</v>
      </c>
      <c r="V255" s="64">
        <v>35</v>
      </c>
      <c r="W255" s="64">
        <v>30</v>
      </c>
      <c r="X255" s="64">
        <v>73.680000000000007</v>
      </c>
      <c r="Y255" s="64">
        <v>21.05</v>
      </c>
      <c r="Z255" s="64">
        <v>5.26</v>
      </c>
      <c r="AA255" s="64">
        <v>33.33</v>
      </c>
      <c r="AB255" s="64">
        <v>77.78</v>
      </c>
      <c r="AC255" s="64">
        <v>13</v>
      </c>
      <c r="AD255" s="64">
        <v>18</v>
      </c>
      <c r="AE255" s="64">
        <v>46.15</v>
      </c>
      <c r="AF255" s="64">
        <v>77.78</v>
      </c>
      <c r="AG255" s="51">
        <f t="shared" si="31"/>
        <v>-11.289000000000003</v>
      </c>
      <c r="AH255" s="52">
        <f t="shared" si="32"/>
        <v>11.289000000000003</v>
      </c>
      <c r="AI255" s="52" t="str">
        <f t="shared" si="33"/>
        <v>N</v>
      </c>
      <c r="AJ255" s="52" t="str">
        <f t="shared" si="34"/>
        <v>N</v>
      </c>
      <c r="AK255" s="50" t="str">
        <f t="shared" si="35"/>
        <v>Loss</v>
      </c>
      <c r="AL255" s="50" t="str">
        <f t="shared" si="36"/>
        <v>Win</v>
      </c>
      <c r="AM255" s="50" t="str">
        <f t="shared" si="37"/>
        <v>Loss</v>
      </c>
      <c r="AN255" s="50">
        <f t="shared" si="38"/>
        <v>-50</v>
      </c>
      <c r="AO255" s="50">
        <f t="shared" si="39"/>
        <v>93.5</v>
      </c>
      <c r="AP255" s="50">
        <f t="shared" si="40"/>
        <v>-50</v>
      </c>
    </row>
    <row r="256" spans="1:42" x14ac:dyDescent="0.25">
      <c r="A256" s="63">
        <v>43624</v>
      </c>
      <c r="B256" s="64" t="s">
        <v>757</v>
      </c>
      <c r="C256" s="64" t="s">
        <v>758</v>
      </c>
      <c r="D256" s="64" t="s">
        <v>932</v>
      </c>
      <c r="E256" s="64" t="s">
        <v>933</v>
      </c>
      <c r="F256" s="64" t="s">
        <v>934</v>
      </c>
      <c r="G256" s="64">
        <v>1</v>
      </c>
      <c r="H256" s="64">
        <v>3</v>
      </c>
      <c r="I256" s="64">
        <v>2.71</v>
      </c>
      <c r="J256" s="64">
        <v>2.92</v>
      </c>
      <c r="K256" s="64">
        <v>2.73</v>
      </c>
      <c r="L256" s="64">
        <v>-0.02</v>
      </c>
      <c r="M256" s="64">
        <v>31</v>
      </c>
      <c r="N256" s="64">
        <v>36</v>
      </c>
      <c r="O256" s="64">
        <v>1</v>
      </c>
      <c r="P256" s="64">
        <v>14</v>
      </c>
      <c r="Q256" s="64">
        <v>19</v>
      </c>
      <c r="R256" s="64">
        <v>0</v>
      </c>
      <c r="S256" s="64">
        <v>100</v>
      </c>
      <c r="T256" s="64">
        <v>0</v>
      </c>
      <c r="U256" s="64">
        <v>58.06</v>
      </c>
      <c r="V256" s="64">
        <v>25.81</v>
      </c>
      <c r="W256" s="64">
        <v>16.13</v>
      </c>
      <c r="X256" s="64">
        <v>27.78</v>
      </c>
      <c r="Y256" s="64">
        <v>30.56</v>
      </c>
      <c r="Z256" s="64">
        <v>41.67</v>
      </c>
      <c r="AA256" s="64">
        <v>64.290000000000006</v>
      </c>
      <c r="AB256" s="64">
        <v>36.840000000000003</v>
      </c>
      <c r="AC256" s="64">
        <v>23</v>
      </c>
      <c r="AD256" s="64">
        <v>22</v>
      </c>
      <c r="AE256" s="64">
        <v>78.260000000000005</v>
      </c>
      <c r="AF256" s="64">
        <v>31.82</v>
      </c>
      <c r="AG256" s="51">
        <f t="shared" si="31"/>
        <v>20.689</v>
      </c>
      <c r="AH256" s="52">
        <f t="shared" si="32"/>
        <v>-0.68900000000000183</v>
      </c>
      <c r="AI256" s="52" t="str">
        <f t="shared" si="33"/>
        <v>N</v>
      </c>
      <c r="AJ256" s="52" t="str">
        <f t="shared" si="34"/>
        <v>N</v>
      </c>
      <c r="AK256" s="50" t="str">
        <f t="shared" si="35"/>
        <v>Loss</v>
      </c>
      <c r="AL256" s="50" t="str">
        <f t="shared" si="36"/>
        <v>Loss</v>
      </c>
      <c r="AM256" s="50" t="str">
        <f t="shared" si="37"/>
        <v>Win</v>
      </c>
      <c r="AN256" s="50">
        <f t="shared" si="38"/>
        <v>-50</v>
      </c>
      <c r="AO256" s="50">
        <f t="shared" si="39"/>
        <v>-50</v>
      </c>
      <c r="AP256" s="50">
        <f t="shared" si="40"/>
        <v>86.5</v>
      </c>
    </row>
    <row r="257" spans="1:42" x14ac:dyDescent="0.25">
      <c r="A257" s="63">
        <v>43624</v>
      </c>
      <c r="B257" s="64" t="s">
        <v>318</v>
      </c>
      <c r="C257" s="64" t="s">
        <v>614</v>
      </c>
      <c r="D257" s="64" t="s">
        <v>935</v>
      </c>
      <c r="E257" s="64" t="s">
        <v>936</v>
      </c>
      <c r="F257" s="64" t="s">
        <v>937</v>
      </c>
      <c r="G257" s="64">
        <v>3</v>
      </c>
      <c r="H257" s="64">
        <v>1</v>
      </c>
      <c r="I257" s="64">
        <v>1.1299999999999999</v>
      </c>
      <c r="J257" s="64">
        <v>7.99</v>
      </c>
      <c r="K257" s="64">
        <v>18.239999999999998</v>
      </c>
      <c r="L257" s="64">
        <v>-17.11</v>
      </c>
      <c r="M257" s="64">
        <v>11</v>
      </c>
      <c r="N257" s="64">
        <v>4</v>
      </c>
      <c r="O257" s="64">
        <v>0</v>
      </c>
      <c r="P257" s="64">
        <v>5</v>
      </c>
      <c r="Q257" s="64">
        <v>1</v>
      </c>
      <c r="R257" s="64">
        <v>0</v>
      </c>
      <c r="S257" s="64">
        <v>0</v>
      </c>
      <c r="T257" s="64">
        <v>0</v>
      </c>
      <c r="U257" s="64">
        <v>90.91</v>
      </c>
      <c r="V257" s="64">
        <v>0</v>
      </c>
      <c r="W257" s="64">
        <v>9.09</v>
      </c>
      <c r="X257" s="64">
        <v>0</v>
      </c>
      <c r="Y257" s="64">
        <v>25</v>
      </c>
      <c r="Z257" s="64">
        <v>75</v>
      </c>
      <c r="AA257" s="64">
        <v>100</v>
      </c>
      <c r="AB257" s="64">
        <v>0</v>
      </c>
      <c r="AC257" s="64">
        <v>11</v>
      </c>
      <c r="AD257" s="64">
        <v>1</v>
      </c>
      <c r="AE257" s="64">
        <v>90.91</v>
      </c>
      <c r="AF257" s="64">
        <v>0</v>
      </c>
      <c r="AG257" s="51">
        <f t="shared" si="31"/>
        <v>28.863999999999997</v>
      </c>
      <c r="AH257" s="52">
        <f t="shared" si="32"/>
        <v>-28.863999999999997</v>
      </c>
      <c r="AI257" s="52" t="str">
        <f t="shared" si="33"/>
        <v>Y</v>
      </c>
      <c r="AJ257" s="52" t="str">
        <f t="shared" si="34"/>
        <v>N</v>
      </c>
      <c r="AK257" s="50" t="str">
        <f t="shared" si="35"/>
        <v>Win</v>
      </c>
      <c r="AL257" s="50" t="str">
        <f t="shared" si="36"/>
        <v>Loss</v>
      </c>
      <c r="AM257" s="50" t="str">
        <f t="shared" si="37"/>
        <v>Loss</v>
      </c>
      <c r="AN257" s="50">
        <f t="shared" si="38"/>
        <v>6.4999999999999929</v>
      </c>
      <c r="AO257" s="50">
        <f t="shared" si="39"/>
        <v>-50</v>
      </c>
      <c r="AP257" s="50">
        <f t="shared" si="40"/>
        <v>-50</v>
      </c>
    </row>
    <row r="258" spans="1:42" x14ac:dyDescent="0.25">
      <c r="A258" s="63">
        <v>43624</v>
      </c>
      <c r="B258" s="64" t="s">
        <v>342</v>
      </c>
      <c r="C258" s="64" t="s">
        <v>347</v>
      </c>
      <c r="D258" s="64" t="s">
        <v>938</v>
      </c>
      <c r="E258" s="64" t="s">
        <v>939</v>
      </c>
      <c r="F258" s="64" t="s">
        <v>940</v>
      </c>
      <c r="G258" s="64">
        <v>1</v>
      </c>
      <c r="H258" s="64">
        <v>1</v>
      </c>
      <c r="I258" s="64">
        <v>2.86</v>
      </c>
      <c r="J258" s="64">
        <v>3.55</v>
      </c>
      <c r="K258" s="64">
        <v>2.17</v>
      </c>
      <c r="L258" s="64">
        <v>0.69</v>
      </c>
      <c r="M258" s="64">
        <v>29</v>
      </c>
      <c r="N258" s="64">
        <v>24</v>
      </c>
      <c r="O258" s="64">
        <v>1</v>
      </c>
      <c r="P258" s="64">
        <v>16</v>
      </c>
      <c r="Q258" s="64">
        <v>12</v>
      </c>
      <c r="R258" s="64">
        <v>0</v>
      </c>
      <c r="S258" s="64">
        <v>100</v>
      </c>
      <c r="T258" s="64">
        <v>0</v>
      </c>
      <c r="U258" s="64">
        <v>20.69</v>
      </c>
      <c r="V258" s="64">
        <v>27.59</v>
      </c>
      <c r="W258" s="64">
        <v>51.72</v>
      </c>
      <c r="X258" s="64">
        <v>70.83</v>
      </c>
      <c r="Y258" s="64">
        <v>4.17</v>
      </c>
      <c r="Z258" s="64">
        <v>25</v>
      </c>
      <c r="AA258" s="64">
        <v>6.25</v>
      </c>
      <c r="AB258" s="64">
        <v>66.67</v>
      </c>
      <c r="AC258" s="64">
        <v>9</v>
      </c>
      <c r="AD258" s="64">
        <v>15</v>
      </c>
      <c r="AE258" s="64">
        <v>22.22</v>
      </c>
      <c r="AF258" s="64">
        <v>66.67</v>
      </c>
      <c r="AG258" s="51">
        <f t="shared" si="31"/>
        <v>-3.0299999999999994</v>
      </c>
      <c r="AH258" s="52">
        <f t="shared" si="32"/>
        <v>23.03</v>
      </c>
      <c r="AI258" s="52" t="str">
        <f t="shared" si="33"/>
        <v>N</v>
      </c>
      <c r="AJ258" s="52" t="str">
        <f t="shared" si="34"/>
        <v>N</v>
      </c>
      <c r="AK258" s="50" t="str">
        <f t="shared" si="35"/>
        <v>Loss</v>
      </c>
      <c r="AL258" s="50" t="str">
        <f t="shared" si="36"/>
        <v>Win</v>
      </c>
      <c r="AM258" s="50" t="str">
        <f t="shared" si="37"/>
        <v>Loss</v>
      </c>
      <c r="AN258" s="50">
        <f t="shared" si="38"/>
        <v>-50</v>
      </c>
      <c r="AO258" s="50">
        <f t="shared" si="39"/>
        <v>127.5</v>
      </c>
      <c r="AP258" s="50">
        <f t="shared" si="40"/>
        <v>-50</v>
      </c>
    </row>
    <row r="259" spans="1:42" x14ac:dyDescent="0.25">
      <c r="A259" s="63">
        <v>43624</v>
      </c>
      <c r="B259" s="64" t="s">
        <v>927</v>
      </c>
      <c r="C259" s="64" t="s">
        <v>928</v>
      </c>
      <c r="D259" s="64" t="s">
        <v>941</v>
      </c>
      <c r="E259" s="64" t="s">
        <v>942</v>
      </c>
      <c r="F259" s="64" t="s">
        <v>943</v>
      </c>
      <c r="G259" s="64">
        <v>0</v>
      </c>
      <c r="H259" s="64">
        <v>0</v>
      </c>
      <c r="I259" s="64">
        <v>1.82</v>
      </c>
      <c r="J259" s="64">
        <v>3.49</v>
      </c>
      <c r="K259" s="64">
        <v>3.81</v>
      </c>
      <c r="L259" s="64">
        <v>-1.99</v>
      </c>
      <c r="M259" s="64">
        <v>35</v>
      </c>
      <c r="N259" s="64">
        <v>19</v>
      </c>
      <c r="O259" s="64">
        <v>0</v>
      </c>
      <c r="P259" s="64">
        <v>17</v>
      </c>
      <c r="Q259" s="64">
        <v>9</v>
      </c>
      <c r="R259" s="64">
        <v>0</v>
      </c>
      <c r="S259" s="64">
        <v>0</v>
      </c>
      <c r="T259" s="64">
        <v>0</v>
      </c>
      <c r="U259" s="64">
        <v>60</v>
      </c>
      <c r="V259" s="64">
        <v>17.14</v>
      </c>
      <c r="W259" s="64">
        <v>22.86</v>
      </c>
      <c r="X259" s="64">
        <v>57.89</v>
      </c>
      <c r="Y259" s="64">
        <v>10.53</v>
      </c>
      <c r="Z259" s="64">
        <v>31.58</v>
      </c>
      <c r="AA259" s="64">
        <v>82.35</v>
      </c>
      <c r="AB259" s="64">
        <v>33.33</v>
      </c>
      <c r="AC259" s="64">
        <v>32</v>
      </c>
      <c r="AD259" s="64">
        <v>17</v>
      </c>
      <c r="AE259" s="64">
        <v>65.63</v>
      </c>
      <c r="AF259" s="64">
        <v>64.709999999999994</v>
      </c>
      <c r="AG259" s="51">
        <f t="shared" si="31"/>
        <v>2.8269999999999982</v>
      </c>
      <c r="AH259" s="52">
        <f t="shared" si="32"/>
        <v>-2.8269999999999982</v>
      </c>
      <c r="AI259" s="52" t="str">
        <f t="shared" si="33"/>
        <v>Y</v>
      </c>
      <c r="AJ259" s="52" t="str">
        <f t="shared" si="34"/>
        <v>N</v>
      </c>
      <c r="AK259" s="50" t="str">
        <f t="shared" si="35"/>
        <v>Loss</v>
      </c>
      <c r="AL259" s="50" t="str">
        <f t="shared" si="36"/>
        <v>Win</v>
      </c>
      <c r="AM259" s="50" t="str">
        <f t="shared" si="37"/>
        <v>Loss</v>
      </c>
      <c r="AN259" s="50">
        <f t="shared" si="38"/>
        <v>-50</v>
      </c>
      <c r="AO259" s="50">
        <f t="shared" si="39"/>
        <v>124.5</v>
      </c>
      <c r="AP259" s="50">
        <f t="shared" si="40"/>
        <v>-50</v>
      </c>
    </row>
    <row r="260" spans="1:42" x14ac:dyDescent="0.25">
      <c r="A260" s="63">
        <v>43624</v>
      </c>
      <c r="B260" s="64" t="s">
        <v>944</v>
      </c>
      <c r="C260" s="64" t="s">
        <v>945</v>
      </c>
      <c r="D260" s="64" t="s">
        <v>946</v>
      </c>
      <c r="E260" s="64" t="s">
        <v>947</v>
      </c>
      <c r="F260" s="64" t="s">
        <v>948</v>
      </c>
      <c r="G260" s="64">
        <v>0</v>
      </c>
      <c r="H260" s="64">
        <v>3</v>
      </c>
      <c r="I260" s="64">
        <v>2.54</v>
      </c>
      <c r="J260" s="64">
        <v>3.04</v>
      </c>
      <c r="K260" s="64">
        <v>2.7</v>
      </c>
      <c r="L260" s="64">
        <v>-0.16</v>
      </c>
      <c r="M260" s="64">
        <v>41</v>
      </c>
      <c r="N260" s="64">
        <v>40</v>
      </c>
      <c r="O260" s="64">
        <v>3</v>
      </c>
      <c r="P260" s="64">
        <v>20</v>
      </c>
      <c r="Q260" s="64">
        <v>20</v>
      </c>
      <c r="R260" s="64">
        <v>33.33</v>
      </c>
      <c r="S260" s="64">
        <v>33.33</v>
      </c>
      <c r="T260" s="64">
        <v>33.33</v>
      </c>
      <c r="U260" s="64">
        <v>46.34</v>
      </c>
      <c r="V260" s="64">
        <v>29.27</v>
      </c>
      <c r="W260" s="64">
        <v>24.39</v>
      </c>
      <c r="X260" s="64">
        <v>40</v>
      </c>
      <c r="Y260" s="64">
        <v>30</v>
      </c>
      <c r="Z260" s="64">
        <v>30</v>
      </c>
      <c r="AA260" s="64">
        <v>40</v>
      </c>
      <c r="AB260" s="64">
        <v>30</v>
      </c>
      <c r="AC260" s="64">
        <v>30</v>
      </c>
      <c r="AD260" s="64">
        <v>25</v>
      </c>
      <c r="AE260" s="64">
        <v>46.67</v>
      </c>
      <c r="AF260" s="64">
        <v>40</v>
      </c>
      <c r="AG260" s="51">
        <f t="shared" si="31"/>
        <v>5.65</v>
      </c>
      <c r="AH260" s="52">
        <f t="shared" si="32"/>
        <v>1.016</v>
      </c>
      <c r="AI260" s="52" t="str">
        <f t="shared" si="33"/>
        <v>N</v>
      </c>
      <c r="AJ260" s="52" t="str">
        <f t="shared" si="34"/>
        <v>N</v>
      </c>
      <c r="AK260" s="50" t="str">
        <f t="shared" si="35"/>
        <v>Loss</v>
      </c>
      <c r="AL260" s="50" t="str">
        <f t="shared" si="36"/>
        <v>Loss</v>
      </c>
      <c r="AM260" s="50" t="str">
        <f t="shared" si="37"/>
        <v>Win</v>
      </c>
      <c r="AN260" s="50">
        <f t="shared" si="38"/>
        <v>-50</v>
      </c>
      <c r="AO260" s="50">
        <f t="shared" si="39"/>
        <v>-50</v>
      </c>
      <c r="AP260" s="50">
        <f t="shared" si="40"/>
        <v>85</v>
      </c>
    </row>
    <row r="261" spans="1:42" x14ac:dyDescent="0.25">
      <c r="A261" s="63">
        <v>43624</v>
      </c>
      <c r="B261" s="64" t="s">
        <v>944</v>
      </c>
      <c r="C261" s="64" t="s">
        <v>945</v>
      </c>
      <c r="D261" s="64" t="s">
        <v>949</v>
      </c>
      <c r="E261" s="64" t="s">
        <v>950</v>
      </c>
      <c r="F261" s="64" t="s">
        <v>951</v>
      </c>
      <c r="G261" s="64">
        <v>1</v>
      </c>
      <c r="H261" s="64">
        <v>2</v>
      </c>
      <c r="I261" s="64">
        <v>2.69</v>
      </c>
      <c r="J261" s="64">
        <v>2.93</v>
      </c>
      <c r="K261" s="64">
        <v>2.63</v>
      </c>
      <c r="L261" s="64">
        <v>0.06</v>
      </c>
      <c r="M261" s="64">
        <v>40</v>
      </c>
      <c r="N261" s="64">
        <v>39</v>
      </c>
      <c r="O261" s="64">
        <v>3</v>
      </c>
      <c r="P261" s="64">
        <v>20</v>
      </c>
      <c r="Q261" s="64">
        <v>19</v>
      </c>
      <c r="R261" s="64">
        <v>33.33</v>
      </c>
      <c r="S261" s="64">
        <v>66.67</v>
      </c>
      <c r="T261" s="64">
        <v>0</v>
      </c>
      <c r="U261" s="64">
        <v>40</v>
      </c>
      <c r="V261" s="64">
        <v>42.5</v>
      </c>
      <c r="W261" s="64">
        <v>17.5</v>
      </c>
      <c r="X261" s="64">
        <v>33.33</v>
      </c>
      <c r="Y261" s="64">
        <v>43.59</v>
      </c>
      <c r="Z261" s="64">
        <v>23.08</v>
      </c>
      <c r="AA261" s="64">
        <v>45</v>
      </c>
      <c r="AB261" s="64">
        <v>21.05</v>
      </c>
      <c r="AC261" s="64">
        <v>26</v>
      </c>
      <c r="AD261" s="64">
        <v>20</v>
      </c>
      <c r="AE261" s="64">
        <v>34.619999999999997</v>
      </c>
      <c r="AF261" s="64">
        <v>45</v>
      </c>
      <c r="AG261" s="51">
        <f t="shared" si="31"/>
        <v>19.006999999999998</v>
      </c>
      <c r="AH261" s="52">
        <f t="shared" si="32"/>
        <v>-5.6729999999999956</v>
      </c>
      <c r="AI261" s="52" t="str">
        <f t="shared" si="33"/>
        <v>N</v>
      </c>
      <c r="AJ261" s="52" t="str">
        <f t="shared" si="34"/>
        <v>N</v>
      </c>
      <c r="AK261" s="50" t="str">
        <f t="shared" si="35"/>
        <v>Loss</v>
      </c>
      <c r="AL261" s="50" t="str">
        <f t="shared" si="36"/>
        <v>Loss</v>
      </c>
      <c r="AM261" s="50" t="str">
        <f t="shared" si="37"/>
        <v>Win</v>
      </c>
      <c r="AN261" s="50">
        <f t="shared" si="38"/>
        <v>-50</v>
      </c>
      <c r="AO261" s="50">
        <f t="shared" si="39"/>
        <v>-50</v>
      </c>
      <c r="AP261" s="50">
        <f t="shared" si="40"/>
        <v>81.5</v>
      </c>
    </row>
    <row r="262" spans="1:42" x14ac:dyDescent="0.25">
      <c r="A262" s="63">
        <v>43624</v>
      </c>
      <c r="B262" s="64" t="s">
        <v>648</v>
      </c>
      <c r="C262" s="64" t="s">
        <v>649</v>
      </c>
      <c r="D262" s="64" t="s">
        <v>952</v>
      </c>
      <c r="E262" s="64" t="s">
        <v>953</v>
      </c>
      <c r="F262" s="64" t="s">
        <v>954</v>
      </c>
      <c r="G262" s="64">
        <v>2</v>
      </c>
      <c r="H262" s="64">
        <v>1</v>
      </c>
      <c r="I262" s="64">
        <v>1.98</v>
      </c>
      <c r="J262" s="64">
        <v>3.52</v>
      </c>
      <c r="K262" s="64">
        <v>3.5</v>
      </c>
      <c r="L262" s="64">
        <v>-1.52</v>
      </c>
      <c r="M262" s="64">
        <v>19</v>
      </c>
      <c r="N262" s="64">
        <v>19</v>
      </c>
      <c r="O262" s="64">
        <v>1</v>
      </c>
      <c r="P262" s="64">
        <v>9</v>
      </c>
      <c r="Q262" s="64">
        <v>10</v>
      </c>
      <c r="R262" s="64">
        <v>100</v>
      </c>
      <c r="S262" s="64">
        <v>0</v>
      </c>
      <c r="T262" s="64">
        <v>0</v>
      </c>
      <c r="U262" s="64">
        <v>47.37</v>
      </c>
      <c r="V262" s="64">
        <v>21.05</v>
      </c>
      <c r="W262" s="64">
        <v>31.58</v>
      </c>
      <c r="X262" s="64">
        <v>31.58</v>
      </c>
      <c r="Y262" s="64">
        <v>5.26</v>
      </c>
      <c r="Z262" s="64">
        <v>63.16</v>
      </c>
      <c r="AA262" s="64">
        <v>55.56</v>
      </c>
      <c r="AB262" s="64">
        <v>40</v>
      </c>
      <c r="AC262" s="64">
        <v>7</v>
      </c>
      <c r="AD262" s="64">
        <v>6</v>
      </c>
      <c r="AE262" s="64">
        <v>71.430000000000007</v>
      </c>
      <c r="AF262" s="64">
        <v>66.67</v>
      </c>
      <c r="AG262" s="51">
        <f t="shared" si="31"/>
        <v>41.052999999999997</v>
      </c>
      <c r="AH262" s="52">
        <f t="shared" si="32"/>
        <v>-41.052999999999997</v>
      </c>
      <c r="AI262" s="52" t="str">
        <f t="shared" si="33"/>
        <v>Y</v>
      </c>
      <c r="AJ262" s="52" t="str">
        <f t="shared" si="34"/>
        <v>N</v>
      </c>
      <c r="AK262" s="50" t="str">
        <f t="shared" si="35"/>
        <v>Win</v>
      </c>
      <c r="AL262" s="50" t="str">
        <f t="shared" si="36"/>
        <v>Loss</v>
      </c>
      <c r="AM262" s="50" t="str">
        <f t="shared" si="37"/>
        <v>Loss</v>
      </c>
      <c r="AN262" s="50">
        <f t="shared" si="38"/>
        <v>49</v>
      </c>
      <c r="AO262" s="50">
        <f t="shared" si="39"/>
        <v>-50</v>
      </c>
      <c r="AP262" s="50">
        <f t="shared" si="40"/>
        <v>-50</v>
      </c>
    </row>
    <row r="263" spans="1:42" x14ac:dyDescent="0.25">
      <c r="A263" s="63">
        <v>43624</v>
      </c>
      <c r="B263" s="64" t="s">
        <v>927</v>
      </c>
      <c r="C263" s="64" t="s">
        <v>928</v>
      </c>
      <c r="D263" s="64" t="s">
        <v>955</v>
      </c>
      <c r="E263" s="64" t="s">
        <v>956</v>
      </c>
      <c r="F263" s="64" t="s">
        <v>957</v>
      </c>
      <c r="G263" s="64">
        <v>2</v>
      </c>
      <c r="H263" s="64">
        <v>1</v>
      </c>
      <c r="I263" s="64">
        <v>2.36</v>
      </c>
      <c r="J263" s="64">
        <v>2.99</v>
      </c>
      <c r="K263" s="64">
        <v>2.86</v>
      </c>
      <c r="L263" s="64">
        <v>-0.5</v>
      </c>
      <c r="M263" s="64">
        <v>21</v>
      </c>
      <c r="N263" s="64">
        <v>20</v>
      </c>
      <c r="O263" s="64">
        <v>0</v>
      </c>
      <c r="P263" s="64">
        <v>9</v>
      </c>
      <c r="Q263" s="64">
        <v>9</v>
      </c>
      <c r="R263" s="64">
        <v>0</v>
      </c>
      <c r="S263" s="64">
        <v>0</v>
      </c>
      <c r="T263" s="64">
        <v>0</v>
      </c>
      <c r="U263" s="64">
        <v>38.1</v>
      </c>
      <c r="V263" s="64">
        <v>23.81</v>
      </c>
      <c r="W263" s="64">
        <v>38.1</v>
      </c>
      <c r="X263" s="64">
        <v>60</v>
      </c>
      <c r="Y263" s="64">
        <v>30</v>
      </c>
      <c r="Z263" s="64">
        <v>10</v>
      </c>
      <c r="AA263" s="64">
        <v>33.33</v>
      </c>
      <c r="AB263" s="64">
        <v>44.44</v>
      </c>
      <c r="AC263" s="64">
        <v>15</v>
      </c>
      <c r="AD263" s="64">
        <v>17</v>
      </c>
      <c r="AE263" s="64">
        <v>40</v>
      </c>
      <c r="AF263" s="64">
        <v>70.59</v>
      </c>
      <c r="AG263" s="51">
        <f t="shared" si="31"/>
        <v>-10.619</v>
      </c>
      <c r="AH263" s="52">
        <f t="shared" si="32"/>
        <v>10.619</v>
      </c>
      <c r="AI263" s="52" t="str">
        <f t="shared" si="33"/>
        <v>N</v>
      </c>
      <c r="AJ263" s="52" t="str">
        <f t="shared" si="34"/>
        <v>N</v>
      </c>
      <c r="AK263" s="50" t="str">
        <f t="shared" si="35"/>
        <v>Win</v>
      </c>
      <c r="AL263" s="50" t="str">
        <f t="shared" si="36"/>
        <v>Loss</v>
      </c>
      <c r="AM263" s="50" t="str">
        <f t="shared" si="37"/>
        <v>Loss</v>
      </c>
      <c r="AN263" s="50">
        <f t="shared" si="38"/>
        <v>68</v>
      </c>
      <c r="AO263" s="50">
        <f t="shared" si="39"/>
        <v>-50</v>
      </c>
      <c r="AP263" s="50">
        <f t="shared" si="40"/>
        <v>-50</v>
      </c>
    </row>
    <row r="264" spans="1:42" x14ac:dyDescent="0.25">
      <c r="A264" s="63">
        <v>43624</v>
      </c>
      <c r="B264" s="64" t="s">
        <v>944</v>
      </c>
      <c r="C264" s="64" t="s">
        <v>958</v>
      </c>
      <c r="D264" s="64" t="s">
        <v>959</v>
      </c>
      <c r="E264" s="64" t="s">
        <v>960</v>
      </c>
      <c r="F264" s="64" t="s">
        <v>961</v>
      </c>
      <c r="G264" s="64">
        <v>2</v>
      </c>
      <c r="H264" s="64">
        <v>0</v>
      </c>
      <c r="I264" s="64">
        <v>1.94</v>
      </c>
      <c r="J264" s="64">
        <v>2.89</v>
      </c>
      <c r="K264" s="64">
        <v>4.3499999999999996</v>
      </c>
      <c r="L264" s="64">
        <v>-2.41</v>
      </c>
      <c r="M264" s="64">
        <v>31</v>
      </c>
      <c r="N264" s="64">
        <v>28</v>
      </c>
      <c r="O264" s="64">
        <v>2</v>
      </c>
      <c r="P264" s="64">
        <v>15</v>
      </c>
      <c r="Q264" s="64">
        <v>15</v>
      </c>
      <c r="R264" s="64">
        <v>0</v>
      </c>
      <c r="S264" s="64">
        <v>50</v>
      </c>
      <c r="T264" s="64">
        <v>50</v>
      </c>
      <c r="U264" s="64">
        <v>41.94</v>
      </c>
      <c r="V264" s="64">
        <v>38.71</v>
      </c>
      <c r="W264" s="64">
        <v>19.350000000000001</v>
      </c>
      <c r="X264" s="64">
        <v>42.86</v>
      </c>
      <c r="Y264" s="64">
        <v>35.71</v>
      </c>
      <c r="Z264" s="64">
        <v>21.43</v>
      </c>
      <c r="AA264" s="64">
        <v>46.67</v>
      </c>
      <c r="AB264" s="64">
        <v>33.33</v>
      </c>
      <c r="AC264" s="64">
        <v>18</v>
      </c>
      <c r="AD264" s="64">
        <v>19</v>
      </c>
      <c r="AE264" s="64">
        <v>44.44</v>
      </c>
      <c r="AF264" s="64">
        <v>47.37</v>
      </c>
      <c r="AG264" s="51">
        <f t="shared" si="31"/>
        <v>-9.468</v>
      </c>
      <c r="AH264" s="52">
        <f t="shared" si="32"/>
        <v>19.468</v>
      </c>
      <c r="AI264" s="52" t="str">
        <f t="shared" si="33"/>
        <v>N</v>
      </c>
      <c r="AJ264" s="52" t="str">
        <f t="shared" si="34"/>
        <v>N</v>
      </c>
      <c r="AK264" s="50" t="str">
        <f t="shared" si="35"/>
        <v>Win</v>
      </c>
      <c r="AL264" s="50" t="str">
        <f t="shared" si="36"/>
        <v>Loss</v>
      </c>
      <c r="AM264" s="50" t="str">
        <f t="shared" si="37"/>
        <v>Loss</v>
      </c>
      <c r="AN264" s="50">
        <f t="shared" si="38"/>
        <v>47</v>
      </c>
      <c r="AO264" s="50">
        <f t="shared" si="39"/>
        <v>-50</v>
      </c>
      <c r="AP264" s="50">
        <f t="shared" si="40"/>
        <v>-50</v>
      </c>
    </row>
    <row r="265" spans="1:42" x14ac:dyDescent="0.25">
      <c r="A265" s="63">
        <v>43624</v>
      </c>
      <c r="B265" s="64" t="s">
        <v>110</v>
      </c>
      <c r="C265" s="64" t="s">
        <v>962</v>
      </c>
      <c r="D265" s="64" t="s">
        <v>963</v>
      </c>
      <c r="E265" s="64" t="s">
        <v>964</v>
      </c>
      <c r="F265" s="64" t="s">
        <v>965</v>
      </c>
      <c r="G265" s="64">
        <v>0</v>
      </c>
      <c r="H265" s="64">
        <v>1</v>
      </c>
      <c r="I265" s="64">
        <v>1.06</v>
      </c>
      <c r="J265" s="64">
        <v>10.47</v>
      </c>
      <c r="K265" s="64">
        <v>16.850000000000001</v>
      </c>
      <c r="L265" s="64">
        <v>-15.79</v>
      </c>
      <c r="M265" s="64">
        <v>32</v>
      </c>
      <c r="N265" s="64">
        <v>11</v>
      </c>
      <c r="O265" s="64">
        <v>1</v>
      </c>
      <c r="P265" s="64">
        <v>17</v>
      </c>
      <c r="Q265" s="64">
        <v>5</v>
      </c>
      <c r="R265" s="64">
        <v>100</v>
      </c>
      <c r="S265" s="64">
        <v>0</v>
      </c>
      <c r="T265" s="64">
        <v>0</v>
      </c>
      <c r="U265" s="64">
        <v>25</v>
      </c>
      <c r="V265" s="64">
        <v>25</v>
      </c>
      <c r="W265" s="64">
        <v>50</v>
      </c>
      <c r="X265" s="64">
        <v>27.27</v>
      </c>
      <c r="Y265" s="64">
        <v>18.18</v>
      </c>
      <c r="Z265" s="64">
        <v>54.55</v>
      </c>
      <c r="AA265" s="64">
        <v>17.649999999999999</v>
      </c>
      <c r="AB265" s="64">
        <v>20</v>
      </c>
      <c r="AC265" s="64">
        <v>15</v>
      </c>
      <c r="AD265" s="64">
        <v>3</v>
      </c>
      <c r="AE265" s="64">
        <v>40</v>
      </c>
      <c r="AF265" s="64">
        <v>66.67</v>
      </c>
      <c r="AG265" s="51">
        <f t="shared" si="31"/>
        <v>31.137999999999998</v>
      </c>
      <c r="AH265" s="52">
        <f t="shared" si="32"/>
        <v>-31.137999999999998</v>
      </c>
      <c r="AI265" s="52" t="str">
        <f t="shared" si="33"/>
        <v>N</v>
      </c>
      <c r="AJ265" s="52" t="str">
        <f t="shared" si="34"/>
        <v>N</v>
      </c>
      <c r="AK265" s="50" t="str">
        <f t="shared" si="35"/>
        <v>Loss</v>
      </c>
      <c r="AL265" s="50" t="str">
        <f t="shared" si="36"/>
        <v>Loss</v>
      </c>
      <c r="AM265" s="50" t="str">
        <f t="shared" si="37"/>
        <v>Win</v>
      </c>
      <c r="AN265" s="50">
        <f t="shared" si="38"/>
        <v>-50</v>
      </c>
      <c r="AO265" s="50">
        <f t="shared" si="39"/>
        <v>-50</v>
      </c>
      <c r="AP265" s="50">
        <f t="shared" si="40"/>
        <v>792.50000000000011</v>
      </c>
    </row>
    <row r="266" spans="1:42" x14ac:dyDescent="0.25">
      <c r="A266" s="63">
        <v>43624</v>
      </c>
      <c r="B266" s="64" t="s">
        <v>648</v>
      </c>
      <c r="C266" s="64" t="s">
        <v>649</v>
      </c>
      <c r="D266" s="64" t="s">
        <v>966</v>
      </c>
      <c r="E266" s="64" t="s">
        <v>967</v>
      </c>
      <c r="F266" s="64" t="s">
        <v>968</v>
      </c>
      <c r="G266" s="64">
        <v>2</v>
      </c>
      <c r="H266" s="64">
        <v>2</v>
      </c>
      <c r="I266" s="64">
        <v>1.74</v>
      </c>
      <c r="J266" s="64">
        <v>3.6</v>
      </c>
      <c r="K266" s="64">
        <v>4.5</v>
      </c>
      <c r="L266" s="64">
        <v>-2.76</v>
      </c>
      <c r="M266" s="64">
        <v>19</v>
      </c>
      <c r="N266" s="64">
        <v>18</v>
      </c>
      <c r="O266" s="64">
        <v>1</v>
      </c>
      <c r="P266" s="64">
        <v>7</v>
      </c>
      <c r="Q266" s="64">
        <v>9</v>
      </c>
      <c r="R266" s="64">
        <v>100</v>
      </c>
      <c r="S266" s="64">
        <v>0</v>
      </c>
      <c r="T266" s="64">
        <v>0</v>
      </c>
      <c r="U266" s="64">
        <v>52.63</v>
      </c>
      <c r="V266" s="64">
        <v>15.79</v>
      </c>
      <c r="W266" s="64">
        <v>31.58</v>
      </c>
      <c r="X266" s="64">
        <v>27.78</v>
      </c>
      <c r="Y266" s="64">
        <v>16.670000000000002</v>
      </c>
      <c r="Z266" s="64">
        <v>55.56</v>
      </c>
      <c r="AA266" s="64">
        <v>42.86</v>
      </c>
      <c r="AB266" s="64">
        <v>11.11</v>
      </c>
      <c r="AC266" s="64">
        <v>8</v>
      </c>
      <c r="AD266" s="64">
        <v>5</v>
      </c>
      <c r="AE266" s="64">
        <v>62.5</v>
      </c>
      <c r="AF266" s="64">
        <v>40</v>
      </c>
      <c r="AG266" s="51">
        <f t="shared" si="31"/>
        <v>39.677999999999997</v>
      </c>
      <c r="AH266" s="52">
        <f t="shared" si="32"/>
        <v>-39.677999999999997</v>
      </c>
      <c r="AI266" s="52" t="str">
        <f t="shared" si="33"/>
        <v>N</v>
      </c>
      <c r="AJ266" s="52" t="str">
        <f t="shared" si="34"/>
        <v>N</v>
      </c>
      <c r="AK266" s="50" t="str">
        <f t="shared" si="35"/>
        <v>Loss</v>
      </c>
      <c r="AL266" s="50" t="str">
        <f t="shared" si="36"/>
        <v>Win</v>
      </c>
      <c r="AM266" s="50" t="str">
        <f t="shared" si="37"/>
        <v>Loss</v>
      </c>
      <c r="AN266" s="50">
        <f t="shared" si="38"/>
        <v>-50</v>
      </c>
      <c r="AO266" s="50">
        <f t="shared" si="39"/>
        <v>130</v>
      </c>
      <c r="AP266" s="50">
        <f t="shared" si="40"/>
        <v>-50</v>
      </c>
    </row>
    <row r="267" spans="1:42" x14ac:dyDescent="0.25">
      <c r="A267" s="63">
        <v>43624</v>
      </c>
      <c r="B267" s="64" t="s">
        <v>648</v>
      </c>
      <c r="C267" s="64" t="s">
        <v>969</v>
      </c>
      <c r="D267" s="64" t="s">
        <v>970</v>
      </c>
      <c r="E267" s="64" t="s">
        <v>971</v>
      </c>
      <c r="F267" s="64" t="s">
        <v>972</v>
      </c>
      <c r="G267" s="64">
        <v>2</v>
      </c>
      <c r="H267" s="64">
        <v>2</v>
      </c>
      <c r="I267" s="64">
        <v>1.57</v>
      </c>
      <c r="J267" s="64">
        <v>3.83</v>
      </c>
      <c r="K267" s="64">
        <v>5.96</v>
      </c>
      <c r="L267" s="64">
        <v>-4.3899999999999997</v>
      </c>
      <c r="M267" s="64">
        <v>21</v>
      </c>
      <c r="N267" s="64">
        <v>24</v>
      </c>
      <c r="O267" s="64">
        <v>2</v>
      </c>
      <c r="P267" s="64">
        <v>9</v>
      </c>
      <c r="Q267" s="64">
        <v>11</v>
      </c>
      <c r="R267" s="64">
        <v>100</v>
      </c>
      <c r="S267" s="64">
        <v>0</v>
      </c>
      <c r="T267" s="64">
        <v>0</v>
      </c>
      <c r="U267" s="64">
        <v>66.67</v>
      </c>
      <c r="V267" s="64">
        <v>4.76</v>
      </c>
      <c r="W267" s="64">
        <v>28.57</v>
      </c>
      <c r="X267" s="64">
        <v>50</v>
      </c>
      <c r="Y267" s="64">
        <v>25</v>
      </c>
      <c r="Z267" s="64">
        <v>25</v>
      </c>
      <c r="AA267" s="64">
        <v>77.78</v>
      </c>
      <c r="AB267" s="64">
        <v>36.36</v>
      </c>
      <c r="AC267" s="64">
        <v>19</v>
      </c>
      <c r="AD267" s="64">
        <v>12</v>
      </c>
      <c r="AE267" s="64">
        <v>73.680000000000007</v>
      </c>
      <c r="AF267" s="64">
        <v>75</v>
      </c>
      <c r="AG267" s="51">
        <f t="shared" si="31"/>
        <v>30.596000000000004</v>
      </c>
      <c r="AH267" s="52">
        <f t="shared" si="32"/>
        <v>-30.596000000000004</v>
      </c>
      <c r="AI267" s="52" t="str">
        <f t="shared" si="33"/>
        <v>N</v>
      </c>
      <c r="AJ267" s="52" t="str">
        <f t="shared" si="34"/>
        <v>N</v>
      </c>
      <c r="AK267" s="50" t="str">
        <f t="shared" si="35"/>
        <v>Loss</v>
      </c>
      <c r="AL267" s="50" t="str">
        <f t="shared" si="36"/>
        <v>Win</v>
      </c>
      <c r="AM267" s="50" t="str">
        <f t="shared" si="37"/>
        <v>Loss</v>
      </c>
      <c r="AN267" s="50">
        <f t="shared" si="38"/>
        <v>-50</v>
      </c>
      <c r="AO267" s="50">
        <f t="shared" si="39"/>
        <v>141.5</v>
      </c>
      <c r="AP267" s="50">
        <f t="shared" si="40"/>
        <v>-50</v>
      </c>
    </row>
    <row r="268" spans="1:42" x14ac:dyDescent="0.25">
      <c r="A268" s="63">
        <v>43624</v>
      </c>
      <c r="B268" s="64" t="s">
        <v>656</v>
      </c>
      <c r="C268" s="64" t="s">
        <v>657</v>
      </c>
      <c r="D268" s="64" t="s">
        <v>973</v>
      </c>
      <c r="E268" s="64" t="s">
        <v>974</v>
      </c>
      <c r="F268" s="64" t="s">
        <v>975</v>
      </c>
      <c r="G268" s="64">
        <v>3</v>
      </c>
      <c r="H268" s="64">
        <v>3</v>
      </c>
      <c r="I268" s="64">
        <v>2.2999999999999998</v>
      </c>
      <c r="J268" s="64">
        <v>3.16</v>
      </c>
      <c r="K268" s="64">
        <v>2.81</v>
      </c>
      <c r="L268" s="64">
        <v>-0.51</v>
      </c>
      <c r="M268" s="64">
        <v>25</v>
      </c>
      <c r="N268" s="64">
        <v>24</v>
      </c>
      <c r="O268" s="64">
        <v>0</v>
      </c>
      <c r="P268" s="64">
        <v>13</v>
      </c>
      <c r="Q268" s="64">
        <v>11</v>
      </c>
      <c r="R268" s="64">
        <v>0</v>
      </c>
      <c r="S268" s="64">
        <v>0</v>
      </c>
      <c r="T268" s="64">
        <v>0</v>
      </c>
      <c r="U268" s="64">
        <v>52</v>
      </c>
      <c r="V268" s="64">
        <v>20</v>
      </c>
      <c r="W268" s="64">
        <v>28</v>
      </c>
      <c r="X268" s="64">
        <v>58.33</v>
      </c>
      <c r="Y268" s="64">
        <v>16.670000000000002</v>
      </c>
      <c r="Z268" s="64">
        <v>25</v>
      </c>
      <c r="AA268" s="64">
        <v>69.23</v>
      </c>
      <c r="AB268" s="64">
        <v>18.18</v>
      </c>
      <c r="AC268" s="64">
        <v>14</v>
      </c>
      <c r="AD268" s="64">
        <v>12</v>
      </c>
      <c r="AE268" s="64">
        <v>71.430000000000007</v>
      </c>
      <c r="AF268" s="64">
        <v>91.67</v>
      </c>
      <c r="AG268" s="51">
        <f t="shared" si="31"/>
        <v>-1.5330000000000013</v>
      </c>
      <c r="AH268" s="52">
        <f t="shared" si="32"/>
        <v>1.5330000000000013</v>
      </c>
      <c r="AI268" s="52" t="str">
        <f t="shared" si="33"/>
        <v>N</v>
      </c>
      <c r="AJ268" s="52" t="str">
        <f t="shared" si="34"/>
        <v>N</v>
      </c>
      <c r="AK268" s="50" t="str">
        <f t="shared" si="35"/>
        <v>Loss</v>
      </c>
      <c r="AL268" s="50" t="str">
        <f t="shared" si="36"/>
        <v>Win</v>
      </c>
      <c r="AM268" s="50" t="str">
        <f t="shared" si="37"/>
        <v>Loss</v>
      </c>
      <c r="AN268" s="50">
        <f t="shared" si="38"/>
        <v>-50</v>
      </c>
      <c r="AO268" s="50">
        <f t="shared" si="39"/>
        <v>108</v>
      </c>
      <c r="AP268" s="50">
        <f t="shared" si="40"/>
        <v>-50</v>
      </c>
    </row>
    <row r="269" spans="1:42" x14ac:dyDescent="0.25">
      <c r="A269" s="63">
        <v>43624</v>
      </c>
      <c r="B269" s="64" t="s">
        <v>161</v>
      </c>
      <c r="C269" s="64" t="s">
        <v>162</v>
      </c>
      <c r="D269" s="64" t="s">
        <v>976</v>
      </c>
      <c r="E269" s="64" t="s">
        <v>977</v>
      </c>
      <c r="F269" s="64" t="s">
        <v>978</v>
      </c>
      <c r="G269" s="64">
        <v>1</v>
      </c>
      <c r="H269" s="64">
        <v>1</v>
      </c>
      <c r="I269" s="64">
        <v>1.67</v>
      </c>
      <c r="J269" s="64">
        <v>3.83</v>
      </c>
      <c r="K269" s="64">
        <v>4.58</v>
      </c>
      <c r="L269" s="64">
        <v>-2.91</v>
      </c>
      <c r="M269" s="64">
        <v>21</v>
      </c>
      <c r="N269" s="64">
        <v>51</v>
      </c>
      <c r="O269" s="64">
        <v>0</v>
      </c>
      <c r="P269" s="64">
        <v>10</v>
      </c>
      <c r="Q269" s="64">
        <v>24</v>
      </c>
      <c r="R269" s="64">
        <v>0</v>
      </c>
      <c r="S269" s="64">
        <v>0</v>
      </c>
      <c r="T269" s="64">
        <v>0</v>
      </c>
      <c r="U269" s="64">
        <v>38.1</v>
      </c>
      <c r="V269" s="64">
        <v>33.33</v>
      </c>
      <c r="W269" s="64">
        <v>28.57</v>
      </c>
      <c r="X269" s="64">
        <v>43.14</v>
      </c>
      <c r="Y269" s="64">
        <v>25.49</v>
      </c>
      <c r="Z269" s="64">
        <v>31.37</v>
      </c>
      <c r="AA269" s="64">
        <v>60</v>
      </c>
      <c r="AB269" s="64">
        <v>25</v>
      </c>
      <c r="AC269" s="64">
        <v>10</v>
      </c>
      <c r="AD269" s="64">
        <v>27</v>
      </c>
      <c r="AE269" s="64">
        <v>50</v>
      </c>
      <c r="AF269" s="64">
        <v>66.67</v>
      </c>
      <c r="AG269" s="51">
        <f t="shared" si="31"/>
        <v>0.33600000000000207</v>
      </c>
      <c r="AH269" s="52">
        <f t="shared" si="32"/>
        <v>-0.33600000000000207</v>
      </c>
      <c r="AI269" s="52" t="str">
        <f t="shared" si="33"/>
        <v>N</v>
      </c>
      <c r="AJ269" s="52" t="str">
        <f t="shared" si="34"/>
        <v>N</v>
      </c>
      <c r="AK269" s="50" t="str">
        <f t="shared" si="35"/>
        <v>Loss</v>
      </c>
      <c r="AL269" s="50" t="str">
        <f t="shared" si="36"/>
        <v>Win</v>
      </c>
      <c r="AM269" s="50" t="str">
        <f t="shared" si="37"/>
        <v>Loss</v>
      </c>
      <c r="AN269" s="50">
        <f t="shared" si="38"/>
        <v>-50</v>
      </c>
      <c r="AO269" s="50">
        <f t="shared" si="39"/>
        <v>141.5</v>
      </c>
      <c r="AP269" s="50">
        <f t="shared" si="40"/>
        <v>-50</v>
      </c>
    </row>
    <row r="270" spans="1:42" x14ac:dyDescent="0.25">
      <c r="A270" s="63">
        <v>43624</v>
      </c>
      <c r="B270" s="64" t="s">
        <v>648</v>
      </c>
      <c r="C270" s="64" t="s">
        <v>649</v>
      </c>
      <c r="D270" s="64" t="s">
        <v>979</v>
      </c>
      <c r="E270" s="64" t="s">
        <v>980</v>
      </c>
      <c r="F270" s="64" t="s">
        <v>981</v>
      </c>
      <c r="G270" s="64">
        <v>1</v>
      </c>
      <c r="H270" s="64">
        <v>0</v>
      </c>
      <c r="I270" s="64">
        <v>1.24</v>
      </c>
      <c r="J270" s="64">
        <v>5.61</v>
      </c>
      <c r="K270" s="64">
        <v>10.16</v>
      </c>
      <c r="L270" s="64">
        <v>-8.92</v>
      </c>
      <c r="M270" s="64">
        <v>20</v>
      </c>
      <c r="N270" s="64">
        <v>17</v>
      </c>
      <c r="O270" s="64">
        <v>1</v>
      </c>
      <c r="P270" s="64">
        <v>10</v>
      </c>
      <c r="Q270" s="64">
        <v>8</v>
      </c>
      <c r="R270" s="64">
        <v>100</v>
      </c>
      <c r="S270" s="64">
        <v>0</v>
      </c>
      <c r="T270" s="64">
        <v>0</v>
      </c>
      <c r="U270" s="64">
        <v>60</v>
      </c>
      <c r="V270" s="64">
        <v>15</v>
      </c>
      <c r="W270" s="64">
        <v>25</v>
      </c>
      <c r="X270" s="64">
        <v>11.76</v>
      </c>
      <c r="Y270" s="64">
        <v>11.76</v>
      </c>
      <c r="Z270" s="64">
        <v>76.47</v>
      </c>
      <c r="AA270" s="64">
        <v>80</v>
      </c>
      <c r="AB270" s="64">
        <v>0</v>
      </c>
      <c r="AC270" s="64">
        <v>16</v>
      </c>
      <c r="AD270" s="64">
        <v>0</v>
      </c>
      <c r="AE270" s="64">
        <v>62.5</v>
      </c>
      <c r="AF270" s="64">
        <v>0</v>
      </c>
      <c r="AG270" s="51">
        <f t="shared" si="31"/>
        <v>50.266000000000005</v>
      </c>
      <c r="AH270" s="52">
        <f t="shared" si="32"/>
        <v>-50.266000000000005</v>
      </c>
      <c r="AI270" s="52" t="str">
        <f t="shared" si="33"/>
        <v>Y</v>
      </c>
      <c r="AJ270" s="52" t="str">
        <f t="shared" si="34"/>
        <v>N</v>
      </c>
      <c r="AK270" s="50" t="str">
        <f t="shared" si="35"/>
        <v>Win</v>
      </c>
      <c r="AL270" s="50" t="str">
        <f t="shared" si="36"/>
        <v>Loss</v>
      </c>
      <c r="AM270" s="50" t="str">
        <f t="shared" si="37"/>
        <v>Loss</v>
      </c>
      <c r="AN270" s="50">
        <f t="shared" si="38"/>
        <v>12</v>
      </c>
      <c r="AO270" s="50">
        <f t="shared" si="39"/>
        <v>-50</v>
      </c>
      <c r="AP270" s="50">
        <f t="shared" si="40"/>
        <v>-50</v>
      </c>
    </row>
    <row r="271" spans="1:42" x14ac:dyDescent="0.25">
      <c r="A271" s="63">
        <v>43624</v>
      </c>
      <c r="B271" s="64" t="s">
        <v>982</v>
      </c>
      <c r="C271" s="64" t="s">
        <v>983</v>
      </c>
      <c r="D271" s="64" t="s">
        <v>984</v>
      </c>
      <c r="E271" s="64" t="s">
        <v>985</v>
      </c>
      <c r="F271" s="64" t="s">
        <v>986</v>
      </c>
      <c r="G271" s="64">
        <v>1</v>
      </c>
      <c r="H271" s="64">
        <v>1</v>
      </c>
      <c r="I271" s="64">
        <v>2.77</v>
      </c>
      <c r="J271" s="64">
        <v>2.87</v>
      </c>
      <c r="K271" s="64">
        <v>2.68</v>
      </c>
      <c r="L271" s="64">
        <v>0.09</v>
      </c>
      <c r="M271" s="64">
        <v>40</v>
      </c>
      <c r="N271" s="64">
        <v>39</v>
      </c>
      <c r="O271" s="64">
        <v>1</v>
      </c>
      <c r="P271" s="64">
        <v>20</v>
      </c>
      <c r="Q271" s="64">
        <v>19</v>
      </c>
      <c r="R271" s="64">
        <v>0</v>
      </c>
      <c r="S271" s="64">
        <v>0</v>
      </c>
      <c r="T271" s="64">
        <v>100</v>
      </c>
      <c r="U271" s="64">
        <v>17.5</v>
      </c>
      <c r="V271" s="64">
        <v>27.5</v>
      </c>
      <c r="W271" s="64">
        <v>55</v>
      </c>
      <c r="X271" s="64">
        <v>28.21</v>
      </c>
      <c r="Y271" s="64">
        <v>46.15</v>
      </c>
      <c r="Z271" s="64">
        <v>25.64</v>
      </c>
      <c r="AA271" s="64">
        <v>35</v>
      </c>
      <c r="AB271" s="64">
        <v>15.79</v>
      </c>
      <c r="AC271" s="64">
        <v>6</v>
      </c>
      <c r="AD271" s="64">
        <v>13</v>
      </c>
      <c r="AE271" s="64">
        <v>33.33</v>
      </c>
      <c r="AF271" s="64">
        <v>30.77</v>
      </c>
      <c r="AG271" s="51">
        <f t="shared" ref="AG271:AG308" si="41">(+R271*$R$12)+(S271*$S$12)-(T271*$T$12)+(U271*$U$12)+(V271*$V$12)-(W271*$W$12)-(X271*$X$12)-(Y271*$Y$12)+(Z271*$Z$12)</f>
        <v>-39.879000000000005</v>
      </c>
      <c r="AH271" s="52">
        <f t="shared" ref="AH271:AH308" si="42">(-R271*$R$12)+(S271*$S$12)+(T271*$T$12)-(U271*$U$12)-(V271*$V$12)+(W271*$W$12)+(X271*$X$12)+(Y271*$Y$12)-(Z271*$Z$12)</f>
        <v>39.879000000000005</v>
      </c>
      <c r="AI271" s="52" t="str">
        <f t="shared" ref="AI271:AI308" si="43">IF(AG271&gt;=$AG$12,"Y",IF(AA271&gt;=$AA$12,"Y","N"))</f>
        <v>N</v>
      </c>
      <c r="AJ271" s="52" t="str">
        <f t="shared" ref="AJ271:AJ308" si="44">IF(AH271&gt;=$AH$12,"Y",IF(AB271&gt;=$AB$12,"Y","N"))</f>
        <v>N</v>
      </c>
      <c r="AK271" s="50" t="str">
        <f t="shared" ref="AK271:AK308" si="45">IF(G271&gt;H271,"Win","Loss")</f>
        <v>Loss</v>
      </c>
      <c r="AL271" s="50" t="str">
        <f t="shared" ref="AL271:AL308" si="46">IF(G271=H271,"Win","Loss")</f>
        <v>Win</v>
      </c>
      <c r="AM271" s="50" t="str">
        <f t="shared" ref="AM271:AM308" si="47">IF(G271&lt;H271,"Win","Loss")</f>
        <v>Loss</v>
      </c>
      <c r="AN271" s="50">
        <f t="shared" ref="AN271:AN308" si="48">IF(AK271="Win",(I271*$B$2)-$B$2,-$B$2)</f>
        <v>-50</v>
      </c>
      <c r="AO271" s="50">
        <f t="shared" ref="AO271:AO308" si="49">IF(AL271="Win",(J271*$B$2)-$B$2,-$B$2)</f>
        <v>93.5</v>
      </c>
      <c r="AP271" s="50">
        <f t="shared" ref="AP271:AP308" si="50">IF(AM271="Win",(K271*$B$2)-$B$2,-$B$2)</f>
        <v>-50</v>
      </c>
    </row>
    <row r="272" spans="1:42" x14ac:dyDescent="0.25">
      <c r="A272" s="63">
        <v>43624</v>
      </c>
      <c r="B272" s="64" t="s">
        <v>982</v>
      </c>
      <c r="C272" s="64" t="s">
        <v>987</v>
      </c>
      <c r="D272" s="64" t="s">
        <v>988</v>
      </c>
      <c r="E272" s="64" t="s">
        <v>989</v>
      </c>
      <c r="F272" s="64" t="s">
        <v>990</v>
      </c>
      <c r="G272" s="64">
        <v>0</v>
      </c>
      <c r="H272" s="64">
        <v>0</v>
      </c>
      <c r="I272" s="64">
        <v>2.17</v>
      </c>
      <c r="J272" s="64">
        <v>3.03</v>
      </c>
      <c r="K272" s="64">
        <v>3.43</v>
      </c>
      <c r="L272" s="64">
        <v>-1.26</v>
      </c>
      <c r="M272" s="64">
        <v>42</v>
      </c>
      <c r="N272" s="64">
        <v>73</v>
      </c>
      <c r="O272" s="64">
        <v>0</v>
      </c>
      <c r="P272" s="64">
        <v>21</v>
      </c>
      <c r="Q272" s="64">
        <v>35</v>
      </c>
      <c r="R272" s="64">
        <v>0</v>
      </c>
      <c r="S272" s="64">
        <v>0</v>
      </c>
      <c r="T272" s="64">
        <v>0</v>
      </c>
      <c r="U272" s="64">
        <v>57.14</v>
      </c>
      <c r="V272" s="64">
        <v>19.05</v>
      </c>
      <c r="W272" s="64">
        <v>23.81</v>
      </c>
      <c r="X272" s="64">
        <v>53.42</v>
      </c>
      <c r="Y272" s="64">
        <v>24.66</v>
      </c>
      <c r="Z272" s="64">
        <v>21.92</v>
      </c>
      <c r="AA272" s="64">
        <v>66.67</v>
      </c>
      <c r="AB272" s="64">
        <v>31.43</v>
      </c>
      <c r="AC272" s="64">
        <v>33</v>
      </c>
      <c r="AD272" s="64">
        <v>54</v>
      </c>
      <c r="AE272" s="64">
        <v>60.61</v>
      </c>
      <c r="AF272" s="64">
        <v>66.67</v>
      </c>
      <c r="AG272" s="51">
        <f t="shared" si="41"/>
        <v>-0.1949999999999994</v>
      </c>
      <c r="AH272" s="52">
        <f t="shared" si="42"/>
        <v>0.1949999999999994</v>
      </c>
      <c r="AI272" s="52" t="str">
        <f t="shared" si="43"/>
        <v>N</v>
      </c>
      <c r="AJ272" s="52" t="str">
        <f t="shared" si="44"/>
        <v>N</v>
      </c>
      <c r="AK272" s="50" t="str">
        <f t="shared" si="45"/>
        <v>Loss</v>
      </c>
      <c r="AL272" s="50" t="str">
        <f t="shared" si="46"/>
        <v>Win</v>
      </c>
      <c r="AM272" s="50" t="str">
        <f t="shared" si="47"/>
        <v>Loss</v>
      </c>
      <c r="AN272" s="50">
        <f t="shared" si="48"/>
        <v>-50</v>
      </c>
      <c r="AO272" s="50">
        <f t="shared" si="49"/>
        <v>101.5</v>
      </c>
      <c r="AP272" s="50">
        <f t="shared" si="50"/>
        <v>-50</v>
      </c>
    </row>
    <row r="273" spans="1:42" x14ac:dyDescent="0.25">
      <c r="A273" s="63">
        <v>43624</v>
      </c>
      <c r="B273" s="64" t="s">
        <v>927</v>
      </c>
      <c r="C273" s="64" t="s">
        <v>991</v>
      </c>
      <c r="D273" s="64" t="s">
        <v>992</v>
      </c>
      <c r="E273" s="64" t="s">
        <v>993</v>
      </c>
      <c r="F273" s="64" t="s">
        <v>994</v>
      </c>
      <c r="G273" s="64">
        <v>0</v>
      </c>
      <c r="H273" s="64">
        <v>0</v>
      </c>
      <c r="I273" s="64">
        <v>2.7</v>
      </c>
      <c r="J273" s="64">
        <v>2.95</v>
      </c>
      <c r="K273" s="64">
        <v>2.81</v>
      </c>
      <c r="L273" s="64">
        <v>-0.11</v>
      </c>
      <c r="M273" s="64">
        <v>47</v>
      </c>
      <c r="N273" s="64">
        <v>47</v>
      </c>
      <c r="O273" s="64">
        <v>1</v>
      </c>
      <c r="P273" s="64">
        <v>22</v>
      </c>
      <c r="Q273" s="64">
        <v>23</v>
      </c>
      <c r="R273" s="64">
        <v>0</v>
      </c>
      <c r="S273" s="64">
        <v>100</v>
      </c>
      <c r="T273" s="64">
        <v>0</v>
      </c>
      <c r="U273" s="64">
        <v>34.04</v>
      </c>
      <c r="V273" s="64">
        <v>23.4</v>
      </c>
      <c r="W273" s="64">
        <v>42.55</v>
      </c>
      <c r="X273" s="64">
        <v>46.81</v>
      </c>
      <c r="Y273" s="64">
        <v>25.53</v>
      </c>
      <c r="Z273" s="64">
        <v>27.66</v>
      </c>
      <c r="AA273" s="64">
        <v>36.36</v>
      </c>
      <c r="AB273" s="64">
        <v>21.74</v>
      </c>
      <c r="AC273" s="64">
        <v>13</v>
      </c>
      <c r="AD273" s="64">
        <v>27</v>
      </c>
      <c r="AE273" s="64">
        <v>46.15</v>
      </c>
      <c r="AF273" s="64">
        <v>70.37</v>
      </c>
      <c r="AG273" s="51">
        <f t="shared" si="41"/>
        <v>4.254999999999999</v>
      </c>
      <c r="AH273" s="52">
        <f t="shared" si="42"/>
        <v>15.745000000000001</v>
      </c>
      <c r="AI273" s="52" t="str">
        <f t="shared" si="43"/>
        <v>N</v>
      </c>
      <c r="AJ273" s="52" t="str">
        <f t="shared" si="44"/>
        <v>N</v>
      </c>
      <c r="AK273" s="50" t="str">
        <f t="shared" si="45"/>
        <v>Loss</v>
      </c>
      <c r="AL273" s="50" t="str">
        <f t="shared" si="46"/>
        <v>Win</v>
      </c>
      <c r="AM273" s="50" t="str">
        <f t="shared" si="47"/>
        <v>Loss</v>
      </c>
      <c r="AN273" s="50">
        <f t="shared" si="48"/>
        <v>-50</v>
      </c>
      <c r="AO273" s="50">
        <f t="shared" si="49"/>
        <v>97.5</v>
      </c>
      <c r="AP273" s="50">
        <f t="shared" si="50"/>
        <v>-50</v>
      </c>
    </row>
    <row r="274" spans="1:42" x14ac:dyDescent="0.25">
      <c r="A274" s="63">
        <v>43624</v>
      </c>
      <c r="B274" s="64" t="s">
        <v>927</v>
      </c>
      <c r="C274" s="64" t="s">
        <v>991</v>
      </c>
      <c r="D274" s="64" t="s">
        <v>995</v>
      </c>
      <c r="E274" s="64" t="s">
        <v>996</v>
      </c>
      <c r="F274" s="64" t="s">
        <v>997</v>
      </c>
      <c r="G274" s="64">
        <v>1</v>
      </c>
      <c r="H274" s="64">
        <v>0</v>
      </c>
      <c r="I274" s="64">
        <v>2.02</v>
      </c>
      <c r="J274" s="64">
        <v>3.58</v>
      </c>
      <c r="K274" s="64">
        <v>3.49</v>
      </c>
      <c r="L274" s="64">
        <v>-1.47</v>
      </c>
      <c r="M274" s="64">
        <v>41</v>
      </c>
      <c r="N274" s="64">
        <v>41</v>
      </c>
      <c r="O274" s="64">
        <v>1</v>
      </c>
      <c r="P274" s="64">
        <v>20</v>
      </c>
      <c r="Q274" s="64">
        <v>20</v>
      </c>
      <c r="R274" s="64">
        <v>0</v>
      </c>
      <c r="S274" s="64">
        <v>0</v>
      </c>
      <c r="T274" s="64">
        <v>100</v>
      </c>
      <c r="U274" s="64">
        <v>58.54</v>
      </c>
      <c r="V274" s="64">
        <v>21.95</v>
      </c>
      <c r="W274" s="64">
        <v>19.510000000000002</v>
      </c>
      <c r="X274" s="64">
        <v>39.020000000000003</v>
      </c>
      <c r="Y274" s="64">
        <v>29.27</v>
      </c>
      <c r="Z274" s="64">
        <v>31.71</v>
      </c>
      <c r="AA274" s="64">
        <v>85</v>
      </c>
      <c r="AB274" s="64">
        <v>30</v>
      </c>
      <c r="AC274" s="64">
        <v>30</v>
      </c>
      <c r="AD274" s="64">
        <v>24</v>
      </c>
      <c r="AE274" s="64">
        <v>70</v>
      </c>
      <c r="AF274" s="64">
        <v>45.83</v>
      </c>
      <c r="AG274" s="51">
        <f t="shared" si="41"/>
        <v>-24.388000000000005</v>
      </c>
      <c r="AH274" s="52">
        <f t="shared" si="42"/>
        <v>24.388000000000005</v>
      </c>
      <c r="AI274" s="52" t="str">
        <f t="shared" si="43"/>
        <v>Y</v>
      </c>
      <c r="AJ274" s="52" t="str">
        <f t="shared" si="44"/>
        <v>N</v>
      </c>
      <c r="AK274" s="50" t="str">
        <f t="shared" si="45"/>
        <v>Win</v>
      </c>
      <c r="AL274" s="50" t="str">
        <f t="shared" si="46"/>
        <v>Loss</v>
      </c>
      <c r="AM274" s="50" t="str">
        <f t="shared" si="47"/>
        <v>Loss</v>
      </c>
      <c r="AN274" s="50">
        <f t="shared" si="48"/>
        <v>51</v>
      </c>
      <c r="AO274" s="50">
        <f t="shared" si="49"/>
        <v>-50</v>
      </c>
      <c r="AP274" s="50">
        <f t="shared" si="50"/>
        <v>-50</v>
      </c>
    </row>
    <row r="275" spans="1:42" x14ac:dyDescent="0.25">
      <c r="A275" s="63">
        <v>43624</v>
      </c>
      <c r="B275" s="64" t="s">
        <v>927</v>
      </c>
      <c r="C275" s="64" t="s">
        <v>991</v>
      </c>
      <c r="D275" s="64" t="s">
        <v>998</v>
      </c>
      <c r="E275" s="64" t="s">
        <v>999</v>
      </c>
      <c r="F275" s="64" t="s">
        <v>1000</v>
      </c>
      <c r="G275" s="64">
        <v>3</v>
      </c>
      <c r="H275" s="64">
        <v>0</v>
      </c>
      <c r="I275" s="64">
        <v>2.08</v>
      </c>
      <c r="J275" s="64">
        <v>3.19</v>
      </c>
      <c r="K275" s="64">
        <v>3.71</v>
      </c>
      <c r="L275" s="64">
        <v>-1.63</v>
      </c>
      <c r="M275" s="64">
        <v>44</v>
      </c>
      <c r="N275" s="64">
        <v>41</v>
      </c>
      <c r="O275" s="64">
        <v>1</v>
      </c>
      <c r="P275" s="64">
        <v>22</v>
      </c>
      <c r="Q275" s="64">
        <v>20</v>
      </c>
      <c r="R275" s="64">
        <v>0</v>
      </c>
      <c r="S275" s="64">
        <v>100</v>
      </c>
      <c r="T275" s="64">
        <v>0</v>
      </c>
      <c r="U275" s="64">
        <v>34.090000000000003</v>
      </c>
      <c r="V275" s="64">
        <v>36.36</v>
      </c>
      <c r="W275" s="64">
        <v>29.55</v>
      </c>
      <c r="X275" s="64">
        <v>43.9</v>
      </c>
      <c r="Y275" s="64">
        <v>34.15</v>
      </c>
      <c r="Z275" s="64">
        <v>21.95</v>
      </c>
      <c r="AA275" s="64">
        <v>45.45</v>
      </c>
      <c r="AB275" s="64">
        <v>50</v>
      </c>
      <c r="AC275" s="64">
        <v>18</v>
      </c>
      <c r="AD275" s="64">
        <v>19</v>
      </c>
      <c r="AE275" s="64">
        <v>50</v>
      </c>
      <c r="AF275" s="64">
        <v>42.11</v>
      </c>
      <c r="AG275" s="51">
        <f t="shared" si="41"/>
        <v>6.7390000000000008</v>
      </c>
      <c r="AH275" s="52">
        <f t="shared" si="42"/>
        <v>13.260999999999996</v>
      </c>
      <c r="AI275" s="52" t="str">
        <f t="shared" si="43"/>
        <v>N</v>
      </c>
      <c r="AJ275" s="52" t="str">
        <f t="shared" si="44"/>
        <v>N</v>
      </c>
      <c r="AK275" s="50" t="str">
        <f t="shared" si="45"/>
        <v>Win</v>
      </c>
      <c r="AL275" s="50" t="str">
        <f t="shared" si="46"/>
        <v>Loss</v>
      </c>
      <c r="AM275" s="50" t="str">
        <f t="shared" si="47"/>
        <v>Loss</v>
      </c>
      <c r="AN275" s="50">
        <f t="shared" si="48"/>
        <v>54</v>
      </c>
      <c r="AO275" s="50">
        <f t="shared" si="49"/>
        <v>-50</v>
      </c>
      <c r="AP275" s="50">
        <f t="shared" si="50"/>
        <v>-50</v>
      </c>
    </row>
    <row r="276" spans="1:42" x14ac:dyDescent="0.25">
      <c r="A276" s="63">
        <v>43624</v>
      </c>
      <c r="B276" s="64" t="s">
        <v>927</v>
      </c>
      <c r="C276" s="64" t="s">
        <v>991</v>
      </c>
      <c r="D276" s="64" t="s">
        <v>1001</v>
      </c>
      <c r="E276" s="64" t="s">
        <v>1002</v>
      </c>
      <c r="F276" s="64" t="s">
        <v>1003</v>
      </c>
      <c r="G276" s="64">
        <v>2</v>
      </c>
      <c r="H276" s="64">
        <v>1</v>
      </c>
      <c r="I276" s="64">
        <v>2.13</v>
      </c>
      <c r="J276" s="64">
        <v>3.13</v>
      </c>
      <c r="K276" s="64">
        <v>3.62</v>
      </c>
      <c r="L276" s="64">
        <v>-1.49</v>
      </c>
      <c r="M276" s="64">
        <v>41</v>
      </c>
      <c r="N276" s="64">
        <v>41</v>
      </c>
      <c r="O276" s="64">
        <v>1</v>
      </c>
      <c r="P276" s="64">
        <v>19</v>
      </c>
      <c r="Q276" s="64">
        <v>19</v>
      </c>
      <c r="R276" s="64">
        <v>0</v>
      </c>
      <c r="S276" s="64">
        <v>0</v>
      </c>
      <c r="T276" s="64">
        <v>100</v>
      </c>
      <c r="U276" s="64">
        <v>48.78</v>
      </c>
      <c r="V276" s="64">
        <v>31.71</v>
      </c>
      <c r="W276" s="64">
        <v>19.510000000000002</v>
      </c>
      <c r="X276" s="64">
        <v>31.71</v>
      </c>
      <c r="Y276" s="64">
        <v>24.39</v>
      </c>
      <c r="Z276" s="64">
        <v>43.9</v>
      </c>
      <c r="AA276" s="64">
        <v>57.89</v>
      </c>
      <c r="AB276" s="64">
        <v>15.79</v>
      </c>
      <c r="AC276" s="64">
        <v>26</v>
      </c>
      <c r="AD276" s="64">
        <v>24</v>
      </c>
      <c r="AE276" s="64">
        <v>69.23</v>
      </c>
      <c r="AF276" s="64">
        <v>41.67</v>
      </c>
      <c r="AG276" s="51">
        <f t="shared" si="41"/>
        <v>-20.975999999999999</v>
      </c>
      <c r="AH276" s="52">
        <f t="shared" si="42"/>
        <v>20.975999999999999</v>
      </c>
      <c r="AI276" s="52" t="str">
        <f t="shared" si="43"/>
        <v>N</v>
      </c>
      <c r="AJ276" s="52" t="str">
        <f t="shared" si="44"/>
        <v>N</v>
      </c>
      <c r="AK276" s="50" t="str">
        <f t="shared" si="45"/>
        <v>Win</v>
      </c>
      <c r="AL276" s="50" t="str">
        <f t="shared" si="46"/>
        <v>Loss</v>
      </c>
      <c r="AM276" s="50" t="str">
        <f t="shared" si="47"/>
        <v>Loss</v>
      </c>
      <c r="AN276" s="50">
        <f t="shared" si="48"/>
        <v>56.5</v>
      </c>
      <c r="AO276" s="50">
        <f t="shared" si="49"/>
        <v>-50</v>
      </c>
      <c r="AP276" s="50">
        <f t="shared" si="50"/>
        <v>-50</v>
      </c>
    </row>
    <row r="277" spans="1:42" x14ac:dyDescent="0.25">
      <c r="A277" s="63">
        <v>43624</v>
      </c>
      <c r="B277" s="64" t="s">
        <v>927</v>
      </c>
      <c r="C277" s="64" t="s">
        <v>991</v>
      </c>
      <c r="D277" s="64" t="s">
        <v>1004</v>
      </c>
      <c r="E277" s="64" t="s">
        <v>1005</v>
      </c>
      <c r="F277" s="64" t="s">
        <v>1006</v>
      </c>
      <c r="G277" s="64">
        <v>1</v>
      </c>
      <c r="H277" s="64">
        <v>0</v>
      </c>
      <c r="I277" s="64">
        <v>3.62</v>
      </c>
      <c r="J277" s="64">
        <v>3.25</v>
      </c>
      <c r="K277" s="64">
        <v>2.09</v>
      </c>
      <c r="L277" s="64">
        <v>1.53</v>
      </c>
      <c r="M277" s="64">
        <v>46</v>
      </c>
      <c r="N277" s="64">
        <v>44</v>
      </c>
      <c r="O277" s="64">
        <v>1</v>
      </c>
      <c r="P277" s="64">
        <v>22</v>
      </c>
      <c r="Q277" s="64">
        <v>22</v>
      </c>
      <c r="R277" s="64">
        <v>0</v>
      </c>
      <c r="S277" s="64">
        <v>100</v>
      </c>
      <c r="T277" s="64">
        <v>0</v>
      </c>
      <c r="U277" s="64">
        <v>39.130000000000003</v>
      </c>
      <c r="V277" s="64">
        <v>30.43</v>
      </c>
      <c r="W277" s="64">
        <v>30.43</v>
      </c>
      <c r="X277" s="64">
        <v>40.909999999999997</v>
      </c>
      <c r="Y277" s="64">
        <v>36.36</v>
      </c>
      <c r="Z277" s="64">
        <v>22.73</v>
      </c>
      <c r="AA277" s="64">
        <v>50</v>
      </c>
      <c r="AB277" s="64">
        <v>36.36</v>
      </c>
      <c r="AC277" s="64">
        <v>25</v>
      </c>
      <c r="AD277" s="64">
        <v>24</v>
      </c>
      <c r="AE277" s="64">
        <v>44</v>
      </c>
      <c r="AF277" s="64">
        <v>45.83</v>
      </c>
      <c r="AG277" s="51">
        <f t="shared" si="41"/>
        <v>7.5109999999999992</v>
      </c>
      <c r="AH277" s="52">
        <f t="shared" si="42"/>
        <v>12.489000000000001</v>
      </c>
      <c r="AI277" s="52" t="str">
        <f t="shared" si="43"/>
        <v>N</v>
      </c>
      <c r="AJ277" s="52" t="str">
        <f t="shared" si="44"/>
        <v>N</v>
      </c>
      <c r="AK277" s="50" t="str">
        <f t="shared" si="45"/>
        <v>Win</v>
      </c>
      <c r="AL277" s="50" t="str">
        <f t="shared" si="46"/>
        <v>Loss</v>
      </c>
      <c r="AM277" s="50" t="str">
        <f t="shared" si="47"/>
        <v>Loss</v>
      </c>
      <c r="AN277" s="50">
        <f t="shared" si="48"/>
        <v>131</v>
      </c>
      <c r="AO277" s="50">
        <f t="shared" si="49"/>
        <v>-50</v>
      </c>
      <c r="AP277" s="50">
        <f t="shared" si="50"/>
        <v>-50</v>
      </c>
    </row>
    <row r="278" spans="1:42" x14ac:dyDescent="0.25">
      <c r="A278" s="63">
        <v>43624</v>
      </c>
      <c r="B278" s="64" t="s">
        <v>927</v>
      </c>
      <c r="C278" s="64" t="s">
        <v>991</v>
      </c>
      <c r="D278" s="64" t="s">
        <v>1007</v>
      </c>
      <c r="E278" s="64" t="s">
        <v>1008</v>
      </c>
      <c r="F278" s="64" t="s">
        <v>1009</v>
      </c>
      <c r="G278" s="64">
        <v>2</v>
      </c>
      <c r="H278" s="64">
        <v>0</v>
      </c>
      <c r="I278" s="64">
        <v>1.17</v>
      </c>
      <c r="J278" s="64">
        <v>6.75</v>
      </c>
      <c r="K278" s="64">
        <v>16.399999999999999</v>
      </c>
      <c r="L278" s="64">
        <v>-15.23</v>
      </c>
      <c r="M278" s="64">
        <v>41</v>
      </c>
      <c r="N278" s="64">
        <v>44</v>
      </c>
      <c r="O278" s="64">
        <v>1</v>
      </c>
      <c r="P278" s="64">
        <v>20</v>
      </c>
      <c r="Q278" s="64">
        <v>22</v>
      </c>
      <c r="R278" s="64">
        <v>0</v>
      </c>
      <c r="S278" s="64">
        <v>100</v>
      </c>
      <c r="T278" s="64">
        <v>0</v>
      </c>
      <c r="U278" s="64">
        <v>36.590000000000003</v>
      </c>
      <c r="V278" s="64">
        <v>41.46</v>
      </c>
      <c r="W278" s="64">
        <v>21.95</v>
      </c>
      <c r="X278" s="64">
        <v>18.18</v>
      </c>
      <c r="Y278" s="64">
        <v>29.55</v>
      </c>
      <c r="Z278" s="64">
        <v>52.27</v>
      </c>
      <c r="AA278" s="64">
        <v>45</v>
      </c>
      <c r="AB278" s="64">
        <v>9.09</v>
      </c>
      <c r="AC278" s="64">
        <v>31</v>
      </c>
      <c r="AD278" s="64">
        <v>11</v>
      </c>
      <c r="AE278" s="64">
        <v>41.94</v>
      </c>
      <c r="AF278" s="64">
        <v>45.45</v>
      </c>
      <c r="AG278" s="51">
        <f t="shared" si="41"/>
        <v>20.937000000000005</v>
      </c>
      <c r="AH278" s="52">
        <f t="shared" si="42"/>
        <v>-0.93700000000000117</v>
      </c>
      <c r="AI278" s="52" t="str">
        <f t="shared" si="43"/>
        <v>N</v>
      </c>
      <c r="AJ278" s="52" t="str">
        <f t="shared" si="44"/>
        <v>N</v>
      </c>
      <c r="AK278" s="50" t="str">
        <f t="shared" si="45"/>
        <v>Win</v>
      </c>
      <c r="AL278" s="50" t="str">
        <f t="shared" si="46"/>
        <v>Loss</v>
      </c>
      <c r="AM278" s="50" t="str">
        <f t="shared" si="47"/>
        <v>Loss</v>
      </c>
      <c r="AN278" s="50">
        <f t="shared" si="48"/>
        <v>8.5</v>
      </c>
      <c r="AO278" s="50">
        <f t="shared" si="49"/>
        <v>-50</v>
      </c>
      <c r="AP278" s="50">
        <f t="shared" si="50"/>
        <v>-50</v>
      </c>
    </row>
    <row r="279" spans="1:42" x14ac:dyDescent="0.25">
      <c r="A279" s="63">
        <v>43624</v>
      </c>
      <c r="B279" s="64" t="s">
        <v>927</v>
      </c>
      <c r="C279" s="64" t="s">
        <v>991</v>
      </c>
      <c r="D279" s="64" t="s">
        <v>1010</v>
      </c>
      <c r="E279" s="64" t="s">
        <v>1011</v>
      </c>
      <c r="F279" s="64" t="s">
        <v>1012</v>
      </c>
      <c r="G279" s="64">
        <v>3</v>
      </c>
      <c r="H279" s="64">
        <v>0</v>
      </c>
      <c r="I279" s="64">
        <v>1.59</v>
      </c>
      <c r="J279" s="64">
        <v>3.63</v>
      </c>
      <c r="K279" s="64">
        <v>6.29</v>
      </c>
      <c r="L279" s="64">
        <v>-4.7</v>
      </c>
      <c r="M279" s="64">
        <v>41</v>
      </c>
      <c r="N279" s="64">
        <v>48</v>
      </c>
      <c r="O279" s="64">
        <v>1</v>
      </c>
      <c r="P279" s="64">
        <v>21</v>
      </c>
      <c r="Q279" s="64">
        <v>22</v>
      </c>
      <c r="R279" s="64">
        <v>0</v>
      </c>
      <c r="S279" s="64">
        <v>0</v>
      </c>
      <c r="T279" s="64">
        <v>100</v>
      </c>
      <c r="U279" s="64">
        <v>46.34</v>
      </c>
      <c r="V279" s="64">
        <v>26.83</v>
      </c>
      <c r="W279" s="64">
        <v>26.83</v>
      </c>
      <c r="X279" s="64">
        <v>37.5</v>
      </c>
      <c r="Y279" s="64">
        <v>33.33</v>
      </c>
      <c r="Z279" s="64">
        <v>29.17</v>
      </c>
      <c r="AA279" s="64">
        <v>52.38</v>
      </c>
      <c r="AB279" s="64">
        <v>18.18</v>
      </c>
      <c r="AC279" s="64">
        <v>29</v>
      </c>
      <c r="AD279" s="64">
        <v>24</v>
      </c>
      <c r="AE279" s="64">
        <v>55.17</v>
      </c>
      <c r="AF279" s="64">
        <v>54.17</v>
      </c>
      <c r="AG279" s="51">
        <f t="shared" si="41"/>
        <v>-28.413999999999998</v>
      </c>
      <c r="AH279" s="52">
        <f t="shared" si="42"/>
        <v>28.413999999999998</v>
      </c>
      <c r="AI279" s="52" t="str">
        <f t="shared" si="43"/>
        <v>N</v>
      </c>
      <c r="AJ279" s="52" t="str">
        <f t="shared" si="44"/>
        <v>N</v>
      </c>
      <c r="AK279" s="50" t="str">
        <f t="shared" si="45"/>
        <v>Win</v>
      </c>
      <c r="AL279" s="50" t="str">
        <f t="shared" si="46"/>
        <v>Loss</v>
      </c>
      <c r="AM279" s="50" t="str">
        <f t="shared" si="47"/>
        <v>Loss</v>
      </c>
      <c r="AN279" s="50">
        <f t="shared" si="48"/>
        <v>29.5</v>
      </c>
      <c r="AO279" s="50">
        <f t="shared" si="49"/>
        <v>-50</v>
      </c>
      <c r="AP279" s="50">
        <f t="shared" si="50"/>
        <v>-50</v>
      </c>
    </row>
    <row r="280" spans="1:42" x14ac:dyDescent="0.25">
      <c r="A280" s="63">
        <v>43624</v>
      </c>
      <c r="B280" s="64" t="s">
        <v>318</v>
      </c>
      <c r="C280" s="64" t="s">
        <v>887</v>
      </c>
      <c r="D280" s="64" t="s">
        <v>1013</v>
      </c>
      <c r="E280" s="64" t="s">
        <v>1014</v>
      </c>
      <c r="F280" s="64" t="s">
        <v>1015</v>
      </c>
      <c r="G280" s="64">
        <v>4</v>
      </c>
      <c r="H280" s="64">
        <v>3</v>
      </c>
      <c r="I280" s="64">
        <v>3.79</v>
      </c>
      <c r="J280" s="64">
        <v>3.09</v>
      </c>
      <c r="K280" s="64">
        <v>2.11</v>
      </c>
      <c r="L280" s="64">
        <v>1.68</v>
      </c>
      <c r="M280" s="64">
        <v>12</v>
      </c>
      <c r="N280" s="64">
        <v>8</v>
      </c>
      <c r="O280" s="64">
        <v>0</v>
      </c>
      <c r="P280" s="64">
        <v>6</v>
      </c>
      <c r="Q280" s="64">
        <v>3</v>
      </c>
      <c r="R280" s="64">
        <v>0</v>
      </c>
      <c r="S280" s="64">
        <v>0</v>
      </c>
      <c r="T280" s="64">
        <v>0</v>
      </c>
      <c r="U280" s="64">
        <v>50</v>
      </c>
      <c r="V280" s="64">
        <v>0</v>
      </c>
      <c r="W280" s="64">
        <v>50</v>
      </c>
      <c r="X280" s="64">
        <v>50</v>
      </c>
      <c r="Y280" s="64">
        <v>25</v>
      </c>
      <c r="Z280" s="64">
        <v>25</v>
      </c>
      <c r="AA280" s="64">
        <v>50</v>
      </c>
      <c r="AB280" s="64">
        <v>66.67</v>
      </c>
      <c r="AC280" s="64">
        <v>5</v>
      </c>
      <c r="AD280" s="64">
        <v>4</v>
      </c>
      <c r="AE280" s="64">
        <v>60</v>
      </c>
      <c r="AF280" s="64">
        <v>75</v>
      </c>
      <c r="AG280" s="51">
        <f t="shared" si="41"/>
        <v>-7.5</v>
      </c>
      <c r="AH280" s="52">
        <f t="shared" si="42"/>
        <v>7.5</v>
      </c>
      <c r="AI280" s="52" t="str">
        <f t="shared" si="43"/>
        <v>N</v>
      </c>
      <c r="AJ280" s="52" t="str">
        <f t="shared" si="44"/>
        <v>N</v>
      </c>
      <c r="AK280" s="50" t="str">
        <f t="shared" si="45"/>
        <v>Win</v>
      </c>
      <c r="AL280" s="50" t="str">
        <f t="shared" si="46"/>
        <v>Loss</v>
      </c>
      <c r="AM280" s="50" t="str">
        <f t="shared" si="47"/>
        <v>Loss</v>
      </c>
      <c r="AN280" s="50">
        <f t="shared" si="48"/>
        <v>139.5</v>
      </c>
      <c r="AO280" s="50">
        <f t="shared" si="49"/>
        <v>-50</v>
      </c>
      <c r="AP280" s="50">
        <f t="shared" si="50"/>
        <v>-50</v>
      </c>
    </row>
    <row r="281" spans="1:42" x14ac:dyDescent="0.25">
      <c r="A281" s="63">
        <v>43624</v>
      </c>
      <c r="B281" s="64" t="s">
        <v>384</v>
      </c>
      <c r="C281" s="64" t="s">
        <v>574</v>
      </c>
      <c r="D281" s="64" t="s">
        <v>1016</v>
      </c>
      <c r="E281" s="64" t="s">
        <v>1017</v>
      </c>
      <c r="F281" s="64" t="s">
        <v>1018</v>
      </c>
      <c r="G281" s="64">
        <v>2</v>
      </c>
      <c r="H281" s="64">
        <v>1</v>
      </c>
      <c r="I281" s="64">
        <v>1.34</v>
      </c>
      <c r="J281" s="64">
        <v>4.9800000000000004</v>
      </c>
      <c r="K281" s="64">
        <v>10.73</v>
      </c>
      <c r="L281" s="64">
        <v>-9.39</v>
      </c>
      <c r="M281" s="64">
        <v>9</v>
      </c>
      <c r="N281" s="64">
        <v>10</v>
      </c>
      <c r="O281" s="64">
        <v>0</v>
      </c>
      <c r="P281" s="64">
        <v>2</v>
      </c>
      <c r="Q281" s="64">
        <v>3</v>
      </c>
      <c r="R281" s="64">
        <v>0</v>
      </c>
      <c r="S281" s="64">
        <v>0</v>
      </c>
      <c r="T281" s="64">
        <v>0</v>
      </c>
      <c r="U281" s="64">
        <v>66.67</v>
      </c>
      <c r="V281" s="64">
        <v>0</v>
      </c>
      <c r="W281" s="64">
        <v>33.33</v>
      </c>
      <c r="X281" s="64">
        <v>20</v>
      </c>
      <c r="Y281" s="64">
        <v>20</v>
      </c>
      <c r="Z281" s="64">
        <v>60</v>
      </c>
      <c r="AA281" s="64">
        <v>100</v>
      </c>
      <c r="AB281" s="64">
        <v>0</v>
      </c>
      <c r="AC281" s="64">
        <v>8</v>
      </c>
      <c r="AD281" s="64">
        <v>1</v>
      </c>
      <c r="AE281" s="64">
        <v>75</v>
      </c>
      <c r="AF281" s="64">
        <v>100</v>
      </c>
      <c r="AG281" s="51">
        <f t="shared" si="41"/>
        <v>12.668000000000001</v>
      </c>
      <c r="AH281" s="52">
        <f t="shared" si="42"/>
        <v>-12.668000000000001</v>
      </c>
      <c r="AI281" s="52" t="str">
        <f t="shared" si="43"/>
        <v>Y</v>
      </c>
      <c r="AJ281" s="52" t="str">
        <f t="shared" si="44"/>
        <v>N</v>
      </c>
      <c r="AK281" s="50" t="str">
        <f t="shared" si="45"/>
        <v>Win</v>
      </c>
      <c r="AL281" s="50" t="str">
        <f t="shared" si="46"/>
        <v>Loss</v>
      </c>
      <c r="AM281" s="50" t="str">
        <f t="shared" si="47"/>
        <v>Loss</v>
      </c>
      <c r="AN281" s="50">
        <f t="shared" si="48"/>
        <v>17</v>
      </c>
      <c r="AO281" s="50">
        <f t="shared" si="49"/>
        <v>-50</v>
      </c>
      <c r="AP281" s="50">
        <f t="shared" si="50"/>
        <v>-50</v>
      </c>
    </row>
    <row r="282" spans="1:42" x14ac:dyDescent="0.25">
      <c r="A282" s="63">
        <v>43624</v>
      </c>
      <c r="B282" s="64" t="s">
        <v>384</v>
      </c>
      <c r="C282" s="64" t="s">
        <v>574</v>
      </c>
      <c r="D282" s="64" t="s">
        <v>1019</v>
      </c>
      <c r="E282" s="64" t="s">
        <v>569</v>
      </c>
      <c r="F282" s="64" t="s">
        <v>456</v>
      </c>
      <c r="G282" s="64">
        <v>0</v>
      </c>
      <c r="H282" s="64">
        <v>2</v>
      </c>
      <c r="I282" s="64">
        <v>16.61</v>
      </c>
      <c r="J282" s="64">
        <v>8.1300000000000008</v>
      </c>
      <c r="K282" s="64">
        <v>1.17</v>
      </c>
      <c r="L282" s="64">
        <v>15.44</v>
      </c>
      <c r="M282" s="64">
        <v>8</v>
      </c>
      <c r="N282" s="64">
        <v>5</v>
      </c>
      <c r="O282" s="64">
        <v>0</v>
      </c>
      <c r="P282" s="64">
        <v>3</v>
      </c>
      <c r="Q282" s="64">
        <v>3</v>
      </c>
      <c r="R282" s="64">
        <v>0</v>
      </c>
      <c r="S282" s="64">
        <v>0</v>
      </c>
      <c r="T282" s="64">
        <v>0</v>
      </c>
      <c r="U282" s="64">
        <v>50</v>
      </c>
      <c r="V282" s="64">
        <v>25</v>
      </c>
      <c r="W282" s="64">
        <v>25</v>
      </c>
      <c r="X282" s="64">
        <v>20</v>
      </c>
      <c r="Y282" s="64">
        <v>40</v>
      </c>
      <c r="Z282" s="64">
        <v>40</v>
      </c>
      <c r="AA282" s="64">
        <v>66.67</v>
      </c>
      <c r="AB282" s="64">
        <v>33.33</v>
      </c>
      <c r="AC282" s="64">
        <v>6</v>
      </c>
      <c r="AD282" s="64">
        <v>3</v>
      </c>
      <c r="AE282" s="64">
        <v>66.67</v>
      </c>
      <c r="AF282" s="64">
        <v>0</v>
      </c>
      <c r="AG282" s="51">
        <f t="shared" si="41"/>
        <v>7.5</v>
      </c>
      <c r="AH282" s="52">
        <f t="shared" si="42"/>
        <v>-7.5</v>
      </c>
      <c r="AI282" s="52" t="str">
        <f t="shared" si="43"/>
        <v>N</v>
      </c>
      <c r="AJ282" s="52" t="str">
        <f t="shared" si="44"/>
        <v>N</v>
      </c>
      <c r="AK282" s="50" t="str">
        <f t="shared" si="45"/>
        <v>Loss</v>
      </c>
      <c r="AL282" s="50" t="str">
        <f t="shared" si="46"/>
        <v>Loss</v>
      </c>
      <c r="AM282" s="50" t="str">
        <f t="shared" si="47"/>
        <v>Win</v>
      </c>
      <c r="AN282" s="50">
        <f t="shared" si="48"/>
        <v>-50</v>
      </c>
      <c r="AO282" s="50">
        <f t="shared" si="49"/>
        <v>-50</v>
      </c>
      <c r="AP282" s="50">
        <f t="shared" si="50"/>
        <v>8.5</v>
      </c>
    </row>
    <row r="283" spans="1:42" x14ac:dyDescent="0.25">
      <c r="A283" s="63">
        <v>43624</v>
      </c>
      <c r="B283" s="64" t="s">
        <v>384</v>
      </c>
      <c r="C283" s="64" t="s">
        <v>574</v>
      </c>
      <c r="D283" s="64" t="s">
        <v>1020</v>
      </c>
      <c r="E283" s="64" t="s">
        <v>1021</v>
      </c>
      <c r="F283" s="64" t="s">
        <v>1022</v>
      </c>
      <c r="G283" s="64">
        <v>2</v>
      </c>
      <c r="H283" s="64">
        <v>0</v>
      </c>
      <c r="I283" s="64">
        <v>5.71</v>
      </c>
      <c r="J283" s="64">
        <v>3.93</v>
      </c>
      <c r="K283" s="64">
        <v>1.63</v>
      </c>
      <c r="L283" s="64">
        <v>4.08</v>
      </c>
      <c r="M283" s="64">
        <v>6</v>
      </c>
      <c r="N283" s="64">
        <v>6</v>
      </c>
      <c r="O283" s="64">
        <v>0</v>
      </c>
      <c r="P283" s="64">
        <v>3</v>
      </c>
      <c r="Q283" s="64">
        <v>3</v>
      </c>
      <c r="R283" s="64">
        <v>0</v>
      </c>
      <c r="S283" s="64">
        <v>0</v>
      </c>
      <c r="T283" s="64">
        <v>0</v>
      </c>
      <c r="U283" s="64">
        <v>50</v>
      </c>
      <c r="V283" s="64">
        <v>0</v>
      </c>
      <c r="W283" s="64">
        <v>50</v>
      </c>
      <c r="X283" s="64">
        <v>66.67</v>
      </c>
      <c r="Y283" s="64">
        <v>16.670000000000002</v>
      </c>
      <c r="Z283" s="64">
        <v>16.670000000000002</v>
      </c>
      <c r="AA283" s="64">
        <v>33.33</v>
      </c>
      <c r="AB283" s="64">
        <v>33.33</v>
      </c>
      <c r="AC283" s="64">
        <v>4</v>
      </c>
      <c r="AD283" s="64">
        <v>5</v>
      </c>
      <c r="AE283" s="64">
        <v>50</v>
      </c>
      <c r="AF283" s="64">
        <v>80</v>
      </c>
      <c r="AG283" s="51">
        <f t="shared" si="41"/>
        <v>-11.667000000000002</v>
      </c>
      <c r="AH283" s="52">
        <f t="shared" si="42"/>
        <v>11.667000000000002</v>
      </c>
      <c r="AI283" s="52" t="str">
        <f t="shared" si="43"/>
        <v>N</v>
      </c>
      <c r="AJ283" s="52" t="str">
        <f t="shared" si="44"/>
        <v>N</v>
      </c>
      <c r="AK283" s="50" t="str">
        <f t="shared" si="45"/>
        <v>Win</v>
      </c>
      <c r="AL283" s="50" t="str">
        <f t="shared" si="46"/>
        <v>Loss</v>
      </c>
      <c r="AM283" s="50" t="str">
        <f t="shared" si="47"/>
        <v>Loss</v>
      </c>
      <c r="AN283" s="50">
        <f t="shared" si="48"/>
        <v>235.5</v>
      </c>
      <c r="AO283" s="50">
        <f t="shared" si="49"/>
        <v>-50</v>
      </c>
      <c r="AP283" s="50">
        <f t="shared" si="50"/>
        <v>-50</v>
      </c>
    </row>
    <row r="284" spans="1:42" x14ac:dyDescent="0.25">
      <c r="A284" s="63">
        <v>43624</v>
      </c>
      <c r="B284" s="64" t="s">
        <v>384</v>
      </c>
      <c r="C284" s="64" t="s">
        <v>574</v>
      </c>
      <c r="D284" s="64" t="s">
        <v>1023</v>
      </c>
      <c r="E284" s="64" t="s">
        <v>1024</v>
      </c>
      <c r="F284" s="64" t="s">
        <v>1025</v>
      </c>
      <c r="G284" s="64">
        <v>3</v>
      </c>
      <c r="H284" s="64">
        <v>0</v>
      </c>
      <c r="I284" s="64">
        <v>1.03</v>
      </c>
      <c r="J284" s="64">
        <v>19.98</v>
      </c>
      <c r="K284" s="64">
        <v>60.42</v>
      </c>
      <c r="L284" s="64">
        <v>-59.39</v>
      </c>
      <c r="M284" s="64">
        <v>6</v>
      </c>
      <c r="N284" s="64">
        <v>8</v>
      </c>
      <c r="O284" s="64">
        <v>0</v>
      </c>
      <c r="P284" s="64">
        <v>3</v>
      </c>
      <c r="Q284" s="64">
        <v>3</v>
      </c>
      <c r="R284" s="64">
        <v>0</v>
      </c>
      <c r="S284" s="64">
        <v>0</v>
      </c>
      <c r="T284" s="64">
        <v>0</v>
      </c>
      <c r="U284" s="64">
        <v>83.33</v>
      </c>
      <c r="V284" s="64">
        <v>0</v>
      </c>
      <c r="W284" s="64">
        <v>16.670000000000002</v>
      </c>
      <c r="X284" s="64">
        <v>25</v>
      </c>
      <c r="Y284" s="64">
        <v>37.5</v>
      </c>
      <c r="Z284" s="64">
        <v>37.5</v>
      </c>
      <c r="AA284" s="64">
        <v>100</v>
      </c>
      <c r="AB284" s="64">
        <v>0</v>
      </c>
      <c r="AC284" s="64">
        <v>6</v>
      </c>
      <c r="AD284" s="64">
        <v>5</v>
      </c>
      <c r="AE284" s="64">
        <v>83.33</v>
      </c>
      <c r="AF284" s="64">
        <v>20</v>
      </c>
      <c r="AG284" s="51">
        <f t="shared" si="41"/>
        <v>12.082000000000001</v>
      </c>
      <c r="AH284" s="52">
        <f t="shared" si="42"/>
        <v>-12.082000000000001</v>
      </c>
      <c r="AI284" s="52" t="str">
        <f t="shared" si="43"/>
        <v>Y</v>
      </c>
      <c r="AJ284" s="52" t="str">
        <f t="shared" si="44"/>
        <v>N</v>
      </c>
      <c r="AK284" s="50" t="str">
        <f t="shared" si="45"/>
        <v>Win</v>
      </c>
      <c r="AL284" s="50" t="str">
        <f t="shared" si="46"/>
        <v>Loss</v>
      </c>
      <c r="AM284" s="50" t="str">
        <f t="shared" si="47"/>
        <v>Loss</v>
      </c>
      <c r="AN284" s="50">
        <f t="shared" si="48"/>
        <v>1.5</v>
      </c>
      <c r="AO284" s="50">
        <f t="shared" si="49"/>
        <v>-50</v>
      </c>
      <c r="AP284" s="50">
        <f t="shared" si="50"/>
        <v>-50</v>
      </c>
    </row>
    <row r="285" spans="1:42" x14ac:dyDescent="0.25">
      <c r="A285" s="63">
        <v>43624</v>
      </c>
      <c r="B285" s="64" t="s">
        <v>384</v>
      </c>
      <c r="C285" s="64" t="s">
        <v>574</v>
      </c>
      <c r="D285" s="64" t="s">
        <v>1026</v>
      </c>
      <c r="E285" s="64" t="s">
        <v>1027</v>
      </c>
      <c r="F285" s="64" t="s">
        <v>982</v>
      </c>
      <c r="G285" s="64">
        <v>0</v>
      </c>
      <c r="H285" s="64">
        <v>3</v>
      </c>
      <c r="I285" s="64">
        <v>5.88</v>
      </c>
      <c r="J285" s="64">
        <v>3.34</v>
      </c>
      <c r="K285" s="64">
        <v>1.75</v>
      </c>
      <c r="L285" s="64">
        <v>4.13</v>
      </c>
      <c r="M285" s="64">
        <v>8</v>
      </c>
      <c r="N285" s="64">
        <v>6</v>
      </c>
      <c r="O285" s="64">
        <v>0</v>
      </c>
      <c r="P285" s="64">
        <v>3</v>
      </c>
      <c r="Q285" s="64">
        <v>2</v>
      </c>
      <c r="R285" s="64">
        <v>0</v>
      </c>
      <c r="S285" s="64">
        <v>0</v>
      </c>
      <c r="T285" s="64">
        <v>0</v>
      </c>
      <c r="U285" s="64">
        <v>50</v>
      </c>
      <c r="V285" s="64">
        <v>12.5</v>
      </c>
      <c r="W285" s="64">
        <v>37.5</v>
      </c>
      <c r="X285" s="64">
        <v>50</v>
      </c>
      <c r="Y285" s="64">
        <v>33.33</v>
      </c>
      <c r="Z285" s="64">
        <v>16.670000000000002</v>
      </c>
      <c r="AA285" s="64">
        <v>66.67</v>
      </c>
      <c r="AB285" s="64">
        <v>50</v>
      </c>
      <c r="AC285" s="64">
        <v>6</v>
      </c>
      <c r="AD285" s="64">
        <v>5</v>
      </c>
      <c r="AE285" s="64">
        <v>66.67</v>
      </c>
      <c r="AF285" s="64">
        <v>60</v>
      </c>
      <c r="AG285" s="51">
        <f t="shared" si="41"/>
        <v>-6.2489999999999997</v>
      </c>
      <c r="AH285" s="52">
        <f t="shared" si="42"/>
        <v>6.2489999999999997</v>
      </c>
      <c r="AI285" s="52" t="str">
        <f t="shared" si="43"/>
        <v>N</v>
      </c>
      <c r="AJ285" s="52" t="str">
        <f t="shared" si="44"/>
        <v>N</v>
      </c>
      <c r="AK285" s="50" t="str">
        <f t="shared" si="45"/>
        <v>Loss</v>
      </c>
      <c r="AL285" s="50" t="str">
        <f t="shared" si="46"/>
        <v>Loss</v>
      </c>
      <c r="AM285" s="50" t="str">
        <f t="shared" si="47"/>
        <v>Win</v>
      </c>
      <c r="AN285" s="50">
        <f t="shared" si="48"/>
        <v>-50</v>
      </c>
      <c r="AO285" s="50">
        <f t="shared" si="49"/>
        <v>-50</v>
      </c>
      <c r="AP285" s="50">
        <f t="shared" si="50"/>
        <v>37.5</v>
      </c>
    </row>
    <row r="286" spans="1:42" x14ac:dyDescent="0.25">
      <c r="A286" s="63">
        <v>43624</v>
      </c>
      <c r="B286" s="64" t="s">
        <v>648</v>
      </c>
      <c r="C286" s="64" t="s">
        <v>969</v>
      </c>
      <c r="D286" s="64" t="s">
        <v>1028</v>
      </c>
      <c r="E286" s="64" t="s">
        <v>1029</v>
      </c>
      <c r="F286" s="64" t="s">
        <v>1030</v>
      </c>
      <c r="G286" s="64">
        <v>1</v>
      </c>
      <c r="H286" s="64">
        <v>1</v>
      </c>
      <c r="I286" s="64">
        <v>3.25</v>
      </c>
      <c r="J286" s="64">
        <v>3.18</v>
      </c>
      <c r="K286" s="64">
        <v>2.25</v>
      </c>
      <c r="L286" s="64">
        <v>1</v>
      </c>
      <c r="M286" s="64">
        <v>21</v>
      </c>
      <c r="N286" s="64">
        <v>23</v>
      </c>
      <c r="O286" s="64">
        <v>2</v>
      </c>
      <c r="P286" s="64">
        <v>10</v>
      </c>
      <c r="Q286" s="64">
        <v>11</v>
      </c>
      <c r="R286" s="64">
        <v>0</v>
      </c>
      <c r="S286" s="64">
        <v>0</v>
      </c>
      <c r="T286" s="64">
        <v>100</v>
      </c>
      <c r="U286" s="64">
        <v>28.57</v>
      </c>
      <c r="V286" s="64">
        <v>28.57</v>
      </c>
      <c r="W286" s="64">
        <v>42.86</v>
      </c>
      <c r="X286" s="64">
        <v>34.78</v>
      </c>
      <c r="Y286" s="64">
        <v>26.09</v>
      </c>
      <c r="Z286" s="64">
        <v>39.130000000000003</v>
      </c>
      <c r="AA286" s="64">
        <v>30</v>
      </c>
      <c r="AB286" s="64">
        <v>27.27</v>
      </c>
      <c r="AC286" s="64">
        <v>4</v>
      </c>
      <c r="AD286" s="64">
        <v>15</v>
      </c>
      <c r="AE286" s="64">
        <v>25</v>
      </c>
      <c r="AF286" s="64">
        <v>46.67</v>
      </c>
      <c r="AG286" s="51">
        <f t="shared" si="41"/>
        <v>-31.740000000000009</v>
      </c>
      <c r="AH286" s="52">
        <f t="shared" si="42"/>
        <v>31.740000000000009</v>
      </c>
      <c r="AI286" s="52" t="str">
        <f t="shared" si="43"/>
        <v>N</v>
      </c>
      <c r="AJ286" s="52" t="str">
        <f t="shared" si="44"/>
        <v>N</v>
      </c>
      <c r="AK286" s="50" t="str">
        <f t="shared" si="45"/>
        <v>Loss</v>
      </c>
      <c r="AL286" s="50" t="str">
        <f t="shared" si="46"/>
        <v>Win</v>
      </c>
      <c r="AM286" s="50" t="str">
        <f t="shared" si="47"/>
        <v>Loss</v>
      </c>
      <c r="AN286" s="50">
        <f t="shared" si="48"/>
        <v>-50</v>
      </c>
      <c r="AO286" s="50">
        <f t="shared" si="49"/>
        <v>109</v>
      </c>
      <c r="AP286" s="50">
        <f t="shared" si="50"/>
        <v>-50</v>
      </c>
    </row>
    <row r="287" spans="1:42" x14ac:dyDescent="0.25">
      <c r="A287" s="63">
        <v>43624</v>
      </c>
      <c r="B287" s="64" t="s">
        <v>110</v>
      </c>
      <c r="C287" s="64" t="s">
        <v>1031</v>
      </c>
      <c r="D287" s="64" t="s">
        <v>1032</v>
      </c>
      <c r="E287" s="64" t="s">
        <v>1033</v>
      </c>
      <c r="F287" s="64" t="s">
        <v>1034</v>
      </c>
      <c r="G287" s="64">
        <v>2</v>
      </c>
      <c r="H287" s="64">
        <v>4</v>
      </c>
      <c r="I287" s="64">
        <v>1.77</v>
      </c>
      <c r="J287" s="64">
        <v>3.51</v>
      </c>
      <c r="K287" s="64">
        <v>4.29</v>
      </c>
      <c r="L287" s="64">
        <v>-2.52</v>
      </c>
      <c r="M287" s="64">
        <v>54</v>
      </c>
      <c r="N287" s="64">
        <v>24</v>
      </c>
      <c r="O287" s="64">
        <v>0</v>
      </c>
      <c r="P287" s="64">
        <v>27</v>
      </c>
      <c r="Q287" s="64">
        <v>12</v>
      </c>
      <c r="R287" s="64">
        <v>0</v>
      </c>
      <c r="S287" s="64">
        <v>0</v>
      </c>
      <c r="T287" s="64">
        <v>0</v>
      </c>
      <c r="U287" s="64">
        <v>42.59</v>
      </c>
      <c r="V287" s="64">
        <v>18.52</v>
      </c>
      <c r="W287" s="64">
        <v>38.89</v>
      </c>
      <c r="X287" s="64">
        <v>33.33</v>
      </c>
      <c r="Y287" s="64">
        <v>41.67</v>
      </c>
      <c r="Z287" s="64">
        <v>25</v>
      </c>
      <c r="AA287" s="64">
        <v>62.96</v>
      </c>
      <c r="AB287" s="64">
        <v>16.670000000000002</v>
      </c>
      <c r="AC287" s="64">
        <v>37</v>
      </c>
      <c r="AD287" s="64">
        <v>10</v>
      </c>
      <c r="AE287" s="64">
        <v>59.46</v>
      </c>
      <c r="AF287" s="64">
        <v>50</v>
      </c>
      <c r="AG287" s="51">
        <f t="shared" si="41"/>
        <v>-3.2409999999999997</v>
      </c>
      <c r="AH287" s="52">
        <f t="shared" si="42"/>
        <v>3.2409999999999997</v>
      </c>
      <c r="AI287" s="52" t="str">
        <f t="shared" si="43"/>
        <v>N</v>
      </c>
      <c r="AJ287" s="52" t="str">
        <f t="shared" si="44"/>
        <v>N</v>
      </c>
      <c r="AK287" s="50" t="str">
        <f t="shared" si="45"/>
        <v>Loss</v>
      </c>
      <c r="AL287" s="50" t="str">
        <f t="shared" si="46"/>
        <v>Loss</v>
      </c>
      <c r="AM287" s="50" t="str">
        <f t="shared" si="47"/>
        <v>Win</v>
      </c>
      <c r="AN287" s="50">
        <f t="shared" si="48"/>
        <v>-50</v>
      </c>
      <c r="AO287" s="50">
        <f t="shared" si="49"/>
        <v>-50</v>
      </c>
      <c r="AP287" s="50">
        <f t="shared" si="50"/>
        <v>164.5</v>
      </c>
    </row>
    <row r="288" spans="1:42" x14ac:dyDescent="0.25">
      <c r="A288" s="63">
        <v>43624</v>
      </c>
      <c r="B288" s="64" t="s">
        <v>110</v>
      </c>
      <c r="C288" s="64" t="s">
        <v>1031</v>
      </c>
      <c r="D288" s="64" t="s">
        <v>1035</v>
      </c>
      <c r="E288" s="64" t="s">
        <v>1036</v>
      </c>
      <c r="F288" s="64" t="s">
        <v>1037</v>
      </c>
      <c r="G288" s="64">
        <v>2</v>
      </c>
      <c r="H288" s="64">
        <v>0</v>
      </c>
      <c r="I288" s="64">
        <v>1.73</v>
      </c>
      <c r="J288" s="64">
        <v>3.35</v>
      </c>
      <c r="K288" s="64">
        <v>4.76</v>
      </c>
      <c r="L288" s="64">
        <v>-3.03</v>
      </c>
      <c r="M288" s="64">
        <v>33</v>
      </c>
      <c r="N288" s="64">
        <v>59</v>
      </c>
      <c r="O288" s="64">
        <v>0</v>
      </c>
      <c r="P288" s="64">
        <v>16</v>
      </c>
      <c r="Q288" s="64">
        <v>29</v>
      </c>
      <c r="R288" s="64">
        <v>0</v>
      </c>
      <c r="S288" s="64">
        <v>0</v>
      </c>
      <c r="T288" s="64">
        <v>0</v>
      </c>
      <c r="U288" s="64">
        <v>45.45</v>
      </c>
      <c r="V288" s="64">
        <v>24.24</v>
      </c>
      <c r="W288" s="64">
        <v>30.3</v>
      </c>
      <c r="X288" s="64">
        <v>23.73</v>
      </c>
      <c r="Y288" s="64">
        <v>27.12</v>
      </c>
      <c r="Z288" s="64">
        <v>49.15</v>
      </c>
      <c r="AA288" s="64">
        <v>68.75</v>
      </c>
      <c r="AB288" s="64">
        <v>10.34</v>
      </c>
      <c r="AC288" s="64">
        <v>19</v>
      </c>
      <c r="AD288" s="64">
        <v>21</v>
      </c>
      <c r="AE288" s="64">
        <v>57.89</v>
      </c>
      <c r="AF288" s="64">
        <v>42.86</v>
      </c>
      <c r="AG288" s="51">
        <f t="shared" si="41"/>
        <v>7.8260000000000005</v>
      </c>
      <c r="AH288" s="52">
        <f t="shared" si="42"/>
        <v>-7.8260000000000005</v>
      </c>
      <c r="AI288" s="52" t="str">
        <f t="shared" si="43"/>
        <v>N</v>
      </c>
      <c r="AJ288" s="52" t="str">
        <f t="shared" si="44"/>
        <v>N</v>
      </c>
      <c r="AK288" s="50" t="str">
        <f t="shared" si="45"/>
        <v>Win</v>
      </c>
      <c r="AL288" s="50" t="str">
        <f t="shared" si="46"/>
        <v>Loss</v>
      </c>
      <c r="AM288" s="50" t="str">
        <f t="shared" si="47"/>
        <v>Loss</v>
      </c>
      <c r="AN288" s="50">
        <f t="shared" si="48"/>
        <v>36.5</v>
      </c>
      <c r="AO288" s="50">
        <f t="shared" si="49"/>
        <v>-50</v>
      </c>
      <c r="AP288" s="50">
        <f t="shared" si="50"/>
        <v>-50</v>
      </c>
    </row>
    <row r="289" spans="1:42" x14ac:dyDescent="0.25">
      <c r="A289" s="63">
        <v>43624</v>
      </c>
      <c r="B289" s="64" t="s">
        <v>1038</v>
      </c>
      <c r="C289" s="64" t="s">
        <v>1039</v>
      </c>
      <c r="D289" s="64" t="s">
        <v>1040</v>
      </c>
      <c r="E289" s="64" t="s">
        <v>1041</v>
      </c>
      <c r="F289" s="64" t="s">
        <v>1042</v>
      </c>
      <c r="G289" s="64">
        <v>0</v>
      </c>
      <c r="H289" s="64">
        <v>1</v>
      </c>
      <c r="I289" s="64">
        <v>5.57</v>
      </c>
      <c r="J289" s="64">
        <v>3.85</v>
      </c>
      <c r="K289" s="64">
        <v>1.55</v>
      </c>
      <c r="L289" s="64">
        <v>4.0199999999999996</v>
      </c>
      <c r="M289" s="64">
        <v>1</v>
      </c>
      <c r="N289" s="64">
        <v>15</v>
      </c>
      <c r="O289" s="64">
        <v>0</v>
      </c>
      <c r="P289" s="64">
        <v>1</v>
      </c>
      <c r="Q289" s="64">
        <v>7</v>
      </c>
      <c r="R289" s="64">
        <v>0</v>
      </c>
      <c r="S289" s="64">
        <v>0</v>
      </c>
      <c r="T289" s="64">
        <v>0</v>
      </c>
      <c r="U289" s="64">
        <v>100</v>
      </c>
      <c r="V289" s="64">
        <v>0</v>
      </c>
      <c r="W289" s="64">
        <v>0</v>
      </c>
      <c r="X289" s="64">
        <v>20</v>
      </c>
      <c r="Y289" s="64">
        <v>33.33</v>
      </c>
      <c r="Z289" s="64">
        <v>46.67</v>
      </c>
      <c r="AA289" s="64">
        <v>100</v>
      </c>
      <c r="AB289" s="64">
        <v>14.29</v>
      </c>
      <c r="AC289" s="64">
        <v>0</v>
      </c>
      <c r="AD289" s="64">
        <v>9</v>
      </c>
      <c r="AE289" s="64">
        <v>0</v>
      </c>
      <c r="AF289" s="64">
        <v>22.22</v>
      </c>
      <c r="AG289" s="51">
        <f t="shared" si="41"/>
        <v>22.001000000000001</v>
      </c>
      <c r="AH289" s="52">
        <f t="shared" si="42"/>
        <v>-22.001000000000001</v>
      </c>
      <c r="AI289" s="52" t="str">
        <f t="shared" si="43"/>
        <v>Y</v>
      </c>
      <c r="AJ289" s="52" t="str">
        <f t="shared" si="44"/>
        <v>N</v>
      </c>
      <c r="AK289" s="50" t="str">
        <f t="shared" si="45"/>
        <v>Loss</v>
      </c>
      <c r="AL289" s="50" t="str">
        <f t="shared" si="46"/>
        <v>Loss</v>
      </c>
      <c r="AM289" s="50" t="str">
        <f t="shared" si="47"/>
        <v>Win</v>
      </c>
      <c r="AN289" s="50">
        <f t="shared" si="48"/>
        <v>-50</v>
      </c>
      <c r="AO289" s="50">
        <f t="shared" si="49"/>
        <v>-50</v>
      </c>
      <c r="AP289" s="50">
        <f t="shared" si="50"/>
        <v>27.5</v>
      </c>
    </row>
    <row r="290" spans="1:42" x14ac:dyDescent="0.25">
      <c r="A290" s="63">
        <v>43624</v>
      </c>
      <c r="B290" s="64" t="s">
        <v>1038</v>
      </c>
      <c r="C290" s="64" t="s">
        <v>1039</v>
      </c>
      <c r="D290" s="64" t="s">
        <v>1043</v>
      </c>
      <c r="E290" s="64" t="s">
        <v>1044</v>
      </c>
      <c r="F290" s="64" t="s">
        <v>1045</v>
      </c>
      <c r="G290" s="64">
        <v>0</v>
      </c>
      <c r="H290" s="64">
        <v>2</v>
      </c>
      <c r="I290" s="64">
        <v>3.3</v>
      </c>
      <c r="J290" s="64">
        <v>3.4</v>
      </c>
      <c r="K290" s="64">
        <v>2.0299999999999998</v>
      </c>
      <c r="L290" s="64">
        <v>1.27</v>
      </c>
      <c r="M290" s="64">
        <v>20</v>
      </c>
      <c r="N290" s="64">
        <v>22</v>
      </c>
      <c r="O290" s="64">
        <v>0</v>
      </c>
      <c r="P290" s="64">
        <v>10</v>
      </c>
      <c r="Q290" s="64">
        <v>11</v>
      </c>
      <c r="R290" s="64">
        <v>0</v>
      </c>
      <c r="S290" s="64">
        <v>0</v>
      </c>
      <c r="T290" s="64">
        <v>0</v>
      </c>
      <c r="U290" s="64">
        <v>30</v>
      </c>
      <c r="V290" s="64">
        <v>30</v>
      </c>
      <c r="W290" s="64">
        <v>40</v>
      </c>
      <c r="X290" s="64">
        <v>36.36</v>
      </c>
      <c r="Y290" s="64">
        <v>31.82</v>
      </c>
      <c r="Z290" s="64">
        <v>31.82</v>
      </c>
      <c r="AA290" s="64">
        <v>30</v>
      </c>
      <c r="AB290" s="64">
        <v>36.36</v>
      </c>
      <c r="AC290" s="64">
        <v>12</v>
      </c>
      <c r="AD290" s="64">
        <v>14</v>
      </c>
      <c r="AE290" s="64">
        <v>41.67</v>
      </c>
      <c r="AF290" s="64">
        <v>57.14</v>
      </c>
      <c r="AG290" s="51">
        <f t="shared" si="41"/>
        <v>-3.09</v>
      </c>
      <c r="AH290" s="52">
        <f t="shared" si="42"/>
        <v>3.09</v>
      </c>
      <c r="AI290" s="52" t="str">
        <f t="shared" si="43"/>
        <v>N</v>
      </c>
      <c r="AJ290" s="52" t="str">
        <f t="shared" si="44"/>
        <v>N</v>
      </c>
      <c r="AK290" s="50" t="str">
        <f t="shared" si="45"/>
        <v>Loss</v>
      </c>
      <c r="AL290" s="50" t="str">
        <f t="shared" si="46"/>
        <v>Loss</v>
      </c>
      <c r="AM290" s="50" t="str">
        <f t="shared" si="47"/>
        <v>Win</v>
      </c>
      <c r="AN290" s="50">
        <f t="shared" si="48"/>
        <v>-50</v>
      </c>
      <c r="AO290" s="50">
        <f t="shared" si="49"/>
        <v>-50</v>
      </c>
      <c r="AP290" s="50">
        <f t="shared" si="50"/>
        <v>51.499999999999986</v>
      </c>
    </row>
    <row r="291" spans="1:42" x14ac:dyDescent="0.25">
      <c r="A291" s="63">
        <v>43624</v>
      </c>
      <c r="B291" s="64" t="s">
        <v>648</v>
      </c>
      <c r="C291" s="64" t="s">
        <v>969</v>
      </c>
      <c r="D291" s="64" t="s">
        <v>1046</v>
      </c>
      <c r="E291" s="64" t="s">
        <v>1047</v>
      </c>
      <c r="F291" s="64" t="s">
        <v>1048</v>
      </c>
      <c r="G291" s="64">
        <v>0</v>
      </c>
      <c r="H291" s="64">
        <v>3</v>
      </c>
      <c r="I291" s="64">
        <v>13.04</v>
      </c>
      <c r="J291" s="64">
        <v>6.15</v>
      </c>
      <c r="K291" s="64">
        <v>1.21</v>
      </c>
      <c r="L291" s="64">
        <v>11.83</v>
      </c>
      <c r="M291" s="64">
        <v>24</v>
      </c>
      <c r="N291" s="64">
        <v>28</v>
      </c>
      <c r="O291" s="64">
        <v>3</v>
      </c>
      <c r="P291" s="64">
        <v>11</v>
      </c>
      <c r="Q291" s="64">
        <v>13</v>
      </c>
      <c r="R291" s="64">
        <v>0</v>
      </c>
      <c r="S291" s="64">
        <v>33.33</v>
      </c>
      <c r="T291" s="64">
        <v>66.67</v>
      </c>
      <c r="U291" s="64">
        <v>16.670000000000002</v>
      </c>
      <c r="V291" s="64">
        <v>16.670000000000002</v>
      </c>
      <c r="W291" s="64">
        <v>66.67</v>
      </c>
      <c r="X291" s="64">
        <v>78.569999999999993</v>
      </c>
      <c r="Y291" s="64">
        <v>14.29</v>
      </c>
      <c r="Z291" s="64">
        <v>7.14</v>
      </c>
      <c r="AA291" s="64">
        <v>27.27</v>
      </c>
      <c r="AB291" s="64">
        <v>69.23</v>
      </c>
      <c r="AC291" s="64">
        <v>3</v>
      </c>
      <c r="AD291" s="64">
        <v>28</v>
      </c>
      <c r="AE291" s="64">
        <v>66.67</v>
      </c>
      <c r="AF291" s="64">
        <v>78.569999999999993</v>
      </c>
      <c r="AG291" s="51">
        <f t="shared" si="41"/>
        <v>-40.716000000000008</v>
      </c>
      <c r="AH291" s="52">
        <f t="shared" si="42"/>
        <v>47.382000000000005</v>
      </c>
      <c r="AI291" s="52" t="str">
        <f t="shared" si="43"/>
        <v>N</v>
      </c>
      <c r="AJ291" s="52" t="str">
        <f t="shared" si="44"/>
        <v>Y</v>
      </c>
      <c r="AK291" s="50" t="str">
        <f t="shared" si="45"/>
        <v>Loss</v>
      </c>
      <c r="AL291" s="50" t="str">
        <f t="shared" si="46"/>
        <v>Loss</v>
      </c>
      <c r="AM291" s="50" t="str">
        <f t="shared" si="47"/>
        <v>Win</v>
      </c>
      <c r="AN291" s="50">
        <f t="shared" si="48"/>
        <v>-50</v>
      </c>
      <c r="AO291" s="50">
        <f t="shared" si="49"/>
        <v>-50</v>
      </c>
      <c r="AP291" s="50">
        <f t="shared" si="50"/>
        <v>10.5</v>
      </c>
    </row>
    <row r="292" spans="1:42" x14ac:dyDescent="0.25">
      <c r="A292" s="63">
        <v>43624</v>
      </c>
      <c r="B292" s="64" t="s">
        <v>1049</v>
      </c>
      <c r="C292" s="64" t="s">
        <v>1050</v>
      </c>
      <c r="D292" s="64" t="s">
        <v>1051</v>
      </c>
      <c r="E292" s="64" t="s">
        <v>1052</v>
      </c>
      <c r="F292" s="64" t="s">
        <v>1053</v>
      </c>
      <c r="G292" s="64">
        <v>1</v>
      </c>
      <c r="H292" s="64">
        <v>0</v>
      </c>
      <c r="I292" s="64">
        <v>2.23</v>
      </c>
      <c r="J292" s="64">
        <v>2.83</v>
      </c>
      <c r="K292" s="64">
        <v>3.53</v>
      </c>
      <c r="L292" s="64">
        <v>-1.3</v>
      </c>
      <c r="M292" s="64">
        <v>30</v>
      </c>
      <c r="N292" s="64">
        <v>29</v>
      </c>
      <c r="O292" s="64">
        <v>1</v>
      </c>
      <c r="P292" s="64">
        <v>16</v>
      </c>
      <c r="Q292" s="64">
        <v>14</v>
      </c>
      <c r="R292" s="64">
        <v>0</v>
      </c>
      <c r="S292" s="64">
        <v>100</v>
      </c>
      <c r="T292" s="64">
        <v>0</v>
      </c>
      <c r="U292" s="64">
        <v>23.33</v>
      </c>
      <c r="V292" s="64">
        <v>50</v>
      </c>
      <c r="W292" s="64">
        <v>26.67</v>
      </c>
      <c r="X292" s="64">
        <v>24.14</v>
      </c>
      <c r="Y292" s="64">
        <v>41.38</v>
      </c>
      <c r="Z292" s="64">
        <v>34.479999999999997</v>
      </c>
      <c r="AA292" s="64">
        <v>43.75</v>
      </c>
      <c r="AB292" s="64">
        <v>21.43</v>
      </c>
      <c r="AC292" s="64">
        <v>10</v>
      </c>
      <c r="AD292" s="64">
        <v>12</v>
      </c>
      <c r="AE292" s="64">
        <v>70</v>
      </c>
      <c r="AF292" s="64">
        <v>33.33</v>
      </c>
      <c r="AG292" s="51">
        <f t="shared" si="41"/>
        <v>12.262</v>
      </c>
      <c r="AH292" s="52">
        <f t="shared" si="42"/>
        <v>7.738000000000004</v>
      </c>
      <c r="AI292" s="52" t="str">
        <f t="shared" si="43"/>
        <v>N</v>
      </c>
      <c r="AJ292" s="52" t="str">
        <f t="shared" si="44"/>
        <v>N</v>
      </c>
      <c r="AK292" s="50" t="str">
        <f t="shared" si="45"/>
        <v>Win</v>
      </c>
      <c r="AL292" s="50" t="str">
        <f t="shared" si="46"/>
        <v>Loss</v>
      </c>
      <c r="AM292" s="50" t="str">
        <f t="shared" si="47"/>
        <v>Loss</v>
      </c>
      <c r="AN292" s="50">
        <f t="shared" si="48"/>
        <v>61.5</v>
      </c>
      <c r="AO292" s="50">
        <f t="shared" si="49"/>
        <v>-50</v>
      </c>
      <c r="AP292" s="50">
        <f t="shared" si="50"/>
        <v>-50</v>
      </c>
    </row>
    <row r="293" spans="1:42" x14ac:dyDescent="0.25">
      <c r="A293" s="63">
        <v>43624</v>
      </c>
      <c r="B293" s="64" t="s">
        <v>927</v>
      </c>
      <c r="C293" s="64" t="s">
        <v>928</v>
      </c>
      <c r="D293" s="64" t="s">
        <v>1054</v>
      </c>
      <c r="E293" s="64" t="s">
        <v>1055</v>
      </c>
      <c r="F293" s="64" t="s">
        <v>1056</v>
      </c>
      <c r="G293" s="64">
        <v>2</v>
      </c>
      <c r="H293" s="64">
        <v>0</v>
      </c>
      <c r="I293" s="64">
        <v>2.87</v>
      </c>
      <c r="J293" s="64">
        <v>2.91</v>
      </c>
      <c r="K293" s="64">
        <v>2.4700000000000002</v>
      </c>
      <c r="L293" s="64">
        <v>0.4</v>
      </c>
      <c r="M293" s="64">
        <v>19</v>
      </c>
      <c r="N293" s="64">
        <v>16</v>
      </c>
      <c r="O293" s="64">
        <v>0</v>
      </c>
      <c r="P293" s="64">
        <v>10</v>
      </c>
      <c r="Q293" s="64">
        <v>9</v>
      </c>
      <c r="R293" s="64">
        <v>0</v>
      </c>
      <c r="S293" s="64">
        <v>0</v>
      </c>
      <c r="T293" s="64">
        <v>0</v>
      </c>
      <c r="U293" s="64">
        <v>47.37</v>
      </c>
      <c r="V293" s="64">
        <v>15.79</v>
      </c>
      <c r="W293" s="64">
        <v>36.840000000000003</v>
      </c>
      <c r="X293" s="64">
        <v>68.75</v>
      </c>
      <c r="Y293" s="64">
        <v>6.25</v>
      </c>
      <c r="Z293" s="64">
        <v>25</v>
      </c>
      <c r="AA293" s="64">
        <v>60</v>
      </c>
      <c r="AB293" s="64">
        <v>66.67</v>
      </c>
      <c r="AC293" s="64">
        <v>14</v>
      </c>
      <c r="AD293" s="64">
        <v>12</v>
      </c>
      <c r="AE293" s="64">
        <v>50</v>
      </c>
      <c r="AF293" s="64">
        <v>83.33</v>
      </c>
      <c r="AG293" s="51">
        <f t="shared" si="41"/>
        <v>-5.6900000000000013</v>
      </c>
      <c r="AH293" s="52">
        <f t="shared" si="42"/>
        <v>5.6900000000000013</v>
      </c>
      <c r="AI293" s="52" t="str">
        <f t="shared" si="43"/>
        <v>N</v>
      </c>
      <c r="AJ293" s="52" t="str">
        <f t="shared" si="44"/>
        <v>N</v>
      </c>
      <c r="AK293" s="50" t="str">
        <f t="shared" si="45"/>
        <v>Win</v>
      </c>
      <c r="AL293" s="50" t="str">
        <f t="shared" si="46"/>
        <v>Loss</v>
      </c>
      <c r="AM293" s="50" t="str">
        <f t="shared" si="47"/>
        <v>Loss</v>
      </c>
      <c r="AN293" s="50">
        <f t="shared" si="48"/>
        <v>93.5</v>
      </c>
      <c r="AO293" s="50">
        <f t="shared" si="49"/>
        <v>-50</v>
      </c>
      <c r="AP293" s="50">
        <f t="shared" si="50"/>
        <v>-50</v>
      </c>
    </row>
    <row r="294" spans="1:42" x14ac:dyDescent="0.25">
      <c r="A294" s="63">
        <v>43624</v>
      </c>
      <c r="B294" s="64" t="s">
        <v>318</v>
      </c>
      <c r="C294" s="64" t="s">
        <v>614</v>
      </c>
      <c r="D294" s="64" t="s">
        <v>1057</v>
      </c>
      <c r="E294" s="64" t="s">
        <v>1058</v>
      </c>
      <c r="F294" s="64" t="s">
        <v>1059</v>
      </c>
      <c r="G294" s="64">
        <v>3</v>
      </c>
      <c r="H294" s="64">
        <v>0</v>
      </c>
      <c r="I294" s="64">
        <v>1.32</v>
      </c>
      <c r="J294" s="64">
        <v>5.26</v>
      </c>
      <c r="K294" s="64">
        <v>8.2200000000000006</v>
      </c>
      <c r="L294" s="64">
        <v>-6.9</v>
      </c>
      <c r="M294" s="64">
        <v>11</v>
      </c>
      <c r="N294" s="64">
        <v>4</v>
      </c>
      <c r="O294" s="64">
        <v>0</v>
      </c>
      <c r="P294" s="64">
        <v>5</v>
      </c>
      <c r="Q294" s="64">
        <v>1</v>
      </c>
      <c r="R294" s="64">
        <v>0</v>
      </c>
      <c r="S294" s="64">
        <v>0</v>
      </c>
      <c r="T294" s="64">
        <v>0</v>
      </c>
      <c r="U294" s="64">
        <v>90.91</v>
      </c>
      <c r="V294" s="64">
        <v>0</v>
      </c>
      <c r="W294" s="64">
        <v>9.09</v>
      </c>
      <c r="X294" s="64">
        <v>50</v>
      </c>
      <c r="Y294" s="64">
        <v>0</v>
      </c>
      <c r="Z294" s="64">
        <v>50</v>
      </c>
      <c r="AA294" s="64">
        <v>100</v>
      </c>
      <c r="AB294" s="64">
        <v>100</v>
      </c>
      <c r="AC294" s="64">
        <v>10</v>
      </c>
      <c r="AD294" s="64">
        <v>2</v>
      </c>
      <c r="AE294" s="64">
        <v>100</v>
      </c>
      <c r="AF294" s="64">
        <v>100</v>
      </c>
      <c r="AG294" s="51">
        <f t="shared" si="41"/>
        <v>16.363999999999997</v>
      </c>
      <c r="AH294" s="52">
        <f t="shared" si="42"/>
        <v>-16.363999999999997</v>
      </c>
      <c r="AI294" s="52" t="str">
        <f t="shared" si="43"/>
        <v>Y</v>
      </c>
      <c r="AJ294" s="52" t="str">
        <f t="shared" si="44"/>
        <v>Y</v>
      </c>
      <c r="AK294" s="50" t="str">
        <f t="shared" si="45"/>
        <v>Win</v>
      </c>
      <c r="AL294" s="50" t="str">
        <f t="shared" si="46"/>
        <v>Loss</v>
      </c>
      <c r="AM294" s="50" t="str">
        <f t="shared" si="47"/>
        <v>Loss</v>
      </c>
      <c r="AN294" s="50">
        <f t="shared" si="48"/>
        <v>16</v>
      </c>
      <c r="AO294" s="50">
        <f t="shared" si="49"/>
        <v>-50</v>
      </c>
      <c r="AP294" s="50">
        <f t="shared" si="50"/>
        <v>-50</v>
      </c>
    </row>
    <row r="295" spans="1:42" x14ac:dyDescent="0.25">
      <c r="A295" s="63">
        <v>43624</v>
      </c>
      <c r="B295" s="64" t="s">
        <v>110</v>
      </c>
      <c r="C295" s="64" t="s">
        <v>130</v>
      </c>
      <c r="D295" s="64" t="s">
        <v>1060</v>
      </c>
      <c r="E295" s="64" t="s">
        <v>1061</v>
      </c>
      <c r="F295" s="64" t="s">
        <v>1062</v>
      </c>
      <c r="G295" s="64">
        <v>1</v>
      </c>
      <c r="H295" s="64">
        <v>0</v>
      </c>
      <c r="I295" s="64">
        <v>1.55</v>
      </c>
      <c r="J295" s="64">
        <v>3.75</v>
      </c>
      <c r="K295" s="64">
        <v>6.55</v>
      </c>
      <c r="L295" s="64">
        <v>-5</v>
      </c>
      <c r="M295" s="64">
        <v>58</v>
      </c>
      <c r="N295" s="64">
        <v>55</v>
      </c>
      <c r="O295" s="64">
        <v>2</v>
      </c>
      <c r="P295" s="64">
        <v>28</v>
      </c>
      <c r="Q295" s="64">
        <v>25</v>
      </c>
      <c r="R295" s="64">
        <v>100</v>
      </c>
      <c r="S295" s="64">
        <v>0</v>
      </c>
      <c r="T295" s="64">
        <v>0</v>
      </c>
      <c r="U295" s="64">
        <v>62.07</v>
      </c>
      <c r="V295" s="64">
        <v>27.59</v>
      </c>
      <c r="W295" s="64">
        <v>10.34</v>
      </c>
      <c r="X295" s="64">
        <v>47.27</v>
      </c>
      <c r="Y295" s="64">
        <v>20</v>
      </c>
      <c r="Z295" s="64">
        <v>32.729999999999997</v>
      </c>
      <c r="AA295" s="64">
        <v>78.569999999999993</v>
      </c>
      <c r="AB295" s="64">
        <v>16</v>
      </c>
      <c r="AC295" s="64">
        <v>53</v>
      </c>
      <c r="AD295" s="64">
        <v>36</v>
      </c>
      <c r="AE295" s="64">
        <v>64.150000000000006</v>
      </c>
      <c r="AF295" s="64">
        <v>69.44</v>
      </c>
      <c r="AG295" s="51">
        <f t="shared" si="41"/>
        <v>38.197000000000003</v>
      </c>
      <c r="AH295" s="52">
        <f t="shared" si="42"/>
        <v>-38.197000000000003</v>
      </c>
      <c r="AI295" s="52" t="str">
        <f t="shared" si="43"/>
        <v>N</v>
      </c>
      <c r="AJ295" s="52" t="str">
        <f t="shared" si="44"/>
        <v>N</v>
      </c>
      <c r="AK295" s="50" t="str">
        <f t="shared" si="45"/>
        <v>Win</v>
      </c>
      <c r="AL295" s="50" t="str">
        <f t="shared" si="46"/>
        <v>Loss</v>
      </c>
      <c r="AM295" s="50" t="str">
        <f t="shared" si="47"/>
        <v>Loss</v>
      </c>
      <c r="AN295" s="50">
        <f t="shared" si="48"/>
        <v>27.5</v>
      </c>
      <c r="AO295" s="50">
        <f t="shared" si="49"/>
        <v>-50</v>
      </c>
      <c r="AP295" s="50">
        <f t="shared" si="50"/>
        <v>-50</v>
      </c>
    </row>
    <row r="296" spans="1:42" x14ac:dyDescent="0.25">
      <c r="A296" s="63">
        <v>43624</v>
      </c>
      <c r="B296" s="64" t="s">
        <v>110</v>
      </c>
      <c r="C296" s="64" t="s">
        <v>111</v>
      </c>
      <c r="D296" s="64" t="s">
        <v>1063</v>
      </c>
      <c r="E296" s="64" t="s">
        <v>1064</v>
      </c>
      <c r="F296" s="64" t="s">
        <v>1065</v>
      </c>
      <c r="G296" s="64">
        <v>1</v>
      </c>
      <c r="H296" s="64">
        <v>1</v>
      </c>
      <c r="I296" s="64">
        <v>2.4500000000000002</v>
      </c>
      <c r="J296" s="64">
        <v>2.89</v>
      </c>
      <c r="K296" s="64">
        <v>3.13</v>
      </c>
      <c r="L296" s="64">
        <v>-0.68</v>
      </c>
      <c r="M296" s="64">
        <v>70</v>
      </c>
      <c r="N296" s="64">
        <v>65</v>
      </c>
      <c r="O296" s="64">
        <v>2</v>
      </c>
      <c r="P296" s="64">
        <v>34</v>
      </c>
      <c r="Q296" s="64">
        <v>33</v>
      </c>
      <c r="R296" s="64">
        <v>50</v>
      </c>
      <c r="S296" s="64">
        <v>50</v>
      </c>
      <c r="T296" s="64">
        <v>0</v>
      </c>
      <c r="U296" s="64">
        <v>31.43</v>
      </c>
      <c r="V296" s="64">
        <v>27.14</v>
      </c>
      <c r="W296" s="64">
        <v>41.43</v>
      </c>
      <c r="X296" s="64">
        <v>35.380000000000003</v>
      </c>
      <c r="Y296" s="64">
        <v>36.92</v>
      </c>
      <c r="Z296" s="64">
        <v>27.69</v>
      </c>
      <c r="AA296" s="64">
        <v>38.24</v>
      </c>
      <c r="AB296" s="64">
        <v>30.3</v>
      </c>
      <c r="AC296" s="64">
        <v>35</v>
      </c>
      <c r="AD296" s="64">
        <v>46</v>
      </c>
      <c r="AE296" s="64">
        <v>42.86</v>
      </c>
      <c r="AF296" s="64">
        <v>39.130000000000003</v>
      </c>
      <c r="AG296" s="51">
        <f t="shared" si="41"/>
        <v>15.483999999999998</v>
      </c>
      <c r="AH296" s="52">
        <f t="shared" si="42"/>
        <v>-5.484</v>
      </c>
      <c r="AI296" s="52" t="str">
        <f t="shared" si="43"/>
        <v>N</v>
      </c>
      <c r="AJ296" s="52" t="str">
        <f t="shared" si="44"/>
        <v>N</v>
      </c>
      <c r="AK296" s="50" t="str">
        <f t="shared" si="45"/>
        <v>Loss</v>
      </c>
      <c r="AL296" s="50" t="str">
        <f t="shared" si="46"/>
        <v>Win</v>
      </c>
      <c r="AM296" s="50" t="str">
        <f t="shared" si="47"/>
        <v>Loss</v>
      </c>
      <c r="AN296" s="50">
        <f t="shared" si="48"/>
        <v>-50</v>
      </c>
      <c r="AO296" s="50">
        <f t="shared" si="49"/>
        <v>94.5</v>
      </c>
      <c r="AP296" s="50">
        <f t="shared" si="50"/>
        <v>-50</v>
      </c>
    </row>
    <row r="297" spans="1:42" x14ac:dyDescent="0.25">
      <c r="A297" s="63">
        <v>43624</v>
      </c>
      <c r="B297" s="64" t="s">
        <v>110</v>
      </c>
      <c r="C297" s="64" t="s">
        <v>111</v>
      </c>
      <c r="D297" s="64" t="s">
        <v>1066</v>
      </c>
      <c r="E297" s="64" t="s">
        <v>1067</v>
      </c>
      <c r="F297" s="64" t="s">
        <v>1068</v>
      </c>
      <c r="G297" s="64">
        <v>1</v>
      </c>
      <c r="H297" s="64">
        <v>0</v>
      </c>
      <c r="I297" s="64">
        <v>2.44</v>
      </c>
      <c r="J297" s="64">
        <v>2.82</v>
      </c>
      <c r="K297" s="64">
        <v>3.24</v>
      </c>
      <c r="L297" s="64">
        <v>-0.8</v>
      </c>
      <c r="M297" s="64">
        <v>60</v>
      </c>
      <c r="N297" s="64">
        <v>41</v>
      </c>
      <c r="O297" s="64">
        <v>0</v>
      </c>
      <c r="P297" s="64">
        <v>29</v>
      </c>
      <c r="Q297" s="64">
        <v>21</v>
      </c>
      <c r="R297" s="64">
        <v>0</v>
      </c>
      <c r="S297" s="64">
        <v>0</v>
      </c>
      <c r="T297" s="64">
        <v>0</v>
      </c>
      <c r="U297" s="64">
        <v>30</v>
      </c>
      <c r="V297" s="64">
        <v>30</v>
      </c>
      <c r="W297" s="64">
        <v>40</v>
      </c>
      <c r="X297" s="64">
        <v>46.34</v>
      </c>
      <c r="Y297" s="64">
        <v>29.27</v>
      </c>
      <c r="Z297" s="64">
        <v>24.39</v>
      </c>
      <c r="AA297" s="64">
        <v>34.479999999999997</v>
      </c>
      <c r="AB297" s="64">
        <v>33.33</v>
      </c>
      <c r="AC297" s="64">
        <v>27</v>
      </c>
      <c r="AD297" s="64">
        <v>26</v>
      </c>
      <c r="AE297" s="64">
        <v>37.04</v>
      </c>
      <c r="AF297" s="64">
        <v>53.85</v>
      </c>
      <c r="AG297" s="51">
        <f t="shared" si="41"/>
        <v>-6.3170000000000002</v>
      </c>
      <c r="AH297" s="52">
        <f t="shared" si="42"/>
        <v>6.3170000000000002</v>
      </c>
      <c r="AI297" s="52" t="str">
        <f t="shared" si="43"/>
        <v>N</v>
      </c>
      <c r="AJ297" s="52" t="str">
        <f t="shared" si="44"/>
        <v>N</v>
      </c>
      <c r="AK297" s="50" t="str">
        <f t="shared" si="45"/>
        <v>Win</v>
      </c>
      <c r="AL297" s="50" t="str">
        <f t="shared" si="46"/>
        <v>Loss</v>
      </c>
      <c r="AM297" s="50" t="str">
        <f t="shared" si="47"/>
        <v>Loss</v>
      </c>
      <c r="AN297" s="50">
        <f t="shared" si="48"/>
        <v>72</v>
      </c>
      <c r="AO297" s="50">
        <f t="shared" si="49"/>
        <v>-50</v>
      </c>
      <c r="AP297" s="50">
        <f t="shared" si="50"/>
        <v>-50</v>
      </c>
    </row>
    <row r="298" spans="1:42" x14ac:dyDescent="0.25">
      <c r="A298" s="63">
        <v>43624</v>
      </c>
      <c r="B298" s="64" t="s">
        <v>1038</v>
      </c>
      <c r="C298" s="64" t="s">
        <v>1039</v>
      </c>
      <c r="D298" s="64" t="s">
        <v>1069</v>
      </c>
      <c r="E298" s="64" t="s">
        <v>1070</v>
      </c>
      <c r="F298" s="64" t="s">
        <v>1071</v>
      </c>
      <c r="G298" s="64">
        <v>0</v>
      </c>
      <c r="H298" s="64">
        <v>2</v>
      </c>
      <c r="I298" s="64">
        <v>4.93</v>
      </c>
      <c r="J298" s="64">
        <v>3.88</v>
      </c>
      <c r="K298" s="64">
        <v>1.61</v>
      </c>
      <c r="L298" s="64">
        <v>3.32</v>
      </c>
      <c r="M298" s="64">
        <v>20</v>
      </c>
      <c r="N298" s="64">
        <v>18</v>
      </c>
      <c r="O298" s="64">
        <v>2</v>
      </c>
      <c r="P298" s="64">
        <v>10</v>
      </c>
      <c r="Q298" s="64">
        <v>9</v>
      </c>
      <c r="R298" s="64">
        <v>0</v>
      </c>
      <c r="S298" s="64">
        <v>50</v>
      </c>
      <c r="T298" s="64">
        <v>50</v>
      </c>
      <c r="U298" s="64">
        <v>30</v>
      </c>
      <c r="V298" s="64">
        <v>40</v>
      </c>
      <c r="W298" s="64">
        <v>30</v>
      </c>
      <c r="X298" s="64">
        <v>38.89</v>
      </c>
      <c r="Y298" s="64">
        <v>38.89</v>
      </c>
      <c r="Z298" s="64">
        <v>22.22</v>
      </c>
      <c r="AA298" s="64">
        <v>30</v>
      </c>
      <c r="AB298" s="64">
        <v>11.11</v>
      </c>
      <c r="AC298" s="64">
        <v>10</v>
      </c>
      <c r="AD298" s="64">
        <v>11</v>
      </c>
      <c r="AE298" s="64">
        <v>50</v>
      </c>
      <c r="AF298" s="64">
        <v>54.55</v>
      </c>
      <c r="AG298" s="51">
        <f t="shared" si="41"/>
        <v>-13.223000000000003</v>
      </c>
      <c r="AH298" s="52">
        <f t="shared" si="42"/>
        <v>23.222999999999999</v>
      </c>
      <c r="AI298" s="52" t="str">
        <f t="shared" si="43"/>
        <v>N</v>
      </c>
      <c r="AJ298" s="52" t="str">
        <f t="shared" si="44"/>
        <v>N</v>
      </c>
      <c r="AK298" s="50" t="str">
        <f t="shared" si="45"/>
        <v>Loss</v>
      </c>
      <c r="AL298" s="50" t="str">
        <f t="shared" si="46"/>
        <v>Loss</v>
      </c>
      <c r="AM298" s="50" t="str">
        <f t="shared" si="47"/>
        <v>Win</v>
      </c>
      <c r="AN298" s="50">
        <f t="shared" si="48"/>
        <v>-50</v>
      </c>
      <c r="AO298" s="50">
        <f t="shared" si="49"/>
        <v>-50</v>
      </c>
      <c r="AP298" s="50">
        <f t="shared" si="50"/>
        <v>30.5</v>
      </c>
    </row>
    <row r="299" spans="1:42" x14ac:dyDescent="0.25">
      <c r="A299" s="63">
        <v>43624</v>
      </c>
      <c r="B299" s="64" t="s">
        <v>1038</v>
      </c>
      <c r="C299" s="64" t="s">
        <v>1039</v>
      </c>
      <c r="D299" s="64" t="s">
        <v>1072</v>
      </c>
      <c r="E299" s="64" t="s">
        <v>1073</v>
      </c>
      <c r="F299" s="64" t="s">
        <v>1074</v>
      </c>
      <c r="G299" s="64">
        <v>0</v>
      </c>
      <c r="H299" s="64">
        <v>0</v>
      </c>
      <c r="I299" s="64">
        <v>3.07</v>
      </c>
      <c r="J299" s="64">
        <v>3.27</v>
      </c>
      <c r="K299" s="64">
        <v>2.2200000000000002</v>
      </c>
      <c r="L299" s="64">
        <v>0.85</v>
      </c>
      <c r="M299" s="64">
        <v>18</v>
      </c>
      <c r="N299" s="64">
        <v>17</v>
      </c>
      <c r="O299" s="64">
        <v>0</v>
      </c>
      <c r="P299" s="64">
        <v>8</v>
      </c>
      <c r="Q299" s="64">
        <v>8</v>
      </c>
      <c r="R299" s="64">
        <v>0</v>
      </c>
      <c r="S299" s="64">
        <v>0</v>
      </c>
      <c r="T299" s="64">
        <v>0</v>
      </c>
      <c r="U299" s="64">
        <v>22.22</v>
      </c>
      <c r="V299" s="64">
        <v>44.44</v>
      </c>
      <c r="W299" s="64">
        <v>33.33</v>
      </c>
      <c r="X299" s="64">
        <v>52.94</v>
      </c>
      <c r="Y299" s="64">
        <v>5.88</v>
      </c>
      <c r="Z299" s="64">
        <v>41.18</v>
      </c>
      <c r="AA299" s="64">
        <v>25</v>
      </c>
      <c r="AB299" s="64">
        <v>50</v>
      </c>
      <c r="AC299" s="64">
        <v>8</v>
      </c>
      <c r="AD299" s="64">
        <v>10</v>
      </c>
      <c r="AE299" s="64">
        <v>25</v>
      </c>
      <c r="AF299" s="64">
        <v>50</v>
      </c>
      <c r="AG299" s="51">
        <f t="shared" si="41"/>
        <v>-0.71799999999999997</v>
      </c>
      <c r="AH299" s="52">
        <f t="shared" si="42"/>
        <v>0.71799999999999997</v>
      </c>
      <c r="AI299" s="52" t="str">
        <f t="shared" si="43"/>
        <v>N</v>
      </c>
      <c r="AJ299" s="52" t="str">
        <f t="shared" si="44"/>
        <v>N</v>
      </c>
      <c r="AK299" s="50" t="str">
        <f t="shared" si="45"/>
        <v>Loss</v>
      </c>
      <c r="AL299" s="50" t="str">
        <f t="shared" si="46"/>
        <v>Win</v>
      </c>
      <c r="AM299" s="50" t="str">
        <f t="shared" si="47"/>
        <v>Loss</v>
      </c>
      <c r="AN299" s="50">
        <f t="shared" si="48"/>
        <v>-50</v>
      </c>
      <c r="AO299" s="50">
        <f t="shared" si="49"/>
        <v>113.5</v>
      </c>
      <c r="AP299" s="50">
        <f t="shared" si="50"/>
        <v>-50</v>
      </c>
    </row>
    <row r="300" spans="1:42" x14ac:dyDescent="0.25">
      <c r="A300" s="63">
        <v>43624</v>
      </c>
      <c r="B300" s="64" t="s">
        <v>115</v>
      </c>
      <c r="C300" s="64" t="s">
        <v>120</v>
      </c>
      <c r="D300" s="64" t="s">
        <v>1075</v>
      </c>
      <c r="E300" s="64" t="s">
        <v>1076</v>
      </c>
      <c r="F300" s="64" t="s">
        <v>1077</v>
      </c>
      <c r="G300" s="64">
        <v>2</v>
      </c>
      <c r="H300" s="64">
        <v>2</v>
      </c>
      <c r="I300" s="64">
        <v>1.87</v>
      </c>
      <c r="J300" s="64">
        <v>3.83</v>
      </c>
      <c r="K300" s="64">
        <v>3.82</v>
      </c>
      <c r="L300" s="64">
        <v>-1.95</v>
      </c>
      <c r="M300" s="64">
        <v>15</v>
      </c>
      <c r="N300" s="64">
        <v>17</v>
      </c>
      <c r="O300" s="64">
        <v>1</v>
      </c>
      <c r="P300" s="64">
        <v>7</v>
      </c>
      <c r="Q300" s="64">
        <v>9</v>
      </c>
      <c r="R300" s="64">
        <v>0</v>
      </c>
      <c r="S300" s="64">
        <v>100</v>
      </c>
      <c r="T300" s="64">
        <v>0</v>
      </c>
      <c r="U300" s="64">
        <v>33.33</v>
      </c>
      <c r="V300" s="64">
        <v>20</v>
      </c>
      <c r="W300" s="64">
        <v>46.67</v>
      </c>
      <c r="X300" s="64">
        <v>41.18</v>
      </c>
      <c r="Y300" s="64">
        <v>17.649999999999999</v>
      </c>
      <c r="Z300" s="64">
        <v>41.18</v>
      </c>
      <c r="AA300" s="64">
        <v>57.14</v>
      </c>
      <c r="AB300" s="64">
        <v>33.33</v>
      </c>
      <c r="AC300" s="64">
        <v>4</v>
      </c>
      <c r="AD300" s="64">
        <v>8</v>
      </c>
      <c r="AE300" s="64">
        <v>50</v>
      </c>
      <c r="AF300" s="64">
        <v>62.5</v>
      </c>
      <c r="AG300" s="51">
        <f t="shared" si="41"/>
        <v>7.5669999999999993</v>
      </c>
      <c r="AH300" s="52">
        <f t="shared" si="42"/>
        <v>12.433000000000003</v>
      </c>
      <c r="AI300" s="52" t="str">
        <f t="shared" si="43"/>
        <v>N</v>
      </c>
      <c r="AJ300" s="52" t="str">
        <f t="shared" si="44"/>
        <v>N</v>
      </c>
      <c r="AK300" s="50" t="str">
        <f t="shared" si="45"/>
        <v>Loss</v>
      </c>
      <c r="AL300" s="50" t="str">
        <f t="shared" si="46"/>
        <v>Win</v>
      </c>
      <c r="AM300" s="50" t="str">
        <f t="shared" si="47"/>
        <v>Loss</v>
      </c>
      <c r="AN300" s="50">
        <f t="shared" si="48"/>
        <v>-50</v>
      </c>
      <c r="AO300" s="50">
        <f t="shared" si="49"/>
        <v>141.5</v>
      </c>
      <c r="AP300" s="50">
        <f t="shared" si="50"/>
        <v>-50</v>
      </c>
    </row>
    <row r="301" spans="1:42" x14ac:dyDescent="0.25">
      <c r="A301" s="63">
        <v>43624</v>
      </c>
      <c r="B301" s="64" t="s">
        <v>1078</v>
      </c>
      <c r="C301" s="64" t="s">
        <v>1079</v>
      </c>
      <c r="D301" s="64" t="s">
        <v>1080</v>
      </c>
      <c r="E301" s="64" t="s">
        <v>1081</v>
      </c>
      <c r="F301" s="64" t="s">
        <v>1082</v>
      </c>
      <c r="G301" s="64">
        <v>3</v>
      </c>
      <c r="H301" s="64">
        <v>1</v>
      </c>
      <c r="I301" s="64">
        <v>1.99</v>
      </c>
      <c r="J301" s="64">
        <v>3.27</v>
      </c>
      <c r="K301" s="64">
        <v>3.31</v>
      </c>
      <c r="L301" s="64">
        <v>-1.32</v>
      </c>
      <c r="M301" s="64">
        <v>4</v>
      </c>
      <c r="N301" s="64">
        <v>6</v>
      </c>
      <c r="O301" s="64">
        <v>0</v>
      </c>
      <c r="P301" s="64">
        <v>2</v>
      </c>
      <c r="Q301" s="64">
        <v>3</v>
      </c>
      <c r="R301" s="64">
        <v>0</v>
      </c>
      <c r="S301" s="64">
        <v>0</v>
      </c>
      <c r="T301" s="64">
        <v>0</v>
      </c>
      <c r="U301" s="64">
        <v>50</v>
      </c>
      <c r="V301" s="64">
        <v>25</v>
      </c>
      <c r="W301" s="64">
        <v>25</v>
      </c>
      <c r="X301" s="64">
        <v>50</v>
      </c>
      <c r="Y301" s="64">
        <v>33.33</v>
      </c>
      <c r="Z301" s="64">
        <v>16.670000000000002</v>
      </c>
      <c r="AA301" s="64">
        <v>50</v>
      </c>
      <c r="AB301" s="64">
        <v>66.67</v>
      </c>
      <c r="AC301" s="64">
        <v>0</v>
      </c>
      <c r="AD301" s="64">
        <v>2</v>
      </c>
      <c r="AE301" s="64">
        <v>0</v>
      </c>
      <c r="AF301" s="64">
        <v>50</v>
      </c>
      <c r="AG301" s="51">
        <f t="shared" si="41"/>
        <v>-2.4989999999999997</v>
      </c>
      <c r="AH301" s="52">
        <f t="shared" si="42"/>
        <v>2.4989999999999997</v>
      </c>
      <c r="AI301" s="52" t="str">
        <f t="shared" si="43"/>
        <v>N</v>
      </c>
      <c r="AJ301" s="52" t="str">
        <f t="shared" si="44"/>
        <v>N</v>
      </c>
      <c r="AK301" s="50" t="str">
        <f t="shared" si="45"/>
        <v>Win</v>
      </c>
      <c r="AL301" s="50" t="str">
        <f t="shared" si="46"/>
        <v>Loss</v>
      </c>
      <c r="AM301" s="50" t="str">
        <f t="shared" si="47"/>
        <v>Loss</v>
      </c>
      <c r="AN301" s="50">
        <f t="shared" si="48"/>
        <v>49.5</v>
      </c>
      <c r="AO301" s="50">
        <f t="shared" si="49"/>
        <v>-50</v>
      </c>
      <c r="AP301" s="50">
        <f t="shared" si="50"/>
        <v>-50</v>
      </c>
    </row>
    <row r="302" spans="1:42" x14ac:dyDescent="0.25">
      <c r="A302" s="63">
        <v>43624</v>
      </c>
      <c r="B302" s="64" t="s">
        <v>110</v>
      </c>
      <c r="C302" s="64" t="s">
        <v>1031</v>
      </c>
      <c r="D302" s="64" t="s">
        <v>1083</v>
      </c>
      <c r="E302" s="64" t="s">
        <v>1084</v>
      </c>
      <c r="F302" s="64" t="s">
        <v>1085</v>
      </c>
      <c r="G302" s="64">
        <v>2</v>
      </c>
      <c r="H302" s="64">
        <v>1</v>
      </c>
      <c r="I302" s="64">
        <v>1.84</v>
      </c>
      <c r="J302" s="64">
        <v>3.17</v>
      </c>
      <c r="K302" s="64">
        <v>4.4800000000000004</v>
      </c>
      <c r="L302" s="64">
        <v>-2.64</v>
      </c>
      <c r="M302" s="64">
        <v>34</v>
      </c>
      <c r="N302" s="64">
        <v>35</v>
      </c>
      <c r="O302" s="64">
        <v>0</v>
      </c>
      <c r="P302" s="64">
        <v>18</v>
      </c>
      <c r="Q302" s="64">
        <v>17</v>
      </c>
      <c r="R302" s="64">
        <v>0</v>
      </c>
      <c r="S302" s="64">
        <v>0</v>
      </c>
      <c r="T302" s="64">
        <v>0</v>
      </c>
      <c r="U302" s="64">
        <v>41.18</v>
      </c>
      <c r="V302" s="64">
        <v>29.41</v>
      </c>
      <c r="W302" s="64">
        <v>29.41</v>
      </c>
      <c r="X302" s="64">
        <v>37.14</v>
      </c>
      <c r="Y302" s="64">
        <v>22.86</v>
      </c>
      <c r="Z302" s="64">
        <v>40</v>
      </c>
      <c r="AA302" s="64">
        <v>44.44</v>
      </c>
      <c r="AB302" s="64">
        <v>17.649999999999999</v>
      </c>
      <c r="AC302" s="64">
        <v>21</v>
      </c>
      <c r="AD302" s="64">
        <v>16</v>
      </c>
      <c r="AE302" s="64">
        <v>47.62</v>
      </c>
      <c r="AF302" s="64">
        <v>56.25</v>
      </c>
      <c r="AG302" s="51">
        <f t="shared" si="41"/>
        <v>3.5809999999999995</v>
      </c>
      <c r="AH302" s="52">
        <f t="shared" si="42"/>
        <v>-3.5809999999999995</v>
      </c>
      <c r="AI302" s="52" t="str">
        <f t="shared" si="43"/>
        <v>N</v>
      </c>
      <c r="AJ302" s="52" t="str">
        <f t="shared" si="44"/>
        <v>N</v>
      </c>
      <c r="AK302" s="50" t="str">
        <f t="shared" si="45"/>
        <v>Win</v>
      </c>
      <c r="AL302" s="50" t="str">
        <f t="shared" si="46"/>
        <v>Loss</v>
      </c>
      <c r="AM302" s="50" t="str">
        <f t="shared" si="47"/>
        <v>Loss</v>
      </c>
      <c r="AN302" s="50">
        <f t="shared" si="48"/>
        <v>42</v>
      </c>
      <c r="AO302" s="50">
        <f t="shared" si="49"/>
        <v>-50</v>
      </c>
      <c r="AP302" s="50">
        <f t="shared" si="50"/>
        <v>-50</v>
      </c>
    </row>
    <row r="303" spans="1:42" x14ac:dyDescent="0.25">
      <c r="A303" s="63">
        <v>43624</v>
      </c>
      <c r="B303" s="64" t="s">
        <v>151</v>
      </c>
      <c r="C303" s="64" t="s">
        <v>111</v>
      </c>
      <c r="D303" s="64" t="s">
        <v>1086</v>
      </c>
      <c r="E303" s="64" t="s">
        <v>1087</v>
      </c>
      <c r="F303" s="64" t="s">
        <v>1088</v>
      </c>
      <c r="G303" s="64">
        <v>5</v>
      </c>
      <c r="H303" s="64">
        <v>0</v>
      </c>
      <c r="I303" s="64">
        <v>1.19</v>
      </c>
      <c r="J303" s="64">
        <v>5.44</v>
      </c>
      <c r="K303" s="64">
        <v>12.8</v>
      </c>
      <c r="L303" s="64">
        <v>-11.61</v>
      </c>
      <c r="M303" s="64">
        <v>0</v>
      </c>
      <c r="N303" s="64">
        <v>0</v>
      </c>
      <c r="O303" s="64">
        <v>0</v>
      </c>
      <c r="P303" s="64">
        <v>0</v>
      </c>
      <c r="Q303" s="64">
        <v>0</v>
      </c>
      <c r="R303" s="64">
        <v>0</v>
      </c>
      <c r="S303" s="64">
        <v>0</v>
      </c>
      <c r="T303" s="64">
        <v>0</v>
      </c>
      <c r="U303" s="64">
        <v>0</v>
      </c>
      <c r="V303" s="64">
        <v>0</v>
      </c>
      <c r="W303" s="64">
        <v>0</v>
      </c>
      <c r="X303" s="64">
        <v>0</v>
      </c>
      <c r="Y303" s="64">
        <v>0</v>
      </c>
      <c r="Z303" s="64">
        <v>0</v>
      </c>
      <c r="AA303" s="64">
        <v>0</v>
      </c>
      <c r="AB303" s="64">
        <v>0</v>
      </c>
      <c r="AC303" s="64">
        <v>0</v>
      </c>
      <c r="AD303" s="64">
        <v>0</v>
      </c>
      <c r="AE303" s="64">
        <v>0</v>
      </c>
      <c r="AF303" s="64">
        <v>0</v>
      </c>
      <c r="AG303" s="51">
        <f t="shared" si="41"/>
        <v>0</v>
      </c>
      <c r="AH303" s="52">
        <f t="shared" si="42"/>
        <v>0</v>
      </c>
      <c r="AI303" s="52" t="str">
        <f t="shared" si="43"/>
        <v>N</v>
      </c>
      <c r="AJ303" s="52" t="str">
        <f t="shared" si="44"/>
        <v>N</v>
      </c>
      <c r="AK303" s="50" t="str">
        <f t="shared" si="45"/>
        <v>Win</v>
      </c>
      <c r="AL303" s="50" t="str">
        <f t="shared" si="46"/>
        <v>Loss</v>
      </c>
      <c r="AM303" s="50" t="str">
        <f t="shared" si="47"/>
        <v>Loss</v>
      </c>
      <c r="AN303" s="50">
        <f t="shared" si="48"/>
        <v>9.5</v>
      </c>
      <c r="AO303" s="50">
        <f t="shared" si="49"/>
        <v>-50</v>
      </c>
      <c r="AP303" s="50">
        <f t="shared" si="50"/>
        <v>-50</v>
      </c>
    </row>
    <row r="304" spans="1:42" x14ac:dyDescent="0.25">
      <c r="A304" s="63">
        <v>43624</v>
      </c>
      <c r="B304" s="64" t="s">
        <v>151</v>
      </c>
      <c r="C304" s="64" t="s">
        <v>111</v>
      </c>
      <c r="D304" s="64" t="s">
        <v>1089</v>
      </c>
      <c r="E304" s="64" t="s">
        <v>1090</v>
      </c>
      <c r="F304" s="64" t="s">
        <v>1091</v>
      </c>
      <c r="G304" s="64">
        <v>2</v>
      </c>
      <c r="H304" s="64">
        <v>1</v>
      </c>
      <c r="I304" s="64">
        <v>2.16</v>
      </c>
      <c r="J304" s="64">
        <v>3.21</v>
      </c>
      <c r="K304" s="64">
        <v>3.07</v>
      </c>
      <c r="L304" s="64">
        <v>-0.91</v>
      </c>
      <c r="M304" s="64">
        <v>0</v>
      </c>
      <c r="N304" s="64">
        <v>0</v>
      </c>
      <c r="O304" s="64">
        <v>0</v>
      </c>
      <c r="P304" s="64">
        <v>0</v>
      </c>
      <c r="Q304" s="64">
        <v>0</v>
      </c>
      <c r="R304" s="64">
        <v>0</v>
      </c>
      <c r="S304" s="64">
        <v>0</v>
      </c>
      <c r="T304" s="64">
        <v>0</v>
      </c>
      <c r="U304" s="64">
        <v>0</v>
      </c>
      <c r="V304" s="64">
        <v>0</v>
      </c>
      <c r="W304" s="64">
        <v>0</v>
      </c>
      <c r="X304" s="64">
        <v>0</v>
      </c>
      <c r="Y304" s="64">
        <v>0</v>
      </c>
      <c r="Z304" s="64">
        <v>0</v>
      </c>
      <c r="AA304" s="64">
        <v>0</v>
      </c>
      <c r="AB304" s="64">
        <v>0</v>
      </c>
      <c r="AC304" s="64">
        <v>0</v>
      </c>
      <c r="AD304" s="64">
        <v>0</v>
      </c>
      <c r="AE304" s="64">
        <v>0</v>
      </c>
      <c r="AF304" s="64">
        <v>0</v>
      </c>
      <c r="AG304" s="51">
        <f t="shared" si="41"/>
        <v>0</v>
      </c>
      <c r="AH304" s="52">
        <f t="shared" si="42"/>
        <v>0</v>
      </c>
      <c r="AI304" s="52" t="str">
        <f t="shared" si="43"/>
        <v>N</v>
      </c>
      <c r="AJ304" s="52" t="str">
        <f t="shared" si="44"/>
        <v>N</v>
      </c>
      <c r="AK304" s="50" t="str">
        <f t="shared" si="45"/>
        <v>Win</v>
      </c>
      <c r="AL304" s="50" t="str">
        <f t="shared" si="46"/>
        <v>Loss</v>
      </c>
      <c r="AM304" s="50" t="str">
        <f t="shared" si="47"/>
        <v>Loss</v>
      </c>
      <c r="AN304" s="50">
        <f t="shared" si="48"/>
        <v>58</v>
      </c>
      <c r="AO304" s="50">
        <f t="shared" si="49"/>
        <v>-50</v>
      </c>
      <c r="AP304" s="50">
        <f t="shared" si="50"/>
        <v>-50</v>
      </c>
    </row>
    <row r="305" spans="1:42" x14ac:dyDescent="0.25">
      <c r="A305" s="63">
        <v>43624</v>
      </c>
      <c r="B305" s="64" t="s">
        <v>115</v>
      </c>
      <c r="C305" s="64" t="s">
        <v>138</v>
      </c>
      <c r="D305" s="64" t="s">
        <v>1092</v>
      </c>
      <c r="E305" s="64" t="s">
        <v>1093</v>
      </c>
      <c r="F305" s="64" t="s">
        <v>1094</v>
      </c>
      <c r="G305" s="64">
        <v>3</v>
      </c>
      <c r="H305" s="64">
        <v>0</v>
      </c>
      <c r="I305" s="64">
        <v>2.15</v>
      </c>
      <c r="J305" s="64">
        <v>3.38</v>
      </c>
      <c r="K305" s="64">
        <v>2.9</v>
      </c>
      <c r="L305" s="64">
        <v>-0.75</v>
      </c>
      <c r="M305" s="64">
        <v>4</v>
      </c>
      <c r="N305" s="64">
        <v>5</v>
      </c>
      <c r="O305" s="64">
        <v>0</v>
      </c>
      <c r="P305" s="64">
        <v>2</v>
      </c>
      <c r="Q305" s="64">
        <v>3</v>
      </c>
      <c r="R305" s="64">
        <v>0</v>
      </c>
      <c r="S305" s="64">
        <v>0</v>
      </c>
      <c r="T305" s="64">
        <v>0</v>
      </c>
      <c r="U305" s="64">
        <v>50</v>
      </c>
      <c r="V305" s="64">
        <v>25</v>
      </c>
      <c r="W305" s="64">
        <v>25</v>
      </c>
      <c r="X305" s="64">
        <v>40</v>
      </c>
      <c r="Y305" s="64">
        <v>40</v>
      </c>
      <c r="Z305" s="64">
        <v>20</v>
      </c>
      <c r="AA305" s="64">
        <v>100</v>
      </c>
      <c r="AB305" s="64">
        <v>33.33</v>
      </c>
      <c r="AC305" s="64">
        <v>2</v>
      </c>
      <c r="AD305" s="64">
        <v>1</v>
      </c>
      <c r="AE305" s="64">
        <v>50</v>
      </c>
      <c r="AF305" s="64">
        <v>100</v>
      </c>
      <c r="AG305" s="51">
        <f t="shared" si="41"/>
        <v>-0.5</v>
      </c>
      <c r="AH305" s="52">
        <f t="shared" si="42"/>
        <v>0.5</v>
      </c>
      <c r="AI305" s="52" t="str">
        <f t="shared" si="43"/>
        <v>Y</v>
      </c>
      <c r="AJ305" s="52" t="str">
        <f t="shared" si="44"/>
        <v>N</v>
      </c>
      <c r="AK305" s="50" t="str">
        <f t="shared" si="45"/>
        <v>Win</v>
      </c>
      <c r="AL305" s="50" t="str">
        <f t="shared" si="46"/>
        <v>Loss</v>
      </c>
      <c r="AM305" s="50" t="str">
        <f t="shared" si="47"/>
        <v>Loss</v>
      </c>
      <c r="AN305" s="50">
        <f t="shared" si="48"/>
        <v>57.5</v>
      </c>
      <c r="AO305" s="50">
        <f t="shared" si="49"/>
        <v>-50</v>
      </c>
      <c r="AP305" s="50">
        <f t="shared" si="50"/>
        <v>-50</v>
      </c>
    </row>
    <row r="306" spans="1:42" x14ac:dyDescent="0.25">
      <c r="A306" s="63">
        <v>43624</v>
      </c>
      <c r="B306" s="64" t="s">
        <v>944</v>
      </c>
      <c r="C306" s="64" t="s">
        <v>1095</v>
      </c>
      <c r="D306" s="64" t="s">
        <v>1096</v>
      </c>
      <c r="E306" s="64" t="s">
        <v>1097</v>
      </c>
      <c r="F306" s="64" t="s">
        <v>1098</v>
      </c>
      <c r="G306" s="64">
        <v>0</v>
      </c>
      <c r="H306" s="64">
        <v>1</v>
      </c>
      <c r="I306" s="64">
        <v>2.0699999999999998</v>
      </c>
      <c r="J306" s="64">
        <v>2.92</v>
      </c>
      <c r="K306" s="64">
        <v>3.91</v>
      </c>
      <c r="L306" s="64">
        <v>-1.84</v>
      </c>
      <c r="M306" s="64">
        <v>30</v>
      </c>
      <c r="N306" s="64">
        <v>68</v>
      </c>
      <c r="O306" s="64">
        <v>2</v>
      </c>
      <c r="P306" s="64">
        <v>15</v>
      </c>
      <c r="Q306" s="64">
        <v>34</v>
      </c>
      <c r="R306" s="64">
        <v>0</v>
      </c>
      <c r="S306" s="64">
        <v>100</v>
      </c>
      <c r="T306" s="64">
        <v>0</v>
      </c>
      <c r="U306" s="64">
        <v>46.67</v>
      </c>
      <c r="V306" s="64">
        <v>36.67</v>
      </c>
      <c r="W306" s="64">
        <v>16.670000000000002</v>
      </c>
      <c r="X306" s="64">
        <v>32.35</v>
      </c>
      <c r="Y306" s="64">
        <v>41.18</v>
      </c>
      <c r="Z306" s="64">
        <v>26.47</v>
      </c>
      <c r="AA306" s="64">
        <v>33.33</v>
      </c>
      <c r="AB306" s="64">
        <v>29.41</v>
      </c>
      <c r="AC306" s="64">
        <v>19</v>
      </c>
      <c r="AD306" s="64">
        <v>40</v>
      </c>
      <c r="AE306" s="64">
        <v>47.37</v>
      </c>
      <c r="AF306" s="64">
        <v>32.5</v>
      </c>
      <c r="AG306" s="51">
        <f t="shared" si="41"/>
        <v>14.373000000000005</v>
      </c>
      <c r="AH306" s="52">
        <f t="shared" si="42"/>
        <v>5.6269999999999989</v>
      </c>
      <c r="AI306" s="52" t="str">
        <f t="shared" si="43"/>
        <v>N</v>
      </c>
      <c r="AJ306" s="52" t="str">
        <f t="shared" si="44"/>
        <v>N</v>
      </c>
      <c r="AK306" s="50" t="str">
        <f t="shared" si="45"/>
        <v>Loss</v>
      </c>
      <c r="AL306" s="50" t="str">
        <f t="shared" si="46"/>
        <v>Loss</v>
      </c>
      <c r="AM306" s="50" t="str">
        <f t="shared" si="47"/>
        <v>Win</v>
      </c>
      <c r="AN306" s="50">
        <f t="shared" si="48"/>
        <v>-50</v>
      </c>
      <c r="AO306" s="50">
        <f t="shared" si="49"/>
        <v>-50</v>
      </c>
      <c r="AP306" s="50">
        <f t="shared" si="50"/>
        <v>145.5</v>
      </c>
    </row>
    <row r="307" spans="1:42" x14ac:dyDescent="0.25">
      <c r="A307" s="63">
        <v>43624</v>
      </c>
      <c r="B307" s="64" t="s">
        <v>161</v>
      </c>
      <c r="C307" s="64" t="s">
        <v>162</v>
      </c>
      <c r="D307" s="64" t="s">
        <v>1099</v>
      </c>
      <c r="E307" s="64" t="s">
        <v>1100</v>
      </c>
      <c r="F307" s="64" t="s">
        <v>1101</v>
      </c>
      <c r="G307" s="64">
        <v>3</v>
      </c>
      <c r="H307" s="64">
        <v>1</v>
      </c>
      <c r="I307" s="64">
        <v>1.38</v>
      </c>
      <c r="J307" s="64">
        <v>4.78</v>
      </c>
      <c r="K307" s="64">
        <v>7.07</v>
      </c>
      <c r="L307" s="64">
        <v>-5.69</v>
      </c>
      <c r="M307" s="64">
        <v>22</v>
      </c>
      <c r="N307" s="64">
        <v>16</v>
      </c>
      <c r="O307" s="64">
        <v>0</v>
      </c>
      <c r="P307" s="64">
        <v>12</v>
      </c>
      <c r="Q307" s="64">
        <v>7</v>
      </c>
      <c r="R307" s="64">
        <v>0</v>
      </c>
      <c r="S307" s="64">
        <v>0</v>
      </c>
      <c r="T307" s="64">
        <v>0</v>
      </c>
      <c r="U307" s="64">
        <v>50</v>
      </c>
      <c r="V307" s="64">
        <v>22.73</v>
      </c>
      <c r="W307" s="64">
        <v>27.27</v>
      </c>
      <c r="X307" s="64">
        <v>75</v>
      </c>
      <c r="Y307" s="64">
        <v>0</v>
      </c>
      <c r="Z307" s="64">
        <v>25</v>
      </c>
      <c r="AA307" s="64">
        <v>75</v>
      </c>
      <c r="AB307" s="64">
        <v>57.14</v>
      </c>
      <c r="AC307" s="64">
        <v>17</v>
      </c>
      <c r="AD307" s="64">
        <v>9</v>
      </c>
      <c r="AE307" s="64">
        <v>58.82</v>
      </c>
      <c r="AF307" s="64">
        <v>88.89</v>
      </c>
      <c r="AG307" s="51">
        <f t="shared" si="41"/>
        <v>-3.1810000000000009</v>
      </c>
      <c r="AH307" s="52">
        <f t="shared" si="42"/>
        <v>3.1810000000000009</v>
      </c>
      <c r="AI307" s="52" t="str">
        <f t="shared" si="43"/>
        <v>N</v>
      </c>
      <c r="AJ307" s="52" t="str">
        <f t="shared" si="44"/>
        <v>N</v>
      </c>
      <c r="AK307" s="50" t="str">
        <f t="shared" si="45"/>
        <v>Win</v>
      </c>
      <c r="AL307" s="50" t="str">
        <f t="shared" si="46"/>
        <v>Loss</v>
      </c>
      <c r="AM307" s="50" t="str">
        <f t="shared" si="47"/>
        <v>Loss</v>
      </c>
      <c r="AN307" s="50">
        <f t="shared" si="48"/>
        <v>19</v>
      </c>
      <c r="AO307" s="50">
        <f t="shared" si="49"/>
        <v>-50</v>
      </c>
      <c r="AP307" s="50">
        <f t="shared" si="50"/>
        <v>-50</v>
      </c>
    </row>
    <row r="308" spans="1:42" x14ac:dyDescent="0.25">
      <c r="A308" s="63">
        <v>43624</v>
      </c>
      <c r="B308" s="64" t="s">
        <v>161</v>
      </c>
      <c r="C308" s="64" t="s">
        <v>1102</v>
      </c>
      <c r="D308" s="64" t="s">
        <v>1103</v>
      </c>
      <c r="E308" s="64" t="s">
        <v>1104</v>
      </c>
      <c r="F308" s="64" t="s">
        <v>1105</v>
      </c>
      <c r="G308" s="64">
        <v>1</v>
      </c>
      <c r="H308" s="64">
        <v>1</v>
      </c>
      <c r="I308" s="64">
        <v>2.23</v>
      </c>
      <c r="J308" s="64">
        <v>3.4</v>
      </c>
      <c r="K308" s="64">
        <v>2.72</v>
      </c>
      <c r="L308" s="64">
        <v>-0.49</v>
      </c>
      <c r="M308" s="64">
        <v>30</v>
      </c>
      <c r="N308" s="64">
        <v>43</v>
      </c>
      <c r="O308" s="64">
        <v>2</v>
      </c>
      <c r="P308" s="64">
        <v>14</v>
      </c>
      <c r="Q308" s="64">
        <v>21</v>
      </c>
      <c r="R308" s="64">
        <v>50</v>
      </c>
      <c r="S308" s="64">
        <v>0</v>
      </c>
      <c r="T308" s="64">
        <v>50</v>
      </c>
      <c r="U308" s="64">
        <v>30</v>
      </c>
      <c r="V308" s="64">
        <v>33.33</v>
      </c>
      <c r="W308" s="64">
        <v>36.67</v>
      </c>
      <c r="X308" s="64">
        <v>48.84</v>
      </c>
      <c r="Y308" s="64">
        <v>13.95</v>
      </c>
      <c r="Z308" s="64">
        <v>37.21</v>
      </c>
      <c r="AA308" s="64">
        <v>42.86</v>
      </c>
      <c r="AB308" s="64">
        <v>23.81</v>
      </c>
      <c r="AC308" s="64">
        <v>11</v>
      </c>
      <c r="AD308" s="64">
        <v>27</v>
      </c>
      <c r="AE308" s="64">
        <v>36.36</v>
      </c>
      <c r="AF308" s="64">
        <v>62.96</v>
      </c>
      <c r="AG308" s="51">
        <f t="shared" si="41"/>
        <v>-1.7220000000000013</v>
      </c>
      <c r="AH308" s="52">
        <f t="shared" si="42"/>
        <v>1.7220000000000013</v>
      </c>
      <c r="AI308" s="52" t="str">
        <f t="shared" si="43"/>
        <v>N</v>
      </c>
      <c r="AJ308" s="52" t="str">
        <f t="shared" si="44"/>
        <v>N</v>
      </c>
      <c r="AK308" s="50" t="str">
        <f t="shared" si="45"/>
        <v>Loss</v>
      </c>
      <c r="AL308" s="50" t="str">
        <f t="shared" si="46"/>
        <v>Win</v>
      </c>
      <c r="AM308" s="50" t="str">
        <f t="shared" si="47"/>
        <v>Loss</v>
      </c>
      <c r="AN308" s="50">
        <f t="shared" si="48"/>
        <v>-50</v>
      </c>
      <c r="AO308" s="50">
        <f t="shared" si="49"/>
        <v>120</v>
      </c>
      <c r="AP308" s="50">
        <f t="shared" si="50"/>
        <v>-50</v>
      </c>
    </row>
    <row r="309" spans="1:42" x14ac:dyDescent="0.25">
      <c r="A309" s="63"/>
      <c r="AG309" s="51"/>
      <c r="AH309" s="52"/>
      <c r="AI309" s="52"/>
      <c r="AJ309" s="52"/>
    </row>
    <row r="310" spans="1:42" x14ac:dyDescent="0.25">
      <c r="A310" s="63"/>
      <c r="AG310" s="51"/>
      <c r="AH310" s="52"/>
      <c r="AI310" s="52"/>
      <c r="AJ310" s="52"/>
    </row>
    <row r="311" spans="1:42" x14ac:dyDescent="0.25">
      <c r="A311" s="63"/>
      <c r="AG311" s="51"/>
      <c r="AH311" s="52"/>
      <c r="AI311" s="52"/>
      <c r="AJ311" s="52"/>
    </row>
    <row r="312" spans="1:42" x14ac:dyDescent="0.25">
      <c r="A312" s="63"/>
      <c r="AG312" s="51"/>
      <c r="AH312" s="52"/>
      <c r="AI312" s="52"/>
      <c r="AJ312" s="52"/>
    </row>
    <row r="313" spans="1:42" x14ac:dyDescent="0.25">
      <c r="A313" s="63"/>
      <c r="AG313" s="51"/>
      <c r="AH313" s="52"/>
      <c r="AI313" s="52"/>
      <c r="AJ313" s="52"/>
    </row>
    <row r="314" spans="1:42" x14ac:dyDescent="0.25">
      <c r="A314" s="63"/>
      <c r="AG314" s="51"/>
      <c r="AH314" s="52"/>
      <c r="AI314" s="52"/>
      <c r="AJ314" s="52"/>
    </row>
    <row r="315" spans="1:42" x14ac:dyDescent="0.25">
      <c r="A315" s="63"/>
      <c r="AG315" s="51"/>
      <c r="AH315" s="52"/>
      <c r="AI315" s="52"/>
      <c r="AJ315" s="52"/>
    </row>
    <row r="316" spans="1:42" x14ac:dyDescent="0.25">
      <c r="A316" s="63"/>
      <c r="AG316" s="51"/>
      <c r="AH316" s="52"/>
      <c r="AI316" s="52"/>
      <c r="AJ316" s="52"/>
    </row>
    <row r="317" spans="1:42" x14ac:dyDescent="0.25">
      <c r="A317" s="63"/>
      <c r="AG317" s="51"/>
      <c r="AH317" s="52"/>
      <c r="AI317" s="52"/>
      <c r="AJ317" s="52"/>
    </row>
    <row r="318" spans="1:42" x14ac:dyDescent="0.25">
      <c r="A318" s="63"/>
      <c r="AG318" s="51"/>
      <c r="AH318" s="52"/>
      <c r="AI318" s="52"/>
      <c r="AJ318" s="52"/>
    </row>
    <row r="319" spans="1:42" x14ac:dyDescent="0.25">
      <c r="A319" s="63"/>
      <c r="AG319" s="51"/>
      <c r="AH319" s="52"/>
      <c r="AI319" s="52"/>
      <c r="AJ319" s="52"/>
    </row>
    <row r="320" spans="1:42" x14ac:dyDescent="0.25">
      <c r="A320" s="63"/>
      <c r="AG320" s="51"/>
      <c r="AH320" s="52"/>
      <c r="AI320" s="52"/>
      <c r="AJ320" s="52"/>
    </row>
    <row r="321" spans="1:36" x14ac:dyDescent="0.25">
      <c r="A321" s="63"/>
      <c r="AG321" s="51"/>
      <c r="AH321" s="52"/>
      <c r="AI321" s="52"/>
      <c r="AJ321" s="52"/>
    </row>
    <row r="322" spans="1:36" x14ac:dyDescent="0.25">
      <c r="A322" s="63"/>
      <c r="AG322" s="51"/>
      <c r="AH322" s="52"/>
      <c r="AI322" s="52"/>
      <c r="AJ322" s="52"/>
    </row>
    <row r="323" spans="1:36" x14ac:dyDescent="0.25">
      <c r="A323" s="63"/>
      <c r="AG323" s="51"/>
      <c r="AH323" s="52"/>
      <c r="AI323" s="52"/>
      <c r="AJ323" s="52"/>
    </row>
    <row r="324" spans="1:36" x14ac:dyDescent="0.25">
      <c r="A324" s="63"/>
      <c r="AG324" s="51"/>
      <c r="AH324" s="52"/>
      <c r="AI324" s="52"/>
      <c r="AJ324" s="52"/>
    </row>
    <row r="325" spans="1:36" x14ac:dyDescent="0.25">
      <c r="A325" s="63"/>
      <c r="AG325" s="51"/>
      <c r="AH325" s="52"/>
      <c r="AI325" s="52"/>
      <c r="AJ325" s="52"/>
    </row>
    <row r="326" spans="1:36" x14ac:dyDescent="0.25">
      <c r="A326" s="63"/>
      <c r="AG326" s="51"/>
      <c r="AH326" s="52"/>
      <c r="AI326" s="52"/>
      <c r="AJ326" s="52"/>
    </row>
    <row r="327" spans="1:36" x14ac:dyDescent="0.25">
      <c r="A327" s="63"/>
      <c r="AG327" s="51"/>
      <c r="AH327" s="52"/>
      <c r="AI327" s="52"/>
      <c r="AJ327" s="52"/>
    </row>
    <row r="328" spans="1:36" x14ac:dyDescent="0.25">
      <c r="A328" s="63"/>
      <c r="AG328" s="51"/>
      <c r="AH328" s="52"/>
      <c r="AI328" s="52"/>
      <c r="AJ328" s="52"/>
    </row>
    <row r="329" spans="1:36" x14ac:dyDescent="0.25">
      <c r="A329" s="63"/>
      <c r="AG329" s="51"/>
      <c r="AH329" s="52"/>
      <c r="AI329" s="52"/>
      <c r="AJ329" s="52"/>
    </row>
    <row r="330" spans="1:36" x14ac:dyDescent="0.25">
      <c r="A330" s="63"/>
      <c r="AG330" s="51"/>
      <c r="AH330" s="52"/>
      <c r="AI330" s="52"/>
      <c r="AJ330" s="52"/>
    </row>
    <row r="331" spans="1:36" x14ac:dyDescent="0.25">
      <c r="A331" s="63"/>
      <c r="AG331" s="51"/>
      <c r="AH331" s="52"/>
      <c r="AI331" s="52"/>
      <c r="AJ331" s="52"/>
    </row>
    <row r="332" spans="1:36" x14ac:dyDescent="0.25">
      <c r="A332" s="63"/>
      <c r="AG332" s="51"/>
      <c r="AH332" s="52"/>
      <c r="AI332" s="52"/>
      <c r="AJ332" s="52"/>
    </row>
    <row r="333" spans="1:36" x14ac:dyDescent="0.25">
      <c r="A333" s="63"/>
      <c r="AG333" s="51"/>
      <c r="AH333" s="52"/>
      <c r="AI333" s="52"/>
      <c r="AJ333" s="52"/>
    </row>
    <row r="334" spans="1:36" x14ac:dyDescent="0.25">
      <c r="A334" s="63"/>
      <c r="AG334" s="51"/>
      <c r="AH334" s="52"/>
      <c r="AI334" s="52"/>
      <c r="AJ334" s="52"/>
    </row>
    <row r="335" spans="1:36" x14ac:dyDescent="0.25">
      <c r="A335" s="63"/>
      <c r="AG335" s="51"/>
      <c r="AH335" s="52"/>
      <c r="AI335" s="52"/>
      <c r="AJ335" s="52"/>
    </row>
    <row r="336" spans="1:36" x14ac:dyDescent="0.25">
      <c r="A336" s="63"/>
      <c r="AG336" s="51"/>
      <c r="AH336" s="52"/>
      <c r="AI336" s="52"/>
      <c r="AJ336" s="52"/>
    </row>
    <row r="337" spans="1:36" x14ac:dyDescent="0.25">
      <c r="A337" s="63"/>
      <c r="AG337" s="51"/>
      <c r="AH337" s="52"/>
      <c r="AI337" s="52"/>
      <c r="AJ337" s="52"/>
    </row>
    <row r="338" spans="1:36" x14ac:dyDescent="0.25">
      <c r="A338" s="63"/>
      <c r="AG338" s="51"/>
      <c r="AH338" s="52"/>
      <c r="AI338" s="52"/>
      <c r="AJ338" s="52"/>
    </row>
    <row r="339" spans="1:36" x14ac:dyDescent="0.25">
      <c r="A339" s="63"/>
      <c r="AG339" s="51"/>
      <c r="AH339" s="52"/>
      <c r="AI339" s="52"/>
      <c r="AJ339" s="52"/>
    </row>
    <row r="340" spans="1:36" x14ac:dyDescent="0.25">
      <c r="A340" s="63"/>
      <c r="AG340" s="51"/>
      <c r="AH340" s="52"/>
      <c r="AI340" s="52"/>
      <c r="AJ340" s="52"/>
    </row>
    <row r="341" spans="1:36" x14ac:dyDescent="0.25">
      <c r="A341" s="63"/>
      <c r="AG341" s="51"/>
      <c r="AH341" s="52"/>
      <c r="AI341" s="52"/>
      <c r="AJ341" s="52"/>
    </row>
    <row r="342" spans="1:36" x14ac:dyDescent="0.25">
      <c r="A342" s="63"/>
      <c r="AG342" s="51"/>
      <c r="AH342" s="52"/>
      <c r="AI342" s="52"/>
      <c r="AJ342" s="52"/>
    </row>
    <row r="343" spans="1:36" x14ac:dyDescent="0.25">
      <c r="A343" s="63"/>
      <c r="AG343" s="51"/>
      <c r="AH343" s="52"/>
      <c r="AI343" s="52"/>
      <c r="AJ343" s="52"/>
    </row>
    <row r="344" spans="1:36" x14ac:dyDescent="0.25">
      <c r="A344" s="63"/>
      <c r="AG344" s="51"/>
      <c r="AH344" s="52"/>
      <c r="AI344" s="52"/>
      <c r="AJ344" s="52"/>
    </row>
    <row r="345" spans="1:36" x14ac:dyDescent="0.25">
      <c r="A345" s="63"/>
      <c r="AG345" s="51"/>
      <c r="AH345" s="52"/>
      <c r="AI345" s="52"/>
      <c r="AJ345" s="52"/>
    </row>
    <row r="346" spans="1:36" x14ac:dyDescent="0.25">
      <c r="A346" s="63"/>
      <c r="AG346" s="51"/>
      <c r="AH346" s="52"/>
      <c r="AI346" s="52"/>
      <c r="AJ346" s="52"/>
    </row>
    <row r="347" spans="1:36" x14ac:dyDescent="0.25">
      <c r="A347" s="63"/>
      <c r="AG347" s="51"/>
      <c r="AH347" s="52"/>
      <c r="AI347" s="52"/>
      <c r="AJ347" s="52"/>
    </row>
    <row r="348" spans="1:36" x14ac:dyDescent="0.25">
      <c r="A348" s="63"/>
      <c r="AG348" s="51"/>
      <c r="AH348" s="52"/>
      <c r="AI348" s="52"/>
      <c r="AJ348" s="52"/>
    </row>
    <row r="349" spans="1:36" x14ac:dyDescent="0.25">
      <c r="A349" s="63"/>
      <c r="AG349" s="51"/>
      <c r="AH349" s="52"/>
      <c r="AI349" s="52"/>
      <c r="AJ349" s="52"/>
    </row>
    <row r="350" spans="1:36" x14ac:dyDescent="0.25">
      <c r="A350" s="63"/>
      <c r="AG350" s="51"/>
      <c r="AH350" s="52"/>
      <c r="AI350" s="52"/>
      <c r="AJ350" s="52"/>
    </row>
    <row r="351" spans="1:36" x14ac:dyDescent="0.25">
      <c r="A351" s="63"/>
      <c r="AG351" s="51"/>
      <c r="AH351" s="52"/>
      <c r="AI351" s="52"/>
      <c r="AJ351" s="52"/>
    </row>
    <row r="352" spans="1:36" x14ac:dyDescent="0.25">
      <c r="A352" s="63"/>
      <c r="AG352" s="51"/>
      <c r="AH352" s="52"/>
      <c r="AI352" s="52"/>
      <c r="AJ352" s="52"/>
    </row>
    <row r="353" spans="1:36" x14ac:dyDescent="0.25">
      <c r="A353" s="63"/>
      <c r="AG353" s="51"/>
      <c r="AH353" s="52"/>
      <c r="AI353" s="52"/>
      <c r="AJ353" s="52"/>
    </row>
    <row r="354" spans="1:36" x14ac:dyDescent="0.25">
      <c r="A354" s="63"/>
      <c r="AG354" s="51"/>
      <c r="AH354" s="52"/>
      <c r="AI354" s="52"/>
      <c r="AJ354" s="52"/>
    </row>
    <row r="355" spans="1:36" x14ac:dyDescent="0.25">
      <c r="A355" s="63"/>
      <c r="AG355" s="51"/>
      <c r="AH355" s="52"/>
      <c r="AI355" s="52"/>
      <c r="AJ355" s="52"/>
    </row>
    <row r="356" spans="1:36" x14ac:dyDescent="0.25">
      <c r="A356" s="63"/>
      <c r="AG356" s="51"/>
      <c r="AH356" s="52"/>
      <c r="AI356" s="52"/>
      <c r="AJ356" s="52"/>
    </row>
    <row r="357" spans="1:36" x14ac:dyDescent="0.25">
      <c r="A357" s="63"/>
      <c r="AG357" s="51"/>
      <c r="AH357" s="52"/>
      <c r="AI357" s="52"/>
      <c r="AJ357" s="52"/>
    </row>
    <row r="358" spans="1:36" x14ac:dyDescent="0.25">
      <c r="A358" s="63"/>
      <c r="AG358" s="51"/>
      <c r="AH358" s="52"/>
      <c r="AI358" s="52"/>
      <c r="AJ358" s="52"/>
    </row>
    <row r="359" spans="1:36" x14ac:dyDescent="0.25">
      <c r="A359" s="63"/>
      <c r="AG359" s="51"/>
      <c r="AH359" s="52"/>
      <c r="AI359" s="52"/>
      <c r="AJ359" s="52"/>
    </row>
    <row r="360" spans="1:36" x14ac:dyDescent="0.25">
      <c r="A360" s="63"/>
      <c r="AG360" s="51"/>
      <c r="AH360" s="52"/>
      <c r="AI360" s="52"/>
      <c r="AJ360" s="52"/>
    </row>
    <row r="361" spans="1:36" x14ac:dyDescent="0.25">
      <c r="A361" s="63"/>
      <c r="AG361" s="51"/>
      <c r="AH361" s="52"/>
      <c r="AI361" s="52"/>
      <c r="AJ361" s="52"/>
    </row>
    <row r="362" spans="1:36" x14ac:dyDescent="0.25">
      <c r="A362" s="63"/>
      <c r="AG362" s="51"/>
      <c r="AH362" s="52"/>
      <c r="AI362" s="52"/>
      <c r="AJ362" s="52"/>
    </row>
    <row r="363" spans="1:36" x14ac:dyDescent="0.25">
      <c r="A363" s="63"/>
      <c r="AG363" s="51"/>
      <c r="AH363" s="52"/>
      <c r="AI363" s="52"/>
      <c r="AJ363" s="52"/>
    </row>
    <row r="364" spans="1:36" x14ac:dyDescent="0.25">
      <c r="A364" s="63"/>
      <c r="AG364" s="51"/>
      <c r="AH364" s="52"/>
      <c r="AI364" s="52"/>
      <c r="AJ364" s="52"/>
    </row>
    <row r="365" spans="1:36" x14ac:dyDescent="0.25">
      <c r="A365" s="63"/>
      <c r="AG365" s="51"/>
      <c r="AH365" s="52"/>
      <c r="AI365" s="52"/>
      <c r="AJ365" s="52"/>
    </row>
    <row r="366" spans="1:36" x14ac:dyDescent="0.25">
      <c r="A366" s="63"/>
      <c r="AG366" s="51"/>
      <c r="AH366" s="52"/>
      <c r="AI366" s="52"/>
      <c r="AJ366" s="52"/>
    </row>
    <row r="367" spans="1:36" x14ac:dyDescent="0.25">
      <c r="A367" s="63"/>
      <c r="AG367" s="51"/>
      <c r="AH367" s="52"/>
      <c r="AI367" s="52"/>
      <c r="AJ367" s="52"/>
    </row>
    <row r="368" spans="1:36" x14ac:dyDescent="0.25">
      <c r="A368" s="63"/>
      <c r="AG368" s="51"/>
      <c r="AH368" s="52"/>
      <c r="AI368" s="52"/>
      <c r="AJ368" s="52"/>
    </row>
    <row r="369" spans="1:36" x14ac:dyDescent="0.25">
      <c r="A369" s="63"/>
      <c r="AG369" s="51"/>
      <c r="AH369" s="52"/>
      <c r="AI369" s="52"/>
      <c r="AJ369" s="52"/>
    </row>
    <row r="370" spans="1:36" x14ac:dyDescent="0.25">
      <c r="A370" s="63"/>
      <c r="AG370" s="51"/>
      <c r="AH370" s="52"/>
      <c r="AI370" s="52"/>
      <c r="AJ370" s="52"/>
    </row>
    <row r="371" spans="1:36" x14ac:dyDescent="0.25">
      <c r="A371" s="63"/>
      <c r="AG371" s="51"/>
      <c r="AH371" s="52"/>
      <c r="AI371" s="52"/>
      <c r="AJ371" s="52"/>
    </row>
    <row r="372" spans="1:36" x14ac:dyDescent="0.25">
      <c r="A372" s="63"/>
      <c r="AG372" s="51"/>
      <c r="AH372" s="52"/>
      <c r="AI372" s="52"/>
      <c r="AJ372" s="52"/>
    </row>
    <row r="373" spans="1:36" x14ac:dyDescent="0.25">
      <c r="A373" s="63"/>
      <c r="AG373" s="51"/>
      <c r="AH373" s="52"/>
      <c r="AI373" s="52"/>
      <c r="AJ373" s="52"/>
    </row>
    <row r="374" spans="1:36" x14ac:dyDescent="0.25">
      <c r="A374" s="63"/>
      <c r="AG374" s="51"/>
      <c r="AH374" s="52"/>
      <c r="AI374" s="52"/>
      <c r="AJ374" s="52"/>
    </row>
    <row r="375" spans="1:36" x14ac:dyDescent="0.25">
      <c r="A375" s="63"/>
      <c r="AG375" s="51"/>
      <c r="AH375" s="52"/>
      <c r="AI375" s="52"/>
      <c r="AJ375" s="52"/>
    </row>
    <row r="376" spans="1:36" x14ac:dyDescent="0.25">
      <c r="A376" s="63"/>
      <c r="AG376" s="51"/>
      <c r="AH376" s="52"/>
      <c r="AI376" s="52"/>
      <c r="AJ376" s="52"/>
    </row>
    <row r="377" spans="1:36" x14ac:dyDescent="0.25">
      <c r="A377" s="63"/>
      <c r="AG377" s="51"/>
      <c r="AH377" s="52"/>
      <c r="AI377" s="52"/>
      <c r="AJ377" s="52"/>
    </row>
    <row r="378" spans="1:36" x14ac:dyDescent="0.25">
      <c r="A378" s="63"/>
      <c r="AG378" s="51"/>
      <c r="AH378" s="52"/>
      <c r="AI378" s="52"/>
      <c r="AJ378" s="52"/>
    </row>
    <row r="379" spans="1:36" x14ac:dyDescent="0.25">
      <c r="A379" s="63"/>
      <c r="AG379" s="51"/>
      <c r="AH379" s="52"/>
      <c r="AI379" s="52"/>
      <c r="AJ379" s="52"/>
    </row>
    <row r="380" spans="1:36" x14ac:dyDescent="0.25">
      <c r="A380" s="63"/>
      <c r="AG380" s="51"/>
      <c r="AH380" s="52"/>
      <c r="AI380" s="52"/>
      <c r="AJ380" s="52"/>
    </row>
    <row r="381" spans="1:36" x14ac:dyDescent="0.25">
      <c r="A381" s="63"/>
      <c r="AG381" s="51"/>
      <c r="AH381" s="52"/>
      <c r="AI381" s="52"/>
      <c r="AJ381" s="52"/>
    </row>
    <row r="382" spans="1:36" x14ac:dyDescent="0.25">
      <c r="A382" s="63"/>
      <c r="AG382" s="51"/>
      <c r="AH382" s="52"/>
      <c r="AI382" s="52"/>
      <c r="AJ382" s="52"/>
    </row>
    <row r="383" spans="1:36" x14ac:dyDescent="0.25">
      <c r="A383" s="63"/>
      <c r="AG383" s="51"/>
      <c r="AH383" s="52"/>
      <c r="AI383" s="52"/>
      <c r="AJ383" s="52"/>
    </row>
    <row r="384" spans="1:36" x14ac:dyDescent="0.25">
      <c r="A384" s="63"/>
      <c r="AG384" s="51"/>
      <c r="AH384" s="52"/>
      <c r="AI384" s="52"/>
      <c r="AJ384" s="52"/>
    </row>
    <row r="385" spans="1:36" x14ac:dyDescent="0.25">
      <c r="A385" s="63"/>
      <c r="AG385" s="51"/>
      <c r="AH385" s="52"/>
      <c r="AI385" s="52"/>
      <c r="AJ385" s="52"/>
    </row>
    <row r="386" spans="1:36" x14ac:dyDescent="0.25">
      <c r="A386" s="63"/>
      <c r="AG386" s="51"/>
      <c r="AH386" s="52"/>
      <c r="AI386" s="52"/>
      <c r="AJ386" s="52"/>
    </row>
    <row r="387" spans="1:36" x14ac:dyDescent="0.25">
      <c r="A387" s="63"/>
      <c r="AG387" s="51"/>
      <c r="AH387" s="52"/>
      <c r="AI387" s="52"/>
      <c r="AJ387" s="52"/>
    </row>
    <row r="388" spans="1:36" x14ac:dyDescent="0.25">
      <c r="A388" s="63"/>
      <c r="AG388" s="51"/>
      <c r="AH388" s="52"/>
      <c r="AI388" s="52"/>
      <c r="AJ388" s="52"/>
    </row>
    <row r="389" spans="1:36" x14ac:dyDescent="0.25">
      <c r="A389" s="63"/>
      <c r="AG389" s="51"/>
      <c r="AH389" s="52"/>
      <c r="AI389" s="52"/>
      <c r="AJ389" s="52"/>
    </row>
    <row r="390" spans="1:36" x14ac:dyDescent="0.25">
      <c r="A390" s="63"/>
      <c r="AG390" s="51"/>
      <c r="AH390" s="52"/>
      <c r="AI390" s="52"/>
      <c r="AJ390" s="52"/>
    </row>
    <row r="391" spans="1:36" x14ac:dyDescent="0.25">
      <c r="A391" s="63"/>
      <c r="AG391" s="51"/>
      <c r="AH391" s="52"/>
      <c r="AI391" s="52"/>
      <c r="AJ391" s="52"/>
    </row>
    <row r="392" spans="1:36" x14ac:dyDescent="0.25">
      <c r="A392" s="63"/>
      <c r="AG392" s="51"/>
      <c r="AH392" s="52"/>
      <c r="AI392" s="52"/>
      <c r="AJ392" s="52"/>
    </row>
    <row r="393" spans="1:36" x14ac:dyDescent="0.25">
      <c r="A393" s="63"/>
      <c r="AG393" s="51"/>
      <c r="AH393" s="52"/>
      <c r="AI393" s="52"/>
      <c r="AJ393" s="52"/>
    </row>
    <row r="394" spans="1:36" x14ac:dyDescent="0.25">
      <c r="A394" s="63"/>
      <c r="AG394" s="51"/>
      <c r="AH394" s="52"/>
      <c r="AI394" s="52"/>
      <c r="AJ394" s="52"/>
    </row>
    <row r="395" spans="1:36" x14ac:dyDescent="0.25">
      <c r="A395" s="63"/>
      <c r="AG395" s="51"/>
      <c r="AH395" s="52"/>
      <c r="AI395" s="52"/>
      <c r="AJ395" s="52"/>
    </row>
    <row r="396" spans="1:36" x14ac:dyDescent="0.25">
      <c r="A396" s="63"/>
      <c r="AG396" s="51"/>
      <c r="AH396" s="52"/>
      <c r="AI396" s="52"/>
      <c r="AJ396" s="52"/>
    </row>
    <row r="397" spans="1:36" x14ac:dyDescent="0.25">
      <c r="A397" s="63"/>
      <c r="AG397" s="51"/>
      <c r="AH397" s="52"/>
      <c r="AI397" s="52"/>
      <c r="AJ397" s="52"/>
    </row>
    <row r="398" spans="1:36" x14ac:dyDescent="0.25">
      <c r="A398" s="63"/>
      <c r="AG398" s="51"/>
      <c r="AH398" s="52"/>
      <c r="AI398" s="52"/>
      <c r="AJ398" s="52"/>
    </row>
    <row r="399" spans="1:36" x14ac:dyDescent="0.25">
      <c r="A399" s="63"/>
      <c r="AG399" s="51"/>
      <c r="AH399" s="52"/>
      <c r="AI399" s="52"/>
      <c r="AJ399" s="52"/>
    </row>
    <row r="400" spans="1:36" x14ac:dyDescent="0.25">
      <c r="A400" s="63"/>
      <c r="AG400" s="51"/>
      <c r="AH400" s="52"/>
      <c r="AI400" s="52"/>
      <c r="AJ400" s="52"/>
    </row>
    <row r="401" spans="1:36" x14ac:dyDescent="0.25">
      <c r="A401" s="63"/>
      <c r="AG401" s="51"/>
      <c r="AH401" s="52"/>
      <c r="AI401" s="52"/>
      <c r="AJ401" s="52"/>
    </row>
    <row r="402" spans="1:36" x14ac:dyDescent="0.25">
      <c r="A402" s="63"/>
      <c r="AG402" s="51"/>
      <c r="AH402" s="52"/>
      <c r="AI402" s="52"/>
      <c r="AJ402" s="52"/>
    </row>
    <row r="403" spans="1:36" x14ac:dyDescent="0.25">
      <c r="A403" s="63"/>
      <c r="AG403" s="51"/>
      <c r="AH403" s="52"/>
      <c r="AI403" s="52"/>
      <c r="AJ403" s="52"/>
    </row>
    <row r="404" spans="1:36" x14ac:dyDescent="0.25">
      <c r="A404" s="63"/>
      <c r="AG404" s="51"/>
      <c r="AH404" s="52"/>
      <c r="AI404" s="52"/>
      <c r="AJ404" s="52"/>
    </row>
    <row r="405" spans="1:36" x14ac:dyDescent="0.25">
      <c r="A405" s="63"/>
      <c r="AG405" s="51"/>
      <c r="AH405" s="52"/>
      <c r="AI405" s="52"/>
      <c r="AJ405" s="52"/>
    </row>
    <row r="406" spans="1:36" x14ac:dyDescent="0.25">
      <c r="A406" s="63"/>
      <c r="AG406" s="51"/>
      <c r="AH406" s="52"/>
      <c r="AI406" s="52"/>
      <c r="AJ406" s="52"/>
    </row>
    <row r="407" spans="1:36" x14ac:dyDescent="0.25">
      <c r="A407" s="63"/>
      <c r="AG407" s="51"/>
      <c r="AH407" s="52"/>
      <c r="AI407" s="52"/>
      <c r="AJ407" s="52"/>
    </row>
    <row r="408" spans="1:36" x14ac:dyDescent="0.25">
      <c r="A408" s="63"/>
      <c r="AG408" s="51"/>
      <c r="AH408" s="52"/>
      <c r="AI408" s="52"/>
      <c r="AJ408" s="52"/>
    </row>
    <row r="409" spans="1:36" x14ac:dyDescent="0.25">
      <c r="A409" s="63"/>
      <c r="AG409" s="51"/>
      <c r="AH409" s="52"/>
      <c r="AI409" s="52"/>
      <c r="AJ409" s="52"/>
    </row>
    <row r="410" spans="1:36" x14ac:dyDescent="0.25">
      <c r="A410" s="63"/>
      <c r="AG410" s="51"/>
      <c r="AH410" s="52"/>
      <c r="AI410" s="52"/>
      <c r="AJ410" s="52"/>
    </row>
    <row r="411" spans="1:36" x14ac:dyDescent="0.25">
      <c r="A411" s="63"/>
      <c r="AG411" s="51"/>
      <c r="AH411" s="52"/>
      <c r="AI411" s="52"/>
      <c r="AJ411" s="52"/>
    </row>
    <row r="412" spans="1:36" x14ac:dyDescent="0.25">
      <c r="A412" s="63"/>
      <c r="AG412" s="51"/>
      <c r="AH412" s="52"/>
      <c r="AI412" s="52"/>
      <c r="AJ412" s="52"/>
    </row>
    <row r="413" spans="1:36" x14ac:dyDescent="0.25">
      <c r="A413" s="63"/>
      <c r="AG413" s="51"/>
      <c r="AH413" s="52"/>
      <c r="AI413" s="52"/>
      <c r="AJ413" s="52"/>
    </row>
    <row r="414" spans="1:36" x14ac:dyDescent="0.25">
      <c r="A414" s="63"/>
      <c r="AG414" s="51"/>
      <c r="AH414" s="52"/>
      <c r="AI414" s="52"/>
      <c r="AJ414" s="52"/>
    </row>
    <row r="415" spans="1:36" x14ac:dyDescent="0.25">
      <c r="A415" s="63"/>
      <c r="AG415" s="51"/>
      <c r="AH415" s="52"/>
      <c r="AI415" s="52"/>
      <c r="AJ415" s="52"/>
    </row>
    <row r="416" spans="1:36" x14ac:dyDescent="0.25">
      <c r="A416" s="63"/>
      <c r="AG416" s="51"/>
      <c r="AH416" s="52"/>
      <c r="AI416" s="52"/>
      <c r="AJ416" s="52"/>
    </row>
    <row r="417" spans="1:36" x14ac:dyDescent="0.25">
      <c r="A417" s="63"/>
      <c r="AG417" s="51"/>
      <c r="AH417" s="52"/>
      <c r="AI417" s="52"/>
      <c r="AJ417" s="52"/>
    </row>
    <row r="418" spans="1:36" x14ac:dyDescent="0.25">
      <c r="A418" s="63"/>
      <c r="AG418" s="51"/>
      <c r="AH418" s="52"/>
      <c r="AI418" s="52"/>
      <c r="AJ418" s="52"/>
    </row>
    <row r="419" spans="1:36" x14ac:dyDescent="0.25">
      <c r="A419" s="63"/>
      <c r="AG419" s="51"/>
      <c r="AH419" s="52"/>
      <c r="AI419" s="52"/>
      <c r="AJ419" s="52"/>
    </row>
    <row r="420" spans="1:36" x14ac:dyDescent="0.25">
      <c r="A420" s="63"/>
      <c r="AG420" s="51"/>
      <c r="AH420" s="52"/>
      <c r="AI420" s="52"/>
      <c r="AJ420" s="52"/>
    </row>
    <row r="421" spans="1:36" x14ac:dyDescent="0.25">
      <c r="A421" s="63"/>
      <c r="AG421" s="51"/>
      <c r="AH421" s="52"/>
      <c r="AI421" s="52"/>
      <c r="AJ421" s="52"/>
    </row>
    <row r="422" spans="1:36" x14ac:dyDescent="0.25">
      <c r="A422" s="63"/>
      <c r="AG422" s="51"/>
      <c r="AH422" s="52"/>
      <c r="AI422" s="52"/>
      <c r="AJ422" s="52"/>
    </row>
    <row r="423" spans="1:36" x14ac:dyDescent="0.25">
      <c r="A423" s="63"/>
      <c r="AG423" s="51"/>
      <c r="AH423" s="52"/>
      <c r="AI423" s="52"/>
      <c r="AJ423" s="52"/>
    </row>
    <row r="424" spans="1:36" x14ac:dyDescent="0.25">
      <c r="A424" s="63"/>
      <c r="AG424" s="51"/>
      <c r="AH424" s="52"/>
      <c r="AI424" s="52"/>
      <c r="AJ424" s="52"/>
    </row>
    <row r="425" spans="1:36" x14ac:dyDescent="0.25">
      <c r="A425" s="63"/>
      <c r="AG425" s="51"/>
      <c r="AH425" s="52"/>
      <c r="AI425" s="52"/>
      <c r="AJ425" s="52"/>
    </row>
    <row r="426" spans="1:36" x14ac:dyDescent="0.25">
      <c r="A426" s="63"/>
      <c r="AG426" s="51"/>
      <c r="AH426" s="52"/>
      <c r="AI426" s="52"/>
      <c r="AJ426" s="52"/>
    </row>
    <row r="427" spans="1:36" x14ac:dyDescent="0.25">
      <c r="A427" s="63"/>
      <c r="AG427" s="51"/>
      <c r="AH427" s="52"/>
      <c r="AI427" s="52"/>
      <c r="AJ427" s="52"/>
    </row>
    <row r="428" spans="1:36" x14ac:dyDescent="0.25">
      <c r="A428" s="63"/>
      <c r="AG428" s="51"/>
      <c r="AH428" s="52"/>
      <c r="AI428" s="52"/>
      <c r="AJ428" s="52"/>
    </row>
    <row r="429" spans="1:36" x14ac:dyDescent="0.25">
      <c r="A429" s="63"/>
      <c r="AG429" s="51"/>
      <c r="AH429" s="52"/>
      <c r="AI429" s="52"/>
      <c r="AJ429" s="52"/>
    </row>
    <row r="430" spans="1:36" x14ac:dyDescent="0.25">
      <c r="A430" s="63"/>
      <c r="AG430" s="51"/>
      <c r="AH430" s="52"/>
      <c r="AI430" s="52"/>
      <c r="AJ430" s="52"/>
    </row>
    <row r="431" spans="1:36" x14ac:dyDescent="0.25">
      <c r="A431" s="63"/>
      <c r="AG431" s="51"/>
      <c r="AH431" s="52"/>
      <c r="AI431" s="52"/>
      <c r="AJ431" s="52"/>
    </row>
    <row r="432" spans="1:36" x14ac:dyDescent="0.25">
      <c r="A432" s="63"/>
      <c r="AG432" s="51"/>
      <c r="AH432" s="52"/>
      <c r="AI432" s="52"/>
      <c r="AJ432" s="52"/>
    </row>
    <row r="433" spans="1:36" x14ac:dyDescent="0.25">
      <c r="A433" s="63"/>
      <c r="AG433" s="51"/>
      <c r="AH433" s="52"/>
      <c r="AI433" s="52"/>
      <c r="AJ433" s="52"/>
    </row>
    <row r="434" spans="1:36" x14ac:dyDescent="0.25">
      <c r="A434" s="63"/>
      <c r="AG434" s="51"/>
      <c r="AH434" s="52"/>
      <c r="AI434" s="52"/>
      <c r="AJ434" s="52"/>
    </row>
    <row r="435" spans="1:36" x14ac:dyDescent="0.25">
      <c r="A435" s="63"/>
      <c r="AG435" s="51"/>
      <c r="AH435" s="52"/>
      <c r="AI435" s="52"/>
      <c r="AJ435" s="52"/>
    </row>
    <row r="436" spans="1:36" x14ac:dyDescent="0.25">
      <c r="A436" s="63"/>
      <c r="AG436" s="51"/>
      <c r="AH436" s="52"/>
      <c r="AI436" s="52"/>
      <c r="AJ436" s="52"/>
    </row>
    <row r="437" spans="1:36" x14ac:dyDescent="0.25">
      <c r="A437" s="63"/>
      <c r="AG437" s="51"/>
      <c r="AH437" s="52"/>
      <c r="AI437" s="52"/>
      <c r="AJ437" s="52"/>
    </row>
    <row r="438" spans="1:36" x14ac:dyDescent="0.25">
      <c r="A438" s="63"/>
      <c r="AG438" s="51"/>
      <c r="AH438" s="52"/>
      <c r="AI438" s="52"/>
      <c r="AJ438" s="52"/>
    </row>
    <row r="439" spans="1:36" x14ac:dyDescent="0.25">
      <c r="A439" s="63"/>
      <c r="AG439" s="51"/>
      <c r="AH439" s="52"/>
      <c r="AI439" s="52"/>
      <c r="AJ439" s="52"/>
    </row>
    <row r="440" spans="1:36" x14ac:dyDescent="0.25">
      <c r="A440" s="63"/>
      <c r="AG440" s="51"/>
      <c r="AH440" s="52"/>
      <c r="AI440" s="52"/>
      <c r="AJ440" s="52"/>
    </row>
    <row r="441" spans="1:36" x14ac:dyDescent="0.25">
      <c r="A441" s="63"/>
      <c r="AG441" s="51"/>
      <c r="AH441" s="52"/>
      <c r="AI441" s="52"/>
      <c r="AJ441" s="52"/>
    </row>
    <row r="442" spans="1:36" x14ac:dyDescent="0.25">
      <c r="A442" s="63"/>
      <c r="AG442" s="51"/>
      <c r="AH442" s="52"/>
      <c r="AI442" s="52"/>
      <c r="AJ442" s="52"/>
    </row>
    <row r="443" spans="1:36" x14ac:dyDescent="0.25">
      <c r="A443" s="63"/>
      <c r="AG443" s="51"/>
      <c r="AH443" s="52"/>
      <c r="AI443" s="52"/>
      <c r="AJ443" s="52"/>
    </row>
    <row r="444" spans="1:36" x14ac:dyDescent="0.25">
      <c r="A444" s="63"/>
      <c r="AG444" s="51"/>
      <c r="AH444" s="52"/>
      <c r="AI444" s="52"/>
      <c r="AJ444" s="52"/>
    </row>
    <row r="445" spans="1:36" x14ac:dyDescent="0.25">
      <c r="A445" s="63"/>
      <c r="AG445" s="51"/>
      <c r="AH445" s="52"/>
      <c r="AI445" s="52"/>
      <c r="AJ445" s="52"/>
    </row>
    <row r="446" spans="1:36" x14ac:dyDescent="0.25">
      <c r="A446" s="63"/>
      <c r="AG446" s="51"/>
      <c r="AH446" s="52"/>
      <c r="AI446" s="52"/>
      <c r="AJ446" s="52"/>
    </row>
    <row r="447" spans="1:36" x14ac:dyDescent="0.25">
      <c r="A447" s="63"/>
      <c r="AG447" s="51"/>
      <c r="AH447" s="52"/>
      <c r="AI447" s="52"/>
      <c r="AJ447" s="52"/>
    </row>
    <row r="448" spans="1:36" x14ac:dyDescent="0.25">
      <c r="A448" s="63"/>
      <c r="AG448" s="51"/>
      <c r="AH448" s="52"/>
      <c r="AI448" s="52"/>
      <c r="AJ448" s="52"/>
    </row>
    <row r="449" spans="1:36" x14ac:dyDescent="0.25">
      <c r="A449" s="63"/>
      <c r="AG449" s="51"/>
      <c r="AH449" s="52"/>
      <c r="AI449" s="52"/>
      <c r="AJ449" s="52"/>
    </row>
    <row r="450" spans="1:36" x14ac:dyDescent="0.25">
      <c r="A450" s="63"/>
      <c r="AG450" s="51"/>
      <c r="AH450" s="52"/>
      <c r="AI450" s="52"/>
      <c r="AJ450" s="52"/>
    </row>
    <row r="451" spans="1:36" x14ac:dyDescent="0.25">
      <c r="A451" s="63"/>
      <c r="AG451" s="51"/>
      <c r="AH451" s="52"/>
      <c r="AI451" s="52"/>
      <c r="AJ451" s="52"/>
    </row>
    <row r="452" spans="1:36" x14ac:dyDescent="0.25">
      <c r="A452" s="63"/>
      <c r="AG452" s="51"/>
      <c r="AH452" s="52"/>
      <c r="AI452" s="52"/>
      <c r="AJ452" s="52"/>
    </row>
    <row r="453" spans="1:36" x14ac:dyDescent="0.25">
      <c r="A453" s="63"/>
      <c r="AG453" s="51"/>
      <c r="AH453" s="52"/>
      <c r="AI453" s="52"/>
      <c r="AJ453" s="52"/>
    </row>
    <row r="454" spans="1:36" x14ac:dyDescent="0.25">
      <c r="A454" s="63"/>
      <c r="AG454" s="51"/>
      <c r="AH454" s="52"/>
      <c r="AI454" s="52"/>
      <c r="AJ454" s="52"/>
    </row>
    <row r="455" spans="1:36" x14ac:dyDescent="0.25">
      <c r="A455" s="63"/>
      <c r="AG455" s="51"/>
      <c r="AH455" s="52"/>
      <c r="AI455" s="52"/>
      <c r="AJ455" s="52"/>
    </row>
    <row r="456" spans="1:36" x14ac:dyDescent="0.25">
      <c r="A456" s="63"/>
      <c r="AG456" s="51"/>
      <c r="AH456" s="52"/>
      <c r="AI456" s="52"/>
      <c r="AJ456" s="52"/>
    </row>
    <row r="457" spans="1:36" x14ac:dyDescent="0.25">
      <c r="A457" s="63"/>
      <c r="AG457" s="51"/>
      <c r="AH457" s="52"/>
      <c r="AI457" s="52"/>
      <c r="AJ457" s="52"/>
    </row>
    <row r="458" spans="1:36" x14ac:dyDescent="0.25">
      <c r="A458" s="63"/>
      <c r="AG458" s="51"/>
      <c r="AH458" s="52"/>
      <c r="AI458" s="52"/>
      <c r="AJ458" s="52"/>
    </row>
    <row r="459" spans="1:36" x14ac:dyDescent="0.25">
      <c r="A459" s="63"/>
      <c r="AG459" s="51"/>
      <c r="AH459" s="52"/>
      <c r="AI459" s="52"/>
      <c r="AJ459" s="52"/>
    </row>
    <row r="460" spans="1:36" x14ac:dyDescent="0.25">
      <c r="A460" s="63"/>
      <c r="AG460" s="51"/>
      <c r="AH460" s="52"/>
      <c r="AI460" s="52"/>
      <c r="AJ460" s="52"/>
    </row>
    <row r="461" spans="1:36" x14ac:dyDescent="0.25">
      <c r="A461" s="63"/>
      <c r="AG461" s="51"/>
      <c r="AH461" s="52"/>
      <c r="AI461" s="52"/>
      <c r="AJ461" s="52"/>
    </row>
    <row r="462" spans="1:36" x14ac:dyDescent="0.25">
      <c r="A462" s="63"/>
      <c r="AG462" s="51"/>
      <c r="AH462" s="52"/>
      <c r="AI462" s="52"/>
      <c r="AJ462" s="52"/>
    </row>
    <row r="463" spans="1:36" x14ac:dyDescent="0.25">
      <c r="A463" s="63"/>
      <c r="AG463" s="51"/>
      <c r="AH463" s="52"/>
      <c r="AI463" s="52"/>
      <c r="AJ463" s="52"/>
    </row>
    <row r="464" spans="1:36" x14ac:dyDescent="0.25">
      <c r="A464" s="63"/>
      <c r="AG464" s="51"/>
      <c r="AH464" s="52"/>
      <c r="AI464" s="52"/>
      <c r="AJ464" s="52"/>
    </row>
    <row r="465" spans="1:36" x14ac:dyDescent="0.25">
      <c r="A465" s="63"/>
      <c r="AG465" s="51"/>
      <c r="AH465" s="52"/>
      <c r="AI465" s="52"/>
      <c r="AJ465" s="52"/>
    </row>
    <row r="466" spans="1:36" x14ac:dyDescent="0.25">
      <c r="A466" s="63"/>
      <c r="AG466" s="51"/>
      <c r="AH466" s="52"/>
      <c r="AI466" s="52"/>
      <c r="AJ466" s="52"/>
    </row>
    <row r="467" spans="1:36" x14ac:dyDescent="0.25">
      <c r="A467" s="63"/>
      <c r="AG467" s="51"/>
      <c r="AH467" s="52"/>
      <c r="AI467" s="52"/>
      <c r="AJ467" s="52"/>
    </row>
    <row r="468" spans="1:36" x14ac:dyDescent="0.25">
      <c r="A468" s="63"/>
      <c r="AG468" s="51"/>
      <c r="AH468" s="52"/>
      <c r="AI468" s="52"/>
      <c r="AJ468" s="52"/>
    </row>
    <row r="469" spans="1:36" x14ac:dyDescent="0.25">
      <c r="A469" s="63"/>
      <c r="AG469" s="51"/>
      <c r="AH469" s="52"/>
      <c r="AI469" s="52"/>
      <c r="AJ469" s="52"/>
    </row>
    <row r="470" spans="1:36" x14ac:dyDescent="0.25">
      <c r="A470" s="63"/>
      <c r="AG470" s="51"/>
      <c r="AH470" s="52"/>
      <c r="AI470" s="52"/>
      <c r="AJ470" s="52"/>
    </row>
    <row r="471" spans="1:36" x14ac:dyDescent="0.25">
      <c r="A471" s="63"/>
      <c r="AG471" s="51"/>
      <c r="AH471" s="52"/>
      <c r="AI471" s="52"/>
      <c r="AJ471" s="52"/>
    </row>
    <row r="472" spans="1:36" x14ac:dyDescent="0.25">
      <c r="A472" s="63"/>
      <c r="AG472" s="51"/>
      <c r="AH472" s="52"/>
      <c r="AI472" s="52"/>
      <c r="AJ472" s="52"/>
    </row>
    <row r="473" spans="1:36" x14ac:dyDescent="0.25">
      <c r="A473" s="63"/>
      <c r="AG473" s="51"/>
      <c r="AH473" s="52"/>
      <c r="AI473" s="52"/>
      <c r="AJ473" s="52"/>
    </row>
    <row r="474" spans="1:36" x14ac:dyDescent="0.25">
      <c r="A474" s="63"/>
      <c r="AG474" s="51"/>
      <c r="AH474" s="52"/>
      <c r="AI474" s="52"/>
      <c r="AJ474" s="52"/>
    </row>
    <row r="475" spans="1:36" x14ac:dyDescent="0.25">
      <c r="A475" s="63"/>
      <c r="AG475" s="51"/>
      <c r="AH475" s="52"/>
      <c r="AI475" s="52"/>
      <c r="AJ475" s="52"/>
    </row>
    <row r="476" spans="1:36" x14ac:dyDescent="0.25">
      <c r="A476" s="63"/>
      <c r="AG476" s="51"/>
      <c r="AH476" s="52"/>
      <c r="AI476" s="52"/>
      <c r="AJ476" s="52"/>
    </row>
    <row r="477" spans="1:36" x14ac:dyDescent="0.25">
      <c r="A477" s="63"/>
      <c r="AG477" s="51"/>
      <c r="AH477" s="52"/>
      <c r="AI477" s="52"/>
      <c r="AJ477" s="52"/>
    </row>
    <row r="478" spans="1:36" x14ac:dyDescent="0.25">
      <c r="A478" s="63"/>
      <c r="AG478" s="51"/>
      <c r="AH478" s="52"/>
      <c r="AI478" s="52"/>
      <c r="AJ478" s="52"/>
    </row>
    <row r="479" spans="1:36" x14ac:dyDescent="0.25">
      <c r="A479" s="63"/>
      <c r="AG479" s="51"/>
      <c r="AH479" s="52"/>
      <c r="AI479" s="52"/>
      <c r="AJ479" s="52"/>
    </row>
    <row r="480" spans="1:36" x14ac:dyDescent="0.25">
      <c r="A480" s="63"/>
      <c r="AG480" s="51"/>
      <c r="AH480" s="52"/>
      <c r="AI480" s="52"/>
      <c r="AJ480" s="52"/>
    </row>
    <row r="481" spans="1:36" x14ac:dyDescent="0.25">
      <c r="A481" s="63"/>
      <c r="AG481" s="51"/>
      <c r="AH481" s="52"/>
      <c r="AI481" s="52"/>
      <c r="AJ481" s="52"/>
    </row>
    <row r="482" spans="1:36" x14ac:dyDescent="0.25">
      <c r="A482" s="63"/>
      <c r="AG482" s="51"/>
      <c r="AH482" s="52"/>
      <c r="AI482" s="52"/>
      <c r="AJ482" s="52"/>
    </row>
    <row r="483" spans="1:36" x14ac:dyDescent="0.25">
      <c r="A483" s="63"/>
      <c r="AG483" s="51"/>
      <c r="AH483" s="52"/>
      <c r="AI483" s="52"/>
      <c r="AJ483" s="52"/>
    </row>
    <row r="484" spans="1:36" x14ac:dyDescent="0.25">
      <c r="A484" s="63"/>
      <c r="AG484" s="51"/>
      <c r="AH484" s="52"/>
      <c r="AI484" s="52"/>
      <c r="AJ484" s="52"/>
    </row>
    <row r="485" spans="1:36" x14ac:dyDescent="0.25">
      <c r="A485" s="63"/>
      <c r="AG485" s="51"/>
      <c r="AH485" s="52"/>
      <c r="AI485" s="52"/>
      <c r="AJ485" s="52"/>
    </row>
    <row r="486" spans="1:36" x14ac:dyDescent="0.25">
      <c r="A486" s="63"/>
      <c r="AG486" s="51"/>
      <c r="AH486" s="52"/>
      <c r="AI486" s="52"/>
      <c r="AJ486" s="52"/>
    </row>
    <row r="487" spans="1:36" x14ac:dyDescent="0.25">
      <c r="A487" s="63"/>
      <c r="AG487" s="51"/>
      <c r="AH487" s="52"/>
      <c r="AI487" s="52"/>
      <c r="AJ487" s="52"/>
    </row>
    <row r="488" spans="1:36" x14ac:dyDescent="0.25">
      <c r="A488" s="63"/>
      <c r="AG488" s="51"/>
      <c r="AH488" s="52"/>
      <c r="AI488" s="52"/>
      <c r="AJ488" s="52"/>
    </row>
    <row r="489" spans="1:36" x14ac:dyDescent="0.25">
      <c r="A489" s="63"/>
      <c r="AG489" s="51"/>
      <c r="AH489" s="52"/>
      <c r="AI489" s="52"/>
      <c r="AJ489" s="52"/>
    </row>
    <row r="490" spans="1:36" x14ac:dyDescent="0.25">
      <c r="A490" s="63"/>
      <c r="AG490" s="51"/>
      <c r="AH490" s="52"/>
      <c r="AI490" s="52"/>
      <c r="AJ490" s="52"/>
    </row>
    <row r="491" spans="1:36" x14ac:dyDescent="0.25">
      <c r="A491" s="63"/>
      <c r="AG491" s="51"/>
      <c r="AH491" s="52"/>
      <c r="AI491" s="52"/>
      <c r="AJ491" s="52"/>
    </row>
    <row r="492" spans="1:36" x14ac:dyDescent="0.25">
      <c r="A492" s="63"/>
      <c r="AG492" s="51"/>
      <c r="AH492" s="52"/>
      <c r="AI492" s="52"/>
      <c r="AJ492" s="52"/>
    </row>
    <row r="493" spans="1:36" x14ac:dyDescent="0.25">
      <c r="A493" s="63"/>
      <c r="AG493" s="51"/>
      <c r="AH493" s="52"/>
      <c r="AI493" s="52"/>
      <c r="AJ493" s="52"/>
    </row>
    <row r="494" spans="1:36" x14ac:dyDescent="0.25">
      <c r="A494" s="63"/>
      <c r="AG494" s="51"/>
      <c r="AH494" s="52"/>
      <c r="AI494" s="52"/>
      <c r="AJ494" s="52"/>
    </row>
    <row r="495" spans="1:36" x14ac:dyDescent="0.25">
      <c r="A495" s="63"/>
      <c r="AG495" s="51"/>
      <c r="AH495" s="52"/>
      <c r="AI495" s="52"/>
      <c r="AJ495" s="52"/>
    </row>
    <row r="496" spans="1:36" x14ac:dyDescent="0.25">
      <c r="A496" s="63"/>
      <c r="AG496" s="51"/>
      <c r="AH496" s="52"/>
      <c r="AI496" s="52"/>
      <c r="AJ496" s="52"/>
    </row>
    <row r="497" spans="1:36" x14ac:dyDescent="0.25">
      <c r="A497" s="63"/>
      <c r="AG497" s="51"/>
      <c r="AH497" s="52"/>
      <c r="AI497" s="52"/>
      <c r="AJ497" s="52"/>
    </row>
    <row r="498" spans="1:36" x14ac:dyDescent="0.25">
      <c r="A498" s="63"/>
      <c r="AG498" s="51"/>
      <c r="AH498" s="52"/>
      <c r="AI498" s="52"/>
      <c r="AJ498" s="52"/>
    </row>
    <row r="499" spans="1:36" x14ac:dyDescent="0.25">
      <c r="A499" s="63"/>
      <c r="AG499" s="51"/>
      <c r="AH499" s="52"/>
      <c r="AI499" s="52"/>
      <c r="AJ499" s="52"/>
    </row>
    <row r="500" spans="1:36" x14ac:dyDescent="0.25">
      <c r="A500" s="63"/>
      <c r="AG500" s="51"/>
      <c r="AH500" s="52"/>
      <c r="AI500" s="52"/>
      <c r="AJ500" s="52"/>
    </row>
    <row r="501" spans="1:36" x14ac:dyDescent="0.25">
      <c r="A501" s="63"/>
      <c r="AG501" s="51"/>
      <c r="AH501" s="52"/>
      <c r="AI501" s="52"/>
      <c r="AJ501" s="52"/>
    </row>
    <row r="502" spans="1:36" x14ac:dyDescent="0.25">
      <c r="A502" s="63"/>
      <c r="AG502" s="51"/>
      <c r="AH502" s="52"/>
      <c r="AI502" s="52"/>
      <c r="AJ502" s="52"/>
    </row>
    <row r="503" spans="1:36" x14ac:dyDescent="0.25">
      <c r="A503" s="63"/>
      <c r="AG503" s="51"/>
      <c r="AH503" s="52"/>
      <c r="AI503" s="52"/>
      <c r="AJ503" s="52"/>
    </row>
    <row r="504" spans="1:36" x14ac:dyDescent="0.25">
      <c r="A504" s="63"/>
      <c r="AG504" s="51"/>
      <c r="AH504" s="52"/>
      <c r="AI504" s="52"/>
      <c r="AJ504" s="52"/>
    </row>
    <row r="505" spans="1:36" x14ac:dyDescent="0.25">
      <c r="A505" s="63"/>
      <c r="AG505" s="51"/>
      <c r="AH505" s="52"/>
      <c r="AI505" s="52"/>
      <c r="AJ505" s="52"/>
    </row>
    <row r="506" spans="1:36" x14ac:dyDescent="0.25">
      <c r="A506" s="63"/>
      <c r="AG506" s="51"/>
      <c r="AH506" s="52"/>
      <c r="AI506" s="52"/>
      <c r="AJ506" s="52"/>
    </row>
    <row r="507" spans="1:36" x14ac:dyDescent="0.25">
      <c r="A507" s="63"/>
      <c r="AG507" s="51"/>
      <c r="AH507" s="52"/>
      <c r="AI507" s="52"/>
      <c r="AJ507" s="52"/>
    </row>
    <row r="508" spans="1:36" x14ac:dyDescent="0.25">
      <c r="A508" s="63"/>
      <c r="AG508" s="51"/>
      <c r="AH508" s="52"/>
      <c r="AI508" s="52"/>
      <c r="AJ508" s="52"/>
    </row>
    <row r="509" spans="1:36" x14ac:dyDescent="0.25">
      <c r="A509" s="63"/>
      <c r="AG509" s="51"/>
      <c r="AH509" s="52"/>
      <c r="AI509" s="52"/>
      <c r="AJ509" s="52"/>
    </row>
    <row r="510" spans="1:36" x14ac:dyDescent="0.25">
      <c r="A510" s="63"/>
      <c r="AG510" s="51"/>
      <c r="AH510" s="52"/>
      <c r="AI510" s="52"/>
      <c r="AJ510" s="52"/>
    </row>
    <row r="511" spans="1:36" x14ac:dyDescent="0.25">
      <c r="A511" s="63"/>
      <c r="AG511" s="51"/>
      <c r="AH511" s="52"/>
      <c r="AI511" s="52"/>
      <c r="AJ511" s="52"/>
    </row>
    <row r="512" spans="1:36" x14ac:dyDescent="0.25">
      <c r="A512" s="63"/>
      <c r="AG512" s="51"/>
      <c r="AH512" s="52"/>
      <c r="AI512" s="52"/>
      <c r="AJ512" s="52"/>
    </row>
    <row r="513" spans="1:36" x14ac:dyDescent="0.25">
      <c r="A513" s="63"/>
      <c r="AG513" s="51"/>
      <c r="AH513" s="52"/>
      <c r="AI513" s="52"/>
      <c r="AJ513" s="52"/>
    </row>
    <row r="514" spans="1:36" x14ac:dyDescent="0.25">
      <c r="A514" s="63"/>
      <c r="AG514" s="51"/>
      <c r="AH514" s="52"/>
      <c r="AI514" s="52"/>
      <c r="AJ514" s="52"/>
    </row>
    <row r="515" spans="1:36" x14ac:dyDescent="0.25">
      <c r="A515" s="63"/>
      <c r="AG515" s="51"/>
      <c r="AH515" s="52"/>
      <c r="AI515" s="52"/>
      <c r="AJ515" s="52"/>
    </row>
    <row r="516" spans="1:36" x14ac:dyDescent="0.25">
      <c r="A516" s="63"/>
      <c r="AG516" s="51"/>
      <c r="AH516" s="52"/>
      <c r="AI516" s="52"/>
      <c r="AJ516" s="52"/>
    </row>
    <row r="517" spans="1:36" x14ac:dyDescent="0.25">
      <c r="A517" s="63"/>
      <c r="AG517" s="51"/>
      <c r="AH517" s="52"/>
      <c r="AI517" s="52"/>
      <c r="AJ517" s="52"/>
    </row>
    <row r="518" spans="1:36" x14ac:dyDescent="0.25">
      <c r="A518" s="63"/>
      <c r="AG518" s="51"/>
      <c r="AH518" s="52"/>
      <c r="AI518" s="52"/>
      <c r="AJ518" s="52"/>
    </row>
    <row r="519" spans="1:36" x14ac:dyDescent="0.25">
      <c r="A519" s="63"/>
      <c r="AG519" s="51"/>
      <c r="AH519" s="52"/>
      <c r="AI519" s="52"/>
      <c r="AJ519" s="52"/>
    </row>
    <row r="520" spans="1:36" x14ac:dyDescent="0.25">
      <c r="A520" s="63"/>
      <c r="AG520" s="51"/>
      <c r="AH520" s="52"/>
      <c r="AI520" s="52"/>
      <c r="AJ520" s="52"/>
    </row>
    <row r="521" spans="1:36" x14ac:dyDescent="0.25">
      <c r="A521" s="63"/>
      <c r="AG521" s="51"/>
      <c r="AH521" s="52"/>
      <c r="AI521" s="52"/>
      <c r="AJ521" s="52"/>
    </row>
    <row r="522" spans="1:36" x14ac:dyDescent="0.25">
      <c r="A522" s="63"/>
      <c r="AG522" s="51"/>
      <c r="AH522" s="52"/>
      <c r="AI522" s="52"/>
      <c r="AJ522" s="52"/>
    </row>
    <row r="523" spans="1:36" x14ac:dyDescent="0.25">
      <c r="A523" s="63"/>
      <c r="AG523" s="51"/>
      <c r="AH523" s="52"/>
      <c r="AI523" s="52"/>
      <c r="AJ523" s="52"/>
    </row>
    <row r="524" spans="1:36" x14ac:dyDescent="0.25">
      <c r="A524" s="63"/>
      <c r="AG524" s="51"/>
      <c r="AH524" s="52"/>
      <c r="AI524" s="52"/>
      <c r="AJ524" s="52"/>
    </row>
    <row r="525" spans="1:36" x14ac:dyDescent="0.25">
      <c r="A525" s="63"/>
      <c r="AG525" s="51"/>
      <c r="AH525" s="52"/>
      <c r="AI525" s="52"/>
      <c r="AJ525" s="52"/>
    </row>
    <row r="526" spans="1:36" x14ac:dyDescent="0.25">
      <c r="A526" s="63"/>
      <c r="AG526" s="51"/>
      <c r="AH526" s="52"/>
      <c r="AI526" s="52"/>
      <c r="AJ526" s="52"/>
    </row>
    <row r="527" spans="1:36" x14ac:dyDescent="0.25">
      <c r="A527" s="63"/>
      <c r="AG527" s="51"/>
      <c r="AH527" s="52"/>
      <c r="AI527" s="52"/>
      <c r="AJ527" s="52"/>
    </row>
    <row r="528" spans="1:36" x14ac:dyDescent="0.25">
      <c r="A528" s="63"/>
      <c r="AG528" s="51"/>
      <c r="AH528" s="52"/>
      <c r="AI528" s="52"/>
      <c r="AJ528" s="52"/>
    </row>
    <row r="529" spans="1:36" x14ac:dyDescent="0.25">
      <c r="A529" s="63"/>
      <c r="AG529" s="51"/>
      <c r="AH529" s="52"/>
      <c r="AI529" s="52"/>
      <c r="AJ529" s="52"/>
    </row>
    <row r="530" spans="1:36" x14ac:dyDescent="0.25">
      <c r="A530" s="63"/>
      <c r="AG530" s="51"/>
      <c r="AH530" s="52"/>
      <c r="AI530" s="52"/>
      <c r="AJ530" s="52"/>
    </row>
    <row r="531" spans="1:36" x14ac:dyDescent="0.25">
      <c r="A531" s="63"/>
      <c r="AG531" s="51"/>
      <c r="AH531" s="52"/>
      <c r="AI531" s="52"/>
      <c r="AJ531" s="52"/>
    </row>
    <row r="532" spans="1:36" x14ac:dyDescent="0.25">
      <c r="A532" s="63"/>
      <c r="AG532" s="51"/>
      <c r="AH532" s="52"/>
      <c r="AI532" s="52"/>
      <c r="AJ532" s="52"/>
    </row>
    <row r="533" spans="1:36" x14ac:dyDescent="0.25">
      <c r="A533" s="63"/>
      <c r="AG533" s="51"/>
      <c r="AH533" s="52"/>
      <c r="AI533" s="52"/>
      <c r="AJ533" s="52"/>
    </row>
    <row r="534" spans="1:36" x14ac:dyDescent="0.25">
      <c r="A534" s="63"/>
      <c r="AG534" s="51"/>
      <c r="AH534" s="52"/>
      <c r="AI534" s="52"/>
      <c r="AJ534" s="52"/>
    </row>
    <row r="535" spans="1:36" x14ac:dyDescent="0.25">
      <c r="A535" s="63"/>
      <c r="AG535" s="51"/>
      <c r="AH535" s="52"/>
      <c r="AI535" s="52"/>
      <c r="AJ535" s="52"/>
    </row>
    <row r="536" spans="1:36" x14ac:dyDescent="0.25">
      <c r="A536" s="63"/>
      <c r="AG536" s="51"/>
      <c r="AH536" s="52"/>
      <c r="AI536" s="52"/>
      <c r="AJ536" s="52"/>
    </row>
    <row r="537" spans="1:36" x14ac:dyDescent="0.25">
      <c r="A537" s="63"/>
      <c r="AG537" s="51"/>
      <c r="AH537" s="52"/>
      <c r="AI537" s="52"/>
      <c r="AJ537" s="52"/>
    </row>
    <row r="538" spans="1:36" x14ac:dyDescent="0.25">
      <c r="A538" s="63"/>
      <c r="AG538" s="51"/>
      <c r="AH538" s="52"/>
      <c r="AI538" s="52"/>
      <c r="AJ538" s="52"/>
    </row>
    <row r="539" spans="1:36" x14ac:dyDescent="0.25">
      <c r="A539" s="63"/>
      <c r="AG539" s="51"/>
      <c r="AH539" s="52"/>
      <c r="AI539" s="52"/>
      <c r="AJ539" s="52"/>
    </row>
    <row r="540" spans="1:36" x14ac:dyDescent="0.25">
      <c r="A540" s="63"/>
      <c r="AG540" s="51"/>
      <c r="AH540" s="52"/>
      <c r="AI540" s="52"/>
      <c r="AJ540" s="52"/>
    </row>
    <row r="541" spans="1:36" x14ac:dyDescent="0.25">
      <c r="A541" s="63"/>
      <c r="AG541" s="51"/>
      <c r="AH541" s="52"/>
      <c r="AI541" s="52"/>
      <c r="AJ541" s="52"/>
    </row>
    <row r="542" spans="1:36" x14ac:dyDescent="0.25">
      <c r="A542" s="63"/>
      <c r="AG542" s="51"/>
      <c r="AH542" s="52"/>
      <c r="AI542" s="52"/>
      <c r="AJ542" s="52"/>
    </row>
    <row r="543" spans="1:36" x14ac:dyDescent="0.25">
      <c r="A543" s="63"/>
      <c r="AG543" s="51"/>
      <c r="AH543" s="52"/>
      <c r="AI543" s="52"/>
      <c r="AJ543" s="52"/>
    </row>
    <row r="544" spans="1:36" x14ac:dyDescent="0.25">
      <c r="A544" s="63"/>
      <c r="AG544" s="51"/>
      <c r="AH544" s="52"/>
      <c r="AI544" s="52"/>
      <c r="AJ544" s="52"/>
    </row>
    <row r="545" spans="1:36" x14ac:dyDescent="0.25">
      <c r="A545" s="63"/>
      <c r="AG545" s="51"/>
      <c r="AH545" s="52"/>
      <c r="AI545" s="52"/>
      <c r="AJ545" s="52"/>
    </row>
    <row r="546" spans="1:36" x14ac:dyDescent="0.25">
      <c r="A546" s="63"/>
      <c r="AG546" s="51"/>
      <c r="AH546" s="52"/>
      <c r="AI546" s="52"/>
      <c r="AJ546" s="52"/>
    </row>
    <row r="547" spans="1:36" x14ac:dyDescent="0.25">
      <c r="A547" s="63"/>
      <c r="AG547" s="51"/>
      <c r="AH547" s="52"/>
      <c r="AI547" s="52"/>
      <c r="AJ547" s="52"/>
    </row>
    <row r="548" spans="1:36" x14ac:dyDescent="0.25">
      <c r="A548" s="63"/>
      <c r="AG548" s="51"/>
      <c r="AH548" s="52"/>
      <c r="AI548" s="52"/>
      <c r="AJ548" s="52"/>
    </row>
    <row r="549" spans="1:36" x14ac:dyDescent="0.25">
      <c r="A549" s="63"/>
      <c r="AG549" s="51"/>
      <c r="AH549" s="52"/>
      <c r="AI549" s="52"/>
      <c r="AJ549" s="52"/>
    </row>
    <row r="550" spans="1:36" x14ac:dyDescent="0.25">
      <c r="A550" s="63"/>
      <c r="AG550" s="51"/>
      <c r="AH550" s="52"/>
      <c r="AI550" s="52"/>
      <c r="AJ550" s="52"/>
    </row>
    <row r="551" spans="1:36" x14ac:dyDescent="0.25">
      <c r="A551" s="63"/>
      <c r="AG551" s="51"/>
      <c r="AH551" s="52"/>
      <c r="AI551" s="52"/>
      <c r="AJ551" s="52"/>
    </row>
    <row r="552" spans="1:36" x14ac:dyDescent="0.25">
      <c r="A552" s="63"/>
      <c r="AG552" s="51"/>
      <c r="AH552" s="52"/>
      <c r="AI552" s="52"/>
      <c r="AJ552" s="52"/>
    </row>
    <row r="553" spans="1:36" x14ac:dyDescent="0.25">
      <c r="A553" s="63"/>
      <c r="AG553" s="51"/>
      <c r="AH553" s="52"/>
      <c r="AI553" s="52"/>
      <c r="AJ553" s="52"/>
    </row>
    <row r="554" spans="1:36" x14ac:dyDescent="0.25">
      <c r="A554" s="63"/>
      <c r="AG554" s="51"/>
      <c r="AH554" s="52"/>
      <c r="AI554" s="52"/>
      <c r="AJ554" s="52"/>
    </row>
    <row r="555" spans="1:36" x14ac:dyDescent="0.25">
      <c r="A555" s="63"/>
      <c r="AG555" s="51"/>
      <c r="AH555" s="52"/>
      <c r="AI555" s="52"/>
      <c r="AJ555" s="52"/>
    </row>
    <row r="556" spans="1:36" x14ac:dyDescent="0.25">
      <c r="A556" s="63"/>
      <c r="AG556" s="51"/>
      <c r="AH556" s="52"/>
      <c r="AI556" s="52"/>
      <c r="AJ556" s="52"/>
    </row>
    <row r="557" spans="1:36" x14ac:dyDescent="0.25">
      <c r="A557" s="63"/>
      <c r="AG557" s="51"/>
      <c r="AH557" s="52"/>
      <c r="AI557" s="52"/>
      <c r="AJ557" s="52"/>
    </row>
    <row r="558" spans="1:36" x14ac:dyDescent="0.25">
      <c r="A558" s="63"/>
      <c r="AG558" s="51"/>
      <c r="AH558" s="52"/>
      <c r="AI558" s="52"/>
      <c r="AJ558" s="52"/>
    </row>
    <row r="559" spans="1:36" x14ac:dyDescent="0.25">
      <c r="A559" s="63"/>
      <c r="AG559" s="51"/>
      <c r="AH559" s="52"/>
      <c r="AI559" s="52"/>
      <c r="AJ559" s="52"/>
    </row>
    <row r="560" spans="1:36" x14ac:dyDescent="0.25">
      <c r="A560" s="63"/>
      <c r="AG560" s="51"/>
      <c r="AH560" s="52"/>
      <c r="AI560" s="52"/>
      <c r="AJ560" s="52"/>
    </row>
    <row r="561" spans="1:36" x14ac:dyDescent="0.25">
      <c r="A561" s="63"/>
      <c r="AG561" s="51"/>
      <c r="AH561" s="52"/>
      <c r="AI561" s="52"/>
      <c r="AJ561" s="52"/>
    </row>
    <row r="562" spans="1:36" x14ac:dyDescent="0.25">
      <c r="A562" s="63"/>
      <c r="AG562" s="51"/>
      <c r="AH562" s="52"/>
      <c r="AI562" s="52"/>
      <c r="AJ562" s="52"/>
    </row>
    <row r="563" spans="1:36" x14ac:dyDescent="0.25">
      <c r="A563" s="63"/>
      <c r="AG563" s="51"/>
      <c r="AH563" s="52"/>
      <c r="AI563" s="52"/>
      <c r="AJ563" s="52"/>
    </row>
    <row r="564" spans="1:36" x14ac:dyDescent="0.25">
      <c r="A564" s="63"/>
      <c r="AG564" s="51"/>
      <c r="AH564" s="52"/>
      <c r="AI564" s="52"/>
      <c r="AJ564" s="52"/>
    </row>
    <row r="565" spans="1:36" x14ac:dyDescent="0.25">
      <c r="A565" s="63"/>
      <c r="AG565" s="51"/>
      <c r="AH565" s="52"/>
      <c r="AI565" s="52"/>
      <c r="AJ565" s="52"/>
    </row>
    <row r="566" spans="1:36" x14ac:dyDescent="0.25">
      <c r="A566" s="63"/>
      <c r="AG566" s="51"/>
      <c r="AH566" s="52"/>
      <c r="AI566" s="52"/>
      <c r="AJ566" s="52"/>
    </row>
    <row r="567" spans="1:36" x14ac:dyDescent="0.25">
      <c r="A567" s="63"/>
      <c r="AG567" s="51"/>
      <c r="AH567" s="52"/>
      <c r="AI567" s="52"/>
      <c r="AJ567" s="52"/>
    </row>
    <row r="568" spans="1:36" x14ac:dyDescent="0.25">
      <c r="A568" s="63"/>
      <c r="AG568" s="51"/>
      <c r="AH568" s="52"/>
      <c r="AI568" s="52"/>
      <c r="AJ568" s="52"/>
    </row>
    <row r="569" spans="1:36" x14ac:dyDescent="0.25">
      <c r="A569" s="63"/>
      <c r="AG569" s="51"/>
      <c r="AH569" s="52"/>
      <c r="AI569" s="52"/>
      <c r="AJ569" s="52"/>
    </row>
    <row r="570" spans="1:36" x14ac:dyDescent="0.25">
      <c r="A570" s="63"/>
      <c r="AG570" s="51"/>
      <c r="AH570" s="52"/>
      <c r="AI570" s="52"/>
      <c r="AJ570" s="52"/>
    </row>
    <row r="571" spans="1:36" x14ac:dyDescent="0.25">
      <c r="A571" s="63"/>
      <c r="AG571" s="51"/>
      <c r="AH571" s="52"/>
      <c r="AI571" s="52"/>
      <c r="AJ571" s="52"/>
    </row>
    <row r="572" spans="1:36" x14ac:dyDescent="0.25">
      <c r="A572" s="63"/>
      <c r="AG572" s="51"/>
      <c r="AH572" s="52"/>
      <c r="AI572" s="52"/>
      <c r="AJ572" s="52"/>
    </row>
    <row r="573" spans="1:36" x14ac:dyDescent="0.25">
      <c r="A573" s="63"/>
      <c r="AG573" s="51"/>
      <c r="AH573" s="52"/>
      <c r="AI573" s="52"/>
      <c r="AJ573" s="52"/>
    </row>
    <row r="574" spans="1:36" x14ac:dyDescent="0.25">
      <c r="A574" s="63"/>
      <c r="AG574" s="51"/>
      <c r="AH574" s="52"/>
      <c r="AI574" s="52"/>
      <c r="AJ574" s="52"/>
    </row>
    <row r="575" spans="1:36" x14ac:dyDescent="0.25">
      <c r="A575" s="63"/>
      <c r="AG575" s="51"/>
      <c r="AH575" s="52"/>
      <c r="AI575" s="52"/>
      <c r="AJ575" s="52"/>
    </row>
    <row r="576" spans="1:36" x14ac:dyDescent="0.25">
      <c r="A576" s="63"/>
      <c r="AG576" s="51"/>
      <c r="AH576" s="52"/>
      <c r="AI576" s="52"/>
      <c r="AJ576" s="52"/>
    </row>
    <row r="577" spans="1:36" x14ac:dyDescent="0.25">
      <c r="A577" s="63"/>
      <c r="AG577" s="51"/>
      <c r="AH577" s="52"/>
      <c r="AI577" s="52"/>
      <c r="AJ577" s="52"/>
    </row>
    <row r="578" spans="1:36" x14ac:dyDescent="0.25">
      <c r="A578" s="63"/>
      <c r="AG578" s="51"/>
      <c r="AH578" s="52"/>
      <c r="AI578" s="52"/>
      <c r="AJ578" s="52"/>
    </row>
    <row r="579" spans="1:36" x14ac:dyDescent="0.25">
      <c r="A579" s="63"/>
      <c r="AG579" s="51"/>
      <c r="AH579" s="52"/>
      <c r="AI579" s="52"/>
      <c r="AJ579" s="52"/>
    </row>
    <row r="580" spans="1:36" x14ac:dyDescent="0.25">
      <c r="A580" s="63"/>
      <c r="AG580" s="51"/>
      <c r="AH580" s="52"/>
      <c r="AI580" s="52"/>
      <c r="AJ580" s="52"/>
    </row>
    <row r="581" spans="1:36" x14ac:dyDescent="0.25">
      <c r="A581" s="63"/>
      <c r="AG581" s="51"/>
      <c r="AH581" s="52"/>
      <c r="AI581" s="52"/>
      <c r="AJ581" s="52"/>
    </row>
    <row r="582" spans="1:36" x14ac:dyDescent="0.25">
      <c r="A582" s="63"/>
      <c r="AG582" s="51"/>
      <c r="AH582" s="52"/>
      <c r="AI582" s="52"/>
      <c r="AJ582" s="52"/>
    </row>
    <row r="583" spans="1:36" x14ac:dyDescent="0.25">
      <c r="A583" s="63"/>
      <c r="AG583" s="51"/>
      <c r="AH583" s="52"/>
      <c r="AI583" s="52"/>
      <c r="AJ583" s="52"/>
    </row>
    <row r="584" spans="1:36" x14ac:dyDescent="0.25">
      <c r="A584" s="63"/>
      <c r="AG584" s="51"/>
      <c r="AH584" s="52"/>
      <c r="AI584" s="52"/>
      <c r="AJ584" s="52"/>
    </row>
    <row r="585" spans="1:36" x14ac:dyDescent="0.25">
      <c r="A585" s="63"/>
      <c r="AG585" s="51"/>
      <c r="AH585" s="52"/>
      <c r="AI585" s="52"/>
      <c r="AJ585" s="52"/>
    </row>
    <row r="586" spans="1:36" x14ac:dyDescent="0.25">
      <c r="A586" s="63"/>
      <c r="AG586" s="51"/>
      <c r="AH586" s="52"/>
      <c r="AI586" s="52"/>
      <c r="AJ586" s="52"/>
    </row>
    <row r="587" spans="1:36" x14ac:dyDescent="0.25">
      <c r="A587" s="63"/>
      <c r="AG587" s="51"/>
      <c r="AH587" s="52"/>
      <c r="AI587" s="52"/>
      <c r="AJ587" s="52"/>
    </row>
    <row r="588" spans="1:36" x14ac:dyDescent="0.25">
      <c r="A588" s="63"/>
      <c r="AG588" s="51"/>
      <c r="AH588" s="52"/>
      <c r="AI588" s="52"/>
      <c r="AJ588" s="52"/>
    </row>
    <row r="589" spans="1:36" x14ac:dyDescent="0.25">
      <c r="A589" s="63"/>
      <c r="AG589" s="51"/>
      <c r="AH589" s="52"/>
      <c r="AI589" s="52"/>
      <c r="AJ589" s="52"/>
    </row>
    <row r="590" spans="1:36" x14ac:dyDescent="0.25">
      <c r="A590" s="63"/>
      <c r="AG590" s="51"/>
      <c r="AH590" s="52"/>
      <c r="AI590" s="52"/>
      <c r="AJ590" s="52"/>
    </row>
    <row r="591" spans="1:36" x14ac:dyDescent="0.25">
      <c r="A591" s="63"/>
      <c r="AG591" s="51"/>
      <c r="AH591" s="52"/>
      <c r="AI591" s="52"/>
      <c r="AJ591" s="52"/>
    </row>
    <row r="592" spans="1:36" x14ac:dyDescent="0.25">
      <c r="A592" s="63"/>
      <c r="AG592" s="51"/>
      <c r="AH592" s="52"/>
      <c r="AI592" s="52"/>
      <c r="AJ592" s="52"/>
    </row>
    <row r="593" spans="1:36" x14ac:dyDescent="0.25">
      <c r="A593" s="63"/>
      <c r="AG593" s="51"/>
      <c r="AH593" s="52"/>
      <c r="AI593" s="52"/>
      <c r="AJ593" s="52"/>
    </row>
    <row r="594" spans="1:36" x14ac:dyDescent="0.25">
      <c r="A594" s="63"/>
      <c r="AG594" s="51"/>
      <c r="AH594" s="52"/>
      <c r="AI594" s="52"/>
      <c r="AJ594" s="52"/>
    </row>
    <row r="595" spans="1:36" x14ac:dyDescent="0.25">
      <c r="A595" s="63"/>
      <c r="AG595" s="51"/>
      <c r="AH595" s="52"/>
      <c r="AI595" s="52"/>
      <c r="AJ595" s="52"/>
    </row>
    <row r="596" spans="1:36" x14ac:dyDescent="0.25">
      <c r="A596" s="63"/>
      <c r="AG596" s="51"/>
      <c r="AH596" s="52"/>
      <c r="AI596" s="52"/>
      <c r="AJ596" s="52"/>
    </row>
    <row r="597" spans="1:36" x14ac:dyDescent="0.25">
      <c r="A597" s="63"/>
      <c r="AG597" s="51"/>
      <c r="AH597" s="52"/>
      <c r="AI597" s="52"/>
      <c r="AJ597" s="52"/>
    </row>
    <row r="598" spans="1:36" x14ac:dyDescent="0.25">
      <c r="A598" s="63"/>
      <c r="AG598" s="51"/>
      <c r="AH598" s="52"/>
      <c r="AI598" s="52"/>
      <c r="AJ598" s="52"/>
    </row>
    <row r="599" spans="1:36" x14ac:dyDescent="0.25">
      <c r="A599" s="63"/>
      <c r="AG599" s="51"/>
      <c r="AH599" s="52"/>
      <c r="AI599" s="52"/>
      <c r="AJ599" s="52"/>
    </row>
    <row r="600" spans="1:36" x14ac:dyDescent="0.25">
      <c r="A600" s="63"/>
      <c r="AG600" s="51"/>
      <c r="AH600" s="52"/>
      <c r="AI600" s="52"/>
      <c r="AJ600" s="52"/>
    </row>
    <row r="601" spans="1:36" x14ac:dyDescent="0.25">
      <c r="A601" s="63"/>
      <c r="AG601" s="51"/>
      <c r="AH601" s="52"/>
      <c r="AI601" s="52"/>
      <c r="AJ601" s="52"/>
    </row>
    <row r="602" spans="1:36" x14ac:dyDescent="0.25">
      <c r="A602" s="63"/>
      <c r="AG602" s="51"/>
      <c r="AH602" s="52"/>
      <c r="AI602" s="52"/>
      <c r="AJ602" s="52"/>
    </row>
    <row r="603" spans="1:36" x14ac:dyDescent="0.25">
      <c r="A603" s="63"/>
      <c r="AG603" s="51"/>
      <c r="AH603" s="52"/>
      <c r="AI603" s="52"/>
      <c r="AJ603" s="52"/>
    </row>
    <row r="604" spans="1:36" x14ac:dyDescent="0.25">
      <c r="A604" s="63"/>
      <c r="AG604" s="51"/>
      <c r="AH604" s="52"/>
      <c r="AI604" s="52"/>
      <c r="AJ604" s="52"/>
    </row>
    <row r="605" spans="1:36" x14ac:dyDescent="0.25">
      <c r="A605" s="63"/>
      <c r="AG605" s="51"/>
      <c r="AH605" s="52"/>
      <c r="AI605" s="52"/>
      <c r="AJ605" s="52"/>
    </row>
    <row r="606" spans="1:36" x14ac:dyDescent="0.25">
      <c r="A606" s="63"/>
      <c r="AG606" s="51"/>
      <c r="AH606" s="52"/>
      <c r="AI606" s="52"/>
      <c r="AJ606" s="52"/>
    </row>
    <row r="607" spans="1:36" x14ac:dyDescent="0.25">
      <c r="A607" s="63"/>
      <c r="AG607" s="51"/>
      <c r="AH607" s="52"/>
      <c r="AI607" s="52"/>
      <c r="AJ607" s="52"/>
    </row>
    <row r="608" spans="1:36" x14ac:dyDescent="0.25">
      <c r="A608" s="63"/>
      <c r="AG608" s="51"/>
      <c r="AH608" s="52"/>
      <c r="AI608" s="52"/>
      <c r="AJ608" s="52"/>
    </row>
    <row r="609" spans="1:36" x14ac:dyDescent="0.25">
      <c r="A609" s="63"/>
      <c r="AG609" s="51"/>
      <c r="AH609" s="52"/>
      <c r="AI609" s="52"/>
      <c r="AJ609" s="52"/>
    </row>
    <row r="610" spans="1:36" x14ac:dyDescent="0.25">
      <c r="A610" s="63"/>
      <c r="AG610" s="51"/>
      <c r="AH610" s="52"/>
      <c r="AI610" s="52"/>
      <c r="AJ610" s="52"/>
    </row>
    <row r="611" spans="1:36" x14ac:dyDescent="0.25">
      <c r="A611" s="63"/>
      <c r="AG611" s="51"/>
      <c r="AH611" s="52"/>
      <c r="AI611" s="52"/>
      <c r="AJ611" s="52"/>
    </row>
    <row r="612" spans="1:36" x14ac:dyDescent="0.25">
      <c r="A612" s="63"/>
      <c r="AG612" s="51"/>
      <c r="AH612" s="52"/>
      <c r="AI612" s="52"/>
      <c r="AJ612" s="52"/>
    </row>
    <row r="613" spans="1:36" x14ac:dyDescent="0.25">
      <c r="A613" s="63"/>
      <c r="AG613" s="51"/>
      <c r="AH613" s="52"/>
      <c r="AI613" s="52"/>
      <c r="AJ613" s="52"/>
    </row>
    <row r="614" spans="1:36" x14ac:dyDescent="0.25">
      <c r="A614" s="63"/>
      <c r="AG614" s="51"/>
      <c r="AH614" s="52"/>
      <c r="AI614" s="52"/>
      <c r="AJ614" s="52"/>
    </row>
    <row r="615" spans="1:36" x14ac:dyDescent="0.25">
      <c r="A615" s="63"/>
      <c r="AG615" s="51"/>
      <c r="AH615" s="52"/>
      <c r="AI615" s="52"/>
      <c r="AJ615" s="52"/>
    </row>
    <row r="616" spans="1:36" x14ac:dyDescent="0.25">
      <c r="A616" s="63"/>
      <c r="AG616" s="51"/>
      <c r="AH616" s="52"/>
      <c r="AI616" s="52"/>
      <c r="AJ616" s="52"/>
    </row>
    <row r="617" spans="1:36" x14ac:dyDescent="0.25">
      <c r="A617" s="63"/>
      <c r="AG617" s="51"/>
      <c r="AH617" s="52"/>
      <c r="AI617" s="52"/>
      <c r="AJ617" s="52"/>
    </row>
    <row r="618" spans="1:36" x14ac:dyDescent="0.25">
      <c r="A618" s="63"/>
      <c r="AG618" s="51"/>
      <c r="AH618" s="52"/>
      <c r="AI618" s="52"/>
      <c r="AJ618" s="52"/>
    </row>
    <row r="619" spans="1:36" x14ac:dyDescent="0.25">
      <c r="A619" s="63"/>
      <c r="AG619" s="51"/>
      <c r="AH619" s="52"/>
      <c r="AI619" s="52"/>
      <c r="AJ619" s="52"/>
    </row>
    <row r="620" spans="1:36" x14ac:dyDescent="0.25">
      <c r="A620" s="63"/>
      <c r="AG620" s="51"/>
      <c r="AH620" s="52"/>
      <c r="AI620" s="52"/>
      <c r="AJ620" s="52"/>
    </row>
    <row r="621" spans="1:36" x14ac:dyDescent="0.25">
      <c r="A621" s="63"/>
      <c r="AG621" s="51"/>
      <c r="AH621" s="52"/>
      <c r="AI621" s="52"/>
      <c r="AJ621" s="52"/>
    </row>
    <row r="622" spans="1:36" x14ac:dyDescent="0.25">
      <c r="A622" s="63"/>
      <c r="AG622" s="51"/>
      <c r="AH622" s="52"/>
      <c r="AI622" s="52"/>
      <c r="AJ622" s="52"/>
    </row>
    <row r="623" spans="1:36" x14ac:dyDescent="0.25">
      <c r="A623" s="63"/>
      <c r="AG623" s="51"/>
      <c r="AH623" s="52"/>
      <c r="AI623" s="52"/>
      <c r="AJ623" s="52"/>
    </row>
    <row r="624" spans="1:36" x14ac:dyDescent="0.25">
      <c r="A624" s="63"/>
      <c r="AG624" s="51"/>
      <c r="AH624" s="52"/>
      <c r="AI624" s="52"/>
      <c r="AJ624" s="52"/>
    </row>
    <row r="625" spans="1:36" x14ac:dyDescent="0.25">
      <c r="A625" s="63"/>
      <c r="AG625" s="51"/>
      <c r="AH625" s="52"/>
      <c r="AI625" s="52"/>
      <c r="AJ625" s="52"/>
    </row>
    <row r="626" spans="1:36" x14ac:dyDescent="0.25">
      <c r="A626" s="63"/>
      <c r="AG626" s="51"/>
      <c r="AH626" s="52"/>
      <c r="AI626" s="52"/>
      <c r="AJ626" s="52"/>
    </row>
    <row r="627" spans="1:36" x14ac:dyDescent="0.25">
      <c r="A627" s="63"/>
      <c r="AG627" s="51"/>
      <c r="AH627" s="52"/>
      <c r="AI627" s="52"/>
      <c r="AJ627" s="52"/>
    </row>
    <row r="628" spans="1:36" x14ac:dyDescent="0.25">
      <c r="A628" s="63"/>
      <c r="AG628" s="51"/>
      <c r="AH628" s="52"/>
      <c r="AI628" s="52"/>
      <c r="AJ628" s="52"/>
    </row>
    <row r="629" spans="1:36" x14ac:dyDescent="0.25">
      <c r="A629" s="63"/>
      <c r="AG629" s="51"/>
      <c r="AH629" s="52"/>
      <c r="AI629" s="52"/>
      <c r="AJ629" s="52"/>
    </row>
    <row r="630" spans="1:36" x14ac:dyDescent="0.25">
      <c r="A630" s="63"/>
      <c r="AG630" s="51"/>
      <c r="AH630" s="52"/>
      <c r="AI630" s="52"/>
      <c r="AJ630" s="52"/>
    </row>
    <row r="631" spans="1:36" x14ac:dyDescent="0.25">
      <c r="A631" s="63"/>
      <c r="AG631" s="51"/>
      <c r="AH631" s="52"/>
      <c r="AI631" s="52"/>
      <c r="AJ631" s="52"/>
    </row>
    <row r="632" spans="1:36" x14ac:dyDescent="0.25">
      <c r="A632" s="63"/>
      <c r="AG632" s="51"/>
      <c r="AH632" s="52"/>
      <c r="AI632" s="52"/>
      <c r="AJ632" s="52"/>
    </row>
    <row r="633" spans="1:36" x14ac:dyDescent="0.25">
      <c r="A633" s="63"/>
      <c r="AG633" s="51"/>
      <c r="AH633" s="52"/>
      <c r="AI633" s="52"/>
      <c r="AJ633" s="52"/>
    </row>
    <row r="634" spans="1:36" x14ac:dyDescent="0.25">
      <c r="A634" s="63"/>
      <c r="AG634" s="51"/>
      <c r="AH634" s="52"/>
      <c r="AI634" s="52"/>
      <c r="AJ634" s="52"/>
    </row>
    <row r="635" spans="1:36" x14ac:dyDescent="0.25">
      <c r="A635" s="63"/>
      <c r="AG635" s="51"/>
      <c r="AH635" s="52"/>
      <c r="AI635" s="52"/>
      <c r="AJ635" s="52"/>
    </row>
    <row r="636" spans="1:36" x14ac:dyDescent="0.25">
      <c r="A636" s="63"/>
      <c r="AG636" s="51"/>
      <c r="AH636" s="52"/>
      <c r="AI636" s="52"/>
      <c r="AJ636" s="52"/>
    </row>
    <row r="637" spans="1:36" x14ac:dyDescent="0.25">
      <c r="A637" s="63"/>
      <c r="AG637" s="51"/>
      <c r="AH637" s="52"/>
      <c r="AI637" s="52"/>
      <c r="AJ637" s="52"/>
    </row>
    <row r="638" spans="1:36" x14ac:dyDescent="0.25">
      <c r="A638" s="63"/>
      <c r="AG638" s="51"/>
      <c r="AH638" s="52"/>
      <c r="AI638" s="52"/>
      <c r="AJ638" s="52"/>
    </row>
    <row r="639" spans="1:36" x14ac:dyDescent="0.25">
      <c r="A639" s="63"/>
      <c r="AG639" s="51"/>
      <c r="AH639" s="52"/>
      <c r="AI639" s="52"/>
      <c r="AJ639" s="52"/>
    </row>
    <row r="640" spans="1:36" x14ac:dyDescent="0.25">
      <c r="A640" s="63"/>
      <c r="AG640" s="51"/>
      <c r="AH640" s="52"/>
      <c r="AI640" s="52"/>
      <c r="AJ640" s="52"/>
    </row>
    <row r="641" spans="1:36" x14ac:dyDescent="0.25">
      <c r="A641" s="63"/>
      <c r="AG641" s="51"/>
      <c r="AH641" s="52"/>
      <c r="AI641" s="52"/>
      <c r="AJ641" s="52"/>
    </row>
    <row r="642" spans="1:36" x14ac:dyDescent="0.25">
      <c r="A642" s="63"/>
      <c r="AG642" s="51"/>
      <c r="AH642" s="52"/>
      <c r="AI642" s="52"/>
      <c r="AJ642" s="52"/>
    </row>
    <row r="643" spans="1:36" x14ac:dyDescent="0.25">
      <c r="A643" s="63"/>
      <c r="AG643" s="51"/>
      <c r="AH643" s="52"/>
      <c r="AI643" s="52"/>
      <c r="AJ643" s="52"/>
    </row>
    <row r="644" spans="1:36" x14ac:dyDescent="0.25">
      <c r="A644" s="63"/>
      <c r="AG644" s="51"/>
      <c r="AH644" s="52"/>
      <c r="AI644" s="52"/>
      <c r="AJ644" s="52"/>
    </row>
    <row r="645" spans="1:36" x14ac:dyDescent="0.25">
      <c r="A645" s="63"/>
      <c r="AG645" s="51"/>
      <c r="AH645" s="52"/>
      <c r="AI645" s="52"/>
      <c r="AJ645" s="52"/>
    </row>
    <row r="646" spans="1:36" x14ac:dyDescent="0.25">
      <c r="A646" s="63"/>
      <c r="AG646" s="51"/>
      <c r="AH646" s="52"/>
      <c r="AI646" s="52"/>
      <c r="AJ646" s="52"/>
    </row>
    <row r="647" spans="1:36" x14ac:dyDescent="0.25">
      <c r="A647" s="63"/>
      <c r="AG647" s="51"/>
      <c r="AH647" s="52"/>
      <c r="AI647" s="52"/>
      <c r="AJ647" s="52"/>
    </row>
    <row r="648" spans="1:36" x14ac:dyDescent="0.25">
      <c r="A648" s="63"/>
      <c r="AG648" s="51"/>
      <c r="AH648" s="52"/>
      <c r="AI648" s="52"/>
      <c r="AJ648" s="52"/>
    </row>
    <row r="649" spans="1:36" x14ac:dyDescent="0.25">
      <c r="A649" s="63"/>
      <c r="AG649" s="51"/>
      <c r="AH649" s="52"/>
      <c r="AI649" s="52"/>
      <c r="AJ649" s="52"/>
    </row>
    <row r="650" spans="1:36" x14ac:dyDescent="0.25">
      <c r="A650" s="63"/>
      <c r="AG650" s="51"/>
      <c r="AH650" s="52"/>
      <c r="AI650" s="52"/>
      <c r="AJ650" s="52"/>
    </row>
    <row r="651" spans="1:36" x14ac:dyDescent="0.25">
      <c r="A651" s="63"/>
      <c r="AG651" s="51"/>
      <c r="AH651" s="52"/>
      <c r="AI651" s="52"/>
      <c r="AJ651" s="52"/>
    </row>
    <row r="652" spans="1:36" x14ac:dyDescent="0.25">
      <c r="A652" s="63"/>
      <c r="AG652" s="51"/>
      <c r="AH652" s="52"/>
      <c r="AI652" s="52"/>
      <c r="AJ652" s="52"/>
    </row>
    <row r="653" spans="1:36" x14ac:dyDescent="0.25">
      <c r="A653" s="63"/>
      <c r="AG653" s="51"/>
      <c r="AH653" s="52"/>
      <c r="AI653" s="52"/>
      <c r="AJ653" s="52"/>
    </row>
    <row r="654" spans="1:36" x14ac:dyDescent="0.25">
      <c r="A654" s="63"/>
      <c r="AG654" s="51"/>
      <c r="AH654" s="52"/>
      <c r="AI654" s="52"/>
      <c r="AJ654" s="52"/>
    </row>
    <row r="655" spans="1:36" x14ac:dyDescent="0.25">
      <c r="A655" s="63"/>
      <c r="AG655" s="51"/>
      <c r="AH655" s="52"/>
      <c r="AI655" s="52"/>
      <c r="AJ655" s="52"/>
    </row>
    <row r="656" spans="1:36" x14ac:dyDescent="0.25">
      <c r="A656" s="63"/>
      <c r="AG656" s="51"/>
      <c r="AH656" s="52"/>
      <c r="AI656" s="52"/>
      <c r="AJ656" s="52"/>
    </row>
    <row r="657" spans="1:36" x14ac:dyDescent="0.25">
      <c r="A657" s="63"/>
      <c r="AG657" s="51"/>
      <c r="AH657" s="52"/>
      <c r="AI657" s="52"/>
      <c r="AJ657" s="52"/>
    </row>
    <row r="658" spans="1:36" x14ac:dyDescent="0.25">
      <c r="A658" s="63"/>
      <c r="AG658" s="51"/>
      <c r="AH658" s="52"/>
      <c r="AI658" s="52"/>
      <c r="AJ658" s="52"/>
    </row>
    <row r="659" spans="1:36" x14ac:dyDescent="0.25">
      <c r="A659" s="63"/>
      <c r="AG659" s="51"/>
      <c r="AH659" s="52"/>
      <c r="AI659" s="52"/>
      <c r="AJ659" s="52"/>
    </row>
    <row r="660" spans="1:36" x14ac:dyDescent="0.25">
      <c r="A660" s="63"/>
      <c r="AG660" s="51"/>
      <c r="AH660" s="52"/>
      <c r="AI660" s="52"/>
      <c r="AJ660" s="52"/>
    </row>
    <row r="661" spans="1:36" x14ac:dyDescent="0.25">
      <c r="A661" s="63"/>
      <c r="AG661" s="51"/>
      <c r="AH661" s="52"/>
      <c r="AI661" s="52"/>
      <c r="AJ661" s="52"/>
    </row>
    <row r="662" spans="1:36" x14ac:dyDescent="0.25">
      <c r="A662" s="63"/>
      <c r="AG662" s="51"/>
      <c r="AH662" s="52"/>
      <c r="AI662" s="52"/>
      <c r="AJ662" s="52"/>
    </row>
    <row r="663" spans="1:36" x14ac:dyDescent="0.25">
      <c r="A663" s="63"/>
      <c r="AG663" s="51"/>
      <c r="AH663" s="52"/>
      <c r="AI663" s="52"/>
      <c r="AJ663" s="52"/>
    </row>
    <row r="664" spans="1:36" x14ac:dyDescent="0.25">
      <c r="A664" s="63"/>
      <c r="AG664" s="51"/>
      <c r="AH664" s="52"/>
      <c r="AI664" s="52"/>
      <c r="AJ664" s="52"/>
    </row>
    <row r="665" spans="1:36" x14ac:dyDescent="0.25">
      <c r="A665" s="63"/>
      <c r="AG665" s="51"/>
      <c r="AH665" s="52"/>
      <c r="AI665" s="52"/>
      <c r="AJ665" s="52"/>
    </row>
    <row r="666" spans="1:36" x14ac:dyDescent="0.25">
      <c r="A666" s="63"/>
      <c r="AG666" s="51"/>
      <c r="AH666" s="52"/>
      <c r="AI666" s="52"/>
      <c r="AJ666" s="52"/>
    </row>
    <row r="667" spans="1:36" x14ac:dyDescent="0.25">
      <c r="A667" s="63"/>
      <c r="AG667" s="51"/>
      <c r="AH667" s="52"/>
      <c r="AI667" s="52"/>
      <c r="AJ667" s="52"/>
    </row>
    <row r="668" spans="1:36" x14ac:dyDescent="0.25">
      <c r="A668" s="63"/>
      <c r="AG668" s="51"/>
      <c r="AH668" s="52"/>
      <c r="AI668" s="52"/>
      <c r="AJ668" s="52"/>
    </row>
    <row r="669" spans="1:36" x14ac:dyDescent="0.25">
      <c r="A669" s="63"/>
      <c r="AG669" s="51"/>
      <c r="AH669" s="52"/>
      <c r="AI669" s="52"/>
      <c r="AJ669" s="52"/>
    </row>
    <row r="670" spans="1:36" x14ac:dyDescent="0.25">
      <c r="A670" s="63"/>
      <c r="AG670" s="51"/>
      <c r="AH670" s="52"/>
      <c r="AI670" s="52"/>
      <c r="AJ670" s="52"/>
    </row>
    <row r="671" spans="1:36" x14ac:dyDescent="0.25">
      <c r="A671" s="63"/>
      <c r="AG671" s="51"/>
      <c r="AH671" s="52"/>
      <c r="AI671" s="52"/>
      <c r="AJ671" s="52"/>
    </row>
    <row r="672" spans="1:36" x14ac:dyDescent="0.25">
      <c r="A672" s="63"/>
      <c r="AG672" s="51"/>
      <c r="AH672" s="52"/>
      <c r="AI672" s="52"/>
      <c r="AJ672" s="52"/>
    </row>
    <row r="673" spans="1:36" x14ac:dyDescent="0.25">
      <c r="A673" s="63"/>
      <c r="AG673" s="51"/>
      <c r="AH673" s="52"/>
      <c r="AI673" s="52"/>
      <c r="AJ673" s="52"/>
    </row>
    <row r="674" spans="1:36" x14ac:dyDescent="0.25">
      <c r="A674" s="63"/>
      <c r="AG674" s="51"/>
      <c r="AH674" s="52"/>
      <c r="AI674" s="52"/>
      <c r="AJ674" s="52"/>
    </row>
    <row r="675" spans="1:36" x14ac:dyDescent="0.25">
      <c r="A675" s="63"/>
      <c r="AG675" s="51"/>
      <c r="AH675" s="52"/>
      <c r="AI675" s="52"/>
      <c r="AJ675" s="52"/>
    </row>
    <row r="676" spans="1:36" x14ac:dyDescent="0.25">
      <c r="A676" s="63"/>
      <c r="AG676" s="51"/>
      <c r="AH676" s="52"/>
      <c r="AI676" s="52"/>
      <c r="AJ676" s="52"/>
    </row>
    <row r="677" spans="1:36" x14ac:dyDescent="0.25">
      <c r="A677" s="63"/>
      <c r="AG677" s="51"/>
      <c r="AH677" s="52"/>
      <c r="AI677" s="52"/>
      <c r="AJ677" s="52"/>
    </row>
    <row r="678" spans="1:36" x14ac:dyDescent="0.25">
      <c r="A678" s="63"/>
      <c r="AG678" s="51"/>
      <c r="AH678" s="52"/>
      <c r="AI678" s="52"/>
      <c r="AJ678" s="52"/>
    </row>
    <row r="679" spans="1:36" x14ac:dyDescent="0.25">
      <c r="A679" s="63"/>
      <c r="AG679" s="51"/>
      <c r="AH679" s="52"/>
      <c r="AI679" s="52"/>
      <c r="AJ679" s="52"/>
    </row>
    <row r="680" spans="1:36" x14ac:dyDescent="0.25">
      <c r="A680" s="63"/>
      <c r="AG680" s="51"/>
      <c r="AH680" s="52"/>
      <c r="AI680" s="52"/>
      <c r="AJ680" s="52"/>
    </row>
    <row r="681" spans="1:36" x14ac:dyDescent="0.25">
      <c r="A681" s="63"/>
      <c r="AG681" s="51"/>
      <c r="AH681" s="52"/>
      <c r="AI681" s="52"/>
      <c r="AJ681" s="52"/>
    </row>
    <row r="682" spans="1:36" x14ac:dyDescent="0.25">
      <c r="A682" s="63"/>
      <c r="AG682" s="51"/>
      <c r="AH682" s="52"/>
      <c r="AI682" s="52"/>
      <c r="AJ682" s="52"/>
    </row>
    <row r="683" spans="1:36" x14ac:dyDescent="0.25">
      <c r="A683" s="63"/>
      <c r="AG683" s="51"/>
      <c r="AH683" s="52"/>
      <c r="AI683" s="52"/>
      <c r="AJ683" s="52"/>
    </row>
    <row r="684" spans="1:36" x14ac:dyDescent="0.25">
      <c r="A684" s="63"/>
      <c r="AG684" s="51"/>
      <c r="AH684" s="52"/>
      <c r="AI684" s="52"/>
      <c r="AJ684" s="52"/>
    </row>
    <row r="685" spans="1:36" x14ac:dyDescent="0.25">
      <c r="A685" s="63"/>
      <c r="AG685" s="51"/>
      <c r="AH685" s="52"/>
      <c r="AI685" s="52"/>
      <c r="AJ685" s="52"/>
    </row>
    <row r="686" spans="1:36" x14ac:dyDescent="0.25">
      <c r="A686" s="63"/>
      <c r="AG686" s="51"/>
      <c r="AH686" s="52"/>
      <c r="AI686" s="52"/>
      <c r="AJ686" s="52"/>
    </row>
    <row r="687" spans="1:36" x14ac:dyDescent="0.25">
      <c r="A687" s="63"/>
      <c r="AG687" s="51"/>
      <c r="AH687" s="52"/>
      <c r="AI687" s="52"/>
      <c r="AJ687" s="52"/>
    </row>
    <row r="688" spans="1:36" x14ac:dyDescent="0.25">
      <c r="A688" s="63"/>
      <c r="AG688" s="51"/>
      <c r="AH688" s="52"/>
      <c r="AI688" s="52"/>
      <c r="AJ688" s="52"/>
    </row>
    <row r="689" spans="1:36" x14ac:dyDescent="0.25">
      <c r="A689" s="63"/>
      <c r="AG689" s="51"/>
      <c r="AH689" s="52"/>
      <c r="AI689" s="52"/>
      <c r="AJ689" s="52"/>
    </row>
    <row r="690" spans="1:36" x14ac:dyDescent="0.25">
      <c r="A690" s="63"/>
      <c r="AG690" s="51"/>
      <c r="AH690" s="52"/>
      <c r="AI690" s="52"/>
      <c r="AJ690" s="52"/>
    </row>
    <row r="691" spans="1:36" x14ac:dyDescent="0.25">
      <c r="A691" s="63"/>
      <c r="AG691" s="51"/>
      <c r="AH691" s="52"/>
      <c r="AI691" s="52"/>
      <c r="AJ691" s="52"/>
    </row>
    <row r="692" spans="1:36" x14ac:dyDescent="0.25">
      <c r="A692" s="63"/>
      <c r="AG692" s="51"/>
      <c r="AH692" s="52"/>
      <c r="AI692" s="52"/>
      <c r="AJ692" s="52"/>
    </row>
    <row r="693" spans="1:36" x14ac:dyDescent="0.25">
      <c r="A693" s="63"/>
      <c r="AG693" s="51"/>
      <c r="AH693" s="52"/>
      <c r="AI693" s="52"/>
      <c r="AJ693" s="52"/>
    </row>
    <row r="694" spans="1:36" x14ac:dyDescent="0.25">
      <c r="A694" s="63"/>
      <c r="AG694" s="51"/>
      <c r="AH694" s="52"/>
      <c r="AI694" s="52"/>
      <c r="AJ694" s="52"/>
    </row>
    <row r="695" spans="1:36" x14ac:dyDescent="0.25">
      <c r="A695" s="63"/>
      <c r="AG695" s="51"/>
      <c r="AH695" s="52"/>
      <c r="AI695" s="52"/>
      <c r="AJ695" s="52"/>
    </row>
    <row r="696" spans="1:36" x14ac:dyDescent="0.25">
      <c r="A696" s="63"/>
      <c r="AG696" s="51"/>
      <c r="AH696" s="52"/>
      <c r="AI696" s="52"/>
      <c r="AJ696" s="52"/>
    </row>
    <row r="697" spans="1:36" x14ac:dyDescent="0.25">
      <c r="A697" s="63"/>
      <c r="AG697" s="51"/>
      <c r="AH697" s="52"/>
      <c r="AI697" s="52"/>
      <c r="AJ697" s="52"/>
    </row>
    <row r="698" spans="1:36" x14ac:dyDescent="0.25">
      <c r="A698" s="63"/>
      <c r="AG698" s="51"/>
      <c r="AH698" s="52"/>
      <c r="AI698" s="52"/>
      <c r="AJ698" s="52"/>
    </row>
    <row r="699" spans="1:36" x14ac:dyDescent="0.25">
      <c r="A699" s="63"/>
      <c r="AG699" s="51"/>
      <c r="AH699" s="52"/>
      <c r="AI699" s="52"/>
      <c r="AJ699" s="52"/>
    </row>
    <row r="700" spans="1:36" x14ac:dyDescent="0.25">
      <c r="A700" s="63"/>
      <c r="AG700" s="51"/>
      <c r="AH700" s="52"/>
      <c r="AI700" s="52"/>
      <c r="AJ700" s="52"/>
    </row>
    <row r="701" spans="1:36" x14ac:dyDescent="0.25">
      <c r="A701" s="63"/>
      <c r="AG701" s="51"/>
      <c r="AH701" s="52"/>
      <c r="AI701" s="52"/>
      <c r="AJ701" s="52"/>
    </row>
    <row r="702" spans="1:36" x14ac:dyDescent="0.25">
      <c r="A702" s="63"/>
      <c r="AG702" s="51"/>
      <c r="AH702" s="52"/>
      <c r="AI702" s="52"/>
      <c r="AJ702" s="52"/>
    </row>
    <row r="703" spans="1:36" x14ac:dyDescent="0.25">
      <c r="A703" s="63"/>
      <c r="AG703" s="51"/>
      <c r="AH703" s="52"/>
      <c r="AI703" s="52"/>
      <c r="AJ703" s="52"/>
    </row>
    <row r="704" spans="1:36" x14ac:dyDescent="0.25">
      <c r="A704" s="63"/>
      <c r="AG704" s="51"/>
      <c r="AH704" s="52"/>
      <c r="AI704" s="52"/>
      <c r="AJ704" s="52"/>
    </row>
    <row r="705" spans="1:36" x14ac:dyDescent="0.25">
      <c r="A705" s="63"/>
      <c r="AG705" s="51"/>
      <c r="AH705" s="52"/>
      <c r="AI705" s="52"/>
      <c r="AJ705" s="52"/>
    </row>
    <row r="706" spans="1:36" x14ac:dyDescent="0.25">
      <c r="A706" s="63"/>
      <c r="AG706" s="51"/>
      <c r="AH706" s="52"/>
      <c r="AI706" s="52"/>
      <c r="AJ706" s="52"/>
    </row>
    <row r="707" spans="1:36" x14ac:dyDescent="0.25">
      <c r="A707" s="63"/>
      <c r="AG707" s="51"/>
      <c r="AH707" s="52"/>
      <c r="AI707" s="52"/>
      <c r="AJ707" s="52"/>
    </row>
    <row r="708" spans="1:36" x14ac:dyDescent="0.25">
      <c r="A708" s="63"/>
      <c r="AG708" s="51"/>
      <c r="AH708" s="52"/>
      <c r="AI708" s="52"/>
      <c r="AJ708" s="52"/>
    </row>
    <row r="709" spans="1:36" x14ac:dyDescent="0.25">
      <c r="A709" s="63"/>
      <c r="AG709" s="51"/>
      <c r="AH709" s="52"/>
      <c r="AI709" s="52"/>
      <c r="AJ709" s="52"/>
    </row>
    <row r="710" spans="1:36" x14ac:dyDescent="0.25">
      <c r="A710" s="63"/>
      <c r="AG710" s="51"/>
      <c r="AH710" s="52"/>
      <c r="AI710" s="52"/>
      <c r="AJ710" s="52"/>
    </row>
    <row r="711" spans="1:36" x14ac:dyDescent="0.25">
      <c r="A711" s="63"/>
      <c r="AG711" s="51"/>
      <c r="AH711" s="52"/>
      <c r="AI711" s="52"/>
      <c r="AJ711" s="52"/>
    </row>
    <row r="712" spans="1:36" x14ac:dyDescent="0.25">
      <c r="A712" s="63"/>
      <c r="AG712" s="51"/>
      <c r="AH712" s="52"/>
      <c r="AI712" s="52"/>
      <c r="AJ712" s="52"/>
    </row>
    <row r="713" spans="1:36" x14ac:dyDescent="0.25">
      <c r="A713" s="63"/>
      <c r="AG713" s="51"/>
      <c r="AH713" s="52"/>
      <c r="AI713" s="52"/>
      <c r="AJ713" s="52"/>
    </row>
    <row r="714" spans="1:36" x14ac:dyDescent="0.25">
      <c r="A714" s="63"/>
      <c r="AG714" s="51"/>
      <c r="AH714" s="52"/>
      <c r="AI714" s="52"/>
      <c r="AJ714" s="52"/>
    </row>
    <row r="715" spans="1:36" x14ac:dyDescent="0.25">
      <c r="A715" s="63"/>
      <c r="AG715" s="51"/>
      <c r="AH715" s="52"/>
      <c r="AI715" s="52"/>
      <c r="AJ715" s="52"/>
    </row>
    <row r="716" spans="1:36" x14ac:dyDescent="0.25">
      <c r="A716" s="63"/>
      <c r="AG716" s="51"/>
      <c r="AH716" s="52"/>
      <c r="AI716" s="52"/>
      <c r="AJ716" s="52"/>
    </row>
    <row r="717" spans="1:36" x14ac:dyDescent="0.25">
      <c r="A717" s="63"/>
      <c r="AG717" s="51"/>
      <c r="AH717" s="52"/>
      <c r="AI717" s="52"/>
      <c r="AJ717" s="52"/>
    </row>
    <row r="718" spans="1:36" x14ac:dyDescent="0.25">
      <c r="A718" s="63"/>
      <c r="AG718" s="51"/>
      <c r="AH718" s="52"/>
      <c r="AI718" s="52"/>
      <c r="AJ718" s="52"/>
    </row>
    <row r="719" spans="1:36" x14ac:dyDescent="0.25">
      <c r="A719" s="63"/>
      <c r="AG719" s="51"/>
      <c r="AH719" s="52"/>
      <c r="AI719" s="52"/>
      <c r="AJ719" s="52"/>
    </row>
    <row r="720" spans="1:36" x14ac:dyDescent="0.25">
      <c r="A720" s="63"/>
      <c r="AG720" s="51"/>
      <c r="AH720" s="52"/>
      <c r="AI720" s="52"/>
      <c r="AJ720" s="52"/>
    </row>
    <row r="721" spans="1:36" x14ac:dyDescent="0.25">
      <c r="A721" s="63"/>
      <c r="AG721" s="51"/>
      <c r="AH721" s="52"/>
      <c r="AI721" s="52"/>
      <c r="AJ721" s="52"/>
    </row>
    <row r="722" spans="1:36" x14ac:dyDescent="0.25">
      <c r="A722" s="63"/>
      <c r="AG722" s="51"/>
      <c r="AH722" s="52"/>
      <c r="AI722" s="52"/>
      <c r="AJ722" s="52"/>
    </row>
    <row r="723" spans="1:36" x14ac:dyDescent="0.25">
      <c r="A723" s="63"/>
      <c r="AG723" s="51"/>
      <c r="AH723" s="52"/>
      <c r="AI723" s="52"/>
      <c r="AJ723" s="52"/>
    </row>
    <row r="724" spans="1:36" x14ac:dyDescent="0.25">
      <c r="A724" s="63"/>
      <c r="AG724" s="51"/>
      <c r="AH724" s="52"/>
      <c r="AI724" s="52"/>
      <c r="AJ724" s="52"/>
    </row>
    <row r="725" spans="1:36" x14ac:dyDescent="0.25">
      <c r="A725" s="63"/>
      <c r="AG725" s="51"/>
      <c r="AH725" s="52"/>
      <c r="AI725" s="52"/>
      <c r="AJ725" s="52"/>
    </row>
    <row r="726" spans="1:36" x14ac:dyDescent="0.25">
      <c r="A726" s="63"/>
      <c r="AG726" s="51"/>
      <c r="AH726" s="52"/>
      <c r="AI726" s="52"/>
      <c r="AJ726" s="52"/>
    </row>
    <row r="727" spans="1:36" x14ac:dyDescent="0.25">
      <c r="A727" s="63"/>
      <c r="AG727" s="51"/>
      <c r="AH727" s="52"/>
      <c r="AI727" s="52"/>
      <c r="AJ727" s="52"/>
    </row>
    <row r="728" spans="1:36" x14ac:dyDescent="0.25">
      <c r="A728" s="63"/>
      <c r="AG728" s="51"/>
      <c r="AH728" s="52"/>
      <c r="AI728" s="52"/>
      <c r="AJ728" s="52"/>
    </row>
    <row r="729" spans="1:36" x14ac:dyDescent="0.25">
      <c r="A729" s="63"/>
      <c r="AG729" s="51"/>
      <c r="AH729" s="52"/>
      <c r="AI729" s="52"/>
      <c r="AJ729" s="52"/>
    </row>
    <row r="730" spans="1:36" x14ac:dyDescent="0.25">
      <c r="A730" s="63"/>
      <c r="AG730" s="51"/>
      <c r="AH730" s="52"/>
      <c r="AI730" s="52"/>
      <c r="AJ730" s="52"/>
    </row>
    <row r="731" spans="1:36" x14ac:dyDescent="0.25">
      <c r="A731" s="63"/>
      <c r="AG731" s="51"/>
      <c r="AH731" s="52"/>
      <c r="AI731" s="52"/>
      <c r="AJ731" s="52"/>
    </row>
    <row r="732" spans="1:36" x14ac:dyDescent="0.25">
      <c r="A732" s="63"/>
      <c r="AG732" s="51"/>
      <c r="AH732" s="52"/>
      <c r="AI732" s="52"/>
      <c r="AJ732" s="52"/>
    </row>
    <row r="733" spans="1:36" x14ac:dyDescent="0.25">
      <c r="A733" s="63"/>
      <c r="AG733" s="51"/>
      <c r="AH733" s="52"/>
      <c r="AI733" s="52"/>
      <c r="AJ733" s="52"/>
    </row>
    <row r="734" spans="1:36" x14ac:dyDescent="0.25">
      <c r="A734" s="63"/>
      <c r="AG734" s="51"/>
      <c r="AH734" s="52"/>
      <c r="AI734" s="52"/>
      <c r="AJ734" s="52"/>
    </row>
    <row r="735" spans="1:36" x14ac:dyDescent="0.25">
      <c r="A735" s="63"/>
      <c r="AG735" s="51"/>
      <c r="AH735" s="52"/>
      <c r="AI735" s="52"/>
      <c r="AJ735" s="52"/>
    </row>
    <row r="736" spans="1:36" x14ac:dyDescent="0.25">
      <c r="A736" s="63"/>
      <c r="AG736" s="51"/>
      <c r="AH736" s="52"/>
      <c r="AI736" s="52"/>
      <c r="AJ736" s="52"/>
    </row>
    <row r="737" spans="1:36" x14ac:dyDescent="0.25">
      <c r="A737" s="63"/>
      <c r="AG737" s="51"/>
      <c r="AH737" s="52"/>
      <c r="AI737" s="52"/>
      <c r="AJ737" s="52"/>
    </row>
    <row r="738" spans="1:36" x14ac:dyDescent="0.25">
      <c r="A738" s="63"/>
      <c r="AG738" s="51"/>
      <c r="AH738" s="52"/>
      <c r="AI738" s="52"/>
      <c r="AJ738" s="52"/>
    </row>
    <row r="739" spans="1:36" x14ac:dyDescent="0.25">
      <c r="A739" s="63"/>
      <c r="AG739" s="51"/>
      <c r="AH739" s="52"/>
      <c r="AI739" s="52"/>
      <c r="AJ739" s="52"/>
    </row>
    <row r="740" spans="1:36" x14ac:dyDescent="0.25">
      <c r="A740" s="63"/>
      <c r="AG740" s="51"/>
      <c r="AH740" s="52"/>
      <c r="AI740" s="52"/>
      <c r="AJ740" s="52"/>
    </row>
    <row r="741" spans="1:36" x14ac:dyDescent="0.25">
      <c r="A741" s="63"/>
      <c r="AG741" s="51"/>
      <c r="AH741" s="52"/>
      <c r="AI741" s="52"/>
      <c r="AJ741" s="52"/>
    </row>
    <row r="742" spans="1:36" x14ac:dyDescent="0.25">
      <c r="A742" s="63"/>
      <c r="AG742" s="51"/>
      <c r="AH742" s="52"/>
      <c r="AI742" s="52"/>
      <c r="AJ742" s="52"/>
    </row>
    <row r="743" spans="1:36" x14ac:dyDescent="0.25">
      <c r="A743" s="63"/>
      <c r="AG743" s="51"/>
      <c r="AH743" s="52"/>
      <c r="AI743" s="52"/>
      <c r="AJ743" s="52"/>
    </row>
    <row r="744" spans="1:36" x14ac:dyDescent="0.25">
      <c r="A744" s="63"/>
      <c r="AG744" s="51"/>
      <c r="AH744" s="52"/>
      <c r="AI744" s="52"/>
      <c r="AJ744" s="52"/>
    </row>
    <row r="745" spans="1:36" x14ac:dyDescent="0.25">
      <c r="A745" s="63"/>
      <c r="AG745" s="51"/>
      <c r="AH745" s="52"/>
      <c r="AI745" s="52"/>
      <c r="AJ745" s="52"/>
    </row>
    <row r="746" spans="1:36" x14ac:dyDescent="0.25">
      <c r="A746" s="63"/>
      <c r="AG746" s="51"/>
      <c r="AH746" s="52"/>
      <c r="AI746" s="52"/>
      <c r="AJ746" s="52"/>
    </row>
    <row r="747" spans="1:36" x14ac:dyDescent="0.25">
      <c r="A747" s="63"/>
      <c r="AG747" s="51"/>
      <c r="AH747" s="52"/>
      <c r="AI747" s="52"/>
      <c r="AJ747" s="52"/>
    </row>
    <row r="748" spans="1:36" x14ac:dyDescent="0.25">
      <c r="A748" s="63"/>
      <c r="AG748" s="51"/>
      <c r="AH748" s="52"/>
      <c r="AI748" s="52"/>
      <c r="AJ748" s="52"/>
    </row>
    <row r="749" spans="1:36" x14ac:dyDescent="0.25">
      <c r="A749" s="63"/>
      <c r="AG749" s="51"/>
      <c r="AH749" s="52"/>
      <c r="AI749" s="52"/>
      <c r="AJ749" s="52"/>
    </row>
    <row r="750" spans="1:36" x14ac:dyDescent="0.25">
      <c r="A750" s="63"/>
      <c r="AG750" s="51"/>
      <c r="AH750" s="52"/>
      <c r="AI750" s="52"/>
      <c r="AJ750" s="52"/>
    </row>
    <row r="751" spans="1:36" x14ac:dyDescent="0.25">
      <c r="A751" s="63"/>
      <c r="AG751" s="51"/>
      <c r="AH751" s="52"/>
      <c r="AI751" s="52"/>
      <c r="AJ751" s="52"/>
    </row>
    <row r="752" spans="1:36" x14ac:dyDescent="0.25">
      <c r="A752" s="63"/>
      <c r="AG752" s="51"/>
      <c r="AH752" s="52"/>
      <c r="AI752" s="52"/>
      <c r="AJ752" s="52"/>
    </row>
    <row r="753" spans="1:36" x14ac:dyDescent="0.25">
      <c r="A753" s="63"/>
      <c r="AG753" s="51"/>
      <c r="AH753" s="52"/>
      <c r="AI753" s="52"/>
      <c r="AJ753" s="52"/>
    </row>
    <row r="754" spans="1:36" x14ac:dyDescent="0.25">
      <c r="A754" s="63"/>
      <c r="AG754" s="51"/>
      <c r="AH754" s="52"/>
      <c r="AI754" s="52"/>
      <c r="AJ754" s="52"/>
    </row>
    <row r="755" spans="1:36" x14ac:dyDescent="0.25">
      <c r="A755" s="63"/>
      <c r="AG755" s="51"/>
      <c r="AH755" s="52"/>
      <c r="AI755" s="52"/>
      <c r="AJ755" s="52"/>
    </row>
    <row r="756" spans="1:36" x14ac:dyDescent="0.25">
      <c r="A756" s="63"/>
      <c r="AG756" s="51"/>
      <c r="AH756" s="52"/>
      <c r="AI756" s="52"/>
      <c r="AJ756" s="52"/>
    </row>
    <row r="757" spans="1:36" x14ac:dyDescent="0.25">
      <c r="A757" s="63"/>
      <c r="AG757" s="51"/>
      <c r="AH757" s="52"/>
      <c r="AI757" s="52"/>
      <c r="AJ757" s="52"/>
    </row>
    <row r="758" spans="1:36" x14ac:dyDescent="0.25">
      <c r="A758" s="63"/>
      <c r="AG758" s="51"/>
      <c r="AH758" s="52"/>
      <c r="AI758" s="52"/>
      <c r="AJ758" s="52"/>
    </row>
    <row r="759" spans="1:36" x14ac:dyDescent="0.25">
      <c r="A759" s="63"/>
      <c r="AG759" s="51"/>
      <c r="AH759" s="52"/>
      <c r="AI759" s="52"/>
      <c r="AJ759" s="52"/>
    </row>
    <row r="760" spans="1:36" x14ac:dyDescent="0.25">
      <c r="A760" s="63"/>
      <c r="AG760" s="51"/>
      <c r="AH760" s="52"/>
      <c r="AI760" s="52"/>
      <c r="AJ760" s="52"/>
    </row>
    <row r="761" spans="1:36" x14ac:dyDescent="0.25">
      <c r="A761" s="63"/>
      <c r="AG761" s="51"/>
      <c r="AH761" s="52"/>
      <c r="AI761" s="52"/>
      <c r="AJ761" s="52"/>
    </row>
    <row r="762" spans="1:36" x14ac:dyDescent="0.25">
      <c r="A762" s="63"/>
      <c r="AG762" s="51"/>
      <c r="AH762" s="52"/>
      <c r="AI762" s="52"/>
      <c r="AJ762" s="52"/>
    </row>
    <row r="763" spans="1:36" x14ac:dyDescent="0.25">
      <c r="A763" s="63"/>
      <c r="AG763" s="51"/>
      <c r="AH763" s="52"/>
      <c r="AI763" s="52"/>
      <c r="AJ763" s="52"/>
    </row>
    <row r="764" spans="1:36" x14ac:dyDescent="0.25">
      <c r="A764" s="63"/>
      <c r="AG764" s="51"/>
      <c r="AH764" s="52"/>
      <c r="AI764" s="52"/>
      <c r="AJ764" s="52"/>
    </row>
    <row r="765" spans="1:36" x14ac:dyDescent="0.25">
      <c r="A765" s="63"/>
      <c r="AG765" s="51"/>
      <c r="AH765" s="52"/>
      <c r="AI765" s="52"/>
      <c r="AJ765" s="52"/>
    </row>
    <row r="766" spans="1:36" x14ac:dyDescent="0.25">
      <c r="A766" s="63"/>
      <c r="AG766" s="51"/>
      <c r="AH766" s="52"/>
      <c r="AI766" s="52"/>
      <c r="AJ766" s="52"/>
    </row>
    <row r="767" spans="1:36" x14ac:dyDescent="0.25">
      <c r="A767" s="63"/>
      <c r="AG767" s="51"/>
      <c r="AH767" s="52"/>
      <c r="AI767" s="52"/>
      <c r="AJ767" s="52"/>
    </row>
    <row r="768" spans="1:36" x14ac:dyDescent="0.25">
      <c r="A768" s="63"/>
      <c r="AG768" s="51"/>
      <c r="AH768" s="52"/>
      <c r="AI768" s="52"/>
      <c r="AJ768" s="52"/>
    </row>
    <row r="769" spans="1:36" x14ac:dyDescent="0.25">
      <c r="A769" s="63"/>
      <c r="AG769" s="51"/>
      <c r="AH769" s="52"/>
      <c r="AI769" s="52"/>
      <c r="AJ769" s="52"/>
    </row>
    <row r="770" spans="1:36" x14ac:dyDescent="0.25">
      <c r="A770" s="63"/>
      <c r="AG770" s="51"/>
      <c r="AH770" s="52"/>
      <c r="AI770" s="52"/>
      <c r="AJ770" s="52"/>
    </row>
    <row r="771" spans="1:36" x14ac:dyDescent="0.25">
      <c r="A771" s="63"/>
      <c r="AG771" s="51"/>
      <c r="AH771" s="52"/>
      <c r="AI771" s="52"/>
      <c r="AJ771" s="52"/>
    </row>
    <row r="772" spans="1:36" x14ac:dyDescent="0.25">
      <c r="A772" s="63"/>
      <c r="AG772" s="51"/>
      <c r="AH772" s="52"/>
      <c r="AI772" s="52"/>
      <c r="AJ772" s="52"/>
    </row>
    <row r="773" spans="1:36" x14ac:dyDescent="0.25">
      <c r="A773" s="63"/>
      <c r="AG773" s="51"/>
      <c r="AH773" s="52"/>
      <c r="AI773" s="52"/>
      <c r="AJ773" s="52"/>
    </row>
    <row r="774" spans="1:36" x14ac:dyDescent="0.25">
      <c r="A774" s="63"/>
      <c r="AG774" s="51"/>
      <c r="AH774" s="52"/>
      <c r="AI774" s="52"/>
      <c r="AJ774" s="52"/>
    </row>
    <row r="775" spans="1:36" x14ac:dyDescent="0.25">
      <c r="A775" s="63"/>
      <c r="AG775" s="51"/>
      <c r="AH775" s="52"/>
      <c r="AI775" s="52"/>
      <c r="AJ775" s="52"/>
    </row>
    <row r="776" spans="1:36" x14ac:dyDescent="0.25">
      <c r="A776" s="63"/>
      <c r="AG776" s="51"/>
      <c r="AH776" s="52"/>
      <c r="AI776" s="52"/>
      <c r="AJ776" s="52"/>
    </row>
    <row r="777" spans="1:36" x14ac:dyDescent="0.25">
      <c r="A777" s="63"/>
      <c r="AG777" s="51"/>
      <c r="AH777" s="52"/>
      <c r="AI777" s="52"/>
      <c r="AJ777" s="52"/>
    </row>
    <row r="778" spans="1:36" x14ac:dyDescent="0.25">
      <c r="A778" s="63"/>
      <c r="AG778" s="51"/>
      <c r="AH778" s="52"/>
      <c r="AI778" s="52"/>
      <c r="AJ778" s="52"/>
    </row>
    <row r="779" spans="1:36" x14ac:dyDescent="0.25">
      <c r="A779" s="63"/>
      <c r="AG779" s="51"/>
      <c r="AH779" s="52"/>
      <c r="AI779" s="52"/>
      <c r="AJ779" s="52"/>
    </row>
    <row r="780" spans="1:36" x14ac:dyDescent="0.25">
      <c r="A780" s="63"/>
      <c r="AG780" s="51"/>
      <c r="AH780" s="52"/>
      <c r="AI780" s="52"/>
      <c r="AJ780" s="52"/>
    </row>
    <row r="781" spans="1:36" x14ac:dyDescent="0.25">
      <c r="A781" s="63"/>
      <c r="AG781" s="51"/>
      <c r="AH781" s="52"/>
      <c r="AI781" s="52"/>
      <c r="AJ781" s="52"/>
    </row>
    <row r="782" spans="1:36" x14ac:dyDescent="0.25">
      <c r="A782" s="63"/>
      <c r="AG782" s="51"/>
      <c r="AH782" s="52"/>
      <c r="AI782" s="52"/>
      <c r="AJ782" s="52"/>
    </row>
    <row r="783" spans="1:36" x14ac:dyDescent="0.25">
      <c r="A783" s="63"/>
      <c r="AG783" s="51"/>
      <c r="AH783" s="52"/>
      <c r="AI783" s="52"/>
      <c r="AJ783" s="52"/>
    </row>
    <row r="784" spans="1:36" x14ac:dyDescent="0.25">
      <c r="A784" s="63"/>
      <c r="AG784" s="51"/>
      <c r="AH784" s="52"/>
      <c r="AI784" s="52"/>
      <c r="AJ784" s="52"/>
    </row>
    <row r="785" spans="1:36" x14ac:dyDescent="0.25">
      <c r="A785" s="63"/>
      <c r="AG785" s="51"/>
      <c r="AH785" s="52"/>
      <c r="AI785" s="52"/>
      <c r="AJ785" s="52"/>
    </row>
    <row r="786" spans="1:36" x14ac:dyDescent="0.25">
      <c r="A786" s="63"/>
      <c r="AG786" s="51"/>
      <c r="AH786" s="52"/>
      <c r="AI786" s="52"/>
      <c r="AJ786" s="52"/>
    </row>
    <row r="787" spans="1:36" x14ac:dyDescent="0.25">
      <c r="A787" s="63"/>
      <c r="AG787" s="51"/>
      <c r="AH787" s="52"/>
      <c r="AI787" s="52"/>
      <c r="AJ787" s="52"/>
    </row>
    <row r="788" spans="1:36" x14ac:dyDescent="0.25">
      <c r="A788" s="63"/>
      <c r="AG788" s="51"/>
      <c r="AH788" s="52"/>
      <c r="AI788" s="52"/>
      <c r="AJ788" s="52"/>
    </row>
    <row r="789" spans="1:36" x14ac:dyDescent="0.25">
      <c r="A789" s="63"/>
      <c r="AG789" s="51"/>
      <c r="AH789" s="52"/>
      <c r="AI789" s="52"/>
      <c r="AJ789" s="52"/>
    </row>
    <row r="790" spans="1:36" x14ac:dyDescent="0.25">
      <c r="A790" s="63"/>
      <c r="AG790" s="51"/>
      <c r="AH790" s="52"/>
      <c r="AI790" s="52"/>
      <c r="AJ790" s="52"/>
    </row>
    <row r="791" spans="1:36" x14ac:dyDescent="0.25">
      <c r="A791" s="63"/>
      <c r="AG791" s="51"/>
      <c r="AH791" s="52"/>
      <c r="AI791" s="52"/>
      <c r="AJ791" s="52"/>
    </row>
    <row r="792" spans="1:36" x14ac:dyDescent="0.25">
      <c r="A792" s="63"/>
      <c r="AG792" s="51"/>
      <c r="AH792" s="52"/>
      <c r="AI792" s="52"/>
      <c r="AJ792" s="52"/>
    </row>
    <row r="793" spans="1:36" x14ac:dyDescent="0.25">
      <c r="A793" s="63"/>
      <c r="AG793" s="51"/>
      <c r="AH793" s="52"/>
      <c r="AI793" s="52"/>
      <c r="AJ793" s="52"/>
    </row>
    <row r="794" spans="1:36" x14ac:dyDescent="0.25">
      <c r="A794" s="63"/>
      <c r="AG794" s="51"/>
      <c r="AH794" s="52"/>
      <c r="AI794" s="52"/>
      <c r="AJ794" s="52"/>
    </row>
    <row r="795" spans="1:36" x14ac:dyDescent="0.25">
      <c r="A795" s="63"/>
      <c r="AG795" s="51"/>
      <c r="AH795" s="52"/>
      <c r="AI795" s="52"/>
      <c r="AJ795" s="52"/>
    </row>
    <row r="796" spans="1:36" x14ac:dyDescent="0.25">
      <c r="A796" s="63"/>
      <c r="AG796" s="51"/>
      <c r="AH796" s="52"/>
      <c r="AI796" s="52"/>
      <c r="AJ796" s="52"/>
    </row>
    <row r="797" spans="1:36" x14ac:dyDescent="0.25">
      <c r="A797" s="63"/>
      <c r="AG797" s="51"/>
      <c r="AH797" s="52"/>
      <c r="AI797" s="52"/>
      <c r="AJ797" s="52"/>
    </row>
    <row r="798" spans="1:36" x14ac:dyDescent="0.25">
      <c r="A798" s="63"/>
      <c r="AG798" s="51"/>
      <c r="AH798" s="52"/>
      <c r="AI798" s="52"/>
      <c r="AJ798" s="52"/>
    </row>
    <row r="799" spans="1:36" x14ac:dyDescent="0.25">
      <c r="A799" s="63"/>
      <c r="AG799" s="51"/>
      <c r="AH799" s="52"/>
      <c r="AI799" s="52"/>
      <c r="AJ799" s="52"/>
    </row>
    <row r="800" spans="1:36" x14ac:dyDescent="0.25">
      <c r="A800" s="63"/>
      <c r="AG800" s="51"/>
      <c r="AH800" s="52"/>
      <c r="AI800" s="52"/>
      <c r="AJ800" s="52"/>
    </row>
    <row r="801" spans="1:36" x14ac:dyDescent="0.25">
      <c r="A801" s="63"/>
      <c r="AG801" s="51"/>
      <c r="AH801" s="52"/>
      <c r="AI801" s="52"/>
      <c r="AJ801" s="52"/>
    </row>
    <row r="802" spans="1:36" x14ac:dyDescent="0.25">
      <c r="A802" s="63"/>
      <c r="AG802" s="51"/>
      <c r="AH802" s="52"/>
      <c r="AI802" s="52"/>
      <c r="AJ802" s="52"/>
    </row>
    <row r="803" spans="1:36" x14ac:dyDescent="0.25">
      <c r="A803" s="63"/>
      <c r="AG803" s="51"/>
      <c r="AH803" s="52"/>
      <c r="AI803" s="52"/>
      <c r="AJ803" s="52"/>
    </row>
    <row r="804" spans="1:36" x14ac:dyDescent="0.25">
      <c r="A804" s="63"/>
      <c r="AG804" s="51"/>
      <c r="AH804" s="52"/>
      <c r="AI804" s="52"/>
      <c r="AJ804" s="52"/>
    </row>
    <row r="805" spans="1:36" x14ac:dyDescent="0.25">
      <c r="A805" s="63"/>
      <c r="AG805" s="51"/>
      <c r="AH805" s="52"/>
      <c r="AI805" s="52"/>
      <c r="AJ805" s="52"/>
    </row>
    <row r="806" spans="1:36" x14ac:dyDescent="0.25">
      <c r="A806" s="63"/>
      <c r="AG806" s="51"/>
      <c r="AH806" s="52"/>
      <c r="AI806" s="52"/>
      <c r="AJ806" s="52"/>
    </row>
    <row r="807" spans="1:36" x14ac:dyDescent="0.25">
      <c r="A807" s="63"/>
      <c r="AG807" s="51"/>
      <c r="AH807" s="52"/>
      <c r="AI807" s="52"/>
      <c r="AJ807" s="52"/>
    </row>
    <row r="808" spans="1:36" x14ac:dyDescent="0.25">
      <c r="A808" s="63"/>
      <c r="AG808" s="51"/>
      <c r="AH808" s="52"/>
      <c r="AI808" s="52"/>
      <c r="AJ808" s="52"/>
    </row>
    <row r="809" spans="1:36" x14ac:dyDescent="0.25">
      <c r="A809" s="63"/>
      <c r="AG809" s="51"/>
      <c r="AH809" s="52"/>
      <c r="AI809" s="52"/>
      <c r="AJ809" s="52"/>
    </row>
    <row r="810" spans="1:36" x14ac:dyDescent="0.25">
      <c r="A810" s="63"/>
      <c r="AG810" s="51"/>
      <c r="AH810" s="52"/>
      <c r="AI810" s="52"/>
      <c r="AJ810" s="52"/>
    </row>
    <row r="811" spans="1:36" x14ac:dyDescent="0.25">
      <c r="A811" s="63"/>
      <c r="AG811" s="51"/>
      <c r="AH811" s="52"/>
      <c r="AI811" s="52"/>
      <c r="AJ811" s="52"/>
    </row>
    <row r="812" spans="1:36" x14ac:dyDescent="0.25">
      <c r="A812" s="63"/>
      <c r="AG812" s="51"/>
      <c r="AH812" s="52"/>
      <c r="AI812" s="52"/>
      <c r="AJ812" s="52"/>
    </row>
    <row r="813" spans="1:36" x14ac:dyDescent="0.25">
      <c r="A813" s="63"/>
      <c r="AG813" s="51"/>
      <c r="AH813" s="52"/>
      <c r="AI813" s="52"/>
      <c r="AJ813" s="52"/>
    </row>
    <row r="814" spans="1:36" x14ac:dyDescent="0.25">
      <c r="A814" s="63"/>
      <c r="AG814" s="51"/>
      <c r="AH814" s="52"/>
      <c r="AI814" s="52"/>
      <c r="AJ814" s="52"/>
    </row>
    <row r="815" spans="1:36" x14ac:dyDescent="0.25">
      <c r="A815" s="63"/>
      <c r="AG815" s="51"/>
      <c r="AH815" s="52"/>
      <c r="AI815" s="52"/>
      <c r="AJ815" s="52"/>
    </row>
    <row r="816" spans="1:36" x14ac:dyDescent="0.25">
      <c r="A816" s="63"/>
      <c r="AG816" s="51"/>
      <c r="AH816" s="52"/>
      <c r="AI816" s="52"/>
      <c r="AJ816" s="52"/>
    </row>
    <row r="817" spans="1:36" x14ac:dyDescent="0.25">
      <c r="A817" s="63"/>
      <c r="AG817" s="51"/>
      <c r="AH817" s="52"/>
      <c r="AI817" s="52"/>
      <c r="AJ817" s="52"/>
    </row>
    <row r="818" spans="1:36" x14ac:dyDescent="0.25">
      <c r="A818" s="63"/>
      <c r="AG818" s="51"/>
      <c r="AH818" s="52"/>
      <c r="AI818" s="52"/>
      <c r="AJ818" s="52"/>
    </row>
    <row r="819" spans="1:36" x14ac:dyDescent="0.25">
      <c r="A819" s="63"/>
      <c r="AG819" s="51"/>
      <c r="AH819" s="52"/>
      <c r="AI819" s="52"/>
      <c r="AJ819" s="52"/>
    </row>
    <row r="820" spans="1:36" x14ac:dyDescent="0.25">
      <c r="A820" s="63"/>
      <c r="AG820" s="51"/>
      <c r="AH820" s="52"/>
      <c r="AI820" s="52"/>
      <c r="AJ820" s="52"/>
    </row>
    <row r="821" spans="1:36" x14ac:dyDescent="0.25">
      <c r="A821" s="63"/>
      <c r="AG821" s="51"/>
      <c r="AH821" s="52"/>
      <c r="AI821" s="52"/>
      <c r="AJ821" s="52"/>
    </row>
    <row r="822" spans="1:36" x14ac:dyDescent="0.25">
      <c r="A822" s="63"/>
      <c r="AG822" s="51"/>
      <c r="AH822" s="52"/>
      <c r="AI822" s="52"/>
      <c r="AJ822" s="52"/>
    </row>
    <row r="823" spans="1:36" x14ac:dyDescent="0.25">
      <c r="A823" s="63"/>
      <c r="AG823" s="51"/>
      <c r="AH823" s="52"/>
      <c r="AI823" s="52"/>
      <c r="AJ823" s="52"/>
    </row>
    <row r="824" spans="1:36" x14ac:dyDescent="0.25">
      <c r="A824" s="63"/>
      <c r="AG824" s="51"/>
      <c r="AH824" s="52"/>
      <c r="AI824" s="52"/>
      <c r="AJ824" s="52"/>
    </row>
    <row r="825" spans="1:36" x14ac:dyDescent="0.25">
      <c r="A825" s="63"/>
      <c r="AG825" s="51"/>
      <c r="AH825" s="52"/>
      <c r="AI825" s="52"/>
      <c r="AJ825" s="52"/>
    </row>
    <row r="826" spans="1:36" x14ac:dyDescent="0.25">
      <c r="A826" s="63"/>
      <c r="AG826" s="51"/>
      <c r="AH826" s="52"/>
      <c r="AI826" s="52"/>
      <c r="AJ826" s="52"/>
    </row>
    <row r="827" spans="1:36" x14ac:dyDescent="0.25">
      <c r="A827" s="63"/>
      <c r="AG827" s="51"/>
      <c r="AH827" s="52"/>
      <c r="AI827" s="52"/>
      <c r="AJ827" s="52"/>
    </row>
    <row r="828" spans="1:36" x14ac:dyDescent="0.25">
      <c r="A828" s="63"/>
      <c r="AG828" s="51"/>
      <c r="AH828" s="52"/>
      <c r="AI828" s="52"/>
      <c r="AJ828" s="52"/>
    </row>
    <row r="829" spans="1:36" x14ac:dyDescent="0.25">
      <c r="A829" s="63"/>
      <c r="AG829" s="51"/>
      <c r="AH829" s="52"/>
      <c r="AI829" s="52"/>
      <c r="AJ829" s="52"/>
    </row>
    <row r="830" spans="1:36" x14ac:dyDescent="0.25">
      <c r="A830" s="63"/>
      <c r="AG830" s="51"/>
      <c r="AH830" s="52"/>
      <c r="AI830" s="52"/>
      <c r="AJ830" s="52"/>
    </row>
    <row r="831" spans="1:36" x14ac:dyDescent="0.25">
      <c r="A831" s="63"/>
      <c r="AG831" s="51"/>
      <c r="AH831" s="52"/>
      <c r="AI831" s="52"/>
      <c r="AJ831" s="52"/>
    </row>
    <row r="832" spans="1:36" x14ac:dyDescent="0.25">
      <c r="A832" s="63"/>
      <c r="AG832" s="51"/>
      <c r="AH832" s="52"/>
      <c r="AI832" s="52"/>
      <c r="AJ832" s="52"/>
    </row>
    <row r="833" spans="1:36" x14ac:dyDescent="0.25">
      <c r="A833" s="63"/>
      <c r="AG833" s="51"/>
      <c r="AH833" s="52"/>
      <c r="AI833" s="52"/>
      <c r="AJ833" s="52"/>
    </row>
    <row r="834" spans="1:36" x14ac:dyDescent="0.25">
      <c r="A834" s="63"/>
      <c r="AG834" s="51"/>
      <c r="AH834" s="52"/>
      <c r="AI834" s="52"/>
      <c r="AJ834" s="52"/>
    </row>
    <row r="835" spans="1:36" x14ac:dyDescent="0.25">
      <c r="A835" s="63"/>
      <c r="AG835" s="51"/>
      <c r="AH835" s="52"/>
      <c r="AI835" s="52"/>
      <c r="AJ835" s="52"/>
    </row>
    <row r="836" spans="1:36" x14ac:dyDescent="0.25">
      <c r="A836" s="63"/>
      <c r="AG836" s="51"/>
      <c r="AH836" s="52"/>
      <c r="AI836" s="52"/>
      <c r="AJ836" s="52"/>
    </row>
    <row r="837" spans="1:36" x14ac:dyDescent="0.25">
      <c r="A837" s="63"/>
      <c r="AG837" s="51"/>
      <c r="AH837" s="52"/>
      <c r="AI837" s="52"/>
      <c r="AJ837" s="52"/>
    </row>
    <row r="838" spans="1:36" x14ac:dyDescent="0.25">
      <c r="A838" s="63"/>
      <c r="AG838" s="51"/>
      <c r="AH838" s="52"/>
      <c r="AI838" s="52"/>
      <c r="AJ838" s="52"/>
    </row>
    <row r="839" spans="1:36" x14ac:dyDescent="0.25">
      <c r="A839" s="63"/>
      <c r="AG839" s="51"/>
      <c r="AH839" s="52"/>
      <c r="AI839" s="52"/>
      <c r="AJ839" s="52"/>
    </row>
    <row r="840" spans="1:36" x14ac:dyDescent="0.25">
      <c r="A840" s="63"/>
      <c r="AG840" s="51"/>
      <c r="AH840" s="52"/>
      <c r="AI840" s="52"/>
      <c r="AJ840" s="52"/>
    </row>
    <row r="841" spans="1:36" x14ac:dyDescent="0.25">
      <c r="A841" s="63"/>
      <c r="AG841" s="51"/>
      <c r="AH841" s="52"/>
      <c r="AI841" s="52"/>
      <c r="AJ841" s="52"/>
    </row>
    <row r="842" spans="1:36" x14ac:dyDescent="0.25">
      <c r="A842" s="63"/>
      <c r="AG842" s="51"/>
      <c r="AH842" s="52"/>
      <c r="AI842" s="52"/>
      <c r="AJ842" s="52"/>
    </row>
    <row r="843" spans="1:36" x14ac:dyDescent="0.25">
      <c r="A843" s="63"/>
      <c r="AG843" s="51"/>
      <c r="AH843" s="52"/>
      <c r="AI843" s="52"/>
      <c r="AJ843" s="52"/>
    </row>
    <row r="844" spans="1:36" x14ac:dyDescent="0.25">
      <c r="A844" s="63"/>
      <c r="AG844" s="51"/>
      <c r="AH844" s="52"/>
      <c r="AI844" s="52"/>
      <c r="AJ844" s="52"/>
    </row>
    <row r="845" spans="1:36" x14ac:dyDescent="0.25">
      <c r="A845" s="63"/>
      <c r="AG845" s="51"/>
      <c r="AH845" s="52"/>
      <c r="AI845" s="52"/>
      <c r="AJ845" s="52"/>
    </row>
    <row r="846" spans="1:36" x14ac:dyDescent="0.25">
      <c r="A846" s="63"/>
      <c r="AG846" s="51"/>
      <c r="AH846" s="52"/>
      <c r="AI846" s="52"/>
      <c r="AJ846" s="52"/>
    </row>
    <row r="847" spans="1:36" x14ac:dyDescent="0.25">
      <c r="A847" s="63"/>
      <c r="AG847" s="51"/>
      <c r="AH847" s="52"/>
      <c r="AI847" s="52"/>
      <c r="AJ847" s="52"/>
    </row>
    <row r="848" spans="1:36" x14ac:dyDescent="0.25">
      <c r="A848" s="63"/>
      <c r="AG848" s="51"/>
      <c r="AH848" s="52"/>
      <c r="AI848" s="52"/>
      <c r="AJ848" s="52"/>
    </row>
    <row r="849" spans="1:36" x14ac:dyDescent="0.25">
      <c r="A849" s="63"/>
      <c r="AG849" s="51"/>
      <c r="AH849" s="52"/>
      <c r="AI849" s="52"/>
      <c r="AJ849" s="52"/>
    </row>
    <row r="850" spans="1:36" x14ac:dyDescent="0.25">
      <c r="A850" s="63"/>
      <c r="AG850" s="51"/>
      <c r="AH850" s="52"/>
      <c r="AI850" s="52"/>
      <c r="AJ850" s="52"/>
    </row>
    <row r="851" spans="1:36" x14ac:dyDescent="0.25">
      <c r="A851" s="63"/>
      <c r="AG851" s="51"/>
      <c r="AH851" s="52"/>
      <c r="AI851" s="52"/>
      <c r="AJ851" s="52"/>
    </row>
    <row r="852" spans="1:36" x14ac:dyDescent="0.25">
      <c r="A852" s="63"/>
      <c r="AG852" s="51"/>
      <c r="AH852" s="52"/>
      <c r="AI852" s="52"/>
      <c r="AJ852" s="52"/>
    </row>
    <row r="853" spans="1:36" x14ac:dyDescent="0.25">
      <c r="A853" s="63"/>
      <c r="AG853" s="51"/>
      <c r="AH853" s="52"/>
      <c r="AI853" s="52"/>
      <c r="AJ853" s="52"/>
    </row>
    <row r="854" spans="1:36" x14ac:dyDescent="0.25">
      <c r="A854" s="63"/>
      <c r="AG854" s="51"/>
      <c r="AH854" s="52"/>
      <c r="AI854" s="52"/>
      <c r="AJ854" s="52"/>
    </row>
    <row r="855" spans="1:36" x14ac:dyDescent="0.25">
      <c r="A855" s="63"/>
      <c r="AG855" s="51"/>
      <c r="AH855" s="52"/>
      <c r="AI855" s="52"/>
      <c r="AJ855" s="52"/>
    </row>
    <row r="856" spans="1:36" x14ac:dyDescent="0.25">
      <c r="A856" s="63"/>
      <c r="AG856" s="51"/>
      <c r="AH856" s="52"/>
      <c r="AI856" s="52"/>
      <c r="AJ856" s="52"/>
    </row>
    <row r="857" spans="1:36" x14ac:dyDescent="0.25">
      <c r="A857" s="63"/>
      <c r="AG857" s="51"/>
      <c r="AH857" s="52"/>
      <c r="AI857" s="52"/>
      <c r="AJ857" s="52"/>
    </row>
    <row r="858" spans="1:36" x14ac:dyDescent="0.25">
      <c r="A858" s="63"/>
      <c r="AG858" s="51"/>
      <c r="AH858" s="52"/>
      <c r="AI858" s="52"/>
      <c r="AJ858" s="52"/>
    </row>
    <row r="859" spans="1:36" x14ac:dyDescent="0.25">
      <c r="A859" s="63"/>
      <c r="AG859" s="51"/>
      <c r="AH859" s="52"/>
      <c r="AI859" s="52"/>
      <c r="AJ859" s="52"/>
    </row>
    <row r="860" spans="1:36" x14ac:dyDescent="0.25">
      <c r="A860" s="63"/>
      <c r="AG860" s="51"/>
      <c r="AH860" s="52"/>
      <c r="AI860" s="52"/>
      <c r="AJ860" s="52"/>
    </row>
    <row r="861" spans="1:36" x14ac:dyDescent="0.25">
      <c r="A861" s="63"/>
      <c r="AG861" s="51"/>
      <c r="AH861" s="52"/>
      <c r="AI861" s="52"/>
      <c r="AJ861" s="52"/>
    </row>
    <row r="862" spans="1:36" x14ac:dyDescent="0.25">
      <c r="A862" s="63"/>
      <c r="AG862" s="51"/>
      <c r="AH862" s="52"/>
      <c r="AI862" s="52"/>
      <c r="AJ862" s="52"/>
    </row>
    <row r="863" spans="1:36" x14ac:dyDescent="0.25">
      <c r="A863" s="63"/>
      <c r="AG863" s="51"/>
      <c r="AH863" s="52"/>
      <c r="AI863" s="52"/>
      <c r="AJ863" s="52"/>
    </row>
    <row r="864" spans="1:36" x14ac:dyDescent="0.25">
      <c r="A864" s="63"/>
      <c r="AG864" s="51"/>
      <c r="AH864" s="52"/>
      <c r="AI864" s="52"/>
      <c r="AJ864" s="52"/>
    </row>
    <row r="865" spans="1:36" x14ac:dyDescent="0.25">
      <c r="A865" s="63"/>
      <c r="AG865" s="51"/>
      <c r="AH865" s="52"/>
      <c r="AI865" s="52"/>
      <c r="AJ865" s="52"/>
    </row>
    <row r="866" spans="1:36" x14ac:dyDescent="0.25">
      <c r="A866" s="63"/>
      <c r="AG866" s="51"/>
      <c r="AH866" s="52"/>
      <c r="AI866" s="52"/>
      <c r="AJ866" s="52"/>
    </row>
    <row r="867" spans="1:36" x14ac:dyDescent="0.25">
      <c r="A867" s="63"/>
      <c r="AG867" s="51"/>
      <c r="AH867" s="52"/>
      <c r="AI867" s="52"/>
      <c r="AJ867" s="52"/>
    </row>
    <row r="868" spans="1:36" x14ac:dyDescent="0.25">
      <c r="A868" s="63"/>
      <c r="AG868" s="51"/>
      <c r="AH868" s="52"/>
      <c r="AI868" s="52"/>
      <c r="AJ868" s="52"/>
    </row>
    <row r="869" spans="1:36" x14ac:dyDescent="0.25">
      <c r="A869" s="63"/>
      <c r="AG869" s="51"/>
      <c r="AH869" s="52"/>
      <c r="AI869" s="52"/>
      <c r="AJ869" s="52"/>
    </row>
    <row r="870" spans="1:36" x14ac:dyDescent="0.25">
      <c r="A870" s="63"/>
      <c r="AG870" s="51"/>
      <c r="AH870" s="52"/>
      <c r="AI870" s="52"/>
      <c r="AJ870" s="52"/>
    </row>
    <row r="871" spans="1:36" x14ac:dyDescent="0.25">
      <c r="A871" s="63"/>
      <c r="AG871" s="51"/>
      <c r="AH871" s="52"/>
      <c r="AI871" s="52"/>
      <c r="AJ871" s="52"/>
    </row>
    <row r="872" spans="1:36" x14ac:dyDescent="0.25">
      <c r="A872" s="63"/>
      <c r="AG872" s="51"/>
      <c r="AH872" s="52"/>
      <c r="AI872" s="52"/>
      <c r="AJ872" s="52"/>
    </row>
    <row r="873" spans="1:36" x14ac:dyDescent="0.25">
      <c r="A873" s="63"/>
      <c r="AG873" s="51"/>
      <c r="AH873" s="52"/>
      <c r="AI873" s="52"/>
      <c r="AJ873" s="52"/>
    </row>
    <row r="874" spans="1:36" x14ac:dyDescent="0.25">
      <c r="A874" s="63"/>
      <c r="AG874" s="51"/>
      <c r="AH874" s="52"/>
      <c r="AI874" s="52"/>
      <c r="AJ874" s="52"/>
    </row>
    <row r="875" spans="1:36" x14ac:dyDescent="0.25">
      <c r="A875" s="63"/>
      <c r="AG875" s="51"/>
      <c r="AH875" s="52"/>
      <c r="AI875" s="52"/>
      <c r="AJ875" s="52"/>
    </row>
    <row r="876" spans="1:36" x14ac:dyDescent="0.25">
      <c r="A876" s="63"/>
      <c r="AG876" s="51"/>
      <c r="AH876" s="52"/>
      <c r="AI876" s="52"/>
      <c r="AJ876" s="52"/>
    </row>
    <row r="877" spans="1:36" x14ac:dyDescent="0.25">
      <c r="A877" s="63"/>
      <c r="AG877" s="51"/>
      <c r="AH877" s="52"/>
      <c r="AI877" s="52"/>
      <c r="AJ877" s="52"/>
    </row>
    <row r="878" spans="1:36" x14ac:dyDescent="0.25">
      <c r="A878" s="63"/>
      <c r="AG878" s="51"/>
      <c r="AH878" s="52"/>
      <c r="AI878" s="52"/>
      <c r="AJ878" s="52"/>
    </row>
    <row r="879" spans="1:36" x14ac:dyDescent="0.25">
      <c r="A879" s="63"/>
      <c r="AG879" s="51"/>
      <c r="AH879" s="52"/>
      <c r="AI879" s="52"/>
      <c r="AJ879" s="52"/>
    </row>
    <row r="880" spans="1:36" x14ac:dyDescent="0.25">
      <c r="A880" s="63"/>
      <c r="AG880" s="51"/>
      <c r="AH880" s="52"/>
      <c r="AI880" s="52"/>
      <c r="AJ880" s="52"/>
    </row>
    <row r="881" spans="1:36" x14ac:dyDescent="0.25">
      <c r="A881" s="63"/>
      <c r="AG881" s="51"/>
      <c r="AH881" s="52"/>
      <c r="AI881" s="52"/>
      <c r="AJ881" s="52"/>
    </row>
    <row r="882" spans="1:36" x14ac:dyDescent="0.25">
      <c r="A882" s="63"/>
      <c r="AG882" s="51"/>
      <c r="AH882" s="52"/>
      <c r="AI882" s="52"/>
      <c r="AJ882" s="52"/>
    </row>
    <row r="883" spans="1:36" x14ac:dyDescent="0.25">
      <c r="A883" s="63"/>
      <c r="AG883" s="51"/>
      <c r="AH883" s="52"/>
      <c r="AI883" s="52"/>
      <c r="AJ883" s="52"/>
    </row>
    <row r="884" spans="1:36" x14ac:dyDescent="0.25">
      <c r="A884" s="63"/>
      <c r="AG884" s="51"/>
      <c r="AH884" s="52"/>
      <c r="AI884" s="52"/>
      <c r="AJ884" s="52"/>
    </row>
    <row r="885" spans="1:36" x14ac:dyDescent="0.25">
      <c r="A885" s="63"/>
      <c r="AG885" s="51"/>
      <c r="AH885" s="52"/>
      <c r="AI885" s="52"/>
      <c r="AJ885" s="52"/>
    </row>
    <row r="886" spans="1:36" x14ac:dyDescent="0.25">
      <c r="A886" s="63"/>
      <c r="AG886" s="51"/>
      <c r="AH886" s="52"/>
      <c r="AI886" s="52"/>
      <c r="AJ886" s="52"/>
    </row>
    <row r="887" spans="1:36" x14ac:dyDescent="0.25">
      <c r="A887" s="63"/>
      <c r="AG887" s="51"/>
      <c r="AH887" s="52"/>
      <c r="AI887" s="52"/>
      <c r="AJ887" s="52"/>
    </row>
    <row r="888" spans="1:36" x14ac:dyDescent="0.25">
      <c r="A888" s="63"/>
      <c r="AG888" s="51"/>
      <c r="AH888" s="52"/>
      <c r="AI888" s="52"/>
      <c r="AJ888" s="52"/>
    </row>
    <row r="889" spans="1:36" x14ac:dyDescent="0.25">
      <c r="A889" s="63"/>
      <c r="AG889" s="51"/>
      <c r="AH889" s="52"/>
      <c r="AI889" s="52"/>
      <c r="AJ889" s="52"/>
    </row>
    <row r="890" spans="1:36" x14ac:dyDescent="0.25">
      <c r="A890" s="63"/>
      <c r="AG890" s="51"/>
      <c r="AH890" s="52"/>
      <c r="AI890" s="52"/>
      <c r="AJ890" s="52"/>
    </row>
    <row r="891" spans="1:36" x14ac:dyDescent="0.25">
      <c r="A891" s="63"/>
      <c r="AG891" s="51"/>
      <c r="AH891" s="52"/>
      <c r="AI891" s="52"/>
      <c r="AJ891" s="52"/>
    </row>
    <row r="892" spans="1:36" x14ac:dyDescent="0.25">
      <c r="A892" s="63"/>
      <c r="AG892" s="51"/>
      <c r="AH892" s="52"/>
      <c r="AI892" s="52"/>
      <c r="AJ892" s="52"/>
    </row>
    <row r="893" spans="1:36" x14ac:dyDescent="0.25">
      <c r="A893" s="63"/>
      <c r="AG893" s="51"/>
      <c r="AH893" s="52"/>
      <c r="AI893" s="52"/>
      <c r="AJ893" s="52"/>
    </row>
    <row r="894" spans="1:36" x14ac:dyDescent="0.25">
      <c r="A894" s="63"/>
      <c r="AG894" s="51"/>
      <c r="AH894" s="52"/>
      <c r="AI894" s="52"/>
      <c r="AJ894" s="52"/>
    </row>
    <row r="895" spans="1:36" x14ac:dyDescent="0.25">
      <c r="A895" s="63"/>
      <c r="AG895" s="51"/>
      <c r="AH895" s="52"/>
      <c r="AI895" s="52"/>
      <c r="AJ895" s="52"/>
    </row>
    <row r="896" spans="1:36" x14ac:dyDescent="0.25">
      <c r="A896" s="63"/>
      <c r="AG896" s="51"/>
      <c r="AH896" s="52"/>
      <c r="AI896" s="52"/>
      <c r="AJ896" s="52"/>
    </row>
    <row r="897" spans="1:36" x14ac:dyDescent="0.25">
      <c r="A897" s="63"/>
      <c r="AG897" s="51"/>
      <c r="AH897" s="52"/>
      <c r="AI897" s="52"/>
      <c r="AJ897" s="52"/>
    </row>
    <row r="898" spans="1:36" x14ac:dyDescent="0.25">
      <c r="A898" s="63"/>
      <c r="AG898" s="51"/>
      <c r="AH898" s="52"/>
      <c r="AI898" s="52"/>
      <c r="AJ898" s="52"/>
    </row>
    <row r="899" spans="1:36" x14ac:dyDescent="0.25">
      <c r="A899" s="63"/>
      <c r="AG899" s="51"/>
      <c r="AH899" s="52"/>
      <c r="AI899" s="52"/>
      <c r="AJ899" s="52"/>
    </row>
    <row r="900" spans="1:36" x14ac:dyDescent="0.25">
      <c r="A900" s="63"/>
      <c r="AG900" s="51"/>
      <c r="AH900" s="52"/>
      <c r="AI900" s="52"/>
      <c r="AJ900" s="52"/>
    </row>
    <row r="901" spans="1:36" x14ac:dyDescent="0.25">
      <c r="A901" s="63"/>
      <c r="AG901" s="51"/>
      <c r="AH901" s="52"/>
      <c r="AI901" s="52"/>
      <c r="AJ901" s="52"/>
    </row>
    <row r="902" spans="1:36" x14ac:dyDescent="0.25">
      <c r="A902" s="63"/>
      <c r="AG902" s="51"/>
      <c r="AH902" s="52"/>
      <c r="AI902" s="52"/>
      <c r="AJ902" s="52"/>
    </row>
    <row r="903" spans="1:36" x14ac:dyDescent="0.25">
      <c r="A903" s="63"/>
      <c r="AG903" s="51"/>
      <c r="AH903" s="52"/>
      <c r="AI903" s="52"/>
      <c r="AJ903" s="52"/>
    </row>
    <row r="904" spans="1:36" x14ac:dyDescent="0.25">
      <c r="A904" s="63"/>
      <c r="AG904" s="51"/>
      <c r="AH904" s="52"/>
      <c r="AI904" s="52"/>
      <c r="AJ904" s="52"/>
    </row>
    <row r="905" spans="1:36" x14ac:dyDescent="0.25">
      <c r="A905" s="63"/>
      <c r="AG905" s="51"/>
      <c r="AH905" s="52"/>
      <c r="AI905" s="52"/>
      <c r="AJ905" s="52"/>
    </row>
    <row r="906" spans="1:36" x14ac:dyDescent="0.25">
      <c r="A906" s="63"/>
      <c r="AG906" s="51"/>
      <c r="AH906" s="52"/>
      <c r="AI906" s="52"/>
      <c r="AJ906" s="52"/>
    </row>
    <row r="907" spans="1:36" x14ac:dyDescent="0.25">
      <c r="A907" s="63"/>
      <c r="AG907" s="51"/>
      <c r="AH907" s="52"/>
      <c r="AI907" s="52"/>
      <c r="AJ907" s="52"/>
    </row>
    <row r="908" spans="1:36" x14ac:dyDescent="0.25">
      <c r="A908" s="63"/>
      <c r="AG908" s="51"/>
      <c r="AH908" s="52"/>
      <c r="AI908" s="52"/>
      <c r="AJ908" s="52"/>
    </row>
    <row r="909" spans="1:36" x14ac:dyDescent="0.25">
      <c r="A909" s="63"/>
      <c r="AG909" s="51"/>
      <c r="AH909" s="52"/>
      <c r="AI909" s="52"/>
      <c r="AJ909" s="52"/>
    </row>
    <row r="910" spans="1:36" x14ac:dyDescent="0.25">
      <c r="A910" s="63"/>
      <c r="AG910" s="51"/>
      <c r="AH910" s="52"/>
      <c r="AI910" s="52"/>
      <c r="AJ910" s="52"/>
    </row>
    <row r="911" spans="1:36" x14ac:dyDescent="0.25">
      <c r="A911" s="63"/>
      <c r="AG911" s="51"/>
      <c r="AH911" s="52"/>
      <c r="AI911" s="52"/>
      <c r="AJ911" s="52"/>
    </row>
    <row r="912" spans="1:36" x14ac:dyDescent="0.25">
      <c r="A912" s="63"/>
      <c r="AG912" s="51"/>
      <c r="AH912" s="52"/>
      <c r="AI912" s="52"/>
      <c r="AJ912" s="52"/>
    </row>
    <row r="913" spans="1:36" x14ac:dyDescent="0.25">
      <c r="A913" s="63"/>
      <c r="AG913" s="51"/>
      <c r="AH913" s="52"/>
      <c r="AI913" s="52"/>
      <c r="AJ913" s="52"/>
    </row>
    <row r="914" spans="1:36" x14ac:dyDescent="0.25">
      <c r="A914" s="63"/>
      <c r="AG914" s="51"/>
      <c r="AH914" s="52"/>
      <c r="AI914" s="52"/>
      <c r="AJ914" s="52"/>
    </row>
    <row r="915" spans="1:36" x14ac:dyDescent="0.25">
      <c r="A915" s="63"/>
      <c r="AG915" s="51"/>
      <c r="AH915" s="52"/>
      <c r="AI915" s="52"/>
      <c r="AJ915" s="52"/>
    </row>
    <row r="916" spans="1:36" x14ac:dyDescent="0.25">
      <c r="A916" s="63"/>
      <c r="AG916" s="51"/>
      <c r="AH916" s="52"/>
      <c r="AI916" s="52"/>
      <c r="AJ916" s="52"/>
    </row>
    <row r="917" spans="1:36" x14ac:dyDescent="0.25">
      <c r="A917" s="63"/>
      <c r="AG917" s="51"/>
      <c r="AH917" s="52"/>
      <c r="AI917" s="52"/>
      <c r="AJ917" s="52"/>
    </row>
    <row r="918" spans="1:36" x14ac:dyDescent="0.25">
      <c r="A918" s="63"/>
      <c r="AG918" s="51"/>
      <c r="AH918" s="52"/>
      <c r="AI918" s="52"/>
      <c r="AJ918" s="52"/>
    </row>
    <row r="919" spans="1:36" x14ac:dyDescent="0.25">
      <c r="A919" s="63"/>
      <c r="AG919" s="51"/>
      <c r="AH919" s="52"/>
      <c r="AI919" s="52"/>
      <c r="AJ919" s="52"/>
    </row>
    <row r="920" spans="1:36" x14ac:dyDescent="0.25">
      <c r="A920" s="63"/>
      <c r="AG920" s="51"/>
      <c r="AH920" s="52"/>
      <c r="AI920" s="52"/>
      <c r="AJ920" s="52"/>
    </row>
    <row r="921" spans="1:36" x14ac:dyDescent="0.25">
      <c r="A921" s="63"/>
      <c r="AG921" s="51"/>
      <c r="AH921" s="52"/>
      <c r="AI921" s="52"/>
      <c r="AJ921" s="52"/>
    </row>
    <row r="922" spans="1:36" x14ac:dyDescent="0.25">
      <c r="A922" s="63"/>
      <c r="AG922" s="51"/>
      <c r="AH922" s="52"/>
      <c r="AI922" s="52"/>
      <c r="AJ922" s="52"/>
    </row>
    <row r="923" spans="1:36" x14ac:dyDescent="0.25">
      <c r="A923" s="63"/>
      <c r="AG923" s="51"/>
      <c r="AH923" s="52"/>
      <c r="AI923" s="52"/>
      <c r="AJ923" s="52"/>
    </row>
    <row r="924" spans="1:36" x14ac:dyDescent="0.25">
      <c r="A924" s="63"/>
      <c r="AG924" s="51"/>
      <c r="AH924" s="52"/>
      <c r="AI924" s="52"/>
      <c r="AJ924" s="52"/>
    </row>
    <row r="925" spans="1:36" x14ac:dyDescent="0.25">
      <c r="A925" s="63"/>
      <c r="AG925" s="51"/>
      <c r="AH925" s="52"/>
      <c r="AI925" s="52"/>
      <c r="AJ925" s="52"/>
    </row>
    <row r="926" spans="1:36" x14ac:dyDescent="0.25">
      <c r="A926" s="63"/>
      <c r="AG926" s="51"/>
      <c r="AH926" s="52"/>
      <c r="AI926" s="52"/>
      <c r="AJ926" s="52"/>
    </row>
    <row r="927" spans="1:36" x14ac:dyDescent="0.25">
      <c r="A927" s="63"/>
      <c r="AG927" s="51"/>
      <c r="AH927" s="52"/>
      <c r="AI927" s="52"/>
      <c r="AJ927" s="52"/>
    </row>
    <row r="928" spans="1:36" x14ac:dyDescent="0.25">
      <c r="A928" s="63"/>
      <c r="AG928" s="51"/>
      <c r="AH928" s="52"/>
      <c r="AI928" s="52"/>
      <c r="AJ928" s="52"/>
    </row>
    <row r="929" spans="1:36" x14ac:dyDescent="0.25">
      <c r="A929" s="63"/>
      <c r="AG929" s="51"/>
      <c r="AH929" s="52"/>
      <c r="AI929" s="52"/>
      <c r="AJ929" s="52"/>
    </row>
    <row r="930" spans="1:36" x14ac:dyDescent="0.25">
      <c r="A930" s="63"/>
      <c r="AG930" s="51"/>
      <c r="AH930" s="52"/>
      <c r="AI930" s="52"/>
      <c r="AJ930" s="52"/>
    </row>
    <row r="931" spans="1:36" x14ac:dyDescent="0.25">
      <c r="A931" s="63"/>
      <c r="AG931" s="51"/>
      <c r="AH931" s="52"/>
      <c r="AI931" s="52"/>
      <c r="AJ931" s="52"/>
    </row>
    <row r="932" spans="1:36" x14ac:dyDescent="0.25">
      <c r="A932" s="63"/>
      <c r="AG932" s="51"/>
      <c r="AH932" s="52"/>
      <c r="AI932" s="52"/>
      <c r="AJ932" s="52"/>
    </row>
    <row r="933" spans="1:36" x14ac:dyDescent="0.25">
      <c r="A933" s="63"/>
      <c r="AG933" s="51"/>
      <c r="AH933" s="52"/>
      <c r="AI933" s="52"/>
      <c r="AJ933" s="52"/>
    </row>
    <row r="934" spans="1:36" x14ac:dyDescent="0.25">
      <c r="A934" s="63"/>
      <c r="AG934" s="51"/>
      <c r="AH934" s="52"/>
      <c r="AI934" s="52"/>
      <c r="AJ934" s="52"/>
    </row>
    <row r="935" spans="1:36" x14ac:dyDescent="0.25">
      <c r="A935" s="63"/>
      <c r="AG935" s="51"/>
      <c r="AH935" s="52"/>
      <c r="AI935" s="52"/>
      <c r="AJ935" s="52"/>
    </row>
    <row r="936" spans="1:36" x14ac:dyDescent="0.25">
      <c r="A936" s="63"/>
      <c r="AG936" s="51"/>
      <c r="AH936" s="52"/>
      <c r="AI936" s="52"/>
      <c r="AJ936" s="52"/>
    </row>
    <row r="937" spans="1:36" x14ac:dyDescent="0.25">
      <c r="A937" s="63"/>
      <c r="AG937" s="51"/>
      <c r="AH937" s="52"/>
      <c r="AI937" s="52"/>
      <c r="AJ937" s="52"/>
    </row>
    <row r="938" spans="1:36" x14ac:dyDescent="0.25">
      <c r="A938" s="63"/>
      <c r="AG938" s="51"/>
      <c r="AH938" s="52"/>
      <c r="AI938" s="52"/>
      <c r="AJ938" s="52"/>
    </row>
    <row r="939" spans="1:36" x14ac:dyDescent="0.25">
      <c r="A939" s="63"/>
      <c r="AG939" s="51"/>
      <c r="AH939" s="52"/>
      <c r="AI939" s="52"/>
      <c r="AJ939" s="52"/>
    </row>
    <row r="940" spans="1:36" x14ac:dyDescent="0.25">
      <c r="A940" s="63"/>
      <c r="AG940" s="51"/>
      <c r="AH940" s="52"/>
      <c r="AI940" s="52"/>
      <c r="AJ940" s="52"/>
    </row>
    <row r="941" spans="1:36" x14ac:dyDescent="0.25">
      <c r="A941" s="63"/>
      <c r="AG941" s="51"/>
      <c r="AH941" s="52"/>
      <c r="AI941" s="52"/>
      <c r="AJ941" s="52"/>
    </row>
    <row r="942" spans="1:36" x14ac:dyDescent="0.25">
      <c r="A942" s="63"/>
      <c r="AG942" s="51"/>
      <c r="AH942" s="52"/>
      <c r="AI942" s="52"/>
      <c r="AJ942" s="52"/>
    </row>
    <row r="943" spans="1:36" x14ac:dyDescent="0.25">
      <c r="A943" s="63"/>
      <c r="AG943" s="51"/>
      <c r="AH943" s="52"/>
      <c r="AI943" s="52"/>
      <c r="AJ943" s="52"/>
    </row>
    <row r="944" spans="1:36" x14ac:dyDescent="0.25">
      <c r="A944" s="63"/>
      <c r="AG944" s="51"/>
      <c r="AH944" s="52"/>
      <c r="AI944" s="52"/>
      <c r="AJ944" s="52"/>
    </row>
    <row r="945" spans="1:36" x14ac:dyDescent="0.25">
      <c r="A945" s="63"/>
      <c r="AG945" s="51"/>
      <c r="AH945" s="52"/>
      <c r="AI945" s="52"/>
      <c r="AJ945" s="52"/>
    </row>
    <row r="946" spans="1:36" x14ac:dyDescent="0.25">
      <c r="A946" s="63"/>
      <c r="AG946" s="51"/>
      <c r="AH946" s="52"/>
      <c r="AI946" s="52"/>
      <c r="AJ946" s="52"/>
    </row>
    <row r="947" spans="1:36" x14ac:dyDescent="0.25">
      <c r="A947" s="63"/>
      <c r="AG947" s="51"/>
      <c r="AH947" s="52"/>
      <c r="AI947" s="52"/>
      <c r="AJ947" s="52"/>
    </row>
    <row r="948" spans="1:36" x14ac:dyDescent="0.25">
      <c r="A948" s="63"/>
      <c r="AG948" s="51"/>
      <c r="AH948" s="52"/>
      <c r="AI948" s="52"/>
      <c r="AJ948" s="52"/>
    </row>
    <row r="949" spans="1:36" x14ac:dyDescent="0.25">
      <c r="A949" s="63"/>
      <c r="AG949" s="51"/>
      <c r="AH949" s="52"/>
      <c r="AI949" s="52"/>
      <c r="AJ949" s="52"/>
    </row>
    <row r="950" spans="1:36" x14ac:dyDescent="0.25">
      <c r="A950" s="63"/>
      <c r="AG950" s="51"/>
      <c r="AH950" s="52"/>
      <c r="AI950" s="52"/>
      <c r="AJ950" s="52"/>
    </row>
    <row r="951" spans="1:36" x14ac:dyDescent="0.25">
      <c r="A951" s="63"/>
      <c r="AG951" s="51"/>
      <c r="AH951" s="52"/>
      <c r="AI951" s="52"/>
      <c r="AJ951" s="52"/>
    </row>
    <row r="952" spans="1:36" x14ac:dyDescent="0.25">
      <c r="A952" s="63"/>
      <c r="AG952" s="51"/>
      <c r="AH952" s="52"/>
      <c r="AI952" s="52"/>
      <c r="AJ952" s="52"/>
    </row>
    <row r="953" spans="1:36" x14ac:dyDescent="0.25">
      <c r="A953" s="63"/>
      <c r="AG953" s="51"/>
      <c r="AH953" s="52"/>
      <c r="AI953" s="52"/>
      <c r="AJ953" s="52"/>
    </row>
    <row r="954" spans="1:36" x14ac:dyDescent="0.25">
      <c r="A954" s="63"/>
      <c r="AG954" s="51"/>
      <c r="AH954" s="52"/>
      <c r="AI954" s="52"/>
      <c r="AJ954" s="52"/>
    </row>
    <row r="955" spans="1:36" x14ac:dyDescent="0.25">
      <c r="A955" s="63"/>
      <c r="AG955" s="51"/>
      <c r="AH955" s="52"/>
      <c r="AI955" s="52"/>
      <c r="AJ955" s="52"/>
    </row>
    <row r="956" spans="1:36" x14ac:dyDescent="0.25">
      <c r="A956" s="63"/>
      <c r="AG956" s="51"/>
      <c r="AH956" s="52"/>
      <c r="AI956" s="52"/>
      <c r="AJ956" s="52"/>
    </row>
    <row r="957" spans="1:36" x14ac:dyDescent="0.25">
      <c r="A957" s="63"/>
      <c r="AG957" s="51"/>
      <c r="AH957" s="52"/>
      <c r="AI957" s="52"/>
      <c r="AJ957" s="52"/>
    </row>
    <row r="958" spans="1:36" x14ac:dyDescent="0.25">
      <c r="A958" s="63"/>
      <c r="AG958" s="51"/>
      <c r="AH958" s="52"/>
      <c r="AI958" s="52"/>
      <c r="AJ958" s="52"/>
    </row>
    <row r="959" spans="1:36" x14ac:dyDescent="0.25">
      <c r="A959" s="63"/>
      <c r="AG959" s="51"/>
      <c r="AH959" s="52"/>
      <c r="AI959" s="52"/>
      <c r="AJ959" s="52"/>
    </row>
    <row r="960" spans="1:36" x14ac:dyDescent="0.25">
      <c r="A960" s="63"/>
      <c r="AG960" s="51"/>
      <c r="AH960" s="52"/>
      <c r="AI960" s="52"/>
      <c r="AJ960" s="52"/>
    </row>
    <row r="961" spans="1:36" x14ac:dyDescent="0.25">
      <c r="A961" s="63"/>
      <c r="AG961" s="51"/>
      <c r="AH961" s="52"/>
      <c r="AI961" s="52"/>
      <c r="AJ961" s="52"/>
    </row>
    <row r="962" spans="1:36" x14ac:dyDescent="0.25">
      <c r="A962" s="63"/>
      <c r="AG962" s="51"/>
      <c r="AH962" s="52"/>
      <c r="AI962" s="52"/>
      <c r="AJ962" s="52"/>
    </row>
    <row r="963" spans="1:36" x14ac:dyDescent="0.25">
      <c r="A963" s="63"/>
      <c r="AG963" s="51"/>
      <c r="AH963" s="52"/>
      <c r="AI963" s="52"/>
      <c r="AJ963" s="52"/>
    </row>
    <row r="964" spans="1:36" x14ac:dyDescent="0.25">
      <c r="A964" s="63"/>
      <c r="AG964" s="51"/>
      <c r="AH964" s="52"/>
      <c r="AI964" s="52"/>
      <c r="AJ964" s="52"/>
    </row>
    <row r="965" spans="1:36" x14ac:dyDescent="0.25">
      <c r="A965" s="63"/>
      <c r="AG965" s="51"/>
      <c r="AH965" s="52"/>
      <c r="AI965" s="52"/>
      <c r="AJ965" s="52"/>
    </row>
    <row r="966" spans="1:36" x14ac:dyDescent="0.25">
      <c r="A966" s="63"/>
      <c r="AG966" s="51"/>
      <c r="AH966" s="52"/>
      <c r="AI966" s="52"/>
      <c r="AJ966" s="52"/>
    </row>
    <row r="967" spans="1:36" x14ac:dyDescent="0.25">
      <c r="A967" s="63"/>
      <c r="AG967" s="51"/>
      <c r="AH967" s="52"/>
      <c r="AI967" s="52"/>
      <c r="AJ967" s="52"/>
    </row>
    <row r="968" spans="1:36" x14ac:dyDescent="0.25">
      <c r="A968" s="63"/>
      <c r="AG968" s="51"/>
      <c r="AH968" s="52"/>
      <c r="AI968" s="52"/>
      <c r="AJ968" s="52"/>
    </row>
    <row r="969" spans="1:36" x14ac:dyDescent="0.25">
      <c r="A969" s="63"/>
      <c r="AG969" s="51"/>
      <c r="AH969" s="52"/>
      <c r="AI969" s="52"/>
      <c r="AJ969" s="52"/>
    </row>
    <row r="970" spans="1:36" x14ac:dyDescent="0.25">
      <c r="A970" s="63"/>
      <c r="AG970" s="51"/>
      <c r="AH970" s="52"/>
      <c r="AI970" s="52"/>
      <c r="AJ970" s="52"/>
    </row>
    <row r="971" spans="1:36" x14ac:dyDescent="0.25">
      <c r="A971" s="63"/>
      <c r="AG971" s="51"/>
      <c r="AH971" s="52"/>
      <c r="AI971" s="52"/>
      <c r="AJ971" s="52"/>
    </row>
    <row r="972" spans="1:36" x14ac:dyDescent="0.25">
      <c r="A972" s="63"/>
      <c r="AG972" s="51"/>
      <c r="AH972" s="52"/>
      <c r="AI972" s="52"/>
      <c r="AJ972" s="52"/>
    </row>
    <row r="973" spans="1:36" x14ac:dyDescent="0.25">
      <c r="A973" s="63"/>
      <c r="AG973" s="51"/>
      <c r="AH973" s="52"/>
      <c r="AI973" s="52"/>
      <c r="AJ973" s="52"/>
    </row>
    <row r="974" spans="1:36" x14ac:dyDescent="0.25">
      <c r="A974" s="63"/>
      <c r="AG974" s="51"/>
      <c r="AH974" s="52"/>
      <c r="AI974" s="52"/>
      <c r="AJ974" s="52"/>
    </row>
    <row r="975" spans="1:36" x14ac:dyDescent="0.25">
      <c r="A975" s="63"/>
      <c r="AG975" s="51"/>
      <c r="AH975" s="52"/>
      <c r="AI975" s="52"/>
      <c r="AJ975" s="52"/>
    </row>
    <row r="976" spans="1:36" x14ac:dyDescent="0.25">
      <c r="A976" s="63"/>
      <c r="AG976" s="51"/>
      <c r="AH976" s="52"/>
      <c r="AI976" s="52"/>
      <c r="AJ976" s="52"/>
    </row>
    <row r="977" spans="1:36" x14ac:dyDescent="0.25">
      <c r="A977" s="63"/>
      <c r="AG977" s="51"/>
      <c r="AH977" s="52"/>
      <c r="AI977" s="52"/>
      <c r="AJ977" s="52"/>
    </row>
    <row r="978" spans="1:36" x14ac:dyDescent="0.25">
      <c r="A978" s="63"/>
      <c r="AG978" s="51"/>
      <c r="AH978" s="52"/>
      <c r="AI978" s="52"/>
      <c r="AJ978" s="52"/>
    </row>
    <row r="979" spans="1:36" x14ac:dyDescent="0.25">
      <c r="A979" s="63"/>
      <c r="AG979" s="51"/>
      <c r="AH979" s="52"/>
      <c r="AI979" s="52"/>
      <c r="AJ979" s="52"/>
    </row>
    <row r="980" spans="1:36" x14ac:dyDescent="0.25">
      <c r="A980" s="63"/>
      <c r="AG980" s="51"/>
      <c r="AH980" s="52"/>
      <c r="AI980" s="52"/>
      <c r="AJ980" s="52"/>
    </row>
    <row r="981" spans="1:36" x14ac:dyDescent="0.25">
      <c r="A981" s="63"/>
      <c r="AG981" s="51"/>
      <c r="AH981" s="52"/>
      <c r="AI981" s="52"/>
      <c r="AJ981" s="52"/>
    </row>
    <row r="982" spans="1:36" x14ac:dyDescent="0.25">
      <c r="A982" s="63"/>
      <c r="AG982" s="51"/>
      <c r="AH982" s="52"/>
      <c r="AI982" s="52"/>
      <c r="AJ982" s="52"/>
    </row>
    <row r="983" spans="1:36" x14ac:dyDescent="0.25">
      <c r="A983" s="63"/>
      <c r="AG983" s="51"/>
      <c r="AH983" s="52"/>
      <c r="AI983" s="52"/>
      <c r="AJ983" s="52"/>
    </row>
    <row r="984" spans="1:36" x14ac:dyDescent="0.25">
      <c r="A984" s="63"/>
      <c r="AG984" s="51"/>
      <c r="AH984" s="52"/>
      <c r="AI984" s="52"/>
      <c r="AJ984" s="52"/>
    </row>
    <row r="985" spans="1:36" x14ac:dyDescent="0.25">
      <c r="A985" s="63"/>
      <c r="AG985" s="51"/>
      <c r="AH985" s="52"/>
      <c r="AI985" s="52"/>
      <c r="AJ985" s="52"/>
    </row>
    <row r="986" spans="1:36" x14ac:dyDescent="0.25">
      <c r="A986" s="63"/>
      <c r="AG986" s="51"/>
      <c r="AH986" s="52"/>
      <c r="AI986" s="52"/>
      <c r="AJ986" s="52"/>
    </row>
    <row r="987" spans="1:36" x14ac:dyDescent="0.25">
      <c r="A987" s="63"/>
      <c r="AG987" s="51"/>
      <c r="AH987" s="52"/>
      <c r="AI987" s="52"/>
      <c r="AJ987" s="52"/>
    </row>
    <row r="988" spans="1:36" x14ac:dyDescent="0.25">
      <c r="A988" s="63"/>
      <c r="AG988" s="51"/>
      <c r="AH988" s="52"/>
      <c r="AI988" s="52"/>
      <c r="AJ988" s="52"/>
    </row>
    <row r="989" spans="1:36" x14ac:dyDescent="0.25">
      <c r="A989" s="63"/>
      <c r="AG989" s="51"/>
      <c r="AH989" s="52"/>
      <c r="AI989" s="52"/>
      <c r="AJ989" s="52"/>
    </row>
    <row r="990" spans="1:36" x14ac:dyDescent="0.25">
      <c r="A990" s="63"/>
      <c r="AG990" s="51"/>
      <c r="AH990" s="52"/>
      <c r="AI990" s="52"/>
      <c r="AJ990" s="52"/>
    </row>
    <row r="991" spans="1:36" x14ac:dyDescent="0.25">
      <c r="A991" s="63"/>
      <c r="AG991" s="51"/>
      <c r="AH991" s="52"/>
      <c r="AI991" s="52"/>
      <c r="AJ991" s="52"/>
    </row>
    <row r="992" spans="1:36" x14ac:dyDescent="0.25">
      <c r="A992" s="63"/>
      <c r="AG992" s="51"/>
      <c r="AH992" s="52"/>
      <c r="AI992" s="52"/>
      <c r="AJ992" s="52"/>
    </row>
    <row r="993" spans="1:36" x14ac:dyDescent="0.25">
      <c r="A993" s="63"/>
      <c r="AG993" s="51"/>
      <c r="AH993" s="52"/>
      <c r="AI993" s="52"/>
      <c r="AJ993" s="52"/>
    </row>
    <row r="994" spans="1:36" x14ac:dyDescent="0.25">
      <c r="A994" s="63"/>
      <c r="AG994" s="51"/>
      <c r="AH994" s="52"/>
      <c r="AI994" s="52"/>
      <c r="AJ994" s="52"/>
    </row>
    <row r="995" spans="1:36" x14ac:dyDescent="0.25">
      <c r="A995" s="63"/>
      <c r="AG995" s="51"/>
      <c r="AH995" s="52"/>
      <c r="AI995" s="52"/>
      <c r="AJ995" s="52"/>
    </row>
    <row r="996" spans="1:36" x14ac:dyDescent="0.25">
      <c r="A996" s="63"/>
      <c r="AG996" s="51"/>
      <c r="AH996" s="52"/>
      <c r="AI996" s="52"/>
      <c r="AJ996" s="52"/>
    </row>
    <row r="997" spans="1:36" x14ac:dyDescent="0.25">
      <c r="A997" s="63"/>
      <c r="AG997" s="51"/>
      <c r="AH997" s="52"/>
      <c r="AI997" s="52"/>
      <c r="AJ997" s="52"/>
    </row>
    <row r="998" spans="1:36" x14ac:dyDescent="0.25">
      <c r="A998" s="63"/>
      <c r="AG998" s="51"/>
      <c r="AH998" s="52"/>
      <c r="AI998" s="52"/>
      <c r="AJ998" s="52"/>
    </row>
    <row r="999" spans="1:36" x14ac:dyDescent="0.25">
      <c r="A999" s="63"/>
      <c r="AG999" s="51"/>
      <c r="AH999" s="52"/>
      <c r="AI999" s="52"/>
      <c r="AJ999" s="52"/>
    </row>
    <row r="1000" spans="1:36" x14ac:dyDescent="0.25">
      <c r="A1000" s="63"/>
      <c r="AG1000" s="51"/>
      <c r="AH1000" s="52"/>
      <c r="AI1000" s="52"/>
      <c r="AJ1000" s="52"/>
    </row>
    <row r="1001" spans="1:36" x14ac:dyDescent="0.25">
      <c r="A1001" s="63"/>
      <c r="AG1001" s="51"/>
      <c r="AH1001" s="52"/>
      <c r="AI1001" s="52"/>
      <c r="AJ1001" s="52"/>
    </row>
    <row r="1002" spans="1:36" x14ac:dyDescent="0.25">
      <c r="A1002" s="63"/>
      <c r="AG1002" s="51"/>
      <c r="AH1002" s="52"/>
      <c r="AI1002" s="52"/>
      <c r="AJ1002" s="52"/>
    </row>
    <row r="1003" spans="1:36" x14ac:dyDescent="0.25">
      <c r="A1003" s="63"/>
      <c r="AG1003" s="51"/>
      <c r="AH1003" s="52"/>
      <c r="AI1003" s="52"/>
      <c r="AJ1003" s="52"/>
    </row>
    <row r="1004" spans="1:36" x14ac:dyDescent="0.25">
      <c r="A1004" s="63"/>
      <c r="AG1004" s="51"/>
      <c r="AH1004" s="52"/>
      <c r="AI1004" s="52"/>
      <c r="AJ1004" s="52"/>
    </row>
    <row r="1005" spans="1:36" x14ac:dyDescent="0.25">
      <c r="A1005" s="63"/>
      <c r="AG1005" s="51"/>
      <c r="AH1005" s="52"/>
      <c r="AI1005" s="52"/>
      <c r="AJ1005" s="52"/>
    </row>
    <row r="1006" spans="1:36" x14ac:dyDescent="0.25">
      <c r="A1006" s="63"/>
      <c r="AG1006" s="51"/>
      <c r="AH1006" s="52"/>
      <c r="AI1006" s="52"/>
      <c r="AJ1006" s="52"/>
    </row>
    <row r="1007" spans="1:36" x14ac:dyDescent="0.25">
      <c r="A1007" s="63"/>
      <c r="AG1007" s="51"/>
      <c r="AH1007" s="52"/>
      <c r="AI1007" s="52"/>
      <c r="AJ1007" s="52"/>
    </row>
    <row r="1008" spans="1:36" x14ac:dyDescent="0.25">
      <c r="A1008" s="63"/>
      <c r="AG1008" s="51"/>
      <c r="AH1008" s="52"/>
      <c r="AI1008" s="52"/>
      <c r="AJ1008" s="52"/>
    </row>
    <row r="1009" spans="1:36" x14ac:dyDescent="0.25">
      <c r="A1009" s="63"/>
      <c r="AG1009" s="51"/>
      <c r="AH1009" s="52"/>
      <c r="AI1009" s="52"/>
      <c r="AJ1009" s="52"/>
    </row>
    <row r="1010" spans="1:36" x14ac:dyDescent="0.25">
      <c r="A1010" s="63"/>
      <c r="AG1010" s="51"/>
      <c r="AH1010" s="52"/>
      <c r="AI1010" s="52"/>
      <c r="AJ1010" s="52"/>
    </row>
    <row r="1011" spans="1:36" x14ac:dyDescent="0.25">
      <c r="A1011" s="63"/>
      <c r="AG1011" s="51"/>
      <c r="AH1011" s="52"/>
      <c r="AI1011" s="52"/>
      <c r="AJ1011" s="52"/>
    </row>
    <row r="1012" spans="1:36" x14ac:dyDescent="0.25">
      <c r="A1012" s="63"/>
      <c r="AG1012" s="51"/>
      <c r="AH1012" s="52"/>
      <c r="AI1012" s="52"/>
      <c r="AJ1012" s="52"/>
    </row>
    <row r="1013" spans="1:36" x14ac:dyDescent="0.25">
      <c r="A1013" s="63"/>
      <c r="AG1013" s="51"/>
      <c r="AH1013" s="52"/>
      <c r="AI1013" s="52"/>
      <c r="AJ1013" s="52"/>
    </row>
    <row r="1014" spans="1:36" x14ac:dyDescent="0.25">
      <c r="A1014" s="63"/>
      <c r="AG1014" s="51"/>
      <c r="AH1014" s="52"/>
      <c r="AI1014" s="52"/>
      <c r="AJ1014" s="52"/>
    </row>
    <row r="1015" spans="1:36" x14ac:dyDescent="0.25">
      <c r="A1015" s="63"/>
      <c r="AG1015" s="51"/>
      <c r="AH1015" s="52"/>
      <c r="AI1015" s="52"/>
      <c r="AJ1015" s="52"/>
    </row>
    <row r="1016" spans="1:36" x14ac:dyDescent="0.25">
      <c r="A1016" s="63"/>
      <c r="AG1016" s="51"/>
      <c r="AH1016" s="52"/>
      <c r="AI1016" s="52"/>
      <c r="AJ1016" s="52"/>
    </row>
    <row r="1017" spans="1:36" x14ac:dyDescent="0.25">
      <c r="A1017" s="63"/>
      <c r="AG1017" s="51"/>
      <c r="AH1017" s="52"/>
      <c r="AI1017" s="52"/>
      <c r="AJ1017" s="52"/>
    </row>
    <row r="1018" spans="1:36" x14ac:dyDescent="0.25">
      <c r="A1018" s="63"/>
      <c r="AG1018" s="51"/>
      <c r="AH1018" s="52"/>
      <c r="AI1018" s="52"/>
      <c r="AJ1018" s="52"/>
    </row>
    <row r="1019" spans="1:36" x14ac:dyDescent="0.25">
      <c r="A1019" s="63"/>
      <c r="AG1019" s="51"/>
      <c r="AH1019" s="52"/>
      <c r="AI1019" s="52"/>
      <c r="AJ1019" s="52"/>
    </row>
    <row r="1020" spans="1:36" x14ac:dyDescent="0.25">
      <c r="A1020" s="63"/>
      <c r="AG1020" s="51"/>
      <c r="AH1020" s="52"/>
      <c r="AI1020" s="52"/>
      <c r="AJ1020" s="52"/>
    </row>
    <row r="1021" spans="1:36" x14ac:dyDescent="0.25">
      <c r="A1021" s="63"/>
      <c r="AG1021" s="51"/>
      <c r="AH1021" s="52"/>
      <c r="AI1021" s="52"/>
      <c r="AJ1021" s="52"/>
    </row>
    <row r="1022" spans="1:36" x14ac:dyDescent="0.25">
      <c r="A1022" s="63"/>
      <c r="AG1022" s="51"/>
      <c r="AH1022" s="52"/>
      <c r="AI1022" s="52"/>
      <c r="AJ1022" s="52"/>
    </row>
    <row r="1023" spans="1:36" x14ac:dyDescent="0.25">
      <c r="A1023" s="63"/>
      <c r="AG1023" s="51"/>
      <c r="AH1023" s="52"/>
      <c r="AI1023" s="52"/>
      <c r="AJ1023" s="52"/>
    </row>
    <row r="1024" spans="1:36" x14ac:dyDescent="0.25">
      <c r="A1024" s="63"/>
      <c r="AG1024" s="51"/>
      <c r="AH1024" s="52"/>
      <c r="AI1024" s="52"/>
      <c r="AJ1024" s="52"/>
    </row>
    <row r="1025" spans="1:36" x14ac:dyDescent="0.25">
      <c r="A1025" s="63"/>
      <c r="AG1025" s="51"/>
      <c r="AH1025" s="52"/>
      <c r="AI1025" s="52"/>
      <c r="AJ1025" s="52"/>
    </row>
    <row r="1026" spans="1:36" x14ac:dyDescent="0.25">
      <c r="A1026" s="63"/>
      <c r="AG1026" s="51"/>
      <c r="AH1026" s="52"/>
      <c r="AI1026" s="52"/>
      <c r="AJ1026" s="52"/>
    </row>
    <row r="1027" spans="1:36" x14ac:dyDescent="0.25">
      <c r="A1027" s="63"/>
      <c r="AG1027" s="51"/>
      <c r="AH1027" s="52"/>
      <c r="AI1027" s="52"/>
      <c r="AJ1027" s="52"/>
    </row>
    <row r="1028" spans="1:36" x14ac:dyDescent="0.25">
      <c r="A1028" s="63"/>
      <c r="AG1028" s="51"/>
      <c r="AH1028" s="52"/>
      <c r="AI1028" s="52"/>
      <c r="AJ1028" s="52"/>
    </row>
    <row r="1029" spans="1:36" x14ac:dyDescent="0.25">
      <c r="A1029" s="63"/>
      <c r="AG1029" s="51"/>
      <c r="AH1029" s="52"/>
      <c r="AI1029" s="52"/>
      <c r="AJ1029" s="52"/>
    </row>
    <row r="1030" spans="1:36" x14ac:dyDescent="0.25">
      <c r="A1030" s="63"/>
      <c r="AG1030" s="51"/>
      <c r="AH1030" s="52"/>
      <c r="AI1030" s="52"/>
      <c r="AJ1030" s="52"/>
    </row>
    <row r="1031" spans="1:36" x14ac:dyDescent="0.25">
      <c r="A1031" s="63"/>
      <c r="AG1031" s="51"/>
      <c r="AH1031" s="52"/>
      <c r="AI1031" s="52"/>
      <c r="AJ1031" s="52"/>
    </row>
    <row r="1032" spans="1:36" x14ac:dyDescent="0.25">
      <c r="A1032" s="63"/>
      <c r="AG1032" s="51"/>
      <c r="AH1032" s="52"/>
      <c r="AI1032" s="52"/>
      <c r="AJ1032" s="52"/>
    </row>
    <row r="1033" spans="1:36" x14ac:dyDescent="0.25">
      <c r="A1033" s="63"/>
      <c r="AG1033" s="51"/>
      <c r="AH1033" s="52"/>
      <c r="AI1033" s="52"/>
      <c r="AJ1033" s="52"/>
    </row>
    <row r="1034" spans="1:36" x14ac:dyDescent="0.25">
      <c r="A1034" s="63"/>
      <c r="AG1034" s="51"/>
      <c r="AH1034" s="52"/>
      <c r="AI1034" s="52"/>
      <c r="AJ1034" s="52"/>
    </row>
    <row r="1035" spans="1:36" x14ac:dyDescent="0.25">
      <c r="A1035" s="63"/>
      <c r="AG1035" s="51"/>
      <c r="AH1035" s="52"/>
      <c r="AI1035" s="52"/>
      <c r="AJ1035" s="52"/>
    </row>
    <row r="1036" spans="1:36" x14ac:dyDescent="0.25">
      <c r="A1036" s="63"/>
      <c r="AG1036" s="51"/>
      <c r="AH1036" s="52"/>
      <c r="AI1036" s="52"/>
      <c r="AJ1036" s="52"/>
    </row>
    <row r="1037" spans="1:36" x14ac:dyDescent="0.25">
      <c r="A1037" s="63"/>
      <c r="AG1037" s="51"/>
      <c r="AH1037" s="52"/>
      <c r="AI1037" s="52"/>
      <c r="AJ1037" s="52"/>
    </row>
    <row r="1038" spans="1:36" x14ac:dyDescent="0.25">
      <c r="A1038" s="63"/>
      <c r="AG1038" s="51"/>
      <c r="AH1038" s="52"/>
      <c r="AI1038" s="52"/>
      <c r="AJ1038" s="52"/>
    </row>
    <row r="1039" spans="1:36" x14ac:dyDescent="0.25">
      <c r="A1039" s="63"/>
      <c r="AG1039" s="51"/>
      <c r="AH1039" s="52"/>
      <c r="AI1039" s="52"/>
      <c r="AJ1039" s="52"/>
    </row>
    <row r="1040" spans="1:36" x14ac:dyDescent="0.25">
      <c r="A1040" s="63"/>
      <c r="AG1040" s="51"/>
      <c r="AH1040" s="52"/>
      <c r="AI1040" s="52"/>
      <c r="AJ1040" s="52"/>
    </row>
    <row r="1041" spans="1:36" x14ac:dyDescent="0.25">
      <c r="A1041" s="63"/>
      <c r="AG1041" s="51"/>
      <c r="AH1041" s="52"/>
      <c r="AI1041" s="52"/>
      <c r="AJ1041" s="52"/>
    </row>
    <row r="1042" spans="1:36" x14ac:dyDescent="0.25">
      <c r="A1042" s="63"/>
      <c r="AG1042" s="51"/>
      <c r="AH1042" s="52"/>
      <c r="AI1042" s="52"/>
      <c r="AJ1042" s="52"/>
    </row>
    <row r="1043" spans="1:36" x14ac:dyDescent="0.25">
      <c r="A1043" s="63"/>
      <c r="AG1043" s="51"/>
      <c r="AH1043" s="52"/>
      <c r="AI1043" s="52"/>
      <c r="AJ1043" s="52"/>
    </row>
    <row r="1044" spans="1:36" x14ac:dyDescent="0.25">
      <c r="A1044" s="63"/>
      <c r="AG1044" s="51"/>
      <c r="AH1044" s="52"/>
      <c r="AI1044" s="52"/>
      <c r="AJ1044" s="52"/>
    </row>
    <row r="1045" spans="1:36" x14ac:dyDescent="0.25">
      <c r="A1045" s="63"/>
      <c r="AG1045" s="51"/>
      <c r="AH1045" s="52"/>
      <c r="AI1045" s="52"/>
      <c r="AJ1045" s="52"/>
    </row>
    <row r="1046" spans="1:36" x14ac:dyDescent="0.25">
      <c r="A1046" s="63"/>
      <c r="AG1046" s="51"/>
      <c r="AH1046" s="52"/>
      <c r="AI1046" s="52"/>
      <c r="AJ1046" s="52"/>
    </row>
    <row r="1047" spans="1:36" x14ac:dyDescent="0.25">
      <c r="A1047" s="63"/>
      <c r="AG1047" s="51"/>
      <c r="AH1047" s="52"/>
      <c r="AI1047" s="52"/>
      <c r="AJ1047" s="52"/>
    </row>
    <row r="1048" spans="1:36" x14ac:dyDescent="0.25">
      <c r="A1048" s="63"/>
      <c r="AG1048" s="51"/>
      <c r="AH1048" s="52"/>
      <c r="AI1048" s="52"/>
      <c r="AJ1048" s="52"/>
    </row>
    <row r="1049" spans="1:36" x14ac:dyDescent="0.25">
      <c r="A1049" s="63"/>
      <c r="AG1049" s="51"/>
      <c r="AH1049" s="52"/>
      <c r="AI1049" s="52"/>
      <c r="AJ1049" s="52"/>
    </row>
    <row r="1050" spans="1:36" x14ac:dyDescent="0.25">
      <c r="A1050" s="63"/>
      <c r="AG1050" s="51"/>
      <c r="AH1050" s="52"/>
      <c r="AI1050" s="52"/>
      <c r="AJ1050" s="52"/>
    </row>
    <row r="1051" spans="1:36" x14ac:dyDescent="0.25">
      <c r="A1051" s="63"/>
      <c r="AG1051" s="51"/>
      <c r="AH1051" s="52"/>
      <c r="AI1051" s="52"/>
      <c r="AJ1051" s="52"/>
    </row>
    <row r="1052" spans="1:36" x14ac:dyDescent="0.25">
      <c r="A1052" s="63"/>
      <c r="AG1052" s="51"/>
      <c r="AH1052" s="52"/>
      <c r="AI1052" s="52"/>
      <c r="AJ1052" s="52"/>
    </row>
    <row r="1053" spans="1:36" x14ac:dyDescent="0.25">
      <c r="A1053" s="63"/>
      <c r="AG1053" s="51"/>
      <c r="AH1053" s="52"/>
      <c r="AI1053" s="52"/>
      <c r="AJ1053" s="52"/>
    </row>
    <row r="1054" spans="1:36" x14ac:dyDescent="0.25">
      <c r="A1054" s="63"/>
      <c r="AG1054" s="51"/>
      <c r="AH1054" s="52"/>
      <c r="AI1054" s="52"/>
      <c r="AJ1054" s="52"/>
    </row>
    <row r="1055" spans="1:36" x14ac:dyDescent="0.25">
      <c r="A1055" s="63"/>
      <c r="AG1055" s="51"/>
      <c r="AH1055" s="52"/>
      <c r="AI1055" s="52"/>
      <c r="AJ1055" s="52"/>
    </row>
    <row r="1056" spans="1:36" x14ac:dyDescent="0.25">
      <c r="A1056" s="63"/>
      <c r="AG1056" s="51"/>
      <c r="AH1056" s="52"/>
      <c r="AI1056" s="52"/>
      <c r="AJ1056" s="52"/>
    </row>
    <row r="1057" spans="1:36" x14ac:dyDescent="0.25">
      <c r="A1057" s="63"/>
      <c r="AG1057" s="51"/>
      <c r="AH1057" s="52"/>
      <c r="AI1057" s="52"/>
      <c r="AJ1057" s="52"/>
    </row>
    <row r="1058" spans="1:36" x14ac:dyDescent="0.25">
      <c r="A1058" s="63"/>
      <c r="AG1058" s="51"/>
      <c r="AH1058" s="52"/>
      <c r="AI1058" s="52"/>
      <c r="AJ1058" s="52"/>
    </row>
    <row r="1059" spans="1:36" x14ac:dyDescent="0.25">
      <c r="A1059" s="63"/>
      <c r="AG1059" s="51"/>
      <c r="AH1059" s="52"/>
      <c r="AI1059" s="52"/>
      <c r="AJ1059" s="52"/>
    </row>
    <row r="1060" spans="1:36" x14ac:dyDescent="0.25">
      <c r="A1060" s="63"/>
      <c r="AG1060" s="51"/>
      <c r="AH1060" s="52"/>
      <c r="AI1060" s="52"/>
      <c r="AJ1060" s="52"/>
    </row>
    <row r="1061" spans="1:36" x14ac:dyDescent="0.25">
      <c r="A1061" s="63"/>
      <c r="AG1061" s="51"/>
      <c r="AH1061" s="52"/>
      <c r="AI1061" s="52"/>
      <c r="AJ1061" s="52"/>
    </row>
    <row r="1062" spans="1:36" x14ac:dyDescent="0.25">
      <c r="A1062" s="63"/>
      <c r="AG1062" s="51"/>
      <c r="AH1062" s="52"/>
      <c r="AI1062" s="52"/>
      <c r="AJ1062" s="52"/>
    </row>
    <row r="1063" spans="1:36" x14ac:dyDescent="0.25">
      <c r="A1063" s="63"/>
      <c r="AG1063" s="51"/>
      <c r="AH1063" s="52"/>
      <c r="AI1063" s="52"/>
      <c r="AJ1063" s="52"/>
    </row>
    <row r="1064" spans="1:36" x14ac:dyDescent="0.25">
      <c r="A1064" s="63"/>
      <c r="AG1064" s="51"/>
      <c r="AH1064" s="52"/>
      <c r="AI1064" s="52"/>
      <c r="AJ1064" s="52"/>
    </row>
    <row r="1065" spans="1:36" x14ac:dyDescent="0.25">
      <c r="A1065" s="63"/>
      <c r="AG1065" s="51"/>
      <c r="AH1065" s="52"/>
      <c r="AI1065" s="52"/>
      <c r="AJ1065" s="52"/>
    </row>
    <row r="1066" spans="1:36" x14ac:dyDescent="0.25">
      <c r="A1066" s="63"/>
      <c r="AG1066" s="51"/>
      <c r="AH1066" s="52"/>
      <c r="AI1066" s="52"/>
      <c r="AJ1066" s="52"/>
    </row>
    <row r="1067" spans="1:36" x14ac:dyDescent="0.25">
      <c r="A1067" s="63"/>
      <c r="AG1067" s="51"/>
      <c r="AH1067" s="52"/>
      <c r="AI1067" s="52"/>
      <c r="AJ1067" s="52"/>
    </row>
    <row r="1068" spans="1:36" x14ac:dyDescent="0.25">
      <c r="A1068" s="63"/>
      <c r="AG1068" s="51"/>
      <c r="AH1068" s="52"/>
      <c r="AI1068" s="52"/>
      <c r="AJ1068" s="52"/>
    </row>
    <row r="1069" spans="1:36" x14ac:dyDescent="0.25">
      <c r="A1069" s="63"/>
      <c r="AG1069" s="51"/>
      <c r="AH1069" s="52"/>
      <c r="AI1069" s="52"/>
      <c r="AJ1069" s="52"/>
    </row>
    <row r="1070" spans="1:36" x14ac:dyDescent="0.25">
      <c r="A1070" s="63"/>
      <c r="AG1070" s="51"/>
      <c r="AH1070" s="52"/>
      <c r="AI1070" s="52"/>
      <c r="AJ1070" s="52"/>
    </row>
    <row r="1071" spans="1:36" x14ac:dyDescent="0.25">
      <c r="A1071" s="63"/>
      <c r="AG1071" s="51"/>
      <c r="AH1071" s="52"/>
      <c r="AI1071" s="52"/>
      <c r="AJ1071" s="52"/>
    </row>
    <row r="1072" spans="1:36" x14ac:dyDescent="0.25">
      <c r="A1072" s="63"/>
      <c r="AG1072" s="51"/>
      <c r="AH1072" s="52"/>
      <c r="AI1072" s="52"/>
      <c r="AJ1072" s="52"/>
    </row>
    <row r="1073" spans="1:36" x14ac:dyDescent="0.25">
      <c r="A1073" s="63"/>
      <c r="AG1073" s="51"/>
      <c r="AH1073" s="52"/>
      <c r="AI1073" s="52"/>
      <c r="AJ1073" s="52"/>
    </row>
    <row r="1074" spans="1:36" x14ac:dyDescent="0.25">
      <c r="A1074" s="63"/>
      <c r="AG1074" s="51"/>
      <c r="AH1074" s="52"/>
      <c r="AI1074" s="52"/>
      <c r="AJ1074" s="52"/>
    </row>
    <row r="1075" spans="1:36" x14ac:dyDescent="0.25">
      <c r="A1075" s="63"/>
      <c r="AG1075" s="51"/>
      <c r="AH1075" s="52"/>
      <c r="AI1075" s="52"/>
      <c r="AJ1075" s="52"/>
    </row>
    <row r="1076" spans="1:36" x14ac:dyDescent="0.25">
      <c r="A1076" s="63"/>
      <c r="AG1076" s="51"/>
      <c r="AH1076" s="52"/>
      <c r="AI1076" s="52"/>
      <c r="AJ1076" s="52"/>
    </row>
    <row r="1077" spans="1:36" x14ac:dyDescent="0.25">
      <c r="A1077" s="63"/>
      <c r="AG1077" s="51"/>
      <c r="AH1077" s="52"/>
      <c r="AI1077" s="52"/>
      <c r="AJ1077" s="52"/>
    </row>
    <row r="1078" spans="1:36" x14ac:dyDescent="0.25">
      <c r="A1078" s="63"/>
      <c r="AG1078" s="51"/>
      <c r="AH1078" s="52"/>
      <c r="AI1078" s="52"/>
      <c r="AJ1078" s="52"/>
    </row>
    <row r="1079" spans="1:36" x14ac:dyDescent="0.25">
      <c r="A1079" s="63"/>
      <c r="AG1079" s="51"/>
      <c r="AH1079" s="52"/>
      <c r="AI1079" s="52"/>
      <c r="AJ1079" s="52"/>
    </row>
    <row r="1080" spans="1:36" x14ac:dyDescent="0.25">
      <c r="A1080" s="63"/>
      <c r="AG1080" s="51"/>
      <c r="AH1080" s="52"/>
      <c r="AI1080" s="52"/>
      <c r="AJ1080" s="52"/>
    </row>
    <row r="1081" spans="1:36" x14ac:dyDescent="0.25">
      <c r="A1081" s="63"/>
      <c r="AG1081" s="51"/>
      <c r="AH1081" s="52"/>
      <c r="AI1081" s="52"/>
      <c r="AJ1081" s="52"/>
    </row>
    <row r="1082" spans="1:36" x14ac:dyDescent="0.25">
      <c r="A1082" s="63"/>
      <c r="AG1082" s="51"/>
      <c r="AH1082" s="52"/>
      <c r="AI1082" s="52"/>
      <c r="AJ1082" s="52"/>
    </row>
    <row r="1083" spans="1:36" x14ac:dyDescent="0.25">
      <c r="A1083" s="63"/>
      <c r="AG1083" s="51"/>
      <c r="AH1083" s="52"/>
      <c r="AI1083" s="52"/>
      <c r="AJ1083" s="52"/>
    </row>
    <row r="1084" spans="1:36" x14ac:dyDescent="0.25">
      <c r="A1084" s="63"/>
      <c r="AG1084" s="51"/>
      <c r="AH1084" s="52"/>
      <c r="AI1084" s="52"/>
      <c r="AJ1084" s="52"/>
    </row>
    <row r="1085" spans="1:36" x14ac:dyDescent="0.25">
      <c r="A1085" s="63"/>
      <c r="AG1085" s="51"/>
      <c r="AH1085" s="52"/>
      <c r="AI1085" s="52"/>
      <c r="AJ1085" s="52"/>
    </row>
    <row r="1086" spans="1:36" x14ac:dyDescent="0.25">
      <c r="A1086" s="63"/>
      <c r="AG1086" s="51"/>
      <c r="AH1086" s="52"/>
      <c r="AI1086" s="52"/>
      <c r="AJ1086" s="52"/>
    </row>
    <row r="1087" spans="1:36" x14ac:dyDescent="0.25">
      <c r="A1087" s="63"/>
    </row>
    <row r="1088" spans="1:36" x14ac:dyDescent="0.25">
      <c r="A1088" s="63"/>
    </row>
    <row r="1089" spans="1:1" x14ac:dyDescent="0.25">
      <c r="A1089" s="63"/>
    </row>
    <row r="1090" spans="1:1" x14ac:dyDescent="0.25">
      <c r="A1090" s="63"/>
    </row>
    <row r="1091" spans="1:1" x14ac:dyDescent="0.25">
      <c r="A1091" s="63"/>
    </row>
    <row r="1092" spans="1:1" x14ac:dyDescent="0.25">
      <c r="A1092" s="63"/>
    </row>
    <row r="1093" spans="1:1" x14ac:dyDescent="0.25">
      <c r="A1093" s="63"/>
    </row>
    <row r="1094" spans="1:1" x14ac:dyDescent="0.25">
      <c r="A1094" s="63"/>
    </row>
    <row r="1095" spans="1:1" x14ac:dyDescent="0.25">
      <c r="A1095" s="63"/>
    </row>
    <row r="1096" spans="1:1" x14ac:dyDescent="0.25">
      <c r="A1096" s="63"/>
    </row>
    <row r="1097" spans="1:1" x14ac:dyDescent="0.25">
      <c r="A1097" s="63"/>
    </row>
    <row r="1098" spans="1:1" x14ac:dyDescent="0.25">
      <c r="A1098" s="63"/>
    </row>
    <row r="1099" spans="1:1" x14ac:dyDescent="0.25">
      <c r="A1099" s="63"/>
    </row>
    <row r="1100" spans="1:1" x14ac:dyDescent="0.25">
      <c r="A1100" s="63"/>
    </row>
    <row r="1101" spans="1:1" x14ac:dyDescent="0.25">
      <c r="A1101" s="63"/>
    </row>
    <row r="1102" spans="1:1" x14ac:dyDescent="0.25">
      <c r="A1102" s="63"/>
    </row>
    <row r="1103" spans="1:1" x14ac:dyDescent="0.25">
      <c r="A1103" s="63"/>
    </row>
    <row r="1104" spans="1:1" x14ac:dyDescent="0.25">
      <c r="A1104" s="63"/>
    </row>
    <row r="1105" spans="1:1" x14ac:dyDescent="0.25">
      <c r="A1105" s="63"/>
    </row>
    <row r="1106" spans="1:1" x14ac:dyDescent="0.25">
      <c r="A1106" s="63"/>
    </row>
    <row r="1107" spans="1:1" x14ac:dyDescent="0.25">
      <c r="A1107" s="63"/>
    </row>
    <row r="1108" spans="1:1" x14ac:dyDescent="0.25">
      <c r="A1108" s="63"/>
    </row>
    <row r="1109" spans="1:1" x14ac:dyDescent="0.25">
      <c r="A1109" s="63"/>
    </row>
    <row r="1110" spans="1:1" x14ac:dyDescent="0.25">
      <c r="A1110" s="63"/>
    </row>
    <row r="1111" spans="1:1" x14ac:dyDescent="0.25">
      <c r="A1111" s="63"/>
    </row>
    <row r="1112" spans="1:1" x14ac:dyDescent="0.25">
      <c r="A1112" s="63"/>
    </row>
    <row r="1113" spans="1:1" x14ac:dyDescent="0.25">
      <c r="A1113" s="63"/>
    </row>
    <row r="1114" spans="1:1" x14ac:dyDescent="0.25">
      <c r="A1114" s="63"/>
    </row>
    <row r="1115" spans="1:1" x14ac:dyDescent="0.25">
      <c r="A1115" s="63"/>
    </row>
    <row r="1116" spans="1:1" x14ac:dyDescent="0.25">
      <c r="A1116" s="63"/>
    </row>
    <row r="1117" spans="1:1" x14ac:dyDescent="0.25">
      <c r="A1117" s="63"/>
    </row>
    <row r="1118" spans="1:1" x14ac:dyDescent="0.25">
      <c r="A1118" s="63"/>
    </row>
    <row r="1119" spans="1:1" x14ac:dyDescent="0.25">
      <c r="A1119" s="63"/>
    </row>
    <row r="1120" spans="1:1" x14ac:dyDescent="0.25">
      <c r="A1120" s="63"/>
    </row>
    <row r="1121" spans="1:1" x14ac:dyDescent="0.25">
      <c r="A1121" s="63"/>
    </row>
    <row r="1122" spans="1:1" x14ac:dyDescent="0.25">
      <c r="A1122" s="63"/>
    </row>
    <row r="1123" spans="1:1" x14ac:dyDescent="0.25">
      <c r="A1123" s="63"/>
    </row>
    <row r="1124" spans="1:1" x14ac:dyDescent="0.25">
      <c r="A1124" s="63"/>
    </row>
    <row r="1125" spans="1:1" x14ac:dyDescent="0.25">
      <c r="A1125" s="63"/>
    </row>
    <row r="1126" spans="1:1" x14ac:dyDescent="0.25">
      <c r="A1126" s="63"/>
    </row>
    <row r="1127" spans="1:1" x14ac:dyDescent="0.25">
      <c r="A1127" s="63"/>
    </row>
    <row r="1128" spans="1:1" x14ac:dyDescent="0.25">
      <c r="A1128" s="63"/>
    </row>
    <row r="1129" spans="1:1" x14ac:dyDescent="0.25">
      <c r="A1129" s="63"/>
    </row>
    <row r="1130" spans="1:1" x14ac:dyDescent="0.25">
      <c r="A1130" s="63"/>
    </row>
    <row r="1131" spans="1:1" x14ac:dyDescent="0.25">
      <c r="A1131" s="63"/>
    </row>
    <row r="1132" spans="1:1" x14ac:dyDescent="0.25">
      <c r="A1132" s="63"/>
    </row>
    <row r="1133" spans="1:1" x14ac:dyDescent="0.25">
      <c r="A1133" s="63"/>
    </row>
    <row r="1134" spans="1:1" x14ac:dyDescent="0.25">
      <c r="A1134" s="63"/>
    </row>
    <row r="1135" spans="1:1" x14ac:dyDescent="0.25">
      <c r="A1135" s="63"/>
    </row>
    <row r="1136" spans="1:1" x14ac:dyDescent="0.25">
      <c r="A1136" s="63"/>
    </row>
    <row r="1137" spans="1:1" x14ac:dyDescent="0.25">
      <c r="A1137" s="63"/>
    </row>
    <row r="1138" spans="1:1" x14ac:dyDescent="0.25">
      <c r="A1138" s="63"/>
    </row>
    <row r="1139" spans="1:1" x14ac:dyDescent="0.25">
      <c r="A1139" s="63"/>
    </row>
    <row r="1140" spans="1:1" x14ac:dyDescent="0.25">
      <c r="A1140" s="63"/>
    </row>
    <row r="1141" spans="1:1" x14ac:dyDescent="0.25">
      <c r="A1141" s="63"/>
    </row>
    <row r="1142" spans="1:1" x14ac:dyDescent="0.25">
      <c r="A1142" s="63"/>
    </row>
    <row r="1143" spans="1:1" x14ac:dyDescent="0.25">
      <c r="A1143" s="63"/>
    </row>
    <row r="1144" spans="1:1" x14ac:dyDescent="0.25">
      <c r="A1144" s="63"/>
    </row>
    <row r="1145" spans="1:1" x14ac:dyDescent="0.25">
      <c r="A1145" s="63"/>
    </row>
    <row r="1146" spans="1:1" x14ac:dyDescent="0.25">
      <c r="A1146" s="63"/>
    </row>
    <row r="1147" spans="1:1" x14ac:dyDescent="0.25">
      <c r="A1147" s="63"/>
    </row>
    <row r="1148" spans="1:1" x14ac:dyDescent="0.25">
      <c r="A1148" s="63"/>
    </row>
    <row r="1149" spans="1:1" x14ac:dyDescent="0.25">
      <c r="A1149" s="63"/>
    </row>
    <row r="1150" spans="1:1" x14ac:dyDescent="0.25">
      <c r="A1150" s="63"/>
    </row>
    <row r="1151" spans="1:1" x14ac:dyDescent="0.25">
      <c r="A1151" s="63"/>
    </row>
    <row r="1152" spans="1:1" x14ac:dyDescent="0.25">
      <c r="A1152" s="63"/>
    </row>
    <row r="1153" spans="1:1" x14ac:dyDescent="0.25">
      <c r="A1153" s="63"/>
    </row>
    <row r="1154" spans="1:1" x14ac:dyDescent="0.25">
      <c r="A1154" s="63"/>
    </row>
    <row r="1155" spans="1:1" x14ac:dyDescent="0.25">
      <c r="A1155" s="63"/>
    </row>
    <row r="1156" spans="1:1" x14ac:dyDescent="0.25">
      <c r="A1156" s="63"/>
    </row>
    <row r="1157" spans="1:1" x14ac:dyDescent="0.25">
      <c r="A1157" s="63"/>
    </row>
    <row r="1158" spans="1:1" x14ac:dyDescent="0.25">
      <c r="A1158" s="63"/>
    </row>
    <row r="1159" spans="1:1" x14ac:dyDescent="0.25">
      <c r="A1159" s="63"/>
    </row>
    <row r="1160" spans="1:1" x14ac:dyDescent="0.25">
      <c r="A1160" s="63"/>
    </row>
    <row r="1161" spans="1:1" x14ac:dyDescent="0.25">
      <c r="A1161" s="63"/>
    </row>
    <row r="1162" spans="1:1" x14ac:dyDescent="0.25">
      <c r="A1162" s="63"/>
    </row>
    <row r="1163" spans="1:1" x14ac:dyDescent="0.25">
      <c r="A1163" s="63"/>
    </row>
    <row r="1164" spans="1:1" x14ac:dyDescent="0.25">
      <c r="A1164" s="63"/>
    </row>
    <row r="1165" spans="1:1" x14ac:dyDescent="0.25">
      <c r="A1165" s="63"/>
    </row>
    <row r="1166" spans="1:1" x14ac:dyDescent="0.25">
      <c r="A1166" s="63"/>
    </row>
    <row r="1167" spans="1:1" x14ac:dyDescent="0.25">
      <c r="A1167" s="63"/>
    </row>
    <row r="1168" spans="1:1" x14ac:dyDescent="0.25">
      <c r="A1168" s="63"/>
    </row>
    <row r="1169" spans="1:1" x14ac:dyDescent="0.25">
      <c r="A1169" s="63"/>
    </row>
    <row r="1170" spans="1:1" x14ac:dyDescent="0.25">
      <c r="A1170" s="63"/>
    </row>
    <row r="1171" spans="1:1" x14ac:dyDescent="0.25">
      <c r="A1171" s="63"/>
    </row>
    <row r="1172" spans="1:1" x14ac:dyDescent="0.25">
      <c r="A1172" s="63"/>
    </row>
    <row r="1173" spans="1:1" x14ac:dyDescent="0.25">
      <c r="A1173" s="63"/>
    </row>
    <row r="1174" spans="1:1" x14ac:dyDescent="0.25">
      <c r="A1174" s="63"/>
    </row>
    <row r="1175" spans="1:1" x14ac:dyDescent="0.25">
      <c r="A1175" s="63"/>
    </row>
    <row r="1176" spans="1:1" x14ac:dyDescent="0.25">
      <c r="A1176" s="63"/>
    </row>
    <row r="1177" spans="1:1" x14ac:dyDescent="0.25">
      <c r="A1177" s="63"/>
    </row>
    <row r="1178" spans="1:1" x14ac:dyDescent="0.25">
      <c r="A1178" s="63"/>
    </row>
    <row r="1179" spans="1:1" x14ac:dyDescent="0.25">
      <c r="A1179" s="63"/>
    </row>
    <row r="1180" spans="1:1" x14ac:dyDescent="0.25">
      <c r="A1180" s="63"/>
    </row>
    <row r="1181" spans="1:1" x14ac:dyDescent="0.25">
      <c r="A1181" s="63"/>
    </row>
    <row r="1182" spans="1:1" x14ac:dyDescent="0.25">
      <c r="A1182" s="63"/>
    </row>
    <row r="1183" spans="1:1" x14ac:dyDescent="0.25">
      <c r="A1183" s="63"/>
    </row>
    <row r="1184" spans="1:1" x14ac:dyDescent="0.25">
      <c r="A1184" s="63"/>
    </row>
    <row r="1185" spans="1:1" x14ac:dyDescent="0.25">
      <c r="A1185" s="63"/>
    </row>
    <row r="1186" spans="1:1" x14ac:dyDescent="0.25">
      <c r="A1186" s="63"/>
    </row>
    <row r="1187" spans="1:1" x14ac:dyDescent="0.25">
      <c r="A1187" s="63"/>
    </row>
    <row r="1188" spans="1:1" x14ac:dyDescent="0.25">
      <c r="A1188" s="63"/>
    </row>
    <row r="1189" spans="1:1" x14ac:dyDescent="0.25">
      <c r="A1189" s="63"/>
    </row>
    <row r="1190" spans="1:1" x14ac:dyDescent="0.25">
      <c r="A1190" s="63"/>
    </row>
    <row r="1191" spans="1:1" x14ac:dyDescent="0.25">
      <c r="A1191" s="63"/>
    </row>
    <row r="1192" spans="1:1" x14ac:dyDescent="0.25">
      <c r="A1192" s="63"/>
    </row>
    <row r="1193" spans="1:1" x14ac:dyDescent="0.25">
      <c r="A1193" s="63"/>
    </row>
    <row r="1194" spans="1:1" x14ac:dyDescent="0.25">
      <c r="A1194" s="63"/>
    </row>
    <row r="1195" spans="1:1" x14ac:dyDescent="0.25">
      <c r="A1195" s="63"/>
    </row>
    <row r="1196" spans="1:1" x14ac:dyDescent="0.25">
      <c r="A1196" s="63"/>
    </row>
    <row r="1197" spans="1:1" x14ac:dyDescent="0.25">
      <c r="A1197" s="63"/>
    </row>
    <row r="1198" spans="1:1" x14ac:dyDescent="0.25">
      <c r="A1198" s="63"/>
    </row>
    <row r="1199" spans="1:1" x14ac:dyDescent="0.25">
      <c r="A1199" s="63"/>
    </row>
    <row r="1200" spans="1:1" x14ac:dyDescent="0.25">
      <c r="A1200" s="63"/>
    </row>
    <row r="1201" spans="1:1" x14ac:dyDescent="0.25">
      <c r="A1201" s="63"/>
    </row>
    <row r="1202" spans="1:1" x14ac:dyDescent="0.25">
      <c r="A1202" s="63"/>
    </row>
    <row r="1203" spans="1:1" x14ac:dyDescent="0.25">
      <c r="A1203" s="63"/>
    </row>
    <row r="1204" spans="1:1" x14ac:dyDescent="0.25">
      <c r="A1204" s="63"/>
    </row>
    <row r="1205" spans="1:1" x14ac:dyDescent="0.25">
      <c r="A1205" s="63"/>
    </row>
    <row r="1206" spans="1:1" x14ac:dyDescent="0.25">
      <c r="A1206" s="63"/>
    </row>
    <row r="1207" spans="1:1" x14ac:dyDescent="0.25">
      <c r="A1207" s="63"/>
    </row>
    <row r="1208" spans="1:1" x14ac:dyDescent="0.25">
      <c r="A1208" s="63"/>
    </row>
    <row r="1209" spans="1:1" x14ac:dyDescent="0.25">
      <c r="A1209" s="63"/>
    </row>
    <row r="1210" spans="1:1" x14ac:dyDescent="0.25">
      <c r="A1210" s="63"/>
    </row>
    <row r="1211" spans="1:1" x14ac:dyDescent="0.25">
      <c r="A1211" s="63"/>
    </row>
    <row r="1212" spans="1:1" x14ac:dyDescent="0.25">
      <c r="A1212" s="63"/>
    </row>
    <row r="1213" spans="1:1" x14ac:dyDescent="0.25">
      <c r="A1213" s="63"/>
    </row>
    <row r="1214" spans="1:1" x14ac:dyDescent="0.25">
      <c r="A1214" s="63"/>
    </row>
    <row r="1215" spans="1:1" x14ac:dyDescent="0.25">
      <c r="A1215" s="63"/>
    </row>
    <row r="1216" spans="1:1" x14ac:dyDescent="0.25">
      <c r="A1216" s="63"/>
    </row>
    <row r="1217" spans="1:1" x14ac:dyDescent="0.25">
      <c r="A1217" s="63"/>
    </row>
    <row r="1218" spans="1:1" x14ac:dyDescent="0.25">
      <c r="A1218" s="63"/>
    </row>
    <row r="1219" spans="1:1" x14ac:dyDescent="0.25">
      <c r="A1219" s="63"/>
    </row>
    <row r="1220" spans="1:1" x14ac:dyDescent="0.25">
      <c r="A1220" s="63"/>
    </row>
    <row r="1221" spans="1:1" x14ac:dyDescent="0.25">
      <c r="A1221" s="63"/>
    </row>
    <row r="1222" spans="1:1" x14ac:dyDescent="0.25">
      <c r="A1222" s="63"/>
    </row>
    <row r="1223" spans="1:1" x14ac:dyDescent="0.25">
      <c r="A1223" s="63"/>
    </row>
    <row r="1224" spans="1:1" x14ac:dyDescent="0.25">
      <c r="A1224" s="63"/>
    </row>
    <row r="1225" spans="1:1" x14ac:dyDescent="0.25">
      <c r="A1225" s="63"/>
    </row>
    <row r="1226" spans="1:1" x14ac:dyDescent="0.25">
      <c r="A1226" s="63"/>
    </row>
    <row r="1227" spans="1:1" x14ac:dyDescent="0.25">
      <c r="A1227" s="63"/>
    </row>
    <row r="1228" spans="1:1" x14ac:dyDescent="0.25">
      <c r="A1228" s="63"/>
    </row>
    <row r="1229" spans="1:1" x14ac:dyDescent="0.25">
      <c r="A1229" s="63"/>
    </row>
    <row r="1230" spans="1:1" x14ac:dyDescent="0.25">
      <c r="A1230" s="63"/>
    </row>
    <row r="1231" spans="1:1" x14ac:dyDescent="0.25">
      <c r="A1231" s="63"/>
    </row>
    <row r="1232" spans="1:1" x14ac:dyDescent="0.25">
      <c r="A1232" s="63"/>
    </row>
    <row r="1233" spans="1:1" x14ac:dyDescent="0.25">
      <c r="A1233" s="63"/>
    </row>
    <row r="1234" spans="1:1" x14ac:dyDescent="0.25">
      <c r="A1234" s="63"/>
    </row>
    <row r="1235" spans="1:1" x14ac:dyDescent="0.25">
      <c r="A1235" s="63"/>
    </row>
    <row r="1236" spans="1:1" x14ac:dyDescent="0.25">
      <c r="A1236" s="63"/>
    </row>
    <row r="1237" spans="1:1" x14ac:dyDescent="0.25">
      <c r="A1237" s="63"/>
    </row>
    <row r="1238" spans="1:1" x14ac:dyDescent="0.25">
      <c r="A1238" s="63"/>
    </row>
    <row r="1239" spans="1:1" x14ac:dyDescent="0.25">
      <c r="A1239" s="63"/>
    </row>
    <row r="1240" spans="1:1" x14ac:dyDescent="0.25">
      <c r="A1240" s="63"/>
    </row>
    <row r="1241" spans="1:1" x14ac:dyDescent="0.25">
      <c r="A1241" s="63"/>
    </row>
    <row r="1242" spans="1:1" x14ac:dyDescent="0.25">
      <c r="A1242" s="63"/>
    </row>
    <row r="1243" spans="1:1" x14ac:dyDescent="0.25">
      <c r="A1243" s="63"/>
    </row>
    <row r="1244" spans="1:1" x14ac:dyDescent="0.25">
      <c r="A1244" s="63"/>
    </row>
    <row r="1245" spans="1:1" x14ac:dyDescent="0.25">
      <c r="A1245" s="63"/>
    </row>
    <row r="1246" spans="1:1" x14ac:dyDescent="0.25">
      <c r="A1246" s="63"/>
    </row>
    <row r="1247" spans="1:1" x14ac:dyDescent="0.25">
      <c r="A1247" s="63"/>
    </row>
    <row r="1248" spans="1:1" x14ac:dyDescent="0.25">
      <c r="A1248" s="63"/>
    </row>
    <row r="1249" spans="1:1" x14ac:dyDescent="0.25">
      <c r="A1249" s="63"/>
    </row>
    <row r="1250" spans="1:1" x14ac:dyDescent="0.25">
      <c r="A1250" s="63"/>
    </row>
    <row r="1251" spans="1:1" x14ac:dyDescent="0.25">
      <c r="A1251" s="63"/>
    </row>
    <row r="1252" spans="1:1" x14ac:dyDescent="0.25">
      <c r="A1252" s="63"/>
    </row>
    <row r="1253" spans="1:1" x14ac:dyDescent="0.25">
      <c r="A1253" s="63"/>
    </row>
    <row r="1254" spans="1:1" x14ac:dyDescent="0.25">
      <c r="A1254" s="63"/>
    </row>
    <row r="1255" spans="1:1" x14ac:dyDescent="0.25">
      <c r="A1255" s="63"/>
    </row>
    <row r="1256" spans="1:1" x14ac:dyDescent="0.25">
      <c r="A1256" s="63"/>
    </row>
    <row r="1257" spans="1:1" x14ac:dyDescent="0.25">
      <c r="A1257" s="63"/>
    </row>
    <row r="1258" spans="1:1" x14ac:dyDescent="0.25">
      <c r="A1258" s="63"/>
    </row>
    <row r="1259" spans="1:1" x14ac:dyDescent="0.25">
      <c r="A1259" s="63"/>
    </row>
    <row r="1260" spans="1:1" x14ac:dyDescent="0.25">
      <c r="A1260" s="63"/>
    </row>
    <row r="1261" spans="1:1" x14ac:dyDescent="0.25">
      <c r="A1261" s="63"/>
    </row>
    <row r="1262" spans="1:1" x14ac:dyDescent="0.25">
      <c r="A1262" s="63"/>
    </row>
    <row r="1263" spans="1:1" x14ac:dyDescent="0.25">
      <c r="A1263" s="63"/>
    </row>
    <row r="1264" spans="1:1" x14ac:dyDescent="0.25">
      <c r="A1264" s="63"/>
    </row>
    <row r="1265" spans="1:1" x14ac:dyDescent="0.25">
      <c r="A1265" s="63"/>
    </row>
    <row r="1266" spans="1:1" x14ac:dyDescent="0.25">
      <c r="A1266" s="63"/>
    </row>
    <row r="1267" spans="1:1" x14ac:dyDescent="0.25">
      <c r="A1267" s="63"/>
    </row>
    <row r="1268" spans="1:1" x14ac:dyDescent="0.25">
      <c r="A1268" s="63"/>
    </row>
    <row r="1269" spans="1:1" x14ac:dyDescent="0.25">
      <c r="A1269" s="63"/>
    </row>
    <row r="1270" spans="1:1" x14ac:dyDescent="0.25">
      <c r="A1270" s="63"/>
    </row>
    <row r="1271" spans="1:1" x14ac:dyDescent="0.25">
      <c r="A1271" s="63"/>
    </row>
    <row r="1272" spans="1:1" x14ac:dyDescent="0.25">
      <c r="A1272" s="63"/>
    </row>
    <row r="1273" spans="1:1" x14ac:dyDescent="0.25">
      <c r="A1273" s="63"/>
    </row>
    <row r="1274" spans="1:1" x14ac:dyDescent="0.25">
      <c r="A1274" s="63"/>
    </row>
    <row r="1275" spans="1:1" x14ac:dyDescent="0.25">
      <c r="A1275" s="63"/>
    </row>
    <row r="1276" spans="1:1" x14ac:dyDescent="0.25">
      <c r="A1276" s="63"/>
    </row>
    <row r="1277" spans="1:1" x14ac:dyDescent="0.25">
      <c r="A1277" s="63"/>
    </row>
    <row r="1278" spans="1:1" x14ac:dyDescent="0.25">
      <c r="A1278" s="63"/>
    </row>
    <row r="1279" spans="1:1" x14ac:dyDescent="0.25">
      <c r="A1279" s="63"/>
    </row>
    <row r="1280" spans="1:1" x14ac:dyDescent="0.25">
      <c r="A1280" s="63"/>
    </row>
    <row r="1281" spans="1:1" x14ac:dyDescent="0.25">
      <c r="A1281" s="63"/>
    </row>
    <row r="1282" spans="1:1" x14ac:dyDescent="0.25">
      <c r="A1282" s="63"/>
    </row>
    <row r="1283" spans="1:1" x14ac:dyDescent="0.25">
      <c r="A1283" s="63"/>
    </row>
    <row r="1284" spans="1:1" x14ac:dyDescent="0.25">
      <c r="A1284" s="63"/>
    </row>
    <row r="1285" spans="1:1" x14ac:dyDescent="0.25">
      <c r="A1285" s="63"/>
    </row>
    <row r="1286" spans="1:1" x14ac:dyDescent="0.25">
      <c r="A1286" s="63"/>
    </row>
    <row r="1287" spans="1:1" x14ac:dyDescent="0.25">
      <c r="A1287" s="63"/>
    </row>
    <row r="1288" spans="1:1" x14ac:dyDescent="0.25">
      <c r="A1288" s="63"/>
    </row>
    <row r="1289" spans="1:1" x14ac:dyDescent="0.25">
      <c r="A1289" s="63"/>
    </row>
    <row r="1290" spans="1:1" x14ac:dyDescent="0.25">
      <c r="A1290" s="63"/>
    </row>
    <row r="1291" spans="1:1" x14ac:dyDescent="0.25">
      <c r="A1291" s="63"/>
    </row>
    <row r="1292" spans="1:1" x14ac:dyDescent="0.25">
      <c r="A1292" s="63"/>
    </row>
    <row r="1293" spans="1:1" x14ac:dyDescent="0.25">
      <c r="A1293" s="63"/>
    </row>
    <row r="1294" spans="1:1" x14ac:dyDescent="0.25">
      <c r="A1294" s="63"/>
    </row>
    <row r="1295" spans="1:1" x14ac:dyDescent="0.25">
      <c r="A1295" s="63"/>
    </row>
    <row r="1296" spans="1:1" x14ac:dyDescent="0.25">
      <c r="A1296" s="63"/>
    </row>
    <row r="1297" spans="1:1" x14ac:dyDescent="0.25">
      <c r="A1297" s="63"/>
    </row>
    <row r="1298" spans="1:1" x14ac:dyDescent="0.25">
      <c r="A1298" s="63"/>
    </row>
    <row r="1299" spans="1:1" x14ac:dyDescent="0.25">
      <c r="A1299" s="63"/>
    </row>
    <row r="1300" spans="1:1" x14ac:dyDescent="0.25">
      <c r="A1300" s="63"/>
    </row>
    <row r="1301" spans="1:1" x14ac:dyDescent="0.25">
      <c r="A1301" s="63"/>
    </row>
    <row r="1302" spans="1:1" x14ac:dyDescent="0.25">
      <c r="A1302" s="63"/>
    </row>
    <row r="1303" spans="1:1" x14ac:dyDescent="0.25">
      <c r="A1303" s="63"/>
    </row>
    <row r="1304" spans="1:1" x14ac:dyDescent="0.25">
      <c r="A1304" s="63"/>
    </row>
    <row r="1305" spans="1:1" x14ac:dyDescent="0.25">
      <c r="A1305" s="63"/>
    </row>
    <row r="1306" spans="1:1" x14ac:dyDescent="0.25">
      <c r="A1306" s="63"/>
    </row>
    <row r="1307" spans="1:1" x14ac:dyDescent="0.25">
      <c r="A1307" s="63"/>
    </row>
    <row r="1308" spans="1:1" x14ac:dyDescent="0.25">
      <c r="A1308" s="63"/>
    </row>
    <row r="1309" spans="1:1" x14ac:dyDescent="0.25">
      <c r="A1309" s="63"/>
    </row>
    <row r="1310" spans="1:1" x14ac:dyDescent="0.25">
      <c r="A1310" s="63"/>
    </row>
    <row r="1311" spans="1:1" x14ac:dyDescent="0.25">
      <c r="A1311" s="63"/>
    </row>
    <row r="1312" spans="1:1" x14ac:dyDescent="0.25">
      <c r="A1312" s="63"/>
    </row>
    <row r="1313" spans="1:1" x14ac:dyDescent="0.25">
      <c r="A1313" s="63"/>
    </row>
    <row r="1314" spans="1:1" x14ac:dyDescent="0.25">
      <c r="A1314" s="63"/>
    </row>
    <row r="1315" spans="1:1" x14ac:dyDescent="0.25">
      <c r="A1315" s="63"/>
    </row>
    <row r="1316" spans="1:1" x14ac:dyDescent="0.25">
      <c r="A1316" s="63"/>
    </row>
    <row r="1317" spans="1:1" x14ac:dyDescent="0.25">
      <c r="A1317" s="63"/>
    </row>
    <row r="1318" spans="1:1" x14ac:dyDescent="0.25">
      <c r="A1318" s="63"/>
    </row>
    <row r="1319" spans="1:1" x14ac:dyDescent="0.25">
      <c r="A1319" s="63"/>
    </row>
    <row r="1320" spans="1:1" x14ac:dyDescent="0.25">
      <c r="A1320" s="63"/>
    </row>
    <row r="1321" spans="1:1" x14ac:dyDescent="0.25">
      <c r="A1321" s="63"/>
    </row>
    <row r="1322" spans="1:1" x14ac:dyDescent="0.25">
      <c r="A1322" s="63"/>
    </row>
    <row r="1323" spans="1:1" x14ac:dyDescent="0.25">
      <c r="A1323" s="63"/>
    </row>
    <row r="1324" spans="1:1" x14ac:dyDescent="0.25">
      <c r="A1324" s="63"/>
    </row>
    <row r="1325" spans="1:1" x14ac:dyDescent="0.25">
      <c r="A1325" s="63"/>
    </row>
    <row r="1326" spans="1:1" x14ac:dyDescent="0.25">
      <c r="A1326" s="63"/>
    </row>
    <row r="1327" spans="1:1" x14ac:dyDescent="0.25">
      <c r="A1327" s="63"/>
    </row>
    <row r="1328" spans="1:1" x14ac:dyDescent="0.25">
      <c r="A1328" s="63"/>
    </row>
    <row r="1329" spans="1:1" x14ac:dyDescent="0.25">
      <c r="A1329" s="63"/>
    </row>
    <row r="1330" spans="1:1" x14ac:dyDescent="0.25">
      <c r="A1330" s="63"/>
    </row>
    <row r="1331" spans="1:1" x14ac:dyDescent="0.25">
      <c r="A1331" s="63"/>
    </row>
    <row r="1332" spans="1:1" x14ac:dyDescent="0.25">
      <c r="A1332" s="63"/>
    </row>
    <row r="1333" spans="1:1" x14ac:dyDescent="0.25">
      <c r="A1333" s="63"/>
    </row>
    <row r="1334" spans="1:1" x14ac:dyDescent="0.25">
      <c r="A1334" s="63"/>
    </row>
    <row r="1335" spans="1:1" x14ac:dyDescent="0.25">
      <c r="A1335" s="63"/>
    </row>
    <row r="1336" spans="1:1" x14ac:dyDescent="0.25">
      <c r="A1336" s="63"/>
    </row>
    <row r="1337" spans="1:1" x14ac:dyDescent="0.25">
      <c r="A1337" s="63"/>
    </row>
    <row r="1338" spans="1:1" x14ac:dyDescent="0.25">
      <c r="A1338" s="63"/>
    </row>
    <row r="1339" spans="1:1" x14ac:dyDescent="0.25">
      <c r="A1339" s="63"/>
    </row>
    <row r="1340" spans="1:1" x14ac:dyDescent="0.25">
      <c r="A1340" s="63"/>
    </row>
    <row r="1341" spans="1:1" x14ac:dyDescent="0.25">
      <c r="A1341" s="63"/>
    </row>
    <row r="1342" spans="1:1" x14ac:dyDescent="0.25">
      <c r="A1342" s="63"/>
    </row>
    <row r="1343" spans="1:1" x14ac:dyDescent="0.25">
      <c r="A1343" s="63"/>
    </row>
    <row r="1344" spans="1:1" x14ac:dyDescent="0.25">
      <c r="A1344" s="63"/>
    </row>
    <row r="1345" spans="1:1" x14ac:dyDescent="0.25">
      <c r="A1345" s="63"/>
    </row>
    <row r="1346" spans="1:1" x14ac:dyDescent="0.25">
      <c r="A1346" s="63"/>
    </row>
    <row r="1347" spans="1:1" x14ac:dyDescent="0.25">
      <c r="A1347" s="63"/>
    </row>
    <row r="1348" spans="1:1" x14ac:dyDescent="0.25">
      <c r="A1348" s="63"/>
    </row>
    <row r="1349" spans="1:1" x14ac:dyDescent="0.25">
      <c r="A1349" s="63"/>
    </row>
    <row r="1350" spans="1:1" x14ac:dyDescent="0.25">
      <c r="A1350" s="63"/>
    </row>
    <row r="1351" spans="1:1" x14ac:dyDescent="0.25">
      <c r="A1351" s="63"/>
    </row>
    <row r="1352" spans="1:1" x14ac:dyDescent="0.25">
      <c r="A1352" s="63"/>
    </row>
    <row r="1353" spans="1:1" x14ac:dyDescent="0.25">
      <c r="A1353" s="63"/>
    </row>
    <row r="1354" spans="1:1" x14ac:dyDescent="0.25">
      <c r="A1354" s="63"/>
    </row>
    <row r="1355" spans="1:1" x14ac:dyDescent="0.25">
      <c r="A1355" s="63"/>
    </row>
    <row r="1356" spans="1:1" x14ac:dyDescent="0.25">
      <c r="A1356" s="63"/>
    </row>
    <row r="1357" spans="1:1" x14ac:dyDescent="0.25">
      <c r="A1357" s="63"/>
    </row>
    <row r="1358" spans="1:1" x14ac:dyDescent="0.25">
      <c r="A1358" s="63"/>
    </row>
    <row r="1359" spans="1:1" x14ac:dyDescent="0.25">
      <c r="A1359" s="63"/>
    </row>
    <row r="1360" spans="1:1" x14ac:dyDescent="0.25">
      <c r="A1360" s="63"/>
    </row>
    <row r="1361" spans="1:1" x14ac:dyDescent="0.25">
      <c r="A1361" s="63"/>
    </row>
    <row r="1362" spans="1:1" x14ac:dyDescent="0.25">
      <c r="A1362" s="63"/>
    </row>
    <row r="1363" spans="1:1" x14ac:dyDescent="0.25">
      <c r="A1363" s="63"/>
    </row>
    <row r="1364" spans="1:1" x14ac:dyDescent="0.25">
      <c r="A1364" s="63"/>
    </row>
    <row r="1365" spans="1:1" x14ac:dyDescent="0.25">
      <c r="A1365" s="63"/>
    </row>
    <row r="1366" spans="1:1" x14ac:dyDescent="0.25">
      <c r="A1366" s="63"/>
    </row>
    <row r="1367" spans="1:1" x14ac:dyDescent="0.25">
      <c r="A1367" s="63"/>
    </row>
    <row r="1368" spans="1:1" x14ac:dyDescent="0.25">
      <c r="A1368" s="63"/>
    </row>
    <row r="1369" spans="1:1" x14ac:dyDescent="0.25">
      <c r="A1369" s="63"/>
    </row>
    <row r="1370" spans="1:1" x14ac:dyDescent="0.25">
      <c r="A1370" s="63"/>
    </row>
    <row r="1371" spans="1:1" x14ac:dyDescent="0.25">
      <c r="A1371" s="63"/>
    </row>
    <row r="1372" spans="1:1" x14ac:dyDescent="0.25">
      <c r="A1372" s="63"/>
    </row>
    <row r="1373" spans="1:1" x14ac:dyDescent="0.25">
      <c r="A1373" s="63"/>
    </row>
    <row r="1374" spans="1:1" x14ac:dyDescent="0.25">
      <c r="A1374" s="63"/>
    </row>
    <row r="1375" spans="1:1" x14ac:dyDescent="0.25">
      <c r="A1375" s="63"/>
    </row>
    <row r="1376" spans="1:1" x14ac:dyDescent="0.25">
      <c r="A1376" s="63"/>
    </row>
    <row r="1377" spans="1:1" x14ac:dyDescent="0.25">
      <c r="A1377" s="63"/>
    </row>
    <row r="1378" spans="1:1" x14ac:dyDescent="0.25">
      <c r="A1378" s="63"/>
    </row>
    <row r="1379" spans="1:1" x14ac:dyDescent="0.25">
      <c r="A1379" s="63"/>
    </row>
    <row r="1380" spans="1:1" x14ac:dyDescent="0.25">
      <c r="A1380" s="63"/>
    </row>
    <row r="1381" spans="1:1" x14ac:dyDescent="0.25">
      <c r="A1381" s="63"/>
    </row>
    <row r="1382" spans="1:1" x14ac:dyDescent="0.25">
      <c r="A1382" s="63"/>
    </row>
    <row r="1383" spans="1:1" x14ac:dyDescent="0.25">
      <c r="A1383" s="63"/>
    </row>
    <row r="1384" spans="1:1" x14ac:dyDescent="0.25">
      <c r="A1384" s="63"/>
    </row>
    <row r="1385" spans="1:1" x14ac:dyDescent="0.25">
      <c r="A1385" s="63"/>
    </row>
    <row r="1386" spans="1:1" x14ac:dyDescent="0.25">
      <c r="A1386" s="63"/>
    </row>
    <row r="1387" spans="1:1" x14ac:dyDescent="0.25">
      <c r="A1387" s="63"/>
    </row>
    <row r="1388" spans="1:1" x14ac:dyDescent="0.25">
      <c r="A1388" s="63"/>
    </row>
    <row r="1389" spans="1:1" x14ac:dyDescent="0.25">
      <c r="A1389" s="63"/>
    </row>
    <row r="1390" spans="1:1" x14ac:dyDescent="0.25">
      <c r="A1390" s="63"/>
    </row>
    <row r="1391" spans="1:1" x14ac:dyDescent="0.25">
      <c r="A1391" s="63"/>
    </row>
    <row r="1392" spans="1:1" x14ac:dyDescent="0.25">
      <c r="A1392" s="63"/>
    </row>
    <row r="1393" spans="1:1" x14ac:dyDescent="0.25">
      <c r="A1393" s="63"/>
    </row>
    <row r="1394" spans="1:1" x14ac:dyDescent="0.25">
      <c r="A1394" s="63"/>
    </row>
    <row r="1395" spans="1:1" x14ac:dyDescent="0.25">
      <c r="A1395" s="63"/>
    </row>
    <row r="1396" spans="1:1" x14ac:dyDescent="0.25">
      <c r="A1396" s="63"/>
    </row>
    <row r="1397" spans="1:1" x14ac:dyDescent="0.25">
      <c r="A1397" s="63"/>
    </row>
    <row r="1398" spans="1:1" x14ac:dyDescent="0.25">
      <c r="A1398" s="63"/>
    </row>
    <row r="1399" spans="1:1" x14ac:dyDescent="0.25">
      <c r="A1399" s="63"/>
    </row>
    <row r="1400" spans="1:1" x14ac:dyDescent="0.25">
      <c r="A1400" s="63"/>
    </row>
    <row r="1401" spans="1:1" x14ac:dyDescent="0.25">
      <c r="A1401" s="63"/>
    </row>
    <row r="1402" spans="1:1" x14ac:dyDescent="0.25">
      <c r="A1402" s="63"/>
    </row>
    <row r="1403" spans="1:1" x14ac:dyDescent="0.25">
      <c r="A1403" s="63"/>
    </row>
    <row r="1404" spans="1:1" x14ac:dyDescent="0.25">
      <c r="A1404" s="63"/>
    </row>
    <row r="1405" spans="1:1" x14ac:dyDescent="0.25">
      <c r="A1405" s="63"/>
    </row>
    <row r="1406" spans="1:1" x14ac:dyDescent="0.25">
      <c r="A1406" s="63"/>
    </row>
    <row r="1407" spans="1:1" x14ac:dyDescent="0.25">
      <c r="A1407" s="63"/>
    </row>
    <row r="1408" spans="1:1" x14ac:dyDescent="0.25">
      <c r="A1408" s="63"/>
    </row>
    <row r="1409" spans="1:1" x14ac:dyDescent="0.25">
      <c r="A1409" s="63"/>
    </row>
    <row r="1410" spans="1:1" x14ac:dyDescent="0.25">
      <c r="A1410" s="63"/>
    </row>
    <row r="1411" spans="1:1" x14ac:dyDescent="0.25">
      <c r="A1411" s="63"/>
    </row>
    <row r="1412" spans="1:1" x14ac:dyDescent="0.25">
      <c r="A1412" s="63"/>
    </row>
    <row r="1413" spans="1:1" x14ac:dyDescent="0.25">
      <c r="A1413" s="63"/>
    </row>
    <row r="1414" spans="1:1" x14ac:dyDescent="0.25">
      <c r="A1414" s="63"/>
    </row>
    <row r="1415" spans="1:1" x14ac:dyDescent="0.25">
      <c r="A1415" s="63"/>
    </row>
    <row r="1416" spans="1:1" x14ac:dyDescent="0.25">
      <c r="A1416" s="63"/>
    </row>
    <row r="1417" spans="1:1" x14ac:dyDescent="0.25">
      <c r="A1417" s="63"/>
    </row>
    <row r="1418" spans="1:1" x14ac:dyDescent="0.25">
      <c r="A1418" s="63"/>
    </row>
    <row r="1419" spans="1:1" x14ac:dyDescent="0.25">
      <c r="A1419" s="63"/>
    </row>
    <row r="1420" spans="1:1" x14ac:dyDescent="0.25">
      <c r="A1420" s="63"/>
    </row>
    <row r="1421" spans="1:1" x14ac:dyDescent="0.25">
      <c r="A1421" s="63"/>
    </row>
    <row r="1422" spans="1:1" x14ac:dyDescent="0.25">
      <c r="A1422" s="63"/>
    </row>
    <row r="1423" spans="1:1" x14ac:dyDescent="0.25">
      <c r="A1423" s="63"/>
    </row>
    <row r="1424" spans="1:1" x14ac:dyDescent="0.25">
      <c r="A1424" s="63"/>
    </row>
    <row r="1425" spans="1:1" x14ac:dyDescent="0.25">
      <c r="A1425" s="63"/>
    </row>
    <row r="1426" spans="1:1" x14ac:dyDescent="0.25">
      <c r="A1426" s="63"/>
    </row>
    <row r="1427" spans="1:1" x14ac:dyDescent="0.25">
      <c r="A1427" s="63"/>
    </row>
    <row r="1428" spans="1:1" x14ac:dyDescent="0.25">
      <c r="A1428" s="63"/>
    </row>
    <row r="1429" spans="1:1" x14ac:dyDescent="0.25">
      <c r="A1429" s="63"/>
    </row>
    <row r="1430" spans="1:1" x14ac:dyDescent="0.25">
      <c r="A1430" s="63"/>
    </row>
    <row r="1431" spans="1:1" x14ac:dyDescent="0.25">
      <c r="A1431" s="63"/>
    </row>
    <row r="1432" spans="1:1" x14ac:dyDescent="0.25">
      <c r="A1432" s="63"/>
    </row>
    <row r="1433" spans="1:1" x14ac:dyDescent="0.25">
      <c r="A1433" s="63"/>
    </row>
    <row r="1434" spans="1:1" x14ac:dyDescent="0.25">
      <c r="A1434" s="63"/>
    </row>
    <row r="1435" spans="1:1" x14ac:dyDescent="0.25">
      <c r="A1435" s="63"/>
    </row>
    <row r="1436" spans="1:1" x14ac:dyDescent="0.25">
      <c r="A1436" s="63"/>
    </row>
    <row r="1437" spans="1:1" x14ac:dyDescent="0.25">
      <c r="A1437" s="63"/>
    </row>
    <row r="1438" spans="1:1" x14ac:dyDescent="0.25">
      <c r="A1438" s="63"/>
    </row>
    <row r="1439" spans="1:1" x14ac:dyDescent="0.25">
      <c r="A1439" s="63"/>
    </row>
    <row r="1440" spans="1:1" x14ac:dyDescent="0.25">
      <c r="A1440" s="63"/>
    </row>
    <row r="1441" spans="1:1" x14ac:dyDescent="0.25">
      <c r="A1441" s="63"/>
    </row>
    <row r="1442" spans="1:1" x14ac:dyDescent="0.25">
      <c r="A1442" s="63"/>
    </row>
    <row r="1443" spans="1:1" x14ac:dyDescent="0.25">
      <c r="A1443" s="63"/>
    </row>
    <row r="1444" spans="1:1" x14ac:dyDescent="0.25">
      <c r="A1444" s="63"/>
    </row>
    <row r="1445" spans="1:1" x14ac:dyDescent="0.25">
      <c r="A1445" s="63"/>
    </row>
    <row r="1446" spans="1:1" x14ac:dyDescent="0.25">
      <c r="A1446" s="63"/>
    </row>
    <row r="1447" spans="1:1" x14ac:dyDescent="0.25">
      <c r="A1447" s="63"/>
    </row>
    <row r="1448" spans="1:1" x14ac:dyDescent="0.25">
      <c r="A1448" s="63"/>
    </row>
    <row r="1449" spans="1:1" x14ac:dyDescent="0.25">
      <c r="A1449" s="63"/>
    </row>
    <row r="1450" spans="1:1" x14ac:dyDescent="0.25">
      <c r="A1450" s="63"/>
    </row>
    <row r="1451" spans="1:1" x14ac:dyDescent="0.25">
      <c r="A1451" s="63"/>
    </row>
    <row r="1452" spans="1:1" x14ac:dyDescent="0.25">
      <c r="A1452" s="63"/>
    </row>
    <row r="1453" spans="1:1" x14ac:dyDescent="0.25">
      <c r="A1453" s="63"/>
    </row>
    <row r="1454" spans="1:1" x14ac:dyDescent="0.25">
      <c r="A1454" s="63"/>
    </row>
    <row r="1455" spans="1:1" x14ac:dyDescent="0.25">
      <c r="A1455" s="63"/>
    </row>
    <row r="1456" spans="1:1" x14ac:dyDescent="0.25">
      <c r="A1456" s="63"/>
    </row>
    <row r="1457" spans="1:1" x14ac:dyDescent="0.25">
      <c r="A1457" s="63"/>
    </row>
    <row r="1458" spans="1:1" x14ac:dyDescent="0.25">
      <c r="A1458" s="63"/>
    </row>
    <row r="1459" spans="1:1" x14ac:dyDescent="0.25">
      <c r="A1459" s="63"/>
    </row>
    <row r="1460" spans="1:1" x14ac:dyDescent="0.25">
      <c r="A1460" s="63"/>
    </row>
    <row r="1461" spans="1:1" x14ac:dyDescent="0.25">
      <c r="A1461" s="63"/>
    </row>
    <row r="1462" spans="1:1" x14ac:dyDescent="0.25">
      <c r="A1462" s="63"/>
    </row>
    <row r="1463" spans="1:1" x14ac:dyDescent="0.25">
      <c r="A1463" s="63"/>
    </row>
    <row r="1464" spans="1:1" x14ac:dyDescent="0.25">
      <c r="A1464" s="63"/>
    </row>
    <row r="1465" spans="1:1" x14ac:dyDescent="0.25">
      <c r="A1465" s="63"/>
    </row>
    <row r="1466" spans="1:1" x14ac:dyDescent="0.25">
      <c r="A1466" s="63"/>
    </row>
    <row r="1467" spans="1:1" x14ac:dyDescent="0.25">
      <c r="A1467" s="63"/>
    </row>
    <row r="1468" spans="1:1" x14ac:dyDescent="0.25">
      <c r="A1468" s="63"/>
    </row>
    <row r="1469" spans="1:1" x14ac:dyDescent="0.25">
      <c r="A1469" s="63"/>
    </row>
    <row r="1470" spans="1:1" x14ac:dyDescent="0.25">
      <c r="A1470" s="63"/>
    </row>
    <row r="1471" spans="1:1" x14ac:dyDescent="0.25">
      <c r="A1471" s="63"/>
    </row>
    <row r="1472" spans="1:1" x14ac:dyDescent="0.25">
      <c r="A1472" s="63"/>
    </row>
    <row r="1473" spans="1:1" x14ac:dyDescent="0.25">
      <c r="A1473" s="63"/>
    </row>
    <row r="1474" spans="1:1" x14ac:dyDescent="0.25">
      <c r="A1474" s="63"/>
    </row>
    <row r="1475" spans="1:1" x14ac:dyDescent="0.25">
      <c r="A1475" s="63"/>
    </row>
    <row r="1476" spans="1:1" x14ac:dyDescent="0.25">
      <c r="A1476" s="63"/>
    </row>
    <row r="1477" spans="1:1" x14ac:dyDescent="0.25">
      <c r="A1477" s="63"/>
    </row>
    <row r="1478" spans="1:1" x14ac:dyDescent="0.25">
      <c r="A1478" s="63"/>
    </row>
    <row r="1479" spans="1:1" x14ac:dyDescent="0.25">
      <c r="A1479" s="63"/>
    </row>
    <row r="1480" spans="1:1" x14ac:dyDescent="0.25">
      <c r="A1480" s="63"/>
    </row>
    <row r="1481" spans="1:1" x14ac:dyDescent="0.25">
      <c r="A1481" s="63"/>
    </row>
    <row r="1482" spans="1:1" x14ac:dyDescent="0.25">
      <c r="A1482" s="63"/>
    </row>
    <row r="1483" spans="1:1" x14ac:dyDescent="0.25">
      <c r="A1483" s="63"/>
    </row>
    <row r="1484" spans="1:1" x14ac:dyDescent="0.25">
      <c r="A1484" s="63"/>
    </row>
    <row r="1485" spans="1:1" x14ac:dyDescent="0.25">
      <c r="A1485" s="63"/>
    </row>
    <row r="1486" spans="1:1" x14ac:dyDescent="0.25">
      <c r="A1486" s="63"/>
    </row>
    <row r="1487" spans="1:1" x14ac:dyDescent="0.25">
      <c r="A1487" s="63"/>
    </row>
    <row r="1488" spans="1:1" x14ac:dyDescent="0.25">
      <c r="A1488" s="63"/>
    </row>
    <row r="1489" spans="1:1" x14ac:dyDescent="0.25">
      <c r="A1489" s="63"/>
    </row>
    <row r="1490" spans="1:1" x14ac:dyDescent="0.25">
      <c r="A1490" s="63"/>
    </row>
    <row r="1491" spans="1:1" x14ac:dyDescent="0.25">
      <c r="A1491" s="63"/>
    </row>
    <row r="1492" spans="1:1" x14ac:dyDescent="0.25">
      <c r="A1492" s="63"/>
    </row>
    <row r="1493" spans="1:1" x14ac:dyDescent="0.25">
      <c r="A1493" s="63"/>
    </row>
    <row r="1494" spans="1:1" x14ac:dyDescent="0.25">
      <c r="A1494" s="63"/>
    </row>
    <row r="1495" spans="1:1" x14ac:dyDescent="0.25">
      <c r="A1495" s="63"/>
    </row>
    <row r="1496" spans="1:1" x14ac:dyDescent="0.25">
      <c r="A1496" s="63"/>
    </row>
    <row r="1497" spans="1:1" x14ac:dyDescent="0.25">
      <c r="A1497" s="63"/>
    </row>
    <row r="1498" spans="1:1" x14ac:dyDescent="0.25">
      <c r="A1498" s="63"/>
    </row>
    <row r="1499" spans="1:1" x14ac:dyDescent="0.25">
      <c r="A1499" s="63"/>
    </row>
    <row r="1500" spans="1:1" x14ac:dyDescent="0.25">
      <c r="A1500" s="63"/>
    </row>
    <row r="1501" spans="1:1" x14ac:dyDescent="0.25">
      <c r="A1501" s="63"/>
    </row>
    <row r="1502" spans="1:1" x14ac:dyDescent="0.25">
      <c r="A1502" s="63"/>
    </row>
    <row r="1503" spans="1:1" x14ac:dyDescent="0.25">
      <c r="A1503" s="63"/>
    </row>
    <row r="1504" spans="1:1" x14ac:dyDescent="0.25">
      <c r="A1504" s="63"/>
    </row>
    <row r="1505" spans="1:1" x14ac:dyDescent="0.25">
      <c r="A1505" s="63"/>
    </row>
    <row r="1506" spans="1:1" x14ac:dyDescent="0.25">
      <c r="A1506" s="63"/>
    </row>
    <row r="1507" spans="1:1" x14ac:dyDescent="0.25">
      <c r="A1507" s="63"/>
    </row>
    <row r="1508" spans="1:1" x14ac:dyDescent="0.25">
      <c r="A1508" s="63"/>
    </row>
    <row r="1509" spans="1:1" x14ac:dyDescent="0.25">
      <c r="A1509" s="63"/>
    </row>
    <row r="1510" spans="1:1" x14ac:dyDescent="0.25">
      <c r="A1510" s="63"/>
    </row>
    <row r="1511" spans="1:1" x14ac:dyDescent="0.25">
      <c r="A1511" s="63"/>
    </row>
    <row r="1512" spans="1:1" x14ac:dyDescent="0.25">
      <c r="A1512" s="63"/>
    </row>
    <row r="1513" spans="1:1" x14ac:dyDescent="0.25">
      <c r="A1513" s="63"/>
    </row>
    <row r="1514" spans="1:1" x14ac:dyDescent="0.25">
      <c r="A1514" s="63"/>
    </row>
    <row r="1515" spans="1:1" x14ac:dyDescent="0.25">
      <c r="A1515" s="63"/>
    </row>
    <row r="1516" spans="1:1" x14ac:dyDescent="0.25">
      <c r="A1516" s="63"/>
    </row>
    <row r="1517" spans="1:1" x14ac:dyDescent="0.25">
      <c r="A1517" s="63"/>
    </row>
    <row r="1518" spans="1:1" x14ac:dyDescent="0.25">
      <c r="A1518" s="63"/>
    </row>
    <row r="1519" spans="1:1" x14ac:dyDescent="0.25">
      <c r="A1519" s="63"/>
    </row>
    <row r="1520" spans="1:1" x14ac:dyDescent="0.25">
      <c r="A1520" s="63"/>
    </row>
    <row r="1521" spans="1:1" x14ac:dyDescent="0.25">
      <c r="A1521" s="63"/>
    </row>
    <row r="1522" spans="1:1" x14ac:dyDescent="0.25">
      <c r="A1522" s="63"/>
    </row>
    <row r="1523" spans="1:1" x14ac:dyDescent="0.25">
      <c r="A1523" s="63"/>
    </row>
    <row r="1524" spans="1:1" x14ac:dyDescent="0.25">
      <c r="A1524" s="63"/>
    </row>
    <row r="1525" spans="1:1" x14ac:dyDescent="0.25">
      <c r="A1525" s="63"/>
    </row>
    <row r="1526" spans="1:1" x14ac:dyDescent="0.25">
      <c r="A1526" s="63"/>
    </row>
    <row r="1527" spans="1:1" x14ac:dyDescent="0.25">
      <c r="A1527" s="63"/>
    </row>
    <row r="1528" spans="1:1" x14ac:dyDescent="0.25">
      <c r="A1528" s="63"/>
    </row>
    <row r="1529" spans="1:1" x14ac:dyDescent="0.25">
      <c r="A1529" s="63"/>
    </row>
    <row r="1530" spans="1:1" x14ac:dyDescent="0.25">
      <c r="A1530" s="63"/>
    </row>
    <row r="1531" spans="1:1" x14ac:dyDescent="0.25">
      <c r="A1531" s="63"/>
    </row>
    <row r="1532" spans="1:1" x14ac:dyDescent="0.25">
      <c r="A1532" s="63"/>
    </row>
    <row r="1533" spans="1:1" x14ac:dyDescent="0.25">
      <c r="A1533" s="63"/>
    </row>
    <row r="1534" spans="1:1" x14ac:dyDescent="0.25">
      <c r="A1534" s="63"/>
    </row>
    <row r="1535" spans="1:1" x14ac:dyDescent="0.25">
      <c r="A1535" s="63"/>
    </row>
    <row r="1536" spans="1:1" x14ac:dyDescent="0.25">
      <c r="A1536" s="63"/>
    </row>
    <row r="1537" spans="1:1" x14ac:dyDescent="0.25">
      <c r="A1537" s="63"/>
    </row>
    <row r="1538" spans="1:1" x14ac:dyDescent="0.25">
      <c r="A1538" s="63"/>
    </row>
    <row r="1539" spans="1:1" x14ac:dyDescent="0.25">
      <c r="A1539" s="63"/>
    </row>
    <row r="1540" spans="1:1" x14ac:dyDescent="0.25">
      <c r="A1540" s="63"/>
    </row>
    <row r="1541" spans="1:1" x14ac:dyDescent="0.25">
      <c r="A1541" s="63"/>
    </row>
    <row r="1542" spans="1:1" x14ac:dyDescent="0.25">
      <c r="A1542" s="63"/>
    </row>
    <row r="1543" spans="1:1" x14ac:dyDescent="0.25">
      <c r="A1543" s="63"/>
    </row>
    <row r="1544" spans="1:1" x14ac:dyDescent="0.25">
      <c r="A1544" s="63"/>
    </row>
    <row r="1545" spans="1:1" x14ac:dyDescent="0.25">
      <c r="A1545" s="63"/>
    </row>
    <row r="1546" spans="1:1" x14ac:dyDescent="0.25">
      <c r="A1546" s="63"/>
    </row>
    <row r="1547" spans="1:1" x14ac:dyDescent="0.25">
      <c r="A1547" s="63"/>
    </row>
    <row r="1548" spans="1:1" x14ac:dyDescent="0.25">
      <c r="A1548" s="63"/>
    </row>
    <row r="1549" spans="1:1" x14ac:dyDescent="0.25">
      <c r="A1549" s="63"/>
    </row>
    <row r="1550" spans="1:1" x14ac:dyDescent="0.25">
      <c r="A1550" s="63"/>
    </row>
    <row r="1551" spans="1:1" x14ac:dyDescent="0.25">
      <c r="A1551" s="63"/>
    </row>
    <row r="1552" spans="1:1" x14ac:dyDescent="0.25">
      <c r="A1552" s="63"/>
    </row>
    <row r="1553" spans="1:1" x14ac:dyDescent="0.25">
      <c r="A1553" s="63"/>
    </row>
    <row r="1554" spans="1:1" x14ac:dyDescent="0.25">
      <c r="A1554" s="63"/>
    </row>
    <row r="1555" spans="1:1" x14ac:dyDescent="0.25">
      <c r="A1555" s="63"/>
    </row>
    <row r="1556" spans="1:1" x14ac:dyDescent="0.25">
      <c r="A1556" s="63"/>
    </row>
    <row r="1557" spans="1:1" x14ac:dyDescent="0.25">
      <c r="A1557" s="63"/>
    </row>
    <row r="1558" spans="1:1" x14ac:dyDescent="0.25">
      <c r="A1558" s="63"/>
    </row>
    <row r="1559" spans="1:1" x14ac:dyDescent="0.25">
      <c r="A1559" s="63"/>
    </row>
    <row r="1560" spans="1:1" x14ac:dyDescent="0.25">
      <c r="A1560" s="63"/>
    </row>
    <row r="1561" spans="1:1" x14ac:dyDescent="0.25">
      <c r="A1561" s="63"/>
    </row>
    <row r="1562" spans="1:1" x14ac:dyDescent="0.25">
      <c r="A1562" s="63"/>
    </row>
    <row r="1563" spans="1:1" x14ac:dyDescent="0.25">
      <c r="A1563" s="63"/>
    </row>
    <row r="1564" spans="1:1" x14ac:dyDescent="0.25">
      <c r="A1564" s="63"/>
    </row>
    <row r="1565" spans="1:1" x14ac:dyDescent="0.25">
      <c r="A1565" s="63"/>
    </row>
    <row r="1566" spans="1:1" x14ac:dyDescent="0.25">
      <c r="A1566" s="63"/>
    </row>
    <row r="1567" spans="1:1" x14ac:dyDescent="0.25">
      <c r="A1567" s="63"/>
    </row>
    <row r="1568" spans="1:1" x14ac:dyDescent="0.25">
      <c r="A1568" s="63"/>
    </row>
    <row r="1569" spans="1:1" x14ac:dyDescent="0.25">
      <c r="A1569" s="63"/>
    </row>
    <row r="1570" spans="1:1" x14ac:dyDescent="0.25">
      <c r="A1570" s="63"/>
    </row>
    <row r="1571" spans="1:1" x14ac:dyDescent="0.25">
      <c r="A1571" s="63"/>
    </row>
    <row r="1572" spans="1:1" x14ac:dyDescent="0.25">
      <c r="A1572" s="63"/>
    </row>
    <row r="1573" spans="1:1" x14ac:dyDescent="0.25">
      <c r="A1573" s="63"/>
    </row>
    <row r="1574" spans="1:1" x14ac:dyDescent="0.25">
      <c r="A1574" s="63"/>
    </row>
    <row r="1575" spans="1:1" x14ac:dyDescent="0.25">
      <c r="A1575" s="63"/>
    </row>
    <row r="1576" spans="1:1" x14ac:dyDescent="0.25">
      <c r="A1576" s="63"/>
    </row>
    <row r="1577" spans="1:1" x14ac:dyDescent="0.25">
      <c r="A1577" s="63"/>
    </row>
    <row r="1578" spans="1:1" x14ac:dyDescent="0.25">
      <c r="A1578" s="63"/>
    </row>
    <row r="1579" spans="1:1" x14ac:dyDescent="0.25">
      <c r="A1579" s="63"/>
    </row>
    <row r="1580" spans="1:1" x14ac:dyDescent="0.25">
      <c r="A1580" s="63"/>
    </row>
    <row r="1581" spans="1:1" x14ac:dyDescent="0.25">
      <c r="A1581" s="63"/>
    </row>
    <row r="1582" spans="1:1" x14ac:dyDescent="0.25">
      <c r="A1582" s="63"/>
    </row>
    <row r="1583" spans="1:1" x14ac:dyDescent="0.25">
      <c r="A1583" s="63"/>
    </row>
    <row r="1584" spans="1:1" x14ac:dyDescent="0.25">
      <c r="A1584" s="63"/>
    </row>
    <row r="1585" spans="1:1" x14ac:dyDescent="0.25">
      <c r="A1585" s="63"/>
    </row>
    <row r="1586" spans="1:1" x14ac:dyDescent="0.25">
      <c r="A1586" s="63"/>
    </row>
    <row r="1587" spans="1:1" x14ac:dyDescent="0.25">
      <c r="A1587" s="63"/>
    </row>
    <row r="1588" spans="1:1" x14ac:dyDescent="0.25">
      <c r="A1588" s="63"/>
    </row>
    <row r="1589" spans="1:1" x14ac:dyDescent="0.25">
      <c r="A1589" s="63"/>
    </row>
    <row r="1590" spans="1:1" x14ac:dyDescent="0.25">
      <c r="A1590" s="63"/>
    </row>
    <row r="1591" spans="1:1" x14ac:dyDescent="0.25">
      <c r="A1591" s="63"/>
    </row>
    <row r="1592" spans="1:1" x14ac:dyDescent="0.25">
      <c r="A1592" s="63"/>
    </row>
    <row r="1593" spans="1:1" x14ac:dyDescent="0.25">
      <c r="A1593" s="63"/>
    </row>
    <row r="1594" spans="1:1" x14ac:dyDescent="0.25">
      <c r="A1594" s="63"/>
    </row>
    <row r="1595" spans="1:1" x14ac:dyDescent="0.25">
      <c r="A1595" s="63"/>
    </row>
    <row r="1596" spans="1:1" x14ac:dyDescent="0.25">
      <c r="A1596" s="63"/>
    </row>
    <row r="1597" spans="1:1" x14ac:dyDescent="0.25">
      <c r="A1597" s="63"/>
    </row>
    <row r="1598" spans="1:1" x14ac:dyDescent="0.25">
      <c r="A1598" s="63"/>
    </row>
    <row r="1599" spans="1:1" x14ac:dyDescent="0.25">
      <c r="A1599" s="63"/>
    </row>
    <row r="1600" spans="1:1" x14ac:dyDescent="0.25">
      <c r="A1600" s="63"/>
    </row>
    <row r="1601" spans="1:1" x14ac:dyDescent="0.25">
      <c r="A1601" s="63"/>
    </row>
    <row r="1602" spans="1:1" x14ac:dyDescent="0.25">
      <c r="A1602" s="63"/>
    </row>
    <row r="1603" spans="1:1" x14ac:dyDescent="0.25">
      <c r="A1603" s="63"/>
    </row>
    <row r="1604" spans="1:1" x14ac:dyDescent="0.25">
      <c r="A1604" s="63"/>
    </row>
    <row r="1605" spans="1:1" x14ac:dyDescent="0.25">
      <c r="A1605" s="63"/>
    </row>
    <row r="1606" spans="1:1" x14ac:dyDescent="0.25">
      <c r="A1606" s="63"/>
    </row>
    <row r="1607" spans="1:1" x14ac:dyDescent="0.25">
      <c r="A1607" s="63"/>
    </row>
    <row r="1608" spans="1:1" x14ac:dyDescent="0.25">
      <c r="A1608" s="63"/>
    </row>
    <row r="1609" spans="1:1" x14ac:dyDescent="0.25">
      <c r="A1609" s="63"/>
    </row>
    <row r="1610" spans="1:1" x14ac:dyDescent="0.25">
      <c r="A1610" s="63"/>
    </row>
    <row r="1611" spans="1:1" x14ac:dyDescent="0.25">
      <c r="A1611" s="63"/>
    </row>
    <row r="1612" spans="1:1" x14ac:dyDescent="0.25">
      <c r="A1612" s="63"/>
    </row>
    <row r="1613" spans="1:1" x14ac:dyDescent="0.25">
      <c r="A1613" s="63"/>
    </row>
    <row r="1614" spans="1:1" x14ac:dyDescent="0.25">
      <c r="A1614" s="63"/>
    </row>
    <row r="1615" spans="1:1" x14ac:dyDescent="0.25">
      <c r="A1615" s="63"/>
    </row>
    <row r="1616" spans="1:1" x14ac:dyDescent="0.25">
      <c r="A1616" s="63"/>
    </row>
    <row r="1617" spans="1:1" x14ac:dyDescent="0.25">
      <c r="A1617" s="63"/>
    </row>
    <row r="1618" spans="1:1" x14ac:dyDescent="0.25">
      <c r="A1618" s="63"/>
    </row>
    <row r="1619" spans="1:1" x14ac:dyDescent="0.25">
      <c r="A1619" s="63"/>
    </row>
    <row r="1620" spans="1:1" x14ac:dyDescent="0.25">
      <c r="A1620" s="63"/>
    </row>
    <row r="1621" spans="1:1" x14ac:dyDescent="0.25">
      <c r="A1621" s="63"/>
    </row>
    <row r="1622" spans="1:1" x14ac:dyDescent="0.25">
      <c r="A1622" s="63"/>
    </row>
    <row r="1623" spans="1:1" x14ac:dyDescent="0.25">
      <c r="A1623" s="63"/>
    </row>
    <row r="1624" spans="1:1" x14ac:dyDescent="0.25">
      <c r="A1624" s="63"/>
    </row>
    <row r="1625" spans="1:1" x14ac:dyDescent="0.25">
      <c r="A1625" s="63"/>
    </row>
    <row r="1626" spans="1:1" x14ac:dyDescent="0.25">
      <c r="A1626" s="63"/>
    </row>
    <row r="1627" spans="1:1" x14ac:dyDescent="0.25">
      <c r="A1627" s="63"/>
    </row>
    <row r="1628" spans="1:1" x14ac:dyDescent="0.25">
      <c r="A1628" s="63"/>
    </row>
    <row r="1629" spans="1:1" x14ac:dyDescent="0.25">
      <c r="A1629" s="63"/>
    </row>
    <row r="1630" spans="1:1" x14ac:dyDescent="0.25">
      <c r="A1630" s="63"/>
    </row>
    <row r="1631" spans="1:1" x14ac:dyDescent="0.25">
      <c r="A1631" s="63"/>
    </row>
    <row r="1632" spans="1:1" x14ac:dyDescent="0.25">
      <c r="A1632" s="63"/>
    </row>
    <row r="1633" spans="1:1" x14ac:dyDescent="0.25">
      <c r="A1633" s="63"/>
    </row>
    <row r="1634" spans="1:1" x14ac:dyDescent="0.25">
      <c r="A1634" s="63"/>
    </row>
    <row r="1635" spans="1:1" x14ac:dyDescent="0.25">
      <c r="A1635" s="63"/>
    </row>
    <row r="1636" spans="1:1" x14ac:dyDescent="0.25">
      <c r="A1636" s="63"/>
    </row>
    <row r="1637" spans="1:1" x14ac:dyDescent="0.25">
      <c r="A1637" s="63"/>
    </row>
    <row r="1638" spans="1:1" x14ac:dyDescent="0.25">
      <c r="A1638" s="63"/>
    </row>
    <row r="1639" spans="1:1" x14ac:dyDescent="0.25">
      <c r="A1639" s="63"/>
    </row>
    <row r="1640" spans="1:1" x14ac:dyDescent="0.25">
      <c r="A1640" s="63"/>
    </row>
    <row r="1641" spans="1:1" x14ac:dyDescent="0.25">
      <c r="A1641" s="63"/>
    </row>
    <row r="1642" spans="1:1" x14ac:dyDescent="0.25">
      <c r="A1642" s="63"/>
    </row>
    <row r="1643" spans="1:1" x14ac:dyDescent="0.25">
      <c r="A1643" s="63"/>
    </row>
    <row r="1644" spans="1:1" x14ac:dyDescent="0.25">
      <c r="A1644" s="63"/>
    </row>
    <row r="1645" spans="1:1" x14ac:dyDescent="0.25">
      <c r="A1645" s="63"/>
    </row>
    <row r="1646" spans="1:1" x14ac:dyDescent="0.25">
      <c r="A1646" s="63"/>
    </row>
    <row r="1647" spans="1:1" x14ac:dyDescent="0.25">
      <c r="A1647" s="63"/>
    </row>
    <row r="1648" spans="1:1" x14ac:dyDescent="0.25">
      <c r="A1648" s="63"/>
    </row>
    <row r="1649" spans="1:1" x14ac:dyDescent="0.25">
      <c r="A1649" s="63"/>
    </row>
    <row r="1650" spans="1:1" x14ac:dyDescent="0.25">
      <c r="A1650" s="63"/>
    </row>
    <row r="1651" spans="1:1" x14ac:dyDescent="0.25">
      <c r="A1651" s="63"/>
    </row>
    <row r="1652" spans="1:1" x14ac:dyDescent="0.25">
      <c r="A1652" s="63"/>
    </row>
    <row r="1653" spans="1:1" x14ac:dyDescent="0.25">
      <c r="A1653" s="63"/>
    </row>
    <row r="1654" spans="1:1" x14ac:dyDescent="0.25">
      <c r="A1654" s="63"/>
    </row>
    <row r="1655" spans="1:1" x14ac:dyDescent="0.25">
      <c r="A1655" s="63"/>
    </row>
    <row r="1656" spans="1:1" x14ac:dyDescent="0.25">
      <c r="A1656" s="63"/>
    </row>
    <row r="1657" spans="1:1" x14ac:dyDescent="0.25">
      <c r="A1657" s="63"/>
    </row>
    <row r="1658" spans="1:1" x14ac:dyDescent="0.25">
      <c r="A1658" s="63"/>
    </row>
    <row r="1659" spans="1:1" x14ac:dyDescent="0.25">
      <c r="A1659" s="63"/>
    </row>
    <row r="1660" spans="1:1" x14ac:dyDescent="0.25">
      <c r="A1660" s="63"/>
    </row>
    <row r="1661" spans="1:1" x14ac:dyDescent="0.25">
      <c r="A1661" s="63"/>
    </row>
    <row r="1662" spans="1:1" x14ac:dyDescent="0.25">
      <c r="A1662" s="63"/>
    </row>
    <row r="1663" spans="1:1" x14ac:dyDescent="0.25">
      <c r="A1663" s="63"/>
    </row>
    <row r="1664" spans="1:1" x14ac:dyDescent="0.25">
      <c r="A1664" s="63"/>
    </row>
    <row r="1665" spans="1:1" x14ac:dyDescent="0.25">
      <c r="A1665" s="63"/>
    </row>
    <row r="1666" spans="1:1" x14ac:dyDescent="0.25">
      <c r="A1666" s="63"/>
    </row>
    <row r="1667" spans="1:1" x14ac:dyDescent="0.25">
      <c r="A1667" s="63"/>
    </row>
    <row r="1668" spans="1:1" x14ac:dyDescent="0.25">
      <c r="A1668" s="63"/>
    </row>
    <row r="1669" spans="1:1" x14ac:dyDescent="0.25">
      <c r="A1669" s="63"/>
    </row>
    <row r="1670" spans="1:1" x14ac:dyDescent="0.25">
      <c r="A1670" s="63"/>
    </row>
    <row r="1671" spans="1:1" x14ac:dyDescent="0.25">
      <c r="A1671" s="63"/>
    </row>
    <row r="1672" spans="1:1" x14ac:dyDescent="0.25">
      <c r="A1672" s="63"/>
    </row>
    <row r="1673" spans="1:1" x14ac:dyDescent="0.25">
      <c r="A1673" s="63"/>
    </row>
    <row r="1674" spans="1:1" x14ac:dyDescent="0.25">
      <c r="A1674" s="63"/>
    </row>
    <row r="1675" spans="1:1" x14ac:dyDescent="0.25">
      <c r="A1675" s="63"/>
    </row>
    <row r="1676" spans="1:1" x14ac:dyDescent="0.25">
      <c r="A1676" s="63"/>
    </row>
    <row r="1677" spans="1:1" x14ac:dyDescent="0.25">
      <c r="A1677" s="63"/>
    </row>
    <row r="1678" spans="1:1" x14ac:dyDescent="0.25">
      <c r="A1678" s="63"/>
    </row>
    <row r="1679" spans="1:1" x14ac:dyDescent="0.25">
      <c r="A1679" s="63"/>
    </row>
    <row r="1680" spans="1:1" x14ac:dyDescent="0.25">
      <c r="A1680" s="63"/>
    </row>
    <row r="1681" spans="1:1" x14ac:dyDescent="0.25">
      <c r="A1681" s="63"/>
    </row>
    <row r="1682" spans="1:1" x14ac:dyDescent="0.25">
      <c r="A1682" s="63"/>
    </row>
    <row r="1683" spans="1:1" x14ac:dyDescent="0.25">
      <c r="A1683" s="63"/>
    </row>
    <row r="1684" spans="1:1" x14ac:dyDescent="0.25">
      <c r="A1684" s="63"/>
    </row>
    <row r="1685" spans="1:1" x14ac:dyDescent="0.25">
      <c r="A1685" s="63"/>
    </row>
    <row r="1686" spans="1:1" x14ac:dyDescent="0.25">
      <c r="A1686" s="63"/>
    </row>
    <row r="1687" spans="1:1" x14ac:dyDescent="0.25">
      <c r="A1687" s="63"/>
    </row>
    <row r="1688" spans="1:1" x14ac:dyDescent="0.25">
      <c r="A1688" s="63"/>
    </row>
    <row r="1689" spans="1:1" x14ac:dyDescent="0.25">
      <c r="A1689" s="63"/>
    </row>
    <row r="1690" spans="1:1" x14ac:dyDescent="0.25">
      <c r="A1690" s="63"/>
    </row>
    <row r="1691" spans="1:1" x14ac:dyDescent="0.25">
      <c r="A1691" s="63"/>
    </row>
    <row r="1692" spans="1:1" x14ac:dyDescent="0.25">
      <c r="A1692" s="63"/>
    </row>
    <row r="1693" spans="1:1" x14ac:dyDescent="0.25">
      <c r="A1693" s="63"/>
    </row>
    <row r="1694" spans="1:1" x14ac:dyDescent="0.25">
      <c r="A1694" s="63"/>
    </row>
    <row r="1695" spans="1:1" x14ac:dyDescent="0.25">
      <c r="A1695" s="63"/>
    </row>
    <row r="1696" spans="1:1" x14ac:dyDescent="0.25">
      <c r="A1696" s="63"/>
    </row>
    <row r="1697" spans="1:1" x14ac:dyDescent="0.25">
      <c r="A1697" s="63"/>
    </row>
    <row r="1698" spans="1:1" x14ac:dyDescent="0.25">
      <c r="A1698" s="63"/>
    </row>
    <row r="1699" spans="1:1" x14ac:dyDescent="0.25">
      <c r="A1699" s="63"/>
    </row>
    <row r="1700" spans="1:1" x14ac:dyDescent="0.25">
      <c r="A1700" s="63"/>
    </row>
    <row r="1701" spans="1:1" x14ac:dyDescent="0.25">
      <c r="A1701" s="63"/>
    </row>
    <row r="1702" spans="1:1" x14ac:dyDescent="0.25">
      <c r="A1702" s="63"/>
    </row>
    <row r="1703" spans="1:1" x14ac:dyDescent="0.25">
      <c r="A1703" s="63"/>
    </row>
    <row r="1704" spans="1:1" x14ac:dyDescent="0.25">
      <c r="A1704" s="63"/>
    </row>
    <row r="1705" spans="1:1" x14ac:dyDescent="0.25">
      <c r="A1705" s="63"/>
    </row>
    <row r="1706" spans="1:1" x14ac:dyDescent="0.25">
      <c r="A1706" s="63"/>
    </row>
    <row r="1707" spans="1:1" x14ac:dyDescent="0.25">
      <c r="A1707" s="63"/>
    </row>
    <row r="1708" spans="1:1" x14ac:dyDescent="0.25">
      <c r="A1708" s="63"/>
    </row>
    <row r="1709" spans="1:1" x14ac:dyDescent="0.25">
      <c r="A1709" s="63"/>
    </row>
    <row r="1710" spans="1:1" x14ac:dyDescent="0.25">
      <c r="A1710" s="63"/>
    </row>
    <row r="1711" spans="1:1" x14ac:dyDescent="0.25">
      <c r="A1711" s="63"/>
    </row>
    <row r="1712" spans="1:1" x14ac:dyDescent="0.25">
      <c r="A1712" s="63"/>
    </row>
    <row r="1713" spans="1:1" x14ac:dyDescent="0.25">
      <c r="A1713" s="63"/>
    </row>
    <row r="1714" spans="1:1" x14ac:dyDescent="0.25">
      <c r="A1714" s="63"/>
    </row>
    <row r="1715" spans="1:1" x14ac:dyDescent="0.25">
      <c r="A1715" s="63"/>
    </row>
    <row r="1716" spans="1:1" x14ac:dyDescent="0.25">
      <c r="A1716" s="63"/>
    </row>
    <row r="1717" spans="1:1" x14ac:dyDescent="0.25">
      <c r="A1717" s="63"/>
    </row>
    <row r="1718" spans="1:1" x14ac:dyDescent="0.25">
      <c r="A1718" s="63"/>
    </row>
    <row r="1719" spans="1:1" x14ac:dyDescent="0.25">
      <c r="A1719" s="63"/>
    </row>
    <row r="1720" spans="1:1" x14ac:dyDescent="0.25">
      <c r="A1720" s="63"/>
    </row>
    <row r="1721" spans="1:1" x14ac:dyDescent="0.25">
      <c r="A1721" s="63"/>
    </row>
    <row r="1722" spans="1:1" x14ac:dyDescent="0.25">
      <c r="A1722" s="63"/>
    </row>
    <row r="1723" spans="1:1" x14ac:dyDescent="0.25">
      <c r="A1723" s="63"/>
    </row>
    <row r="1724" spans="1:1" x14ac:dyDescent="0.25">
      <c r="A1724" s="63"/>
    </row>
    <row r="1725" spans="1:1" x14ac:dyDescent="0.25">
      <c r="A1725" s="63"/>
    </row>
    <row r="1726" spans="1:1" x14ac:dyDescent="0.25">
      <c r="A1726" s="63"/>
    </row>
    <row r="1727" spans="1:1" x14ac:dyDescent="0.25">
      <c r="A1727" s="63"/>
    </row>
    <row r="1728" spans="1:1" x14ac:dyDescent="0.25">
      <c r="A1728" s="63"/>
    </row>
    <row r="1729" spans="1:1" x14ac:dyDescent="0.25">
      <c r="A1729" s="63"/>
    </row>
    <row r="1730" spans="1:1" x14ac:dyDescent="0.25">
      <c r="A1730" s="63"/>
    </row>
    <row r="1731" spans="1:1" x14ac:dyDescent="0.25">
      <c r="A1731" s="63"/>
    </row>
    <row r="1732" spans="1:1" x14ac:dyDescent="0.25">
      <c r="A1732" s="63"/>
    </row>
    <row r="1733" spans="1:1" x14ac:dyDescent="0.25">
      <c r="A1733" s="63"/>
    </row>
    <row r="1734" spans="1:1" x14ac:dyDescent="0.25">
      <c r="A1734" s="63"/>
    </row>
    <row r="1735" spans="1:1" x14ac:dyDescent="0.25">
      <c r="A1735" s="63"/>
    </row>
    <row r="1736" spans="1:1" x14ac:dyDescent="0.25">
      <c r="A1736" s="63"/>
    </row>
    <row r="1737" spans="1:1" x14ac:dyDescent="0.25">
      <c r="A1737" s="63"/>
    </row>
    <row r="1738" spans="1:1" x14ac:dyDescent="0.25">
      <c r="A1738" s="63"/>
    </row>
    <row r="1739" spans="1:1" x14ac:dyDescent="0.25">
      <c r="A1739" s="63"/>
    </row>
    <row r="1740" spans="1:1" x14ac:dyDescent="0.25">
      <c r="A1740" s="63"/>
    </row>
    <row r="1741" spans="1:1" x14ac:dyDescent="0.25">
      <c r="A1741" s="63"/>
    </row>
    <row r="1742" spans="1:1" x14ac:dyDescent="0.25">
      <c r="A1742" s="63"/>
    </row>
    <row r="1743" spans="1:1" x14ac:dyDescent="0.25">
      <c r="A1743" s="63"/>
    </row>
    <row r="1744" spans="1:1" x14ac:dyDescent="0.25">
      <c r="A1744" s="63"/>
    </row>
    <row r="1745" spans="1:1" x14ac:dyDescent="0.25">
      <c r="A1745" s="63"/>
    </row>
    <row r="1746" spans="1:1" x14ac:dyDescent="0.25">
      <c r="A1746" s="63"/>
    </row>
    <row r="1747" spans="1:1" x14ac:dyDescent="0.25">
      <c r="A1747" s="63"/>
    </row>
    <row r="1748" spans="1:1" x14ac:dyDescent="0.25">
      <c r="A1748" s="63"/>
    </row>
    <row r="1749" spans="1:1" x14ac:dyDescent="0.25">
      <c r="A1749" s="63"/>
    </row>
    <row r="1750" spans="1:1" x14ac:dyDescent="0.25">
      <c r="A1750" s="63"/>
    </row>
    <row r="1751" spans="1:1" x14ac:dyDescent="0.25">
      <c r="A1751" s="63"/>
    </row>
    <row r="1752" spans="1:1" x14ac:dyDescent="0.25">
      <c r="A1752" s="63"/>
    </row>
    <row r="1753" spans="1:1" x14ac:dyDescent="0.25">
      <c r="A1753" s="63"/>
    </row>
    <row r="1754" spans="1:1" x14ac:dyDescent="0.25">
      <c r="A1754" s="63"/>
    </row>
    <row r="1755" spans="1:1" x14ac:dyDescent="0.25">
      <c r="A1755" s="63"/>
    </row>
    <row r="1756" spans="1:1" x14ac:dyDescent="0.25">
      <c r="A1756" s="63"/>
    </row>
    <row r="1757" spans="1:1" x14ac:dyDescent="0.25">
      <c r="A1757" s="63"/>
    </row>
    <row r="1758" spans="1:1" x14ac:dyDescent="0.25">
      <c r="A1758" s="63"/>
    </row>
    <row r="1759" spans="1:1" x14ac:dyDescent="0.25">
      <c r="A1759" s="63"/>
    </row>
    <row r="1760" spans="1:1" x14ac:dyDescent="0.25">
      <c r="A1760" s="63"/>
    </row>
    <row r="1761" spans="1:1" x14ac:dyDescent="0.25">
      <c r="A1761" s="63"/>
    </row>
    <row r="1762" spans="1:1" x14ac:dyDescent="0.25">
      <c r="A1762" s="63"/>
    </row>
    <row r="1763" spans="1:1" x14ac:dyDescent="0.25">
      <c r="A1763" s="63"/>
    </row>
    <row r="1764" spans="1:1" x14ac:dyDescent="0.25">
      <c r="A1764" s="63"/>
    </row>
    <row r="1765" spans="1:1" x14ac:dyDescent="0.25">
      <c r="A1765" s="63"/>
    </row>
    <row r="1766" spans="1:1" x14ac:dyDescent="0.25">
      <c r="A1766" s="63"/>
    </row>
    <row r="1767" spans="1:1" x14ac:dyDescent="0.25">
      <c r="A1767" s="63"/>
    </row>
    <row r="1768" spans="1:1" x14ac:dyDescent="0.25">
      <c r="A1768" s="63"/>
    </row>
    <row r="1769" spans="1:1" x14ac:dyDescent="0.25">
      <c r="A1769" s="63"/>
    </row>
    <row r="1770" spans="1:1" x14ac:dyDescent="0.25">
      <c r="A1770" s="63"/>
    </row>
    <row r="1771" spans="1:1" x14ac:dyDescent="0.25">
      <c r="A1771" s="63"/>
    </row>
    <row r="1772" spans="1:1" x14ac:dyDescent="0.25">
      <c r="A1772" s="63"/>
    </row>
    <row r="1773" spans="1:1" x14ac:dyDescent="0.25">
      <c r="A1773" s="63"/>
    </row>
    <row r="1774" spans="1:1" x14ac:dyDescent="0.25">
      <c r="A1774" s="63"/>
    </row>
    <row r="1775" spans="1:1" x14ac:dyDescent="0.25">
      <c r="A1775" s="63"/>
    </row>
    <row r="1776" spans="1:1" x14ac:dyDescent="0.25">
      <c r="A1776" s="63"/>
    </row>
    <row r="1777" spans="1:1" x14ac:dyDescent="0.25">
      <c r="A1777" s="63"/>
    </row>
    <row r="1778" spans="1:1" x14ac:dyDescent="0.25">
      <c r="A1778" s="63"/>
    </row>
    <row r="1779" spans="1:1" x14ac:dyDescent="0.25">
      <c r="A1779" s="63"/>
    </row>
    <row r="1780" spans="1:1" x14ac:dyDescent="0.25">
      <c r="A1780" s="63"/>
    </row>
    <row r="1781" spans="1:1" x14ac:dyDescent="0.25">
      <c r="A1781" s="63"/>
    </row>
    <row r="1782" spans="1:1" x14ac:dyDescent="0.25">
      <c r="A1782" s="63"/>
    </row>
    <row r="1783" spans="1:1" x14ac:dyDescent="0.25">
      <c r="A1783" s="63"/>
    </row>
    <row r="1784" spans="1:1" x14ac:dyDescent="0.25">
      <c r="A1784" s="63"/>
    </row>
    <row r="1785" spans="1:1" x14ac:dyDescent="0.25">
      <c r="A1785" s="63"/>
    </row>
    <row r="1786" spans="1:1" x14ac:dyDescent="0.25">
      <c r="A1786" s="63"/>
    </row>
    <row r="1787" spans="1:1" x14ac:dyDescent="0.25">
      <c r="A1787" s="63"/>
    </row>
    <row r="1788" spans="1:1" x14ac:dyDescent="0.25">
      <c r="A1788" s="63"/>
    </row>
    <row r="1789" spans="1:1" x14ac:dyDescent="0.25">
      <c r="A1789" s="63"/>
    </row>
    <row r="1790" spans="1:1" x14ac:dyDescent="0.25">
      <c r="A1790" s="63"/>
    </row>
    <row r="1791" spans="1:1" x14ac:dyDescent="0.25">
      <c r="A1791" s="63"/>
    </row>
    <row r="1792" spans="1:1" x14ac:dyDescent="0.25">
      <c r="A1792" s="63"/>
    </row>
    <row r="1793" spans="1:1" x14ac:dyDescent="0.25">
      <c r="A1793" s="63"/>
    </row>
    <row r="1794" spans="1:1" x14ac:dyDescent="0.25">
      <c r="A1794" s="63"/>
    </row>
    <row r="1795" spans="1:1" x14ac:dyDescent="0.25">
      <c r="A1795" s="63"/>
    </row>
    <row r="1796" spans="1:1" x14ac:dyDescent="0.25">
      <c r="A1796" s="63"/>
    </row>
    <row r="1797" spans="1:1" x14ac:dyDescent="0.25">
      <c r="A1797" s="63"/>
    </row>
    <row r="1798" spans="1:1" x14ac:dyDescent="0.25">
      <c r="A1798" s="63"/>
    </row>
    <row r="1799" spans="1:1" x14ac:dyDescent="0.25">
      <c r="A1799" s="63"/>
    </row>
    <row r="1800" spans="1:1" x14ac:dyDescent="0.25">
      <c r="A1800" s="63"/>
    </row>
    <row r="1801" spans="1:1" x14ac:dyDescent="0.25">
      <c r="A1801" s="63"/>
    </row>
    <row r="1802" spans="1:1" x14ac:dyDescent="0.25">
      <c r="A1802" s="63"/>
    </row>
    <row r="1803" spans="1:1" x14ac:dyDescent="0.25">
      <c r="A1803" s="63"/>
    </row>
    <row r="1804" spans="1:1" x14ac:dyDescent="0.25">
      <c r="A1804" s="63"/>
    </row>
    <row r="1805" spans="1:1" x14ac:dyDescent="0.25">
      <c r="A1805" s="63"/>
    </row>
    <row r="1806" spans="1:1" x14ac:dyDescent="0.25">
      <c r="A1806" s="63"/>
    </row>
    <row r="1807" spans="1:1" x14ac:dyDescent="0.25">
      <c r="A1807" s="63"/>
    </row>
    <row r="1808" spans="1:1" x14ac:dyDescent="0.25">
      <c r="A1808" s="63"/>
    </row>
    <row r="1809" spans="1:1" x14ac:dyDescent="0.25">
      <c r="A1809" s="63"/>
    </row>
    <row r="1810" spans="1:1" x14ac:dyDescent="0.25">
      <c r="A1810" s="63"/>
    </row>
    <row r="1811" spans="1:1" x14ac:dyDescent="0.25">
      <c r="A1811" s="63"/>
    </row>
    <row r="1812" spans="1:1" x14ac:dyDescent="0.25">
      <c r="A1812" s="63"/>
    </row>
    <row r="1813" spans="1:1" x14ac:dyDescent="0.25">
      <c r="A1813" s="63"/>
    </row>
    <row r="1814" spans="1:1" x14ac:dyDescent="0.25">
      <c r="A1814" s="63"/>
    </row>
    <row r="1815" spans="1:1" x14ac:dyDescent="0.25">
      <c r="A1815" s="63"/>
    </row>
    <row r="1816" spans="1:1" x14ac:dyDescent="0.25">
      <c r="A1816" s="63"/>
    </row>
    <row r="1817" spans="1:1" x14ac:dyDescent="0.25">
      <c r="A1817" s="63"/>
    </row>
    <row r="1818" spans="1:1" x14ac:dyDescent="0.25">
      <c r="A1818" s="63"/>
    </row>
    <row r="1819" spans="1:1" x14ac:dyDescent="0.25">
      <c r="A1819" s="63"/>
    </row>
    <row r="1820" spans="1:1" x14ac:dyDescent="0.25">
      <c r="A1820" s="63"/>
    </row>
    <row r="1821" spans="1:1" x14ac:dyDescent="0.25">
      <c r="A1821" s="63"/>
    </row>
    <row r="1822" spans="1:1" x14ac:dyDescent="0.25">
      <c r="A1822" s="63"/>
    </row>
    <row r="1823" spans="1:1" x14ac:dyDescent="0.25">
      <c r="A1823" s="63"/>
    </row>
    <row r="1824" spans="1:1" x14ac:dyDescent="0.25">
      <c r="A1824" s="63"/>
    </row>
    <row r="1825" spans="1:1" x14ac:dyDescent="0.25">
      <c r="A1825" s="63"/>
    </row>
    <row r="1826" spans="1:1" x14ac:dyDescent="0.25">
      <c r="A1826" s="63"/>
    </row>
    <row r="1827" spans="1:1" x14ac:dyDescent="0.25">
      <c r="A1827" s="63"/>
    </row>
    <row r="1828" spans="1:1" x14ac:dyDescent="0.25">
      <c r="A1828" s="63"/>
    </row>
    <row r="1829" spans="1:1" x14ac:dyDescent="0.25">
      <c r="A1829" s="63"/>
    </row>
    <row r="1830" spans="1:1" x14ac:dyDescent="0.25">
      <c r="A1830" s="63"/>
    </row>
    <row r="1831" spans="1:1" x14ac:dyDescent="0.25">
      <c r="A1831" s="63"/>
    </row>
    <row r="1832" spans="1:1" x14ac:dyDescent="0.25">
      <c r="A1832" s="63"/>
    </row>
    <row r="1833" spans="1:1" x14ac:dyDescent="0.25">
      <c r="A1833" s="63"/>
    </row>
    <row r="1834" spans="1:1" x14ac:dyDescent="0.25">
      <c r="A1834" s="63"/>
    </row>
    <row r="1835" spans="1:1" x14ac:dyDescent="0.25">
      <c r="A1835" s="63"/>
    </row>
    <row r="1836" spans="1:1" x14ac:dyDescent="0.25">
      <c r="A1836" s="63"/>
    </row>
    <row r="1837" spans="1:1" x14ac:dyDescent="0.25">
      <c r="A1837" s="63"/>
    </row>
    <row r="1838" spans="1:1" x14ac:dyDescent="0.25">
      <c r="A1838" s="63"/>
    </row>
    <row r="1839" spans="1:1" x14ac:dyDescent="0.25">
      <c r="A1839" s="63"/>
    </row>
    <row r="1840" spans="1:1" x14ac:dyDescent="0.25">
      <c r="A1840" s="63"/>
    </row>
    <row r="1841" spans="1:1" x14ac:dyDescent="0.25">
      <c r="A1841" s="63"/>
    </row>
    <row r="1842" spans="1:1" x14ac:dyDescent="0.25">
      <c r="A1842" s="63"/>
    </row>
    <row r="1843" spans="1:1" x14ac:dyDescent="0.25">
      <c r="A1843" s="63"/>
    </row>
    <row r="1844" spans="1:1" x14ac:dyDescent="0.25">
      <c r="A1844" s="63"/>
    </row>
    <row r="1845" spans="1:1" x14ac:dyDescent="0.25">
      <c r="A1845" s="63"/>
    </row>
    <row r="1846" spans="1:1" x14ac:dyDescent="0.25">
      <c r="A1846" s="63"/>
    </row>
    <row r="1847" spans="1:1" x14ac:dyDescent="0.25">
      <c r="A1847" s="63"/>
    </row>
    <row r="1848" spans="1:1" x14ac:dyDescent="0.25">
      <c r="A1848" s="63"/>
    </row>
    <row r="1849" spans="1:1" x14ac:dyDescent="0.25">
      <c r="A1849" s="63"/>
    </row>
    <row r="1850" spans="1:1" x14ac:dyDescent="0.25">
      <c r="A1850" s="63"/>
    </row>
    <row r="1851" spans="1:1" x14ac:dyDescent="0.25">
      <c r="A1851" s="63"/>
    </row>
    <row r="1852" spans="1:1" x14ac:dyDescent="0.25">
      <c r="A1852" s="63"/>
    </row>
    <row r="1853" spans="1:1" x14ac:dyDescent="0.25">
      <c r="A1853" s="63"/>
    </row>
    <row r="1854" spans="1:1" x14ac:dyDescent="0.25">
      <c r="A1854" s="63"/>
    </row>
    <row r="1855" spans="1:1" x14ac:dyDescent="0.25">
      <c r="A1855" s="63"/>
    </row>
    <row r="1856" spans="1:1" x14ac:dyDescent="0.25">
      <c r="A1856" s="63"/>
    </row>
    <row r="1857" spans="1:1" x14ac:dyDescent="0.25">
      <c r="A1857" s="63"/>
    </row>
    <row r="1858" spans="1:1" x14ac:dyDescent="0.25">
      <c r="A1858" s="63"/>
    </row>
    <row r="1859" spans="1:1" x14ac:dyDescent="0.25">
      <c r="A1859" s="63"/>
    </row>
    <row r="1860" spans="1:1" x14ac:dyDescent="0.25">
      <c r="A1860" s="63"/>
    </row>
    <row r="1861" spans="1:1" x14ac:dyDescent="0.25">
      <c r="A1861" s="63"/>
    </row>
    <row r="1862" spans="1:1" x14ac:dyDescent="0.25">
      <c r="A1862" s="63"/>
    </row>
    <row r="1863" spans="1:1" x14ac:dyDescent="0.25">
      <c r="A1863" s="63"/>
    </row>
    <row r="1864" spans="1:1" x14ac:dyDescent="0.25">
      <c r="A1864" s="63"/>
    </row>
    <row r="1865" spans="1:1" x14ac:dyDescent="0.25">
      <c r="A1865" s="63"/>
    </row>
    <row r="1866" spans="1:1" x14ac:dyDescent="0.25">
      <c r="A1866" s="63"/>
    </row>
    <row r="1867" spans="1:1" x14ac:dyDescent="0.25">
      <c r="A1867" s="63"/>
    </row>
    <row r="1868" spans="1:1" x14ac:dyDescent="0.25">
      <c r="A1868" s="63"/>
    </row>
    <row r="1869" spans="1:1" x14ac:dyDescent="0.25">
      <c r="A1869" s="63"/>
    </row>
    <row r="1870" spans="1:1" x14ac:dyDescent="0.25">
      <c r="A1870" s="63"/>
    </row>
    <row r="1871" spans="1:1" x14ac:dyDescent="0.25">
      <c r="A1871" s="63"/>
    </row>
    <row r="1872" spans="1:1" x14ac:dyDescent="0.25">
      <c r="A1872" s="63"/>
    </row>
    <row r="1873" spans="1:1" x14ac:dyDescent="0.25">
      <c r="A1873" s="63"/>
    </row>
    <row r="1874" spans="1:1" x14ac:dyDescent="0.25">
      <c r="A1874" s="63"/>
    </row>
    <row r="1875" spans="1:1" x14ac:dyDescent="0.25">
      <c r="A1875" s="63"/>
    </row>
    <row r="1876" spans="1:1" x14ac:dyDescent="0.25">
      <c r="A1876" s="63"/>
    </row>
    <row r="1877" spans="1:1" x14ac:dyDescent="0.25">
      <c r="A1877" s="63"/>
    </row>
    <row r="1878" spans="1:1" x14ac:dyDescent="0.25">
      <c r="A1878" s="63"/>
    </row>
    <row r="1879" spans="1:1" x14ac:dyDescent="0.25">
      <c r="A1879" s="63"/>
    </row>
    <row r="1880" spans="1:1" x14ac:dyDescent="0.25">
      <c r="A1880" s="63"/>
    </row>
    <row r="1881" spans="1:1" x14ac:dyDescent="0.25">
      <c r="A1881" s="63"/>
    </row>
    <row r="1882" spans="1:1" x14ac:dyDescent="0.25">
      <c r="A1882" s="63"/>
    </row>
    <row r="1883" spans="1:1" x14ac:dyDescent="0.25">
      <c r="A1883" s="63"/>
    </row>
    <row r="1884" spans="1:1" x14ac:dyDescent="0.25">
      <c r="A1884" s="63"/>
    </row>
    <row r="1885" spans="1:1" x14ac:dyDescent="0.25">
      <c r="A1885" s="63"/>
    </row>
    <row r="1886" spans="1:1" x14ac:dyDescent="0.25">
      <c r="A1886" s="63"/>
    </row>
    <row r="1887" spans="1:1" x14ac:dyDescent="0.25">
      <c r="A1887" s="63"/>
    </row>
    <row r="1888" spans="1:1" x14ac:dyDescent="0.25">
      <c r="A1888" s="63"/>
    </row>
    <row r="1889" spans="1:1" x14ac:dyDescent="0.25">
      <c r="A1889" s="63"/>
    </row>
    <row r="1890" spans="1:1" x14ac:dyDescent="0.25">
      <c r="A1890" s="63"/>
    </row>
    <row r="1891" spans="1:1" x14ac:dyDescent="0.25">
      <c r="A1891" s="63"/>
    </row>
    <row r="1892" spans="1:1" x14ac:dyDescent="0.25">
      <c r="A1892" s="63"/>
    </row>
    <row r="1893" spans="1:1" x14ac:dyDescent="0.25">
      <c r="A1893" s="63"/>
    </row>
    <row r="1894" spans="1:1" x14ac:dyDescent="0.25">
      <c r="A1894" s="63"/>
    </row>
    <row r="1895" spans="1:1" x14ac:dyDescent="0.25">
      <c r="A1895" s="63"/>
    </row>
    <row r="1896" spans="1:1" x14ac:dyDescent="0.25">
      <c r="A1896" s="63"/>
    </row>
    <row r="1897" spans="1:1" x14ac:dyDescent="0.25">
      <c r="A1897" s="63"/>
    </row>
    <row r="1898" spans="1:1" x14ac:dyDescent="0.25">
      <c r="A1898" s="63"/>
    </row>
    <row r="1899" spans="1:1" x14ac:dyDescent="0.25">
      <c r="A1899" s="63"/>
    </row>
    <row r="1900" spans="1:1" x14ac:dyDescent="0.25">
      <c r="A1900" s="63"/>
    </row>
    <row r="1901" spans="1:1" x14ac:dyDescent="0.25">
      <c r="A1901" s="63"/>
    </row>
    <row r="1902" spans="1:1" x14ac:dyDescent="0.25">
      <c r="A1902" s="63"/>
    </row>
    <row r="1903" spans="1:1" x14ac:dyDescent="0.25">
      <c r="A1903" s="63"/>
    </row>
    <row r="1904" spans="1:1" x14ac:dyDescent="0.25">
      <c r="A1904" s="63"/>
    </row>
    <row r="1905" spans="1:1" x14ac:dyDescent="0.25">
      <c r="A1905" s="63"/>
    </row>
    <row r="1906" spans="1:1" x14ac:dyDescent="0.25">
      <c r="A1906" s="63"/>
    </row>
    <row r="1907" spans="1:1" x14ac:dyDescent="0.25">
      <c r="A1907" s="63"/>
    </row>
    <row r="1908" spans="1:1" x14ac:dyDescent="0.25">
      <c r="A1908" s="63"/>
    </row>
    <row r="1909" spans="1:1" x14ac:dyDescent="0.25">
      <c r="A1909" s="63"/>
    </row>
    <row r="1910" spans="1:1" x14ac:dyDescent="0.25">
      <c r="A1910" s="63"/>
    </row>
    <row r="1911" spans="1:1" x14ac:dyDescent="0.25">
      <c r="A1911" s="63"/>
    </row>
    <row r="1912" spans="1:1" x14ac:dyDescent="0.25">
      <c r="A1912" s="63"/>
    </row>
    <row r="1913" spans="1:1" x14ac:dyDescent="0.25">
      <c r="A1913" s="63"/>
    </row>
    <row r="1914" spans="1:1" x14ac:dyDescent="0.25">
      <c r="A1914" s="63"/>
    </row>
    <row r="1915" spans="1:1" x14ac:dyDescent="0.25">
      <c r="A1915" s="63"/>
    </row>
    <row r="1916" spans="1:1" x14ac:dyDescent="0.25">
      <c r="A1916" s="63"/>
    </row>
    <row r="1917" spans="1:1" x14ac:dyDescent="0.25">
      <c r="A1917" s="63"/>
    </row>
    <row r="1918" spans="1:1" x14ac:dyDescent="0.25">
      <c r="A1918" s="63"/>
    </row>
    <row r="1919" spans="1:1" x14ac:dyDescent="0.25">
      <c r="A1919" s="63"/>
    </row>
    <row r="1920" spans="1:1" x14ac:dyDescent="0.25">
      <c r="A1920" s="63"/>
    </row>
    <row r="1921" spans="1:1" x14ac:dyDescent="0.25">
      <c r="A1921" s="63"/>
    </row>
    <row r="1922" spans="1:1" x14ac:dyDescent="0.25">
      <c r="A1922" s="63"/>
    </row>
    <row r="1923" spans="1:1" x14ac:dyDescent="0.25">
      <c r="A1923" s="63"/>
    </row>
    <row r="1924" spans="1:1" x14ac:dyDescent="0.25">
      <c r="A1924" s="63"/>
    </row>
    <row r="1925" spans="1:1" x14ac:dyDescent="0.25">
      <c r="A1925" s="63"/>
    </row>
    <row r="1926" spans="1:1" x14ac:dyDescent="0.25">
      <c r="A1926" s="63"/>
    </row>
    <row r="1927" spans="1:1" x14ac:dyDescent="0.25">
      <c r="A1927" s="63"/>
    </row>
    <row r="1928" spans="1:1" x14ac:dyDescent="0.25">
      <c r="A1928" s="63"/>
    </row>
    <row r="1929" spans="1:1" x14ac:dyDescent="0.25">
      <c r="A1929" s="63"/>
    </row>
    <row r="1930" spans="1:1" x14ac:dyDescent="0.25">
      <c r="A1930" s="63"/>
    </row>
    <row r="1931" spans="1:1" x14ac:dyDescent="0.25">
      <c r="A1931" s="63"/>
    </row>
    <row r="1932" spans="1:1" x14ac:dyDescent="0.25">
      <c r="A1932" s="63"/>
    </row>
    <row r="1933" spans="1:1" x14ac:dyDescent="0.25">
      <c r="A1933" s="63"/>
    </row>
    <row r="1934" spans="1:1" x14ac:dyDescent="0.25">
      <c r="A1934" s="63"/>
    </row>
    <row r="1935" spans="1:1" x14ac:dyDescent="0.25">
      <c r="A1935" s="63"/>
    </row>
    <row r="1936" spans="1:1" x14ac:dyDescent="0.25">
      <c r="A1936" s="63"/>
    </row>
    <row r="1937" spans="1:1" x14ac:dyDescent="0.25">
      <c r="A1937" s="63"/>
    </row>
    <row r="1938" spans="1:1" x14ac:dyDescent="0.25">
      <c r="A1938" s="63"/>
    </row>
    <row r="1939" spans="1:1" x14ac:dyDescent="0.25">
      <c r="A1939" s="63"/>
    </row>
    <row r="1940" spans="1:1" x14ac:dyDescent="0.25">
      <c r="A1940" s="63"/>
    </row>
    <row r="1941" spans="1:1" x14ac:dyDescent="0.25">
      <c r="A1941" s="63"/>
    </row>
    <row r="1942" spans="1:1" x14ac:dyDescent="0.25">
      <c r="A1942" s="63"/>
    </row>
    <row r="1943" spans="1:1" x14ac:dyDescent="0.25">
      <c r="A1943" s="63"/>
    </row>
    <row r="1944" spans="1:1" x14ac:dyDescent="0.25">
      <c r="A1944" s="63"/>
    </row>
    <row r="1945" spans="1:1" x14ac:dyDescent="0.25">
      <c r="A1945" s="63"/>
    </row>
    <row r="1946" spans="1:1" x14ac:dyDescent="0.25">
      <c r="A1946" s="63"/>
    </row>
    <row r="1947" spans="1:1" x14ac:dyDescent="0.25">
      <c r="A1947" s="63"/>
    </row>
    <row r="1948" spans="1:1" x14ac:dyDescent="0.25">
      <c r="A1948" s="63"/>
    </row>
    <row r="1949" spans="1:1" x14ac:dyDescent="0.25">
      <c r="A1949" s="63"/>
    </row>
    <row r="1950" spans="1:1" x14ac:dyDescent="0.25">
      <c r="A1950" s="63"/>
    </row>
    <row r="1951" spans="1:1" x14ac:dyDescent="0.25">
      <c r="A1951" s="63"/>
    </row>
    <row r="1952" spans="1:1" x14ac:dyDescent="0.25">
      <c r="A1952" s="63"/>
    </row>
    <row r="1953" spans="1:1" x14ac:dyDescent="0.25">
      <c r="A1953" s="63"/>
    </row>
    <row r="1954" spans="1:1" x14ac:dyDescent="0.25">
      <c r="A1954" s="63"/>
    </row>
    <row r="1955" spans="1:1" x14ac:dyDescent="0.25">
      <c r="A1955" s="63"/>
    </row>
    <row r="1956" spans="1:1" x14ac:dyDescent="0.25">
      <c r="A1956" s="63"/>
    </row>
    <row r="1957" spans="1:1" x14ac:dyDescent="0.25">
      <c r="A1957" s="63"/>
    </row>
    <row r="1958" spans="1:1" x14ac:dyDescent="0.25">
      <c r="A1958" s="63"/>
    </row>
    <row r="1959" spans="1:1" x14ac:dyDescent="0.25">
      <c r="A1959" s="63"/>
    </row>
    <row r="1960" spans="1:1" x14ac:dyDescent="0.25">
      <c r="A1960" s="63"/>
    </row>
    <row r="1961" spans="1:1" x14ac:dyDescent="0.25">
      <c r="A1961" s="63"/>
    </row>
    <row r="1962" spans="1:1" x14ac:dyDescent="0.25">
      <c r="A1962" s="63"/>
    </row>
    <row r="1963" spans="1:1" x14ac:dyDescent="0.25">
      <c r="A1963" s="63"/>
    </row>
    <row r="1964" spans="1:1" x14ac:dyDescent="0.25">
      <c r="A1964" s="63"/>
    </row>
    <row r="1965" spans="1:1" x14ac:dyDescent="0.25">
      <c r="A1965" s="63"/>
    </row>
    <row r="1966" spans="1:1" x14ac:dyDescent="0.25">
      <c r="A1966" s="63"/>
    </row>
    <row r="1967" spans="1:1" x14ac:dyDescent="0.25">
      <c r="A1967" s="63"/>
    </row>
    <row r="1968" spans="1:1" x14ac:dyDescent="0.25">
      <c r="A1968" s="63"/>
    </row>
    <row r="1969" spans="1:1" x14ac:dyDescent="0.25">
      <c r="A1969" s="63"/>
    </row>
    <row r="1970" spans="1:1" x14ac:dyDescent="0.25">
      <c r="A1970" s="63"/>
    </row>
    <row r="1971" spans="1:1" x14ac:dyDescent="0.25">
      <c r="A1971" s="63"/>
    </row>
    <row r="1972" spans="1:1" x14ac:dyDescent="0.25">
      <c r="A1972" s="63"/>
    </row>
    <row r="1973" spans="1:1" x14ac:dyDescent="0.25">
      <c r="A1973" s="63"/>
    </row>
    <row r="1974" spans="1:1" x14ac:dyDescent="0.25">
      <c r="A1974" s="63"/>
    </row>
    <row r="1975" spans="1:1" x14ac:dyDescent="0.25">
      <c r="A1975" s="63"/>
    </row>
    <row r="1976" spans="1:1" x14ac:dyDescent="0.25">
      <c r="A1976" s="63"/>
    </row>
    <row r="1977" spans="1:1" x14ac:dyDescent="0.25">
      <c r="A1977" s="63"/>
    </row>
    <row r="1978" spans="1:1" x14ac:dyDescent="0.25">
      <c r="A1978" s="63"/>
    </row>
    <row r="1979" spans="1:1" x14ac:dyDescent="0.25">
      <c r="A1979" s="63"/>
    </row>
    <row r="1980" spans="1:1" x14ac:dyDescent="0.25">
      <c r="A1980" s="63"/>
    </row>
    <row r="1981" spans="1:1" x14ac:dyDescent="0.25">
      <c r="A1981" s="63"/>
    </row>
    <row r="1982" spans="1:1" x14ac:dyDescent="0.25">
      <c r="A1982" s="63"/>
    </row>
    <row r="1983" spans="1:1" x14ac:dyDescent="0.25">
      <c r="A1983" s="63"/>
    </row>
    <row r="1984" spans="1:1" x14ac:dyDescent="0.25">
      <c r="A1984" s="63"/>
    </row>
    <row r="1985" spans="1:1" x14ac:dyDescent="0.25">
      <c r="A1985" s="63"/>
    </row>
    <row r="1986" spans="1:1" x14ac:dyDescent="0.25">
      <c r="A1986" s="63"/>
    </row>
    <row r="1987" spans="1:1" x14ac:dyDescent="0.25">
      <c r="A1987" s="63"/>
    </row>
    <row r="1988" spans="1:1" x14ac:dyDescent="0.25">
      <c r="A1988" s="63"/>
    </row>
    <row r="1989" spans="1:1" x14ac:dyDescent="0.25">
      <c r="A1989" s="63"/>
    </row>
    <row r="1990" spans="1:1" x14ac:dyDescent="0.25">
      <c r="A1990" s="63"/>
    </row>
    <row r="1991" spans="1:1" x14ac:dyDescent="0.25">
      <c r="A1991" s="63"/>
    </row>
    <row r="1992" spans="1:1" x14ac:dyDescent="0.25">
      <c r="A1992" s="63"/>
    </row>
    <row r="1993" spans="1:1" x14ac:dyDescent="0.25">
      <c r="A1993" s="63"/>
    </row>
    <row r="1994" spans="1:1" x14ac:dyDescent="0.25">
      <c r="A1994" s="63"/>
    </row>
    <row r="1995" spans="1:1" x14ac:dyDescent="0.25">
      <c r="A1995" s="63"/>
    </row>
    <row r="1996" spans="1:1" x14ac:dyDescent="0.25">
      <c r="A1996" s="63"/>
    </row>
    <row r="1997" spans="1:1" x14ac:dyDescent="0.25">
      <c r="A1997" s="63"/>
    </row>
    <row r="1998" spans="1:1" x14ac:dyDescent="0.25">
      <c r="A1998" s="63"/>
    </row>
    <row r="1999" spans="1:1" x14ac:dyDescent="0.25">
      <c r="A1999" s="63"/>
    </row>
    <row r="2000" spans="1:1" x14ac:dyDescent="0.25">
      <c r="A2000" s="63"/>
    </row>
    <row r="2001" spans="1:1" x14ac:dyDescent="0.25">
      <c r="A2001" s="63"/>
    </row>
    <row r="2002" spans="1:1" x14ac:dyDescent="0.25">
      <c r="A2002" s="63"/>
    </row>
    <row r="2003" spans="1:1" x14ac:dyDescent="0.25">
      <c r="A2003" s="63"/>
    </row>
    <row r="2004" spans="1:1" x14ac:dyDescent="0.25">
      <c r="A2004" s="63"/>
    </row>
    <row r="2005" spans="1:1" x14ac:dyDescent="0.25">
      <c r="A2005" s="63"/>
    </row>
    <row r="2006" spans="1:1" x14ac:dyDescent="0.25">
      <c r="A2006" s="63"/>
    </row>
    <row r="2007" spans="1:1" x14ac:dyDescent="0.25">
      <c r="A2007" s="63"/>
    </row>
    <row r="2008" spans="1:1" x14ac:dyDescent="0.25">
      <c r="A2008" s="63"/>
    </row>
    <row r="2009" spans="1:1" x14ac:dyDescent="0.25">
      <c r="A2009" s="63"/>
    </row>
    <row r="2010" spans="1:1" x14ac:dyDescent="0.25">
      <c r="A2010" s="63"/>
    </row>
    <row r="2011" spans="1:1" x14ac:dyDescent="0.25">
      <c r="A2011" s="63"/>
    </row>
    <row r="2012" spans="1:1" x14ac:dyDescent="0.25">
      <c r="A2012" s="63"/>
    </row>
    <row r="2013" spans="1:1" x14ac:dyDescent="0.25">
      <c r="A2013" s="63"/>
    </row>
    <row r="2014" spans="1:1" x14ac:dyDescent="0.25">
      <c r="A2014" s="63"/>
    </row>
    <row r="2015" spans="1:1" x14ac:dyDescent="0.25">
      <c r="A2015" s="63"/>
    </row>
    <row r="2016" spans="1:1" x14ac:dyDescent="0.25">
      <c r="A2016" s="63"/>
    </row>
    <row r="2017" spans="1:1" x14ac:dyDescent="0.25">
      <c r="A2017" s="63"/>
    </row>
    <row r="2018" spans="1:1" x14ac:dyDescent="0.25">
      <c r="A2018" s="63"/>
    </row>
    <row r="2019" spans="1:1" x14ac:dyDescent="0.25">
      <c r="A2019" s="63"/>
    </row>
    <row r="2020" spans="1:1" x14ac:dyDescent="0.25">
      <c r="A2020" s="63"/>
    </row>
    <row r="2021" spans="1:1" x14ac:dyDescent="0.25">
      <c r="A2021" s="63"/>
    </row>
    <row r="2022" spans="1:1" x14ac:dyDescent="0.25">
      <c r="A2022" s="63"/>
    </row>
    <row r="2023" spans="1:1" x14ac:dyDescent="0.25">
      <c r="A2023" s="63"/>
    </row>
    <row r="2024" spans="1:1" x14ac:dyDescent="0.25">
      <c r="A2024" s="63"/>
    </row>
    <row r="2025" spans="1:1" x14ac:dyDescent="0.25">
      <c r="A2025" s="63"/>
    </row>
    <row r="2026" spans="1:1" x14ac:dyDescent="0.25">
      <c r="A2026" s="63"/>
    </row>
    <row r="2027" spans="1:1" x14ac:dyDescent="0.25">
      <c r="A2027" s="63"/>
    </row>
    <row r="2028" spans="1:1" x14ac:dyDescent="0.25">
      <c r="A2028" s="63"/>
    </row>
    <row r="2029" spans="1:1" x14ac:dyDescent="0.25">
      <c r="A2029" s="63"/>
    </row>
    <row r="2030" spans="1:1" x14ac:dyDescent="0.25">
      <c r="A2030" s="63"/>
    </row>
    <row r="2031" spans="1:1" x14ac:dyDescent="0.25">
      <c r="A2031" s="63"/>
    </row>
    <row r="2032" spans="1:1" x14ac:dyDescent="0.25">
      <c r="A2032" s="63"/>
    </row>
    <row r="2033" spans="1:1" x14ac:dyDescent="0.25">
      <c r="A2033" s="63"/>
    </row>
    <row r="2034" spans="1:1" x14ac:dyDescent="0.25">
      <c r="A2034" s="63"/>
    </row>
    <row r="2035" spans="1:1" x14ac:dyDescent="0.25">
      <c r="A2035" s="63"/>
    </row>
    <row r="2036" spans="1:1" x14ac:dyDescent="0.25">
      <c r="A2036" s="63"/>
    </row>
    <row r="2037" spans="1:1" x14ac:dyDescent="0.25">
      <c r="A2037" s="63"/>
    </row>
    <row r="2038" spans="1:1" x14ac:dyDescent="0.25">
      <c r="A2038" s="63"/>
    </row>
    <row r="2039" spans="1:1" x14ac:dyDescent="0.25">
      <c r="A2039" s="63"/>
    </row>
    <row r="2040" spans="1:1" x14ac:dyDescent="0.25">
      <c r="A2040" s="63"/>
    </row>
    <row r="2041" spans="1:1" x14ac:dyDescent="0.25">
      <c r="A2041" s="63"/>
    </row>
    <row r="2042" spans="1:1" x14ac:dyDescent="0.25">
      <c r="A2042" s="63"/>
    </row>
    <row r="2043" spans="1:1" x14ac:dyDescent="0.25">
      <c r="A2043" s="63"/>
    </row>
    <row r="2044" spans="1:1" x14ac:dyDescent="0.25">
      <c r="A2044" s="63"/>
    </row>
    <row r="2045" spans="1:1" x14ac:dyDescent="0.25">
      <c r="A2045" s="63"/>
    </row>
    <row r="2046" spans="1:1" x14ac:dyDescent="0.25">
      <c r="A2046" s="63"/>
    </row>
    <row r="2047" spans="1:1" x14ac:dyDescent="0.25">
      <c r="A2047" s="63"/>
    </row>
    <row r="2048" spans="1:1" x14ac:dyDescent="0.25">
      <c r="A2048" s="63"/>
    </row>
    <row r="2049" spans="1:1" x14ac:dyDescent="0.25">
      <c r="A2049" s="63"/>
    </row>
    <row r="2050" spans="1:1" x14ac:dyDescent="0.25">
      <c r="A2050" s="63"/>
    </row>
    <row r="2051" spans="1:1" x14ac:dyDescent="0.25">
      <c r="A2051" s="63"/>
    </row>
    <row r="2052" spans="1:1" x14ac:dyDescent="0.25">
      <c r="A2052" s="63"/>
    </row>
    <row r="2053" spans="1:1" x14ac:dyDescent="0.25">
      <c r="A2053" s="63"/>
    </row>
    <row r="2054" spans="1:1" x14ac:dyDescent="0.25">
      <c r="A2054" s="63"/>
    </row>
    <row r="2055" spans="1:1" x14ac:dyDescent="0.25">
      <c r="A2055" s="63"/>
    </row>
    <row r="2056" spans="1:1" x14ac:dyDescent="0.25">
      <c r="A2056" s="63"/>
    </row>
    <row r="2057" spans="1:1" x14ac:dyDescent="0.25">
      <c r="A2057" s="63"/>
    </row>
    <row r="2058" spans="1:1" x14ac:dyDescent="0.25">
      <c r="A2058" s="63"/>
    </row>
    <row r="2059" spans="1:1" x14ac:dyDescent="0.25">
      <c r="A2059" s="63"/>
    </row>
    <row r="2060" spans="1:1" x14ac:dyDescent="0.25">
      <c r="A2060" s="63"/>
    </row>
    <row r="2061" spans="1:1" x14ac:dyDescent="0.25">
      <c r="A2061" s="63"/>
    </row>
    <row r="2062" spans="1:1" x14ac:dyDescent="0.25">
      <c r="A2062" s="63"/>
    </row>
    <row r="2063" spans="1:1" x14ac:dyDescent="0.25">
      <c r="A2063" s="63"/>
    </row>
    <row r="2064" spans="1:1" x14ac:dyDescent="0.25">
      <c r="A2064" s="63"/>
    </row>
    <row r="2065" spans="1:1" x14ac:dyDescent="0.25">
      <c r="A2065" s="63"/>
    </row>
    <row r="2066" spans="1:1" x14ac:dyDescent="0.25">
      <c r="A2066" s="63"/>
    </row>
    <row r="2067" spans="1:1" x14ac:dyDescent="0.25">
      <c r="A2067" s="63"/>
    </row>
    <row r="2068" spans="1:1" x14ac:dyDescent="0.25">
      <c r="A2068" s="63"/>
    </row>
    <row r="2069" spans="1:1" x14ac:dyDescent="0.25">
      <c r="A2069" s="63"/>
    </row>
    <row r="2070" spans="1:1" x14ac:dyDescent="0.25">
      <c r="A2070" s="63"/>
    </row>
    <row r="2071" spans="1:1" x14ac:dyDescent="0.25">
      <c r="A2071" s="63"/>
    </row>
    <row r="2072" spans="1:1" x14ac:dyDescent="0.25">
      <c r="A2072" s="63"/>
    </row>
    <row r="2073" spans="1:1" x14ac:dyDescent="0.25">
      <c r="A2073" s="63"/>
    </row>
    <row r="2074" spans="1:1" x14ac:dyDescent="0.25">
      <c r="A2074" s="63"/>
    </row>
    <row r="2075" spans="1:1" x14ac:dyDescent="0.25">
      <c r="A2075" s="63"/>
    </row>
    <row r="2076" spans="1:1" x14ac:dyDescent="0.25">
      <c r="A2076" s="63"/>
    </row>
    <row r="2077" spans="1:1" x14ac:dyDescent="0.25">
      <c r="A2077" s="63"/>
    </row>
    <row r="2078" spans="1:1" x14ac:dyDescent="0.25">
      <c r="A2078" s="63"/>
    </row>
    <row r="2079" spans="1:1" x14ac:dyDescent="0.25">
      <c r="A2079" s="63"/>
    </row>
    <row r="2080" spans="1:1" x14ac:dyDescent="0.25">
      <c r="A2080" s="63"/>
    </row>
    <row r="2081" spans="1:1" x14ac:dyDescent="0.25">
      <c r="A2081" s="63"/>
    </row>
    <row r="2082" spans="1:1" x14ac:dyDescent="0.25">
      <c r="A2082" s="63"/>
    </row>
    <row r="2083" spans="1:1" x14ac:dyDescent="0.25">
      <c r="A2083" s="63"/>
    </row>
    <row r="2084" spans="1:1" x14ac:dyDescent="0.25">
      <c r="A2084" s="63"/>
    </row>
    <row r="2085" spans="1:1" x14ac:dyDescent="0.25">
      <c r="A2085" s="63"/>
    </row>
    <row r="2086" spans="1:1" x14ac:dyDescent="0.25">
      <c r="A2086" s="63"/>
    </row>
    <row r="2087" spans="1:1" x14ac:dyDescent="0.25">
      <c r="A2087" s="63"/>
    </row>
    <row r="2088" spans="1:1" x14ac:dyDescent="0.25">
      <c r="A2088" s="63"/>
    </row>
    <row r="2089" spans="1:1" x14ac:dyDescent="0.25">
      <c r="A2089" s="63"/>
    </row>
    <row r="2090" spans="1:1" x14ac:dyDescent="0.25">
      <c r="A2090" s="63"/>
    </row>
    <row r="2091" spans="1:1" x14ac:dyDescent="0.25">
      <c r="A2091" s="63"/>
    </row>
    <row r="2092" spans="1:1" x14ac:dyDescent="0.25">
      <c r="A2092" s="63"/>
    </row>
    <row r="2093" spans="1:1" x14ac:dyDescent="0.25">
      <c r="A2093" s="63"/>
    </row>
    <row r="2094" spans="1:1" x14ac:dyDescent="0.25">
      <c r="A2094" s="63"/>
    </row>
    <row r="2095" spans="1:1" x14ac:dyDescent="0.25">
      <c r="A2095" s="63"/>
    </row>
    <row r="2096" spans="1:1" x14ac:dyDescent="0.25">
      <c r="A2096" s="63"/>
    </row>
    <row r="2097" spans="1:1" x14ac:dyDescent="0.25">
      <c r="A2097" s="63"/>
    </row>
    <row r="2098" spans="1:1" x14ac:dyDescent="0.25">
      <c r="A2098" s="63"/>
    </row>
    <row r="2099" spans="1:1" x14ac:dyDescent="0.25">
      <c r="A2099" s="63"/>
    </row>
    <row r="2100" spans="1:1" x14ac:dyDescent="0.25">
      <c r="A2100" s="63"/>
    </row>
    <row r="2101" spans="1:1" x14ac:dyDescent="0.25">
      <c r="A2101" s="63"/>
    </row>
    <row r="2102" spans="1:1" x14ac:dyDescent="0.25">
      <c r="A2102" s="63"/>
    </row>
    <row r="2103" spans="1:1" x14ac:dyDescent="0.25">
      <c r="A2103" s="63"/>
    </row>
    <row r="2104" spans="1:1" x14ac:dyDescent="0.25">
      <c r="A2104" s="63"/>
    </row>
    <row r="2105" spans="1:1" x14ac:dyDescent="0.25">
      <c r="A2105" s="63"/>
    </row>
    <row r="2106" spans="1:1" x14ac:dyDescent="0.25">
      <c r="A2106" s="63"/>
    </row>
    <row r="2107" spans="1:1" x14ac:dyDescent="0.25">
      <c r="A2107" s="63"/>
    </row>
    <row r="2108" spans="1:1" x14ac:dyDescent="0.25">
      <c r="A2108" s="63"/>
    </row>
    <row r="2109" spans="1:1" x14ac:dyDescent="0.25">
      <c r="A2109" s="63"/>
    </row>
    <row r="2110" spans="1:1" x14ac:dyDescent="0.25">
      <c r="A2110" s="63"/>
    </row>
    <row r="2111" spans="1:1" x14ac:dyDescent="0.25">
      <c r="A2111" s="63"/>
    </row>
    <row r="2112" spans="1:1" x14ac:dyDescent="0.25">
      <c r="A2112" s="63"/>
    </row>
    <row r="2113" spans="1:1" x14ac:dyDescent="0.25">
      <c r="A2113" s="63"/>
    </row>
    <row r="2114" spans="1:1" x14ac:dyDescent="0.25">
      <c r="A2114" s="63"/>
    </row>
    <row r="2115" spans="1:1" x14ac:dyDescent="0.25">
      <c r="A2115" s="63"/>
    </row>
    <row r="2116" spans="1:1" x14ac:dyDescent="0.25">
      <c r="A2116" s="63"/>
    </row>
    <row r="2117" spans="1:1" x14ac:dyDescent="0.25">
      <c r="A2117" s="63"/>
    </row>
    <row r="2118" spans="1:1" x14ac:dyDescent="0.25">
      <c r="A2118" s="63"/>
    </row>
    <row r="2119" spans="1:1" x14ac:dyDescent="0.25">
      <c r="A2119" s="63"/>
    </row>
    <row r="2120" spans="1:1" x14ac:dyDescent="0.25">
      <c r="A2120" s="63"/>
    </row>
    <row r="2121" spans="1:1" x14ac:dyDescent="0.25">
      <c r="A2121" s="63"/>
    </row>
    <row r="2122" spans="1:1" x14ac:dyDescent="0.25">
      <c r="A2122" s="63"/>
    </row>
    <row r="2123" spans="1:1" x14ac:dyDescent="0.25">
      <c r="A2123" s="63"/>
    </row>
    <row r="2124" spans="1:1" x14ac:dyDescent="0.25">
      <c r="A2124" s="63"/>
    </row>
    <row r="2125" spans="1:1" x14ac:dyDescent="0.25">
      <c r="A2125" s="63"/>
    </row>
    <row r="2126" spans="1:1" x14ac:dyDescent="0.25">
      <c r="A2126" s="63"/>
    </row>
    <row r="2127" spans="1:1" x14ac:dyDescent="0.25">
      <c r="A2127" s="63"/>
    </row>
    <row r="2128" spans="1:1" x14ac:dyDescent="0.25">
      <c r="A2128" s="63"/>
    </row>
    <row r="2129" spans="1:1" x14ac:dyDescent="0.25">
      <c r="A2129" s="63"/>
    </row>
    <row r="2130" spans="1:1" x14ac:dyDescent="0.25">
      <c r="A2130" s="63"/>
    </row>
    <row r="2131" spans="1:1" x14ac:dyDescent="0.25">
      <c r="A2131" s="63"/>
    </row>
    <row r="2132" spans="1:1" x14ac:dyDescent="0.25">
      <c r="A2132" s="63"/>
    </row>
    <row r="2133" spans="1:1" x14ac:dyDescent="0.25">
      <c r="A2133" s="63"/>
    </row>
    <row r="2134" spans="1:1" x14ac:dyDescent="0.25">
      <c r="A2134" s="63"/>
    </row>
    <row r="2135" spans="1:1" x14ac:dyDescent="0.25">
      <c r="A2135" s="63"/>
    </row>
    <row r="2136" spans="1:1" x14ac:dyDescent="0.25">
      <c r="A2136" s="63"/>
    </row>
    <row r="2137" spans="1:1" x14ac:dyDescent="0.25">
      <c r="A2137" s="63"/>
    </row>
    <row r="2138" spans="1:1" x14ac:dyDescent="0.25">
      <c r="A2138" s="63"/>
    </row>
    <row r="2139" spans="1:1" x14ac:dyDescent="0.25">
      <c r="A2139" s="63"/>
    </row>
    <row r="2140" spans="1:1" x14ac:dyDescent="0.25">
      <c r="A2140" s="63"/>
    </row>
    <row r="2141" spans="1:1" x14ac:dyDescent="0.25">
      <c r="A2141" s="63"/>
    </row>
    <row r="2142" spans="1:1" x14ac:dyDescent="0.25">
      <c r="A2142" s="63"/>
    </row>
    <row r="2143" spans="1:1" x14ac:dyDescent="0.25">
      <c r="A2143" s="63"/>
    </row>
    <row r="2144" spans="1:1" x14ac:dyDescent="0.25">
      <c r="A2144" s="63"/>
    </row>
    <row r="2145" spans="1:1" x14ac:dyDescent="0.25">
      <c r="A2145" s="63"/>
    </row>
    <row r="2146" spans="1:1" x14ac:dyDescent="0.25">
      <c r="A2146" s="63"/>
    </row>
    <row r="2147" spans="1:1" x14ac:dyDescent="0.25">
      <c r="A2147" s="63"/>
    </row>
    <row r="2148" spans="1:1" x14ac:dyDescent="0.25">
      <c r="A2148" s="63"/>
    </row>
    <row r="2149" spans="1:1" x14ac:dyDescent="0.25">
      <c r="A2149" s="63"/>
    </row>
    <row r="2150" spans="1:1" x14ac:dyDescent="0.25">
      <c r="A2150" s="63"/>
    </row>
    <row r="2151" spans="1:1" x14ac:dyDescent="0.25">
      <c r="A2151" s="63"/>
    </row>
    <row r="2152" spans="1:1" x14ac:dyDescent="0.25">
      <c r="A2152" s="63"/>
    </row>
    <row r="2153" spans="1:1" x14ac:dyDescent="0.25">
      <c r="A2153" s="63"/>
    </row>
    <row r="2154" spans="1:1" x14ac:dyDescent="0.25">
      <c r="A2154" s="63"/>
    </row>
    <row r="2155" spans="1:1" x14ac:dyDescent="0.25">
      <c r="A2155" s="63"/>
    </row>
    <row r="2156" spans="1:1" x14ac:dyDescent="0.25">
      <c r="A2156" s="63"/>
    </row>
    <row r="2157" spans="1:1" x14ac:dyDescent="0.25">
      <c r="A2157" s="63"/>
    </row>
    <row r="2158" spans="1:1" x14ac:dyDescent="0.25">
      <c r="A2158" s="63"/>
    </row>
    <row r="2159" spans="1:1" x14ac:dyDescent="0.25">
      <c r="A2159" s="63"/>
    </row>
    <row r="2160" spans="1:1" x14ac:dyDescent="0.25">
      <c r="A2160" s="63"/>
    </row>
    <row r="2161" spans="1:1" x14ac:dyDescent="0.25">
      <c r="A2161" s="63"/>
    </row>
    <row r="2162" spans="1:1" x14ac:dyDescent="0.25">
      <c r="A2162" s="63"/>
    </row>
    <row r="2163" spans="1:1" x14ac:dyDescent="0.25">
      <c r="A2163" s="63"/>
    </row>
    <row r="2164" spans="1:1" x14ac:dyDescent="0.25">
      <c r="A2164" s="63"/>
    </row>
    <row r="2165" spans="1:1" x14ac:dyDescent="0.25">
      <c r="A2165" s="63"/>
    </row>
    <row r="2166" spans="1:1" x14ac:dyDescent="0.25">
      <c r="A2166" s="63"/>
    </row>
    <row r="2167" spans="1:1" x14ac:dyDescent="0.25">
      <c r="A2167" s="63"/>
    </row>
    <row r="2168" spans="1:1" x14ac:dyDescent="0.25">
      <c r="A2168" s="63"/>
    </row>
    <row r="2169" spans="1:1" x14ac:dyDescent="0.25">
      <c r="A2169" s="63"/>
    </row>
    <row r="2170" spans="1:1" x14ac:dyDescent="0.25">
      <c r="A2170" s="63"/>
    </row>
    <row r="2171" spans="1:1" x14ac:dyDescent="0.25">
      <c r="A2171" s="63"/>
    </row>
    <row r="2172" spans="1:1" x14ac:dyDescent="0.25">
      <c r="A2172" s="63"/>
    </row>
    <row r="2173" spans="1:1" x14ac:dyDescent="0.25">
      <c r="A2173" s="63"/>
    </row>
    <row r="2174" spans="1:1" x14ac:dyDescent="0.25">
      <c r="A2174" s="63"/>
    </row>
    <row r="2175" spans="1:1" x14ac:dyDescent="0.25">
      <c r="A2175" s="63"/>
    </row>
    <row r="2176" spans="1:1" x14ac:dyDescent="0.25">
      <c r="A2176" s="63"/>
    </row>
    <row r="2177" spans="1:1" x14ac:dyDescent="0.25">
      <c r="A2177" s="63"/>
    </row>
    <row r="2178" spans="1:1" x14ac:dyDescent="0.25">
      <c r="A2178" s="63"/>
    </row>
    <row r="2179" spans="1:1" x14ac:dyDescent="0.25">
      <c r="A2179" s="63"/>
    </row>
    <row r="2180" spans="1:1" x14ac:dyDescent="0.25">
      <c r="A2180" s="63"/>
    </row>
    <row r="2181" spans="1:1" x14ac:dyDescent="0.25">
      <c r="A2181" s="63"/>
    </row>
    <row r="2182" spans="1:1" x14ac:dyDescent="0.25">
      <c r="A2182" s="63"/>
    </row>
    <row r="2183" spans="1:1" x14ac:dyDescent="0.25">
      <c r="A2183" s="63"/>
    </row>
    <row r="2184" spans="1:1" x14ac:dyDescent="0.25">
      <c r="A2184" s="63"/>
    </row>
    <row r="2185" spans="1:1" x14ac:dyDescent="0.25">
      <c r="A2185" s="63"/>
    </row>
    <row r="2186" spans="1:1" x14ac:dyDescent="0.25">
      <c r="A2186" s="63"/>
    </row>
    <row r="2187" spans="1:1" x14ac:dyDescent="0.25">
      <c r="A2187" s="63"/>
    </row>
    <row r="2188" spans="1:1" x14ac:dyDescent="0.25">
      <c r="A2188" s="63"/>
    </row>
    <row r="2189" spans="1:1" x14ac:dyDescent="0.25">
      <c r="A2189" s="63"/>
    </row>
    <row r="2190" spans="1:1" x14ac:dyDescent="0.25">
      <c r="A2190" s="63"/>
    </row>
    <row r="2191" spans="1:1" x14ac:dyDescent="0.25">
      <c r="A2191" s="63"/>
    </row>
    <row r="2192" spans="1:1" x14ac:dyDescent="0.25">
      <c r="A2192" s="63"/>
    </row>
    <row r="2193" spans="1:1" x14ac:dyDescent="0.25">
      <c r="A2193" s="63"/>
    </row>
    <row r="2194" spans="1:1" x14ac:dyDescent="0.25">
      <c r="A2194" s="63"/>
    </row>
    <row r="2195" spans="1:1" x14ac:dyDescent="0.25">
      <c r="A2195" s="63"/>
    </row>
    <row r="2196" spans="1:1" x14ac:dyDescent="0.25">
      <c r="A2196" s="63"/>
    </row>
    <row r="2197" spans="1:1" x14ac:dyDescent="0.25">
      <c r="A2197" s="63"/>
    </row>
    <row r="2198" spans="1:1" x14ac:dyDescent="0.25">
      <c r="A2198" s="63"/>
    </row>
    <row r="2199" spans="1:1" x14ac:dyDescent="0.25">
      <c r="A2199" s="63"/>
    </row>
    <row r="2200" spans="1:1" x14ac:dyDescent="0.25">
      <c r="A2200" s="63"/>
    </row>
    <row r="2201" spans="1:1" x14ac:dyDescent="0.25">
      <c r="A2201" s="63"/>
    </row>
    <row r="2202" spans="1:1" x14ac:dyDescent="0.25">
      <c r="A2202" s="63"/>
    </row>
    <row r="2203" spans="1:1" x14ac:dyDescent="0.25">
      <c r="A2203" s="63"/>
    </row>
    <row r="2204" spans="1:1" x14ac:dyDescent="0.25">
      <c r="A2204" s="63"/>
    </row>
    <row r="2205" spans="1:1" x14ac:dyDescent="0.25">
      <c r="A2205" s="63"/>
    </row>
    <row r="2206" spans="1:1" x14ac:dyDescent="0.25">
      <c r="A2206" s="63"/>
    </row>
    <row r="2207" spans="1:1" x14ac:dyDescent="0.25">
      <c r="A2207" s="63"/>
    </row>
    <row r="2208" spans="1:1" x14ac:dyDescent="0.25">
      <c r="A2208" s="63"/>
    </row>
    <row r="2209" spans="1:1" x14ac:dyDescent="0.25">
      <c r="A2209" s="63"/>
    </row>
    <row r="2210" spans="1:1" x14ac:dyDescent="0.25">
      <c r="A2210" s="63"/>
    </row>
    <row r="2211" spans="1:1" x14ac:dyDescent="0.25">
      <c r="A2211" s="63"/>
    </row>
    <row r="2212" spans="1:1" x14ac:dyDescent="0.25">
      <c r="A2212" s="63"/>
    </row>
    <row r="2213" spans="1:1" x14ac:dyDescent="0.25">
      <c r="A2213" s="63"/>
    </row>
    <row r="2214" spans="1:1" x14ac:dyDescent="0.25">
      <c r="A2214" s="63"/>
    </row>
    <row r="2215" spans="1:1" x14ac:dyDescent="0.25">
      <c r="A2215" s="63"/>
    </row>
    <row r="2216" spans="1:1" x14ac:dyDescent="0.25">
      <c r="A2216" s="63"/>
    </row>
    <row r="2217" spans="1:1" x14ac:dyDescent="0.25">
      <c r="A2217" s="63"/>
    </row>
    <row r="2218" spans="1:1" x14ac:dyDescent="0.25">
      <c r="A2218" s="63"/>
    </row>
    <row r="2219" spans="1:1" x14ac:dyDescent="0.25">
      <c r="A2219" s="63"/>
    </row>
    <row r="2220" spans="1:1" x14ac:dyDescent="0.25">
      <c r="A2220" s="63"/>
    </row>
    <row r="2221" spans="1:1" x14ac:dyDescent="0.25">
      <c r="A2221" s="63"/>
    </row>
    <row r="2222" spans="1:1" x14ac:dyDescent="0.25">
      <c r="A2222" s="63"/>
    </row>
    <row r="2223" spans="1:1" x14ac:dyDescent="0.25">
      <c r="A2223" s="63"/>
    </row>
    <row r="2224" spans="1:1" x14ac:dyDescent="0.25">
      <c r="A2224" s="63"/>
    </row>
    <row r="2225" spans="1:1" x14ac:dyDescent="0.25">
      <c r="A2225" s="63"/>
    </row>
    <row r="2226" spans="1:1" x14ac:dyDescent="0.25">
      <c r="A2226" s="63"/>
    </row>
    <row r="2227" spans="1:1" x14ac:dyDescent="0.25">
      <c r="A2227" s="63"/>
    </row>
    <row r="2228" spans="1:1" x14ac:dyDescent="0.25">
      <c r="A2228" s="63"/>
    </row>
    <row r="2229" spans="1:1" x14ac:dyDescent="0.25">
      <c r="A2229" s="63"/>
    </row>
    <row r="2230" spans="1:1" x14ac:dyDescent="0.25">
      <c r="A2230" s="63"/>
    </row>
    <row r="2231" spans="1:1" x14ac:dyDescent="0.25">
      <c r="A2231" s="63"/>
    </row>
    <row r="2232" spans="1:1" x14ac:dyDescent="0.25">
      <c r="A2232" s="63"/>
    </row>
    <row r="2233" spans="1:1" x14ac:dyDescent="0.25">
      <c r="A2233" s="63"/>
    </row>
    <row r="2234" spans="1:1" x14ac:dyDescent="0.25">
      <c r="A2234" s="63"/>
    </row>
    <row r="2235" spans="1:1" x14ac:dyDescent="0.25">
      <c r="A2235" s="63"/>
    </row>
    <row r="2236" spans="1:1" x14ac:dyDescent="0.25">
      <c r="A2236" s="63"/>
    </row>
    <row r="2237" spans="1:1" x14ac:dyDescent="0.25">
      <c r="A2237" s="63"/>
    </row>
    <row r="2238" spans="1:1" x14ac:dyDescent="0.25">
      <c r="A2238" s="63"/>
    </row>
    <row r="2239" spans="1:1" x14ac:dyDescent="0.25">
      <c r="A2239" s="63"/>
    </row>
    <row r="2240" spans="1:1" x14ac:dyDescent="0.25">
      <c r="A2240" s="63"/>
    </row>
    <row r="2241" spans="1:1" x14ac:dyDescent="0.25">
      <c r="A2241" s="63"/>
    </row>
    <row r="2242" spans="1:1" x14ac:dyDescent="0.25">
      <c r="A2242" s="63"/>
    </row>
    <row r="2243" spans="1:1" x14ac:dyDescent="0.25">
      <c r="A2243" s="63"/>
    </row>
    <row r="2244" spans="1:1" x14ac:dyDescent="0.25">
      <c r="A2244" s="63"/>
    </row>
    <row r="2245" spans="1:1" x14ac:dyDescent="0.25">
      <c r="A2245" s="63"/>
    </row>
    <row r="2246" spans="1:1" x14ac:dyDescent="0.25">
      <c r="A2246" s="63"/>
    </row>
    <row r="2247" spans="1:1" x14ac:dyDescent="0.25">
      <c r="A2247" s="63"/>
    </row>
    <row r="2248" spans="1:1" x14ac:dyDescent="0.25">
      <c r="A2248" s="63"/>
    </row>
    <row r="2249" spans="1:1" x14ac:dyDescent="0.25">
      <c r="A2249" s="63"/>
    </row>
    <row r="2250" spans="1:1" x14ac:dyDescent="0.25">
      <c r="A2250" s="63"/>
    </row>
    <row r="2251" spans="1:1" x14ac:dyDescent="0.25">
      <c r="A2251" s="63"/>
    </row>
    <row r="2252" spans="1:1" x14ac:dyDescent="0.25">
      <c r="A2252" s="63"/>
    </row>
    <row r="2253" spans="1:1" x14ac:dyDescent="0.25">
      <c r="A2253" s="63"/>
    </row>
    <row r="2254" spans="1:1" x14ac:dyDescent="0.25">
      <c r="A2254" s="63"/>
    </row>
    <row r="2255" spans="1:1" x14ac:dyDescent="0.25">
      <c r="A2255" s="63"/>
    </row>
    <row r="2256" spans="1:1" x14ac:dyDescent="0.25">
      <c r="A2256" s="63"/>
    </row>
    <row r="2257" spans="1:1" x14ac:dyDescent="0.25">
      <c r="A2257" s="63"/>
    </row>
    <row r="2258" spans="1:1" x14ac:dyDescent="0.25">
      <c r="A2258" s="63"/>
    </row>
    <row r="2259" spans="1:1" x14ac:dyDescent="0.25">
      <c r="A2259" s="63"/>
    </row>
    <row r="2260" spans="1:1" x14ac:dyDescent="0.25">
      <c r="A2260" s="63"/>
    </row>
    <row r="2261" spans="1:1" x14ac:dyDescent="0.25">
      <c r="A2261" s="63"/>
    </row>
    <row r="2262" spans="1:1" x14ac:dyDescent="0.25">
      <c r="A2262" s="63"/>
    </row>
    <row r="2263" spans="1:1" x14ac:dyDescent="0.25">
      <c r="A2263" s="63"/>
    </row>
    <row r="2264" spans="1:1" x14ac:dyDescent="0.25">
      <c r="A2264" s="63"/>
    </row>
    <row r="2265" spans="1:1" x14ac:dyDescent="0.25">
      <c r="A2265" s="63"/>
    </row>
    <row r="2266" spans="1:1" x14ac:dyDescent="0.25">
      <c r="A2266" s="63"/>
    </row>
    <row r="2267" spans="1:1" x14ac:dyDescent="0.25">
      <c r="A2267" s="63"/>
    </row>
    <row r="2268" spans="1:1" x14ac:dyDescent="0.25">
      <c r="A2268" s="63"/>
    </row>
    <row r="2269" spans="1:1" x14ac:dyDescent="0.25">
      <c r="A2269" s="63"/>
    </row>
    <row r="2270" spans="1:1" x14ac:dyDescent="0.25">
      <c r="A2270" s="63"/>
    </row>
    <row r="2271" spans="1:1" x14ac:dyDescent="0.25">
      <c r="A2271" s="63"/>
    </row>
    <row r="2272" spans="1:1" x14ac:dyDescent="0.25">
      <c r="A2272" s="63"/>
    </row>
    <row r="2273" spans="1:1" x14ac:dyDescent="0.25">
      <c r="A2273" s="63"/>
    </row>
    <row r="2274" spans="1:1" x14ac:dyDescent="0.25">
      <c r="A2274" s="63"/>
    </row>
    <row r="2275" spans="1:1" x14ac:dyDescent="0.25">
      <c r="A2275" s="63"/>
    </row>
    <row r="2276" spans="1:1" x14ac:dyDescent="0.25">
      <c r="A2276" s="63"/>
    </row>
    <row r="2277" spans="1:1" x14ac:dyDescent="0.25">
      <c r="A2277" s="63"/>
    </row>
    <row r="2278" spans="1:1" x14ac:dyDescent="0.25">
      <c r="A2278" s="63"/>
    </row>
    <row r="2279" spans="1:1" x14ac:dyDescent="0.25">
      <c r="A2279" s="63"/>
    </row>
    <row r="2280" spans="1:1" x14ac:dyDescent="0.25">
      <c r="A2280" s="63"/>
    </row>
    <row r="2281" spans="1:1" x14ac:dyDescent="0.25">
      <c r="A2281" s="63"/>
    </row>
    <row r="2282" spans="1:1" x14ac:dyDescent="0.25">
      <c r="A2282" s="63"/>
    </row>
    <row r="2283" spans="1:1" x14ac:dyDescent="0.25">
      <c r="A2283" s="63"/>
    </row>
    <row r="2284" spans="1:1" x14ac:dyDescent="0.25">
      <c r="A2284" s="63"/>
    </row>
    <row r="2285" spans="1:1" x14ac:dyDescent="0.25">
      <c r="A2285" s="63"/>
    </row>
    <row r="2286" spans="1:1" x14ac:dyDescent="0.25">
      <c r="A2286" s="63"/>
    </row>
    <row r="2287" spans="1:1" x14ac:dyDescent="0.25">
      <c r="A2287" s="63"/>
    </row>
    <row r="2288" spans="1:1" x14ac:dyDescent="0.25">
      <c r="A2288" s="63"/>
    </row>
    <row r="2289" spans="1:1" x14ac:dyDescent="0.25">
      <c r="A2289" s="63"/>
    </row>
    <row r="2290" spans="1:1" x14ac:dyDescent="0.25">
      <c r="A2290" s="63"/>
    </row>
    <row r="2291" spans="1:1" x14ac:dyDescent="0.25">
      <c r="A2291" s="63"/>
    </row>
    <row r="2292" spans="1:1" x14ac:dyDescent="0.25">
      <c r="A2292" s="63"/>
    </row>
    <row r="2293" spans="1:1" x14ac:dyDescent="0.25">
      <c r="A2293" s="63"/>
    </row>
    <row r="2294" spans="1:1" x14ac:dyDescent="0.25">
      <c r="A2294" s="63"/>
    </row>
    <row r="2295" spans="1:1" x14ac:dyDescent="0.25">
      <c r="A2295" s="63"/>
    </row>
    <row r="2296" spans="1:1" x14ac:dyDescent="0.25">
      <c r="A2296" s="63"/>
    </row>
    <row r="2297" spans="1:1" x14ac:dyDescent="0.25">
      <c r="A2297" s="63"/>
    </row>
    <row r="2298" spans="1:1" x14ac:dyDescent="0.25">
      <c r="A2298" s="63"/>
    </row>
    <row r="2299" spans="1:1" x14ac:dyDescent="0.25">
      <c r="A2299" s="63"/>
    </row>
    <row r="2300" spans="1:1" x14ac:dyDescent="0.25">
      <c r="A2300" s="63"/>
    </row>
    <row r="2301" spans="1:1" x14ac:dyDescent="0.25">
      <c r="A2301" s="63"/>
    </row>
    <row r="2302" spans="1:1" x14ac:dyDescent="0.25">
      <c r="A2302" s="63"/>
    </row>
    <row r="2303" spans="1:1" x14ac:dyDescent="0.25">
      <c r="A2303" s="63"/>
    </row>
    <row r="2304" spans="1:1" x14ac:dyDescent="0.25">
      <c r="A2304" s="63"/>
    </row>
    <row r="2305" spans="1:1" x14ac:dyDescent="0.25">
      <c r="A2305" s="63"/>
    </row>
    <row r="2306" spans="1:1" x14ac:dyDescent="0.25">
      <c r="A2306" s="63"/>
    </row>
    <row r="2307" spans="1:1" x14ac:dyDescent="0.25">
      <c r="A2307" s="63"/>
    </row>
    <row r="2308" spans="1:1" x14ac:dyDescent="0.25">
      <c r="A2308" s="63"/>
    </row>
    <row r="2309" spans="1:1" x14ac:dyDescent="0.25">
      <c r="A2309" s="63"/>
    </row>
    <row r="2310" spans="1:1" x14ac:dyDescent="0.25">
      <c r="A2310" s="63"/>
    </row>
    <row r="2311" spans="1:1" x14ac:dyDescent="0.25">
      <c r="A2311" s="63"/>
    </row>
    <row r="2312" spans="1:1" x14ac:dyDescent="0.25">
      <c r="A2312" s="63"/>
    </row>
    <row r="2313" spans="1:1" x14ac:dyDescent="0.25">
      <c r="A2313" s="63"/>
    </row>
    <row r="2314" spans="1:1" x14ac:dyDescent="0.25">
      <c r="A2314" s="63"/>
    </row>
    <row r="2315" spans="1:1" x14ac:dyDescent="0.25">
      <c r="A2315" s="63"/>
    </row>
    <row r="2316" spans="1:1" x14ac:dyDescent="0.25">
      <c r="A2316" s="63"/>
    </row>
    <row r="2317" spans="1:1" x14ac:dyDescent="0.25">
      <c r="A2317" s="63"/>
    </row>
    <row r="2318" spans="1:1" x14ac:dyDescent="0.25">
      <c r="A2318" s="63"/>
    </row>
    <row r="2319" spans="1:1" x14ac:dyDescent="0.25">
      <c r="A2319" s="63"/>
    </row>
    <row r="2320" spans="1:1" x14ac:dyDescent="0.25">
      <c r="A2320" s="63"/>
    </row>
    <row r="2321" spans="1:1" x14ac:dyDescent="0.25">
      <c r="A2321" s="63"/>
    </row>
    <row r="2322" spans="1:1" x14ac:dyDescent="0.25">
      <c r="A2322" s="63"/>
    </row>
    <row r="2323" spans="1:1" x14ac:dyDescent="0.25">
      <c r="A2323" s="63"/>
    </row>
    <row r="2324" spans="1:1" x14ac:dyDescent="0.25">
      <c r="A2324" s="63"/>
    </row>
    <row r="2325" spans="1:1" x14ac:dyDescent="0.25">
      <c r="A2325" s="63"/>
    </row>
    <row r="2326" spans="1:1" x14ac:dyDescent="0.25">
      <c r="A2326" s="63"/>
    </row>
    <row r="2327" spans="1:1" x14ac:dyDescent="0.25">
      <c r="A2327" s="63"/>
    </row>
    <row r="2328" spans="1:1" x14ac:dyDescent="0.25">
      <c r="A2328" s="63"/>
    </row>
    <row r="2329" spans="1:1" x14ac:dyDescent="0.25">
      <c r="A2329" s="63"/>
    </row>
    <row r="2330" spans="1:1" x14ac:dyDescent="0.25">
      <c r="A2330" s="63"/>
    </row>
    <row r="2331" spans="1:1" x14ac:dyDescent="0.25">
      <c r="A2331" s="63"/>
    </row>
    <row r="2332" spans="1:1" x14ac:dyDescent="0.25">
      <c r="A2332" s="63"/>
    </row>
    <row r="2333" spans="1:1" x14ac:dyDescent="0.25">
      <c r="A2333" s="63"/>
    </row>
    <row r="2334" spans="1:1" x14ac:dyDescent="0.25">
      <c r="A2334" s="63"/>
    </row>
    <row r="2335" spans="1:1" x14ac:dyDescent="0.25">
      <c r="A2335" s="63"/>
    </row>
    <row r="2336" spans="1:1" x14ac:dyDescent="0.25">
      <c r="A2336" s="63"/>
    </row>
    <row r="2337" spans="1:1" x14ac:dyDescent="0.25">
      <c r="A2337" s="63"/>
    </row>
    <row r="2338" spans="1:1" x14ac:dyDescent="0.25">
      <c r="A2338" s="63"/>
    </row>
    <row r="2339" spans="1:1" x14ac:dyDescent="0.25">
      <c r="A2339" s="63"/>
    </row>
    <row r="2340" spans="1:1" x14ac:dyDescent="0.25">
      <c r="A2340" s="63"/>
    </row>
    <row r="2341" spans="1:1" x14ac:dyDescent="0.25">
      <c r="A2341" s="63"/>
    </row>
    <row r="2342" spans="1:1" x14ac:dyDescent="0.25">
      <c r="A2342" s="63"/>
    </row>
    <row r="2343" spans="1:1" x14ac:dyDescent="0.25">
      <c r="A2343" s="63"/>
    </row>
    <row r="2344" spans="1:1" x14ac:dyDescent="0.25">
      <c r="A2344" s="63"/>
    </row>
    <row r="2345" spans="1:1" x14ac:dyDescent="0.25">
      <c r="A2345" s="63"/>
    </row>
    <row r="2346" spans="1:1" x14ac:dyDescent="0.25">
      <c r="A2346" s="63"/>
    </row>
    <row r="2347" spans="1:1" x14ac:dyDescent="0.25">
      <c r="A2347" s="63"/>
    </row>
    <row r="2348" spans="1:1" x14ac:dyDescent="0.25">
      <c r="A2348" s="63"/>
    </row>
    <row r="2349" spans="1:1" x14ac:dyDescent="0.25">
      <c r="A2349" s="63"/>
    </row>
    <row r="2350" spans="1:1" x14ac:dyDescent="0.25">
      <c r="A2350" s="63"/>
    </row>
    <row r="2351" spans="1:1" x14ac:dyDescent="0.25">
      <c r="A2351" s="63"/>
    </row>
    <row r="2352" spans="1:1" x14ac:dyDescent="0.25">
      <c r="A2352" s="63"/>
    </row>
    <row r="2353" spans="1:1" x14ac:dyDescent="0.25">
      <c r="A2353" s="63"/>
    </row>
    <row r="2354" spans="1:1" x14ac:dyDescent="0.25">
      <c r="A2354" s="63"/>
    </row>
    <row r="2355" spans="1:1" x14ac:dyDescent="0.25">
      <c r="A2355" s="63"/>
    </row>
    <row r="2356" spans="1:1" x14ac:dyDescent="0.25">
      <c r="A2356" s="63"/>
    </row>
    <row r="2357" spans="1:1" x14ac:dyDescent="0.25">
      <c r="A2357" s="63"/>
    </row>
    <row r="2358" spans="1:1" x14ac:dyDescent="0.25">
      <c r="A2358" s="63"/>
    </row>
    <row r="2359" spans="1:1" x14ac:dyDescent="0.25">
      <c r="A2359" s="63"/>
    </row>
    <row r="2360" spans="1:1" x14ac:dyDescent="0.25">
      <c r="A2360" s="63"/>
    </row>
    <row r="2361" spans="1:1" x14ac:dyDescent="0.25">
      <c r="A2361" s="63"/>
    </row>
    <row r="2362" spans="1:1" x14ac:dyDescent="0.25">
      <c r="A2362" s="63"/>
    </row>
    <row r="2363" spans="1:1" x14ac:dyDescent="0.25">
      <c r="A2363" s="63"/>
    </row>
    <row r="2364" spans="1:1" x14ac:dyDescent="0.25">
      <c r="A2364" s="63"/>
    </row>
    <row r="2365" spans="1:1" x14ac:dyDescent="0.25">
      <c r="A2365" s="63"/>
    </row>
    <row r="2366" spans="1:1" x14ac:dyDescent="0.25">
      <c r="A2366" s="63"/>
    </row>
    <row r="2367" spans="1:1" x14ac:dyDescent="0.25">
      <c r="A2367" s="63"/>
    </row>
    <row r="2368" spans="1:1" x14ac:dyDescent="0.25">
      <c r="A2368" s="63"/>
    </row>
    <row r="2369" spans="1:1" x14ac:dyDescent="0.25">
      <c r="A2369" s="63"/>
    </row>
    <row r="2370" spans="1:1" x14ac:dyDescent="0.25">
      <c r="A2370" s="63"/>
    </row>
    <row r="2371" spans="1:1" x14ac:dyDescent="0.25">
      <c r="A2371" s="63"/>
    </row>
    <row r="2372" spans="1:1" x14ac:dyDescent="0.25">
      <c r="A2372" s="63"/>
    </row>
    <row r="2373" spans="1:1" x14ac:dyDescent="0.25">
      <c r="A2373" s="63"/>
    </row>
    <row r="2374" spans="1:1" x14ac:dyDescent="0.25">
      <c r="A2374" s="63"/>
    </row>
    <row r="2375" spans="1:1" x14ac:dyDescent="0.25">
      <c r="A2375" s="63"/>
    </row>
    <row r="2376" spans="1:1" x14ac:dyDescent="0.25">
      <c r="A2376" s="63"/>
    </row>
    <row r="2377" spans="1:1" x14ac:dyDescent="0.25">
      <c r="A2377" s="63"/>
    </row>
    <row r="2378" spans="1:1" x14ac:dyDescent="0.25">
      <c r="A2378" s="63"/>
    </row>
    <row r="2379" spans="1:1" x14ac:dyDescent="0.25">
      <c r="A2379" s="63"/>
    </row>
    <row r="2380" spans="1:1" x14ac:dyDescent="0.25">
      <c r="A2380" s="63"/>
    </row>
    <row r="2381" spans="1:1" x14ac:dyDescent="0.25">
      <c r="A2381" s="63"/>
    </row>
    <row r="2382" spans="1:1" x14ac:dyDescent="0.25">
      <c r="A2382" s="63"/>
    </row>
    <row r="2383" spans="1:1" x14ac:dyDescent="0.25">
      <c r="A2383" s="63"/>
    </row>
    <row r="2384" spans="1:1" x14ac:dyDescent="0.25">
      <c r="A2384" s="63"/>
    </row>
    <row r="2385" spans="1:1" x14ac:dyDescent="0.25">
      <c r="A2385" s="63"/>
    </row>
    <row r="2386" spans="1:1" x14ac:dyDescent="0.25">
      <c r="A2386" s="63"/>
    </row>
    <row r="2387" spans="1:1" x14ac:dyDescent="0.25">
      <c r="A2387" s="63"/>
    </row>
    <row r="2388" spans="1:1" x14ac:dyDescent="0.25">
      <c r="A2388" s="63"/>
    </row>
    <row r="2389" spans="1:1" x14ac:dyDescent="0.25">
      <c r="A2389" s="63"/>
    </row>
    <row r="2390" spans="1:1" x14ac:dyDescent="0.25">
      <c r="A2390" s="63"/>
    </row>
    <row r="2391" spans="1:1" x14ac:dyDescent="0.25">
      <c r="A2391" s="63"/>
    </row>
    <row r="2392" spans="1:1" x14ac:dyDescent="0.25">
      <c r="A2392" s="63"/>
    </row>
    <row r="2393" spans="1:1" x14ac:dyDescent="0.25">
      <c r="A2393" s="63"/>
    </row>
    <row r="2394" spans="1:1" x14ac:dyDescent="0.25">
      <c r="A2394" s="63"/>
    </row>
    <row r="2395" spans="1:1" x14ac:dyDescent="0.25">
      <c r="A2395" s="63"/>
    </row>
    <row r="2396" spans="1:1" x14ac:dyDescent="0.25">
      <c r="A2396" s="63"/>
    </row>
    <row r="2397" spans="1:1" x14ac:dyDescent="0.25">
      <c r="A2397" s="63"/>
    </row>
    <row r="2398" spans="1:1" x14ac:dyDescent="0.25">
      <c r="A2398" s="63"/>
    </row>
    <row r="2399" spans="1:1" x14ac:dyDescent="0.25">
      <c r="A2399" s="63"/>
    </row>
    <row r="2400" spans="1:1" x14ac:dyDescent="0.25">
      <c r="A2400" s="63"/>
    </row>
    <row r="2401" spans="1:1" x14ac:dyDescent="0.25">
      <c r="A2401" s="63"/>
    </row>
    <row r="2402" spans="1:1" x14ac:dyDescent="0.25">
      <c r="A2402" s="63"/>
    </row>
    <row r="2403" spans="1:1" x14ac:dyDescent="0.25">
      <c r="A2403" s="63"/>
    </row>
    <row r="2404" spans="1:1" x14ac:dyDescent="0.25">
      <c r="A2404" s="63"/>
    </row>
    <row r="2405" spans="1:1" x14ac:dyDescent="0.25">
      <c r="A2405" s="63"/>
    </row>
    <row r="2406" spans="1:1" x14ac:dyDescent="0.25">
      <c r="A2406" s="63"/>
    </row>
    <row r="2407" spans="1:1" x14ac:dyDescent="0.25">
      <c r="A2407" s="63"/>
    </row>
    <row r="2408" spans="1:1" x14ac:dyDescent="0.25">
      <c r="A2408" s="63"/>
    </row>
    <row r="2409" spans="1:1" x14ac:dyDescent="0.25">
      <c r="A2409" s="63"/>
    </row>
    <row r="2410" spans="1:1" x14ac:dyDescent="0.25">
      <c r="A2410" s="63"/>
    </row>
    <row r="2411" spans="1:1" x14ac:dyDescent="0.25">
      <c r="A2411" s="63"/>
    </row>
    <row r="2412" spans="1:1" x14ac:dyDescent="0.25">
      <c r="A2412" s="63"/>
    </row>
    <row r="2413" spans="1:1" x14ac:dyDescent="0.25">
      <c r="A2413" s="63"/>
    </row>
    <row r="2414" spans="1:1" x14ac:dyDescent="0.25">
      <c r="A2414" s="63"/>
    </row>
    <row r="2415" spans="1:1" x14ac:dyDescent="0.25">
      <c r="A2415" s="63"/>
    </row>
    <row r="2416" spans="1:1" x14ac:dyDescent="0.25">
      <c r="A2416" s="63"/>
    </row>
    <row r="2417" spans="1:1" x14ac:dyDescent="0.25">
      <c r="A2417" s="63"/>
    </row>
    <row r="2418" spans="1:1" x14ac:dyDescent="0.25">
      <c r="A2418" s="63"/>
    </row>
    <row r="2419" spans="1:1" x14ac:dyDescent="0.25">
      <c r="A2419" s="63"/>
    </row>
    <row r="2420" spans="1:1" x14ac:dyDescent="0.25">
      <c r="A2420" s="63"/>
    </row>
    <row r="2421" spans="1:1" x14ac:dyDescent="0.25">
      <c r="A2421" s="63"/>
    </row>
    <row r="2422" spans="1:1" x14ac:dyDescent="0.25">
      <c r="A2422" s="63"/>
    </row>
    <row r="2423" spans="1:1" x14ac:dyDescent="0.25">
      <c r="A2423" s="63"/>
    </row>
    <row r="2424" spans="1:1" x14ac:dyDescent="0.25">
      <c r="A2424" s="63"/>
    </row>
    <row r="2425" spans="1:1" x14ac:dyDescent="0.25">
      <c r="A2425" s="63"/>
    </row>
    <row r="2426" spans="1:1" x14ac:dyDescent="0.25">
      <c r="A2426" s="63"/>
    </row>
    <row r="2427" spans="1:1" x14ac:dyDescent="0.25">
      <c r="A2427" s="63"/>
    </row>
    <row r="2428" spans="1:1" x14ac:dyDescent="0.25">
      <c r="A2428" s="63"/>
    </row>
    <row r="2429" spans="1:1" x14ac:dyDescent="0.25">
      <c r="A2429" s="63"/>
    </row>
    <row r="2430" spans="1:1" x14ac:dyDescent="0.25">
      <c r="A2430" s="63"/>
    </row>
    <row r="2431" spans="1:1" x14ac:dyDescent="0.25">
      <c r="A2431" s="63"/>
    </row>
    <row r="2432" spans="1:1" x14ac:dyDescent="0.25">
      <c r="A2432" s="63"/>
    </row>
    <row r="2433" spans="1:1" x14ac:dyDescent="0.25">
      <c r="A2433" s="63"/>
    </row>
    <row r="2434" spans="1:1" x14ac:dyDescent="0.25">
      <c r="A2434" s="63"/>
    </row>
    <row r="2435" spans="1:1" x14ac:dyDescent="0.25">
      <c r="A2435" s="63"/>
    </row>
    <row r="2436" spans="1:1" x14ac:dyDescent="0.25">
      <c r="A2436" s="63"/>
    </row>
    <row r="2437" spans="1:1" x14ac:dyDescent="0.25">
      <c r="A2437" s="63"/>
    </row>
    <row r="2438" spans="1:1" x14ac:dyDescent="0.25">
      <c r="A2438" s="63"/>
    </row>
    <row r="2439" spans="1:1" x14ac:dyDescent="0.25">
      <c r="A2439" s="63"/>
    </row>
    <row r="2440" spans="1:1" x14ac:dyDescent="0.25">
      <c r="A2440" s="63"/>
    </row>
    <row r="2441" spans="1:1" x14ac:dyDescent="0.25">
      <c r="A2441" s="63"/>
    </row>
    <row r="2442" spans="1:1" x14ac:dyDescent="0.25">
      <c r="A2442" s="63"/>
    </row>
    <row r="2443" spans="1:1" x14ac:dyDescent="0.25">
      <c r="A2443" s="63"/>
    </row>
    <row r="2444" spans="1:1" x14ac:dyDescent="0.25">
      <c r="A2444" s="63"/>
    </row>
    <row r="2445" spans="1:1" x14ac:dyDescent="0.25">
      <c r="A2445" s="63"/>
    </row>
    <row r="2446" spans="1:1" x14ac:dyDescent="0.25">
      <c r="A2446" s="63"/>
    </row>
    <row r="2447" spans="1:1" x14ac:dyDescent="0.25">
      <c r="A2447" s="63"/>
    </row>
    <row r="2448" spans="1:1" x14ac:dyDescent="0.25">
      <c r="A2448" s="63"/>
    </row>
    <row r="2449" spans="1:1" x14ac:dyDescent="0.25">
      <c r="A2449" s="63"/>
    </row>
    <row r="2450" spans="1:1" x14ac:dyDescent="0.25">
      <c r="A2450" s="63"/>
    </row>
    <row r="2451" spans="1:1" x14ac:dyDescent="0.25">
      <c r="A2451" s="63"/>
    </row>
    <row r="2452" spans="1:1" x14ac:dyDescent="0.25">
      <c r="A2452" s="63"/>
    </row>
    <row r="2453" spans="1:1" x14ac:dyDescent="0.25">
      <c r="A2453" s="63"/>
    </row>
    <row r="2454" spans="1:1" x14ac:dyDescent="0.25">
      <c r="A2454" s="63"/>
    </row>
    <row r="2455" spans="1:1" x14ac:dyDescent="0.25">
      <c r="A2455" s="63"/>
    </row>
    <row r="2456" spans="1:1" x14ac:dyDescent="0.25">
      <c r="A2456" s="63"/>
    </row>
    <row r="2457" spans="1:1" x14ac:dyDescent="0.25">
      <c r="A2457" s="63"/>
    </row>
    <row r="2458" spans="1:1" x14ac:dyDescent="0.25">
      <c r="A2458" s="63"/>
    </row>
    <row r="2459" spans="1:1" x14ac:dyDescent="0.25">
      <c r="A2459" s="63"/>
    </row>
    <row r="2460" spans="1:1" x14ac:dyDescent="0.25">
      <c r="A2460" s="63"/>
    </row>
    <row r="2461" spans="1:1" x14ac:dyDescent="0.25">
      <c r="A2461" s="63"/>
    </row>
    <row r="2462" spans="1:1" x14ac:dyDescent="0.25">
      <c r="A2462" s="63"/>
    </row>
    <row r="2463" spans="1:1" x14ac:dyDescent="0.25">
      <c r="A2463" s="63"/>
    </row>
    <row r="2464" spans="1:1" x14ac:dyDescent="0.25">
      <c r="A2464" s="63"/>
    </row>
    <row r="2465" spans="1:1" x14ac:dyDescent="0.25">
      <c r="A2465" s="63"/>
    </row>
    <row r="2466" spans="1:1" x14ac:dyDescent="0.25">
      <c r="A2466" s="63"/>
    </row>
    <row r="2467" spans="1:1" x14ac:dyDescent="0.25">
      <c r="A2467" s="63"/>
    </row>
    <row r="2468" spans="1:1" x14ac:dyDescent="0.25">
      <c r="A2468" s="63"/>
    </row>
    <row r="2469" spans="1:1" x14ac:dyDescent="0.25">
      <c r="A2469" s="63"/>
    </row>
    <row r="2470" spans="1:1" x14ac:dyDescent="0.25">
      <c r="A2470" s="63"/>
    </row>
    <row r="2471" spans="1:1" x14ac:dyDescent="0.25">
      <c r="A2471" s="63"/>
    </row>
    <row r="2472" spans="1:1" x14ac:dyDescent="0.25">
      <c r="A2472" s="63"/>
    </row>
    <row r="2473" spans="1:1" x14ac:dyDescent="0.25">
      <c r="A2473" s="63"/>
    </row>
    <row r="2474" spans="1:1" x14ac:dyDescent="0.25">
      <c r="A2474" s="63"/>
    </row>
    <row r="2475" spans="1:1" x14ac:dyDescent="0.25">
      <c r="A2475" s="63"/>
    </row>
    <row r="2476" spans="1:1" x14ac:dyDescent="0.25">
      <c r="A2476" s="63"/>
    </row>
    <row r="2477" spans="1:1" x14ac:dyDescent="0.25">
      <c r="A2477" s="63"/>
    </row>
    <row r="2478" spans="1:1" x14ac:dyDescent="0.25">
      <c r="A2478" s="63"/>
    </row>
    <row r="2479" spans="1:1" x14ac:dyDescent="0.25">
      <c r="A2479" s="63"/>
    </row>
    <row r="2480" spans="1:1" x14ac:dyDescent="0.25">
      <c r="A2480" s="63"/>
    </row>
    <row r="2481" spans="1:1" x14ac:dyDescent="0.25">
      <c r="A2481" s="63"/>
    </row>
    <row r="2482" spans="1:1" x14ac:dyDescent="0.25">
      <c r="A2482" s="63"/>
    </row>
    <row r="2483" spans="1:1" x14ac:dyDescent="0.25">
      <c r="A2483" s="63"/>
    </row>
    <row r="2484" spans="1:1" x14ac:dyDescent="0.25">
      <c r="A2484" s="63"/>
    </row>
    <row r="2485" spans="1:1" x14ac:dyDescent="0.25">
      <c r="A2485" s="63"/>
    </row>
    <row r="2486" spans="1:1" x14ac:dyDescent="0.25">
      <c r="A2486" s="63"/>
    </row>
    <row r="2487" spans="1:1" x14ac:dyDescent="0.25">
      <c r="A2487" s="63"/>
    </row>
    <row r="2488" spans="1:1" x14ac:dyDescent="0.25">
      <c r="A2488" s="63"/>
    </row>
    <row r="2489" spans="1:1" x14ac:dyDescent="0.25">
      <c r="A2489" s="63"/>
    </row>
    <row r="2490" spans="1:1" x14ac:dyDescent="0.25">
      <c r="A2490" s="63"/>
    </row>
    <row r="2491" spans="1:1" x14ac:dyDescent="0.25">
      <c r="A2491" s="63"/>
    </row>
    <row r="2492" spans="1:1" x14ac:dyDescent="0.25">
      <c r="A2492" s="63"/>
    </row>
    <row r="2493" spans="1:1" x14ac:dyDescent="0.25">
      <c r="A2493" s="63"/>
    </row>
    <row r="2494" spans="1:1" x14ac:dyDescent="0.25">
      <c r="A2494" s="63"/>
    </row>
    <row r="2495" spans="1:1" x14ac:dyDescent="0.25">
      <c r="A2495" s="63"/>
    </row>
    <row r="2496" spans="1:1" x14ac:dyDescent="0.25">
      <c r="A2496" s="63"/>
    </row>
    <row r="2497" spans="1:1" x14ac:dyDescent="0.25">
      <c r="A2497" s="63"/>
    </row>
    <row r="2498" spans="1:1" x14ac:dyDescent="0.25">
      <c r="A2498" s="63"/>
    </row>
    <row r="2499" spans="1:1" x14ac:dyDescent="0.25">
      <c r="A2499" s="63"/>
    </row>
    <row r="2500" spans="1:1" x14ac:dyDescent="0.25">
      <c r="A2500" s="63"/>
    </row>
    <row r="2501" spans="1:1" x14ac:dyDescent="0.25">
      <c r="A2501" s="63"/>
    </row>
    <row r="2502" spans="1:1" x14ac:dyDescent="0.25">
      <c r="A2502" s="63"/>
    </row>
    <row r="2503" spans="1:1" x14ac:dyDescent="0.25">
      <c r="A2503" s="63"/>
    </row>
    <row r="2504" spans="1:1" x14ac:dyDescent="0.25">
      <c r="A2504" s="63"/>
    </row>
    <row r="2505" spans="1:1" x14ac:dyDescent="0.25">
      <c r="A2505" s="63"/>
    </row>
    <row r="2506" spans="1:1" x14ac:dyDescent="0.25">
      <c r="A2506" s="63"/>
    </row>
    <row r="2507" spans="1:1" x14ac:dyDescent="0.25">
      <c r="A2507" s="63"/>
    </row>
    <row r="2508" spans="1:1" x14ac:dyDescent="0.25">
      <c r="A2508" s="63"/>
    </row>
    <row r="2509" spans="1:1" x14ac:dyDescent="0.25">
      <c r="A2509" s="63"/>
    </row>
    <row r="2510" spans="1:1" x14ac:dyDescent="0.25">
      <c r="A2510" s="63"/>
    </row>
    <row r="2511" spans="1:1" x14ac:dyDescent="0.25">
      <c r="A2511" s="63"/>
    </row>
    <row r="2512" spans="1:1" x14ac:dyDescent="0.25">
      <c r="A2512" s="63"/>
    </row>
    <row r="2513" spans="1:1" x14ac:dyDescent="0.25">
      <c r="A2513" s="63"/>
    </row>
    <row r="2514" spans="1:1" x14ac:dyDescent="0.25">
      <c r="A2514" s="63"/>
    </row>
    <row r="2515" spans="1:1" x14ac:dyDescent="0.25">
      <c r="A2515" s="63"/>
    </row>
    <row r="2516" spans="1:1" x14ac:dyDescent="0.25">
      <c r="A2516" s="63"/>
    </row>
    <row r="2517" spans="1:1" x14ac:dyDescent="0.25">
      <c r="A2517" s="63"/>
    </row>
    <row r="2518" spans="1:1" x14ac:dyDescent="0.25">
      <c r="A2518" s="63"/>
    </row>
    <row r="2519" spans="1:1" x14ac:dyDescent="0.25">
      <c r="A2519" s="63"/>
    </row>
    <row r="2520" spans="1:1" x14ac:dyDescent="0.25">
      <c r="A2520" s="63"/>
    </row>
    <row r="2521" spans="1:1" x14ac:dyDescent="0.25">
      <c r="A2521" s="63"/>
    </row>
    <row r="2522" spans="1:1" x14ac:dyDescent="0.25">
      <c r="A2522" s="63"/>
    </row>
    <row r="2523" spans="1:1" x14ac:dyDescent="0.25">
      <c r="A2523" s="63"/>
    </row>
    <row r="2524" spans="1:1" x14ac:dyDescent="0.25">
      <c r="A2524" s="63"/>
    </row>
    <row r="2525" spans="1:1" x14ac:dyDescent="0.25">
      <c r="A2525" s="63"/>
    </row>
    <row r="2526" spans="1:1" x14ac:dyDescent="0.25">
      <c r="A2526" s="63"/>
    </row>
    <row r="2527" spans="1:1" x14ac:dyDescent="0.25">
      <c r="A2527" s="63"/>
    </row>
    <row r="2528" spans="1:1" x14ac:dyDescent="0.25">
      <c r="A2528" s="63"/>
    </row>
    <row r="2529" spans="1:1" x14ac:dyDescent="0.25">
      <c r="A2529" s="63"/>
    </row>
    <row r="2530" spans="1:1" x14ac:dyDescent="0.25">
      <c r="A2530" s="63"/>
    </row>
    <row r="2531" spans="1:1" x14ac:dyDescent="0.25">
      <c r="A2531" s="63"/>
    </row>
    <row r="2532" spans="1:1" x14ac:dyDescent="0.25">
      <c r="A2532" s="63"/>
    </row>
    <row r="2533" spans="1:1" x14ac:dyDescent="0.25">
      <c r="A2533" s="63"/>
    </row>
    <row r="2534" spans="1:1" x14ac:dyDescent="0.25">
      <c r="A2534" s="63"/>
    </row>
    <row r="2535" spans="1:1" x14ac:dyDescent="0.25">
      <c r="A2535" s="63"/>
    </row>
    <row r="2536" spans="1:1" x14ac:dyDescent="0.25">
      <c r="A2536" s="63"/>
    </row>
    <row r="2537" spans="1:1" x14ac:dyDescent="0.25">
      <c r="A2537" s="63"/>
    </row>
    <row r="2538" spans="1:1" x14ac:dyDescent="0.25">
      <c r="A2538" s="63"/>
    </row>
    <row r="2539" spans="1:1" x14ac:dyDescent="0.25">
      <c r="A2539" s="63"/>
    </row>
    <row r="2540" spans="1:1" x14ac:dyDescent="0.25">
      <c r="A2540" s="63"/>
    </row>
    <row r="2541" spans="1:1" x14ac:dyDescent="0.25">
      <c r="A2541" s="63"/>
    </row>
    <row r="2542" spans="1:1" x14ac:dyDescent="0.25">
      <c r="A2542" s="63"/>
    </row>
    <row r="2543" spans="1:1" x14ac:dyDescent="0.25">
      <c r="A2543" s="63"/>
    </row>
    <row r="2544" spans="1:1" x14ac:dyDescent="0.25">
      <c r="A2544" s="63"/>
    </row>
    <row r="2545" spans="1:1" x14ac:dyDescent="0.25">
      <c r="A2545" s="63"/>
    </row>
    <row r="2546" spans="1:1" x14ac:dyDescent="0.25">
      <c r="A2546" s="63"/>
    </row>
    <row r="2547" spans="1:1" x14ac:dyDescent="0.25">
      <c r="A2547" s="63"/>
    </row>
    <row r="2548" spans="1:1" x14ac:dyDescent="0.25">
      <c r="A2548" s="63"/>
    </row>
    <row r="2549" spans="1:1" x14ac:dyDescent="0.25">
      <c r="A2549" s="63"/>
    </row>
    <row r="2550" spans="1:1" x14ac:dyDescent="0.25">
      <c r="A2550" s="63"/>
    </row>
    <row r="2551" spans="1:1" x14ac:dyDescent="0.25">
      <c r="A2551" s="63"/>
    </row>
    <row r="2552" spans="1:1" x14ac:dyDescent="0.25">
      <c r="A2552" s="63"/>
    </row>
    <row r="2553" spans="1:1" x14ac:dyDescent="0.25">
      <c r="A2553" s="63"/>
    </row>
    <row r="2554" spans="1:1" x14ac:dyDescent="0.25">
      <c r="A2554" s="63"/>
    </row>
    <row r="2555" spans="1:1" x14ac:dyDescent="0.25">
      <c r="A2555" s="63"/>
    </row>
    <row r="2556" spans="1:1" x14ac:dyDescent="0.25">
      <c r="A2556" s="63"/>
    </row>
    <row r="2557" spans="1:1" x14ac:dyDescent="0.25">
      <c r="A2557" s="63"/>
    </row>
    <row r="2558" spans="1:1" x14ac:dyDescent="0.25">
      <c r="A2558" s="63"/>
    </row>
    <row r="2559" spans="1:1" x14ac:dyDescent="0.25">
      <c r="A2559" s="63"/>
    </row>
    <row r="2560" spans="1:1" x14ac:dyDescent="0.25">
      <c r="A2560" s="63"/>
    </row>
    <row r="2561" spans="1:1" x14ac:dyDescent="0.25">
      <c r="A2561" s="63"/>
    </row>
    <row r="2562" spans="1:1" x14ac:dyDescent="0.25">
      <c r="A2562" s="63"/>
    </row>
    <row r="2563" spans="1:1" x14ac:dyDescent="0.25">
      <c r="A2563" s="63"/>
    </row>
    <row r="2564" spans="1:1" x14ac:dyDescent="0.25">
      <c r="A2564" s="63"/>
    </row>
    <row r="2565" spans="1:1" x14ac:dyDescent="0.25">
      <c r="A2565" s="63"/>
    </row>
    <row r="2566" spans="1:1" x14ac:dyDescent="0.25">
      <c r="A2566" s="63"/>
    </row>
    <row r="2567" spans="1:1" x14ac:dyDescent="0.25">
      <c r="A2567" s="63"/>
    </row>
    <row r="2568" spans="1:1" x14ac:dyDescent="0.25">
      <c r="A2568" s="63"/>
    </row>
    <row r="2569" spans="1:1" x14ac:dyDescent="0.25">
      <c r="A2569" s="63"/>
    </row>
    <row r="2570" spans="1:1" x14ac:dyDescent="0.25">
      <c r="A2570" s="63"/>
    </row>
    <row r="2571" spans="1:1" x14ac:dyDescent="0.25">
      <c r="A2571" s="63"/>
    </row>
    <row r="2572" spans="1:1" x14ac:dyDescent="0.25">
      <c r="A2572" s="63"/>
    </row>
    <row r="2573" spans="1:1" x14ac:dyDescent="0.25">
      <c r="A2573" s="63"/>
    </row>
    <row r="2574" spans="1:1" x14ac:dyDescent="0.25">
      <c r="A2574" s="63"/>
    </row>
    <row r="2575" spans="1:1" x14ac:dyDescent="0.25">
      <c r="A2575" s="63"/>
    </row>
    <row r="2576" spans="1:1" x14ac:dyDescent="0.25">
      <c r="A2576" s="63"/>
    </row>
    <row r="2577" spans="1:1" x14ac:dyDescent="0.25">
      <c r="A2577" s="63"/>
    </row>
    <row r="2578" spans="1:1" x14ac:dyDescent="0.25">
      <c r="A2578" s="63"/>
    </row>
    <row r="2579" spans="1:1" x14ac:dyDescent="0.25">
      <c r="A2579" s="63"/>
    </row>
    <row r="2580" spans="1:1" x14ac:dyDescent="0.25">
      <c r="A2580" s="63"/>
    </row>
    <row r="2581" spans="1:1" x14ac:dyDescent="0.25">
      <c r="A2581" s="63"/>
    </row>
    <row r="2582" spans="1:1" x14ac:dyDescent="0.25">
      <c r="A2582" s="63"/>
    </row>
    <row r="2583" spans="1:1" x14ac:dyDescent="0.25">
      <c r="A2583" s="63"/>
    </row>
    <row r="2584" spans="1:1" x14ac:dyDescent="0.25">
      <c r="A2584" s="63"/>
    </row>
    <row r="2585" spans="1:1" x14ac:dyDescent="0.25">
      <c r="A2585" s="63"/>
    </row>
    <row r="2586" spans="1:1" x14ac:dyDescent="0.25">
      <c r="A2586" s="63"/>
    </row>
    <row r="2587" spans="1:1" x14ac:dyDescent="0.25">
      <c r="A2587" s="63"/>
    </row>
    <row r="2588" spans="1:1" x14ac:dyDescent="0.25">
      <c r="A2588" s="63"/>
    </row>
    <row r="2589" spans="1:1" x14ac:dyDescent="0.25">
      <c r="A2589" s="63"/>
    </row>
    <row r="2590" spans="1:1" x14ac:dyDescent="0.25">
      <c r="A2590" s="63"/>
    </row>
    <row r="2591" spans="1:1" x14ac:dyDescent="0.25">
      <c r="A2591" s="63"/>
    </row>
    <row r="2592" spans="1:1" x14ac:dyDescent="0.25">
      <c r="A2592" s="63"/>
    </row>
    <row r="2593" spans="1:1" x14ac:dyDescent="0.25">
      <c r="A2593" s="63"/>
    </row>
    <row r="2594" spans="1:1" x14ac:dyDescent="0.25">
      <c r="A2594" s="63"/>
    </row>
    <row r="2595" spans="1:1" x14ac:dyDescent="0.25">
      <c r="A2595" s="63"/>
    </row>
    <row r="2596" spans="1:1" x14ac:dyDescent="0.25">
      <c r="A2596" s="63"/>
    </row>
    <row r="2597" spans="1:1" x14ac:dyDescent="0.25">
      <c r="A2597" s="63"/>
    </row>
    <row r="2598" spans="1:1" x14ac:dyDescent="0.25">
      <c r="A2598" s="63"/>
    </row>
    <row r="2599" spans="1:1" x14ac:dyDescent="0.25">
      <c r="A2599" s="63"/>
    </row>
    <row r="2600" spans="1:1" x14ac:dyDescent="0.25">
      <c r="A2600" s="63"/>
    </row>
    <row r="2601" spans="1:1" x14ac:dyDescent="0.25">
      <c r="A2601" s="63"/>
    </row>
    <row r="2602" spans="1:1" x14ac:dyDescent="0.25">
      <c r="A2602" s="63"/>
    </row>
    <row r="2603" spans="1:1" x14ac:dyDescent="0.25">
      <c r="A2603" s="63"/>
    </row>
    <row r="2604" spans="1:1" x14ac:dyDescent="0.25">
      <c r="A2604" s="63"/>
    </row>
    <row r="2605" spans="1:1" x14ac:dyDescent="0.25">
      <c r="A2605" s="63"/>
    </row>
    <row r="2606" spans="1:1" x14ac:dyDescent="0.25">
      <c r="A2606" s="63"/>
    </row>
    <row r="2607" spans="1:1" x14ac:dyDescent="0.25">
      <c r="A2607" s="63"/>
    </row>
    <row r="2608" spans="1:1" x14ac:dyDescent="0.25">
      <c r="A2608" s="63"/>
    </row>
    <row r="2609" spans="1:1" x14ac:dyDescent="0.25">
      <c r="A2609" s="63"/>
    </row>
    <row r="2610" spans="1:1" x14ac:dyDescent="0.25">
      <c r="A2610" s="63"/>
    </row>
    <row r="2611" spans="1:1" x14ac:dyDescent="0.25">
      <c r="A2611" s="63"/>
    </row>
    <row r="2612" spans="1:1" x14ac:dyDescent="0.25">
      <c r="A2612" s="63"/>
    </row>
    <row r="2613" spans="1:1" x14ac:dyDescent="0.25">
      <c r="A2613" s="63"/>
    </row>
    <row r="2614" spans="1:1" x14ac:dyDescent="0.25">
      <c r="A2614" s="63"/>
    </row>
    <row r="2615" spans="1:1" x14ac:dyDescent="0.25">
      <c r="A2615" s="63"/>
    </row>
    <row r="2616" spans="1:1" x14ac:dyDescent="0.25">
      <c r="A2616" s="63"/>
    </row>
    <row r="2617" spans="1:1" x14ac:dyDescent="0.25">
      <c r="A2617" s="63"/>
    </row>
    <row r="2618" spans="1:1" x14ac:dyDescent="0.25">
      <c r="A2618" s="63"/>
    </row>
    <row r="2619" spans="1:1" x14ac:dyDescent="0.25">
      <c r="A2619" s="63"/>
    </row>
    <row r="2620" spans="1:1" x14ac:dyDescent="0.25">
      <c r="A2620" s="63"/>
    </row>
    <row r="2621" spans="1:1" x14ac:dyDescent="0.25">
      <c r="A2621" s="63"/>
    </row>
    <row r="2622" spans="1:1" x14ac:dyDescent="0.25">
      <c r="A2622" s="63"/>
    </row>
    <row r="2623" spans="1:1" x14ac:dyDescent="0.25">
      <c r="A2623" s="63"/>
    </row>
    <row r="2624" spans="1:1" x14ac:dyDescent="0.25">
      <c r="A2624" s="63"/>
    </row>
    <row r="2625" spans="1:1" x14ac:dyDescent="0.25">
      <c r="A2625" s="63"/>
    </row>
    <row r="2626" spans="1:1" x14ac:dyDescent="0.25">
      <c r="A2626" s="63"/>
    </row>
    <row r="2627" spans="1:1" x14ac:dyDescent="0.25">
      <c r="A2627" s="63"/>
    </row>
    <row r="2628" spans="1:1" x14ac:dyDescent="0.25">
      <c r="A2628" s="63"/>
    </row>
    <row r="2629" spans="1:1" x14ac:dyDescent="0.25">
      <c r="A2629" s="63"/>
    </row>
    <row r="2630" spans="1:1" x14ac:dyDescent="0.25">
      <c r="A2630" s="63"/>
    </row>
    <row r="2631" spans="1:1" x14ac:dyDescent="0.25">
      <c r="A2631" s="63"/>
    </row>
    <row r="2632" spans="1:1" x14ac:dyDescent="0.25">
      <c r="A2632" s="63"/>
    </row>
    <row r="2633" spans="1:1" x14ac:dyDescent="0.25">
      <c r="A2633" s="63"/>
    </row>
    <row r="2634" spans="1:1" x14ac:dyDescent="0.25">
      <c r="A2634" s="63"/>
    </row>
    <row r="2635" spans="1:1" x14ac:dyDescent="0.25">
      <c r="A2635" s="63"/>
    </row>
    <row r="2636" spans="1:1" x14ac:dyDescent="0.25">
      <c r="A2636" s="63"/>
    </row>
    <row r="2637" spans="1:1" x14ac:dyDescent="0.25">
      <c r="A2637" s="63"/>
    </row>
    <row r="2638" spans="1:1" x14ac:dyDescent="0.25">
      <c r="A2638" s="63"/>
    </row>
    <row r="2639" spans="1:1" x14ac:dyDescent="0.25">
      <c r="A2639" s="63"/>
    </row>
    <row r="2640" spans="1:1" x14ac:dyDescent="0.25">
      <c r="A2640" s="63"/>
    </row>
    <row r="2641" spans="1:1" x14ac:dyDescent="0.25">
      <c r="A2641" s="63"/>
    </row>
    <row r="2642" spans="1:1" x14ac:dyDescent="0.25">
      <c r="A2642" s="63"/>
    </row>
    <row r="2643" spans="1:1" x14ac:dyDescent="0.25">
      <c r="A2643" s="63"/>
    </row>
    <row r="2644" spans="1:1" x14ac:dyDescent="0.25">
      <c r="A2644" s="63"/>
    </row>
    <row r="2645" spans="1:1" x14ac:dyDescent="0.25">
      <c r="A2645" s="63"/>
    </row>
    <row r="2646" spans="1:1" x14ac:dyDescent="0.25">
      <c r="A2646" s="63"/>
    </row>
    <row r="2647" spans="1:1" x14ac:dyDescent="0.25">
      <c r="A2647" s="63"/>
    </row>
    <row r="2648" spans="1:1" x14ac:dyDescent="0.25">
      <c r="A2648" s="63"/>
    </row>
    <row r="2649" spans="1:1" x14ac:dyDescent="0.25">
      <c r="A2649" s="63"/>
    </row>
    <row r="2650" spans="1:1" x14ac:dyDescent="0.25">
      <c r="A2650" s="63"/>
    </row>
    <row r="2651" spans="1:1" x14ac:dyDescent="0.25">
      <c r="A2651" s="63"/>
    </row>
    <row r="2652" spans="1:1" x14ac:dyDescent="0.25">
      <c r="A2652" s="63"/>
    </row>
    <row r="2653" spans="1:1" x14ac:dyDescent="0.25">
      <c r="A2653" s="63"/>
    </row>
    <row r="2654" spans="1:1" x14ac:dyDescent="0.25">
      <c r="A2654" s="63"/>
    </row>
    <row r="2655" spans="1:1" x14ac:dyDescent="0.25">
      <c r="A2655" s="63"/>
    </row>
    <row r="2656" spans="1:1" x14ac:dyDescent="0.25">
      <c r="A2656" s="63"/>
    </row>
    <row r="2657" spans="1:1" x14ac:dyDescent="0.25">
      <c r="A2657" s="63"/>
    </row>
    <row r="2658" spans="1:1" x14ac:dyDescent="0.25">
      <c r="A2658" s="63"/>
    </row>
    <row r="2659" spans="1:1" x14ac:dyDescent="0.25">
      <c r="A2659" s="63"/>
    </row>
    <row r="2660" spans="1:1" x14ac:dyDescent="0.25">
      <c r="A2660" s="63"/>
    </row>
    <row r="2661" spans="1:1" x14ac:dyDescent="0.25">
      <c r="A2661" s="63"/>
    </row>
    <row r="2662" spans="1:1" x14ac:dyDescent="0.25">
      <c r="A2662" s="63"/>
    </row>
    <row r="2663" spans="1:1" x14ac:dyDescent="0.25">
      <c r="A2663" s="63"/>
    </row>
    <row r="2664" spans="1:1" x14ac:dyDescent="0.25">
      <c r="A2664" s="63"/>
    </row>
    <row r="2665" spans="1:1" x14ac:dyDescent="0.25">
      <c r="A2665" s="63"/>
    </row>
    <row r="2666" spans="1:1" x14ac:dyDescent="0.25">
      <c r="A2666" s="63"/>
    </row>
    <row r="2667" spans="1:1" x14ac:dyDescent="0.25">
      <c r="A2667" s="63"/>
    </row>
    <row r="2668" spans="1:1" x14ac:dyDescent="0.25">
      <c r="A2668" s="63"/>
    </row>
    <row r="2669" spans="1:1" x14ac:dyDescent="0.25">
      <c r="A2669" s="63"/>
    </row>
    <row r="2670" spans="1:1" x14ac:dyDescent="0.25">
      <c r="A2670" s="63"/>
    </row>
    <row r="2671" spans="1:1" x14ac:dyDescent="0.25">
      <c r="A2671" s="63"/>
    </row>
    <row r="2672" spans="1:1" x14ac:dyDescent="0.25">
      <c r="A2672" s="63"/>
    </row>
    <row r="2673" spans="1:1" x14ac:dyDescent="0.25">
      <c r="A2673" s="63"/>
    </row>
    <row r="2674" spans="1:1" x14ac:dyDescent="0.25">
      <c r="A2674" s="63"/>
    </row>
    <row r="2675" spans="1:1" x14ac:dyDescent="0.25">
      <c r="A2675" s="63"/>
    </row>
    <row r="2676" spans="1:1" x14ac:dyDescent="0.25">
      <c r="A2676" s="63"/>
    </row>
    <row r="2677" spans="1:1" x14ac:dyDescent="0.25">
      <c r="A2677" s="63"/>
    </row>
    <row r="2678" spans="1:1" x14ac:dyDescent="0.25">
      <c r="A2678" s="63"/>
    </row>
    <row r="2679" spans="1:1" x14ac:dyDescent="0.25">
      <c r="A2679" s="63"/>
    </row>
    <row r="2680" spans="1:1" x14ac:dyDescent="0.25">
      <c r="A2680" s="63"/>
    </row>
    <row r="2681" spans="1:1" x14ac:dyDescent="0.25">
      <c r="A2681" s="63"/>
    </row>
    <row r="2682" spans="1:1" x14ac:dyDescent="0.25">
      <c r="A2682" s="63"/>
    </row>
    <row r="2683" spans="1:1" x14ac:dyDescent="0.25">
      <c r="A2683" s="63"/>
    </row>
    <row r="2684" spans="1:1" x14ac:dyDescent="0.25">
      <c r="A2684" s="63"/>
    </row>
    <row r="2685" spans="1:1" x14ac:dyDescent="0.25">
      <c r="A2685" s="63"/>
    </row>
    <row r="2686" spans="1:1" x14ac:dyDescent="0.25">
      <c r="A2686" s="63"/>
    </row>
    <row r="2687" spans="1:1" x14ac:dyDescent="0.25">
      <c r="A2687" s="63"/>
    </row>
    <row r="2688" spans="1:1" x14ac:dyDescent="0.25">
      <c r="A2688" s="63"/>
    </row>
    <row r="2689" spans="1:1" x14ac:dyDescent="0.25">
      <c r="A2689" s="63"/>
    </row>
    <row r="2690" spans="1:1" x14ac:dyDescent="0.25">
      <c r="A2690" s="63"/>
    </row>
    <row r="2691" spans="1:1" x14ac:dyDescent="0.25">
      <c r="A2691" s="63"/>
    </row>
    <row r="2692" spans="1:1" x14ac:dyDescent="0.25">
      <c r="A2692" s="63"/>
    </row>
    <row r="2693" spans="1:1" x14ac:dyDescent="0.25">
      <c r="A2693" s="63"/>
    </row>
    <row r="2694" spans="1:1" x14ac:dyDescent="0.25">
      <c r="A2694" s="63"/>
    </row>
    <row r="2695" spans="1:1" x14ac:dyDescent="0.25">
      <c r="A2695" s="63"/>
    </row>
    <row r="2696" spans="1:1" x14ac:dyDescent="0.25">
      <c r="A2696" s="63"/>
    </row>
    <row r="2697" spans="1:1" x14ac:dyDescent="0.25">
      <c r="A2697" s="63"/>
    </row>
    <row r="2698" spans="1:1" x14ac:dyDescent="0.25">
      <c r="A2698" s="63"/>
    </row>
    <row r="2699" spans="1:1" x14ac:dyDescent="0.25">
      <c r="A2699" s="63"/>
    </row>
    <row r="2700" spans="1:1" x14ac:dyDescent="0.25">
      <c r="A2700" s="63"/>
    </row>
    <row r="2701" spans="1:1" x14ac:dyDescent="0.25">
      <c r="A2701" s="63"/>
    </row>
    <row r="2702" spans="1:1" x14ac:dyDescent="0.25">
      <c r="A2702" s="63"/>
    </row>
    <row r="2703" spans="1:1" x14ac:dyDescent="0.25">
      <c r="A2703" s="63"/>
    </row>
    <row r="2704" spans="1:1" x14ac:dyDescent="0.25">
      <c r="A2704" s="63"/>
    </row>
    <row r="2705" spans="1:1" x14ac:dyDescent="0.25">
      <c r="A2705" s="63"/>
    </row>
    <row r="2706" spans="1:1" x14ac:dyDescent="0.25">
      <c r="A2706" s="63"/>
    </row>
    <row r="2707" spans="1:1" x14ac:dyDescent="0.25">
      <c r="A2707" s="63"/>
    </row>
    <row r="2708" spans="1:1" x14ac:dyDescent="0.25">
      <c r="A2708" s="63"/>
    </row>
    <row r="2709" spans="1:1" x14ac:dyDescent="0.25">
      <c r="A2709" s="63"/>
    </row>
    <row r="2710" spans="1:1" x14ac:dyDescent="0.25">
      <c r="A2710" s="63"/>
    </row>
    <row r="2711" spans="1:1" x14ac:dyDescent="0.25">
      <c r="A2711" s="63"/>
    </row>
    <row r="2712" spans="1:1" x14ac:dyDescent="0.25">
      <c r="A2712" s="63"/>
    </row>
    <row r="2713" spans="1:1" x14ac:dyDescent="0.25">
      <c r="A2713" s="63"/>
    </row>
    <row r="2714" spans="1:1" x14ac:dyDescent="0.25">
      <c r="A2714" s="63"/>
    </row>
    <row r="2715" spans="1:1" x14ac:dyDescent="0.25">
      <c r="A2715" s="63"/>
    </row>
    <row r="2716" spans="1:1" x14ac:dyDescent="0.25">
      <c r="A2716" s="63"/>
    </row>
    <row r="2717" spans="1:1" x14ac:dyDescent="0.25">
      <c r="A2717" s="63"/>
    </row>
    <row r="2718" spans="1:1" x14ac:dyDescent="0.25">
      <c r="A2718" s="63"/>
    </row>
    <row r="2719" spans="1:1" x14ac:dyDescent="0.25">
      <c r="A2719" s="63"/>
    </row>
    <row r="2720" spans="1:1" x14ac:dyDescent="0.25">
      <c r="A2720" s="63"/>
    </row>
    <row r="2721" spans="1:1" x14ac:dyDescent="0.25">
      <c r="A2721" s="63"/>
    </row>
    <row r="2722" spans="1:1" x14ac:dyDescent="0.25">
      <c r="A2722" s="63"/>
    </row>
    <row r="2723" spans="1:1" x14ac:dyDescent="0.25">
      <c r="A2723" s="63"/>
    </row>
    <row r="2724" spans="1:1" x14ac:dyDescent="0.25">
      <c r="A2724" s="63"/>
    </row>
    <row r="2725" spans="1:1" x14ac:dyDescent="0.25">
      <c r="A2725" s="63"/>
    </row>
    <row r="2726" spans="1:1" x14ac:dyDescent="0.25">
      <c r="A2726" s="63"/>
    </row>
    <row r="2727" spans="1:1" x14ac:dyDescent="0.25">
      <c r="A2727" s="63"/>
    </row>
    <row r="2728" spans="1:1" x14ac:dyDescent="0.25">
      <c r="A2728" s="63"/>
    </row>
    <row r="2729" spans="1:1" x14ac:dyDescent="0.25">
      <c r="A2729" s="63"/>
    </row>
    <row r="2730" spans="1:1" x14ac:dyDescent="0.25">
      <c r="A2730" s="63"/>
    </row>
    <row r="2731" spans="1:1" x14ac:dyDescent="0.25">
      <c r="A2731" s="63"/>
    </row>
    <row r="2732" spans="1:1" x14ac:dyDescent="0.25">
      <c r="A2732" s="63"/>
    </row>
    <row r="2733" spans="1:1" x14ac:dyDescent="0.25">
      <c r="A2733" s="63"/>
    </row>
    <row r="2734" spans="1:1" x14ac:dyDescent="0.25">
      <c r="A2734" s="63"/>
    </row>
    <row r="2735" spans="1:1" x14ac:dyDescent="0.25">
      <c r="A2735" s="63"/>
    </row>
    <row r="2736" spans="1:1" x14ac:dyDescent="0.25">
      <c r="A2736" s="63"/>
    </row>
    <row r="2737" spans="1:1" x14ac:dyDescent="0.25">
      <c r="A2737" s="63"/>
    </row>
    <row r="2738" spans="1:1" x14ac:dyDescent="0.25">
      <c r="A2738" s="63"/>
    </row>
    <row r="2739" spans="1:1" x14ac:dyDescent="0.25">
      <c r="A2739" s="63"/>
    </row>
    <row r="2740" spans="1:1" x14ac:dyDescent="0.25">
      <c r="A2740" s="63"/>
    </row>
    <row r="2741" spans="1:1" x14ac:dyDescent="0.25">
      <c r="A2741" s="63"/>
    </row>
    <row r="2742" spans="1:1" x14ac:dyDescent="0.25">
      <c r="A2742" s="63"/>
    </row>
    <row r="2743" spans="1:1" x14ac:dyDescent="0.25">
      <c r="A2743" s="63"/>
    </row>
    <row r="2744" spans="1:1" x14ac:dyDescent="0.25">
      <c r="A2744" s="63"/>
    </row>
    <row r="2745" spans="1:1" x14ac:dyDescent="0.25">
      <c r="A2745" s="63"/>
    </row>
    <row r="2746" spans="1:1" x14ac:dyDescent="0.25">
      <c r="A2746" s="63"/>
    </row>
    <row r="2747" spans="1:1" x14ac:dyDescent="0.25">
      <c r="A2747" s="63"/>
    </row>
    <row r="2748" spans="1:1" x14ac:dyDescent="0.25">
      <c r="A2748" s="63"/>
    </row>
    <row r="2749" spans="1:1" x14ac:dyDescent="0.25">
      <c r="A2749" s="63"/>
    </row>
    <row r="2750" spans="1:1" x14ac:dyDescent="0.25">
      <c r="A2750" s="63"/>
    </row>
    <row r="2751" spans="1:1" x14ac:dyDescent="0.25">
      <c r="A2751" s="63"/>
    </row>
    <row r="2752" spans="1:1" x14ac:dyDescent="0.25">
      <c r="A2752" s="63"/>
    </row>
    <row r="2753" spans="1:1" x14ac:dyDescent="0.25">
      <c r="A2753" s="63"/>
    </row>
    <row r="2754" spans="1:1" x14ac:dyDescent="0.25">
      <c r="A2754" s="63"/>
    </row>
    <row r="2755" spans="1:1" x14ac:dyDescent="0.25">
      <c r="A2755" s="63"/>
    </row>
    <row r="2756" spans="1:1" x14ac:dyDescent="0.25">
      <c r="A2756" s="63"/>
    </row>
    <row r="2757" spans="1:1" x14ac:dyDescent="0.25">
      <c r="A2757" s="63"/>
    </row>
    <row r="2758" spans="1:1" x14ac:dyDescent="0.25">
      <c r="A2758" s="63"/>
    </row>
    <row r="2759" spans="1:1" x14ac:dyDescent="0.25">
      <c r="A2759" s="63"/>
    </row>
    <row r="2760" spans="1:1" x14ac:dyDescent="0.25">
      <c r="A2760" s="63"/>
    </row>
    <row r="2761" spans="1:1" x14ac:dyDescent="0.25">
      <c r="A2761" s="63"/>
    </row>
    <row r="2762" spans="1:1" x14ac:dyDescent="0.25">
      <c r="A2762" s="63"/>
    </row>
    <row r="2763" spans="1:1" x14ac:dyDescent="0.25">
      <c r="A2763" s="63"/>
    </row>
    <row r="2764" spans="1:1" x14ac:dyDescent="0.25">
      <c r="A2764" s="63"/>
    </row>
    <row r="2765" spans="1:1" x14ac:dyDescent="0.25">
      <c r="A2765" s="63"/>
    </row>
    <row r="2766" spans="1:1" x14ac:dyDescent="0.25">
      <c r="A2766" s="63"/>
    </row>
    <row r="2767" spans="1:1" x14ac:dyDescent="0.25">
      <c r="A2767" s="63"/>
    </row>
    <row r="2768" spans="1:1" x14ac:dyDescent="0.25">
      <c r="A2768" s="63"/>
    </row>
    <row r="2769" spans="1:1" x14ac:dyDescent="0.25">
      <c r="A2769" s="63"/>
    </row>
    <row r="2770" spans="1:1" x14ac:dyDescent="0.25">
      <c r="A2770" s="63"/>
    </row>
    <row r="2771" spans="1:1" x14ac:dyDescent="0.25">
      <c r="A2771" s="63"/>
    </row>
    <row r="2772" spans="1:1" x14ac:dyDescent="0.25">
      <c r="A2772" s="63"/>
    </row>
    <row r="2773" spans="1:1" x14ac:dyDescent="0.25">
      <c r="A2773" s="63"/>
    </row>
    <row r="2774" spans="1:1" x14ac:dyDescent="0.25">
      <c r="A2774" s="63"/>
    </row>
    <row r="2775" spans="1:1" x14ac:dyDescent="0.25">
      <c r="A2775" s="63"/>
    </row>
    <row r="2776" spans="1:1" x14ac:dyDescent="0.25">
      <c r="A2776" s="63"/>
    </row>
    <row r="2777" spans="1:1" x14ac:dyDescent="0.25">
      <c r="A2777" s="63"/>
    </row>
    <row r="2778" spans="1:1" x14ac:dyDescent="0.25">
      <c r="A2778" s="63"/>
    </row>
    <row r="2779" spans="1:1" x14ac:dyDescent="0.25">
      <c r="A2779" s="63"/>
    </row>
    <row r="2780" spans="1:1" x14ac:dyDescent="0.25">
      <c r="A2780" s="63"/>
    </row>
    <row r="2781" spans="1:1" x14ac:dyDescent="0.25">
      <c r="A2781" s="63"/>
    </row>
    <row r="2782" spans="1:1" x14ac:dyDescent="0.25">
      <c r="A2782" s="63"/>
    </row>
    <row r="2783" spans="1:1" x14ac:dyDescent="0.25">
      <c r="A2783" s="63"/>
    </row>
    <row r="2784" spans="1:1" x14ac:dyDescent="0.25">
      <c r="A2784" s="63"/>
    </row>
    <row r="2785" spans="1:1" x14ac:dyDescent="0.25">
      <c r="A2785" s="63"/>
    </row>
    <row r="2786" spans="1:1" x14ac:dyDescent="0.25">
      <c r="A2786" s="63"/>
    </row>
    <row r="2787" spans="1:1" x14ac:dyDescent="0.25">
      <c r="A2787" s="63"/>
    </row>
    <row r="2788" spans="1:1" x14ac:dyDescent="0.25">
      <c r="A2788" s="63"/>
    </row>
    <row r="2789" spans="1:1" x14ac:dyDescent="0.25">
      <c r="A2789" s="63"/>
    </row>
    <row r="2790" spans="1:1" x14ac:dyDescent="0.25">
      <c r="A2790" s="63"/>
    </row>
    <row r="2791" spans="1:1" x14ac:dyDescent="0.25">
      <c r="A2791" s="63"/>
    </row>
    <row r="2792" spans="1:1" x14ac:dyDescent="0.25">
      <c r="A2792" s="63"/>
    </row>
    <row r="2793" spans="1:1" x14ac:dyDescent="0.25">
      <c r="A2793" s="63"/>
    </row>
    <row r="2794" spans="1:1" x14ac:dyDescent="0.25">
      <c r="A2794" s="63"/>
    </row>
    <row r="2795" spans="1:1" x14ac:dyDescent="0.25">
      <c r="A2795" s="63"/>
    </row>
    <row r="2796" spans="1:1" x14ac:dyDescent="0.25">
      <c r="A2796" s="63"/>
    </row>
    <row r="2797" spans="1:1" x14ac:dyDescent="0.25">
      <c r="A2797" s="63"/>
    </row>
    <row r="2798" spans="1:1" x14ac:dyDescent="0.25">
      <c r="A2798" s="63"/>
    </row>
    <row r="2799" spans="1:1" x14ac:dyDescent="0.25">
      <c r="A2799" s="63"/>
    </row>
    <row r="2800" spans="1:1" x14ac:dyDescent="0.25">
      <c r="A2800" s="63"/>
    </row>
    <row r="2801" spans="1:1" x14ac:dyDescent="0.25">
      <c r="A2801" s="63"/>
    </row>
    <row r="2802" spans="1:1" x14ac:dyDescent="0.25">
      <c r="A2802" s="63"/>
    </row>
    <row r="2803" spans="1:1" x14ac:dyDescent="0.25">
      <c r="A2803" s="63"/>
    </row>
    <row r="2804" spans="1:1" x14ac:dyDescent="0.25">
      <c r="A2804" s="63"/>
    </row>
    <row r="2805" spans="1:1" x14ac:dyDescent="0.25">
      <c r="A2805" s="63"/>
    </row>
    <row r="2806" spans="1:1" x14ac:dyDescent="0.25">
      <c r="A2806" s="63"/>
    </row>
    <row r="2807" spans="1:1" x14ac:dyDescent="0.25">
      <c r="A2807" s="63"/>
    </row>
    <row r="2808" spans="1:1" x14ac:dyDescent="0.25">
      <c r="A2808" s="63"/>
    </row>
    <row r="2809" spans="1:1" x14ac:dyDescent="0.25">
      <c r="A2809" s="63"/>
    </row>
    <row r="2810" spans="1:1" x14ac:dyDescent="0.25">
      <c r="A2810" s="63"/>
    </row>
    <row r="2811" spans="1:1" x14ac:dyDescent="0.25">
      <c r="A2811" s="63"/>
    </row>
    <row r="2812" spans="1:1" x14ac:dyDescent="0.25">
      <c r="A2812" s="63"/>
    </row>
    <row r="2813" spans="1:1" x14ac:dyDescent="0.25">
      <c r="A2813" s="63"/>
    </row>
    <row r="2814" spans="1:1" x14ac:dyDescent="0.25">
      <c r="A2814" s="63"/>
    </row>
    <row r="2815" spans="1:1" x14ac:dyDescent="0.25">
      <c r="A2815" s="63"/>
    </row>
    <row r="2816" spans="1:1" x14ac:dyDescent="0.25">
      <c r="A2816" s="63"/>
    </row>
    <row r="2817" spans="1:1" x14ac:dyDescent="0.25">
      <c r="A2817" s="63"/>
    </row>
    <row r="2818" spans="1:1" x14ac:dyDescent="0.25">
      <c r="A2818" s="63"/>
    </row>
    <row r="2819" spans="1:1" x14ac:dyDescent="0.25">
      <c r="A2819" s="63"/>
    </row>
    <row r="2820" spans="1:1" x14ac:dyDescent="0.25">
      <c r="A2820" s="63"/>
    </row>
    <row r="2821" spans="1:1" x14ac:dyDescent="0.25">
      <c r="A2821" s="63"/>
    </row>
    <row r="2822" spans="1:1" x14ac:dyDescent="0.25">
      <c r="A2822" s="63"/>
    </row>
    <row r="2823" spans="1:1" x14ac:dyDescent="0.25">
      <c r="A2823" s="63"/>
    </row>
    <row r="2824" spans="1:1" x14ac:dyDescent="0.25">
      <c r="A2824" s="63"/>
    </row>
    <row r="2825" spans="1:1" x14ac:dyDescent="0.25">
      <c r="A2825" s="63"/>
    </row>
    <row r="2826" spans="1:1" x14ac:dyDescent="0.25">
      <c r="A2826" s="63"/>
    </row>
    <row r="2827" spans="1:1" x14ac:dyDescent="0.25">
      <c r="A2827" s="63"/>
    </row>
    <row r="2828" spans="1:1" x14ac:dyDescent="0.25">
      <c r="A2828" s="63"/>
    </row>
    <row r="2829" spans="1:1" x14ac:dyDescent="0.25">
      <c r="A2829" s="63"/>
    </row>
    <row r="2830" spans="1:1" x14ac:dyDescent="0.25">
      <c r="A2830" s="63"/>
    </row>
    <row r="2831" spans="1:1" x14ac:dyDescent="0.25">
      <c r="A2831" s="63"/>
    </row>
    <row r="2832" spans="1:1" x14ac:dyDescent="0.25">
      <c r="A2832" s="63"/>
    </row>
    <row r="2833" spans="1:1" x14ac:dyDescent="0.25">
      <c r="A2833" s="63"/>
    </row>
    <row r="2834" spans="1:1" x14ac:dyDescent="0.25">
      <c r="A2834" s="63"/>
    </row>
    <row r="2835" spans="1:1" x14ac:dyDescent="0.25">
      <c r="A2835" s="63"/>
    </row>
    <row r="2836" spans="1:1" x14ac:dyDescent="0.25">
      <c r="A2836" s="63"/>
    </row>
    <row r="2837" spans="1:1" x14ac:dyDescent="0.25">
      <c r="A2837" s="63"/>
    </row>
    <row r="2838" spans="1:1" x14ac:dyDescent="0.25">
      <c r="A2838" s="63"/>
    </row>
    <row r="2839" spans="1:1" x14ac:dyDescent="0.25">
      <c r="A2839" s="63"/>
    </row>
    <row r="2840" spans="1:1" x14ac:dyDescent="0.25">
      <c r="A2840" s="63"/>
    </row>
    <row r="2841" spans="1:1" x14ac:dyDescent="0.25">
      <c r="A2841" s="63"/>
    </row>
    <row r="2842" spans="1:1" x14ac:dyDescent="0.25">
      <c r="A2842" s="63"/>
    </row>
    <row r="2843" spans="1:1" x14ac:dyDescent="0.25">
      <c r="A2843" s="63"/>
    </row>
    <row r="2844" spans="1:1" x14ac:dyDescent="0.25">
      <c r="A2844" s="63"/>
    </row>
    <row r="2845" spans="1:1" x14ac:dyDescent="0.25">
      <c r="A2845" s="63"/>
    </row>
    <row r="2846" spans="1:1" x14ac:dyDescent="0.25">
      <c r="A2846" s="63"/>
    </row>
    <row r="2847" spans="1:1" x14ac:dyDescent="0.25">
      <c r="A2847" s="63"/>
    </row>
    <row r="2848" spans="1:1" x14ac:dyDescent="0.25">
      <c r="A2848" s="63"/>
    </row>
    <row r="2849" spans="1:1" x14ac:dyDescent="0.25">
      <c r="A2849" s="63"/>
    </row>
    <row r="2850" spans="1:1" x14ac:dyDescent="0.25">
      <c r="A2850" s="63"/>
    </row>
    <row r="2851" spans="1:1" x14ac:dyDescent="0.25">
      <c r="A2851" s="63"/>
    </row>
    <row r="2852" spans="1:1" x14ac:dyDescent="0.25">
      <c r="A2852" s="63"/>
    </row>
    <row r="2853" spans="1:1" x14ac:dyDescent="0.25">
      <c r="A2853" s="63"/>
    </row>
    <row r="2854" spans="1:1" x14ac:dyDescent="0.25">
      <c r="A2854" s="63"/>
    </row>
    <row r="2855" spans="1:1" x14ac:dyDescent="0.25">
      <c r="A2855" s="63"/>
    </row>
    <row r="2856" spans="1:1" x14ac:dyDescent="0.25">
      <c r="A2856" s="63"/>
    </row>
    <row r="2857" spans="1:1" x14ac:dyDescent="0.25">
      <c r="A2857" s="63"/>
    </row>
    <row r="2858" spans="1:1" x14ac:dyDescent="0.25">
      <c r="A2858" s="63"/>
    </row>
    <row r="2859" spans="1:1" x14ac:dyDescent="0.25">
      <c r="A2859" s="63"/>
    </row>
    <row r="2860" spans="1:1" x14ac:dyDescent="0.25">
      <c r="A2860" s="63"/>
    </row>
    <row r="2861" spans="1:1" x14ac:dyDescent="0.25">
      <c r="A2861" s="63"/>
    </row>
    <row r="2862" spans="1:1" x14ac:dyDescent="0.25">
      <c r="A2862" s="63"/>
    </row>
    <row r="2863" spans="1:1" x14ac:dyDescent="0.25">
      <c r="A2863" s="63"/>
    </row>
    <row r="2864" spans="1:1" x14ac:dyDescent="0.25">
      <c r="A2864" s="63"/>
    </row>
    <row r="2865" spans="1:1" x14ac:dyDescent="0.25">
      <c r="A2865" s="63"/>
    </row>
    <row r="2866" spans="1:1" x14ac:dyDescent="0.25">
      <c r="A2866" s="63"/>
    </row>
    <row r="2867" spans="1:1" x14ac:dyDescent="0.25">
      <c r="A2867" s="63"/>
    </row>
    <row r="2868" spans="1:1" x14ac:dyDescent="0.25">
      <c r="A2868" s="63"/>
    </row>
    <row r="2869" spans="1:1" x14ac:dyDescent="0.25">
      <c r="A2869" s="63"/>
    </row>
    <row r="2870" spans="1:1" x14ac:dyDescent="0.25">
      <c r="A2870" s="63"/>
    </row>
    <row r="2871" spans="1:1" x14ac:dyDescent="0.25">
      <c r="A2871" s="63"/>
    </row>
    <row r="2872" spans="1:1" x14ac:dyDescent="0.25">
      <c r="A2872" s="63"/>
    </row>
    <row r="2873" spans="1:1" x14ac:dyDescent="0.25">
      <c r="A2873" s="63"/>
    </row>
    <row r="2874" spans="1:1" x14ac:dyDescent="0.25">
      <c r="A2874" s="63"/>
    </row>
    <row r="2875" spans="1:1" x14ac:dyDescent="0.25">
      <c r="A2875" s="63"/>
    </row>
    <row r="2876" spans="1:1" x14ac:dyDescent="0.25">
      <c r="A2876" s="63"/>
    </row>
    <row r="2877" spans="1:1" x14ac:dyDescent="0.25">
      <c r="A2877" s="63"/>
    </row>
    <row r="2878" spans="1:1" x14ac:dyDescent="0.25">
      <c r="A2878" s="63"/>
    </row>
    <row r="2879" spans="1:1" x14ac:dyDescent="0.25">
      <c r="A2879" s="63"/>
    </row>
    <row r="2880" spans="1:1" x14ac:dyDescent="0.25">
      <c r="A2880" s="63"/>
    </row>
    <row r="2881" spans="1:1" x14ac:dyDescent="0.25">
      <c r="A2881" s="63"/>
    </row>
    <row r="2882" spans="1:1" x14ac:dyDescent="0.25">
      <c r="A2882" s="63"/>
    </row>
    <row r="2883" spans="1:1" x14ac:dyDescent="0.25">
      <c r="A2883" s="63"/>
    </row>
    <row r="2884" spans="1:1" x14ac:dyDescent="0.25">
      <c r="A2884" s="63"/>
    </row>
    <row r="2885" spans="1:1" x14ac:dyDescent="0.25">
      <c r="A2885" s="63"/>
    </row>
    <row r="2886" spans="1:1" x14ac:dyDescent="0.25">
      <c r="A2886" s="63"/>
    </row>
    <row r="2887" spans="1:1" x14ac:dyDescent="0.25">
      <c r="A2887" s="63"/>
    </row>
    <row r="2888" spans="1:1" x14ac:dyDescent="0.25">
      <c r="A2888" s="63"/>
    </row>
    <row r="2889" spans="1:1" x14ac:dyDescent="0.25">
      <c r="A2889" s="63"/>
    </row>
    <row r="2890" spans="1:1" x14ac:dyDescent="0.25">
      <c r="A2890" s="63"/>
    </row>
    <row r="2891" spans="1:1" x14ac:dyDescent="0.25">
      <c r="A2891" s="63"/>
    </row>
    <row r="2892" spans="1:1" x14ac:dyDescent="0.25">
      <c r="A2892" s="63"/>
    </row>
    <row r="2893" spans="1:1" x14ac:dyDescent="0.25">
      <c r="A2893" s="63"/>
    </row>
    <row r="2894" spans="1:1" x14ac:dyDescent="0.25">
      <c r="A2894" s="63"/>
    </row>
    <row r="2895" spans="1:1" x14ac:dyDescent="0.25">
      <c r="A2895" s="63"/>
    </row>
    <row r="2896" spans="1:1" x14ac:dyDescent="0.25">
      <c r="A2896" s="63"/>
    </row>
    <row r="2897" spans="1:1" x14ac:dyDescent="0.25">
      <c r="A2897" s="63"/>
    </row>
    <row r="2898" spans="1:1" x14ac:dyDescent="0.25">
      <c r="A2898" s="63"/>
    </row>
    <row r="2899" spans="1:1" x14ac:dyDescent="0.25">
      <c r="A2899" s="63"/>
    </row>
    <row r="2900" spans="1:1" x14ac:dyDescent="0.25">
      <c r="A2900" s="63"/>
    </row>
    <row r="2901" spans="1:1" x14ac:dyDescent="0.25">
      <c r="A2901" s="63"/>
    </row>
    <row r="2902" spans="1:1" x14ac:dyDescent="0.25">
      <c r="A2902" s="63"/>
    </row>
    <row r="2903" spans="1:1" x14ac:dyDescent="0.25">
      <c r="A2903" s="63"/>
    </row>
    <row r="2904" spans="1:1" x14ac:dyDescent="0.25">
      <c r="A2904" s="63"/>
    </row>
    <row r="2905" spans="1:1" x14ac:dyDescent="0.25">
      <c r="A2905" s="63"/>
    </row>
    <row r="2906" spans="1:1" x14ac:dyDescent="0.25">
      <c r="A2906" s="63"/>
    </row>
    <row r="2907" spans="1:1" x14ac:dyDescent="0.25">
      <c r="A2907" s="63"/>
    </row>
    <row r="2908" spans="1:1" x14ac:dyDescent="0.25">
      <c r="A2908" s="63"/>
    </row>
    <row r="2909" spans="1:1" x14ac:dyDescent="0.25">
      <c r="A2909" s="63"/>
    </row>
    <row r="2910" spans="1:1" x14ac:dyDescent="0.25">
      <c r="A2910" s="63"/>
    </row>
    <row r="2911" spans="1:1" x14ac:dyDescent="0.25">
      <c r="A2911" s="63"/>
    </row>
    <row r="2912" spans="1:1" x14ac:dyDescent="0.25">
      <c r="A2912" s="63"/>
    </row>
    <row r="2913" spans="1:1" x14ac:dyDescent="0.25">
      <c r="A2913" s="63"/>
    </row>
    <row r="2914" spans="1:1" x14ac:dyDescent="0.25">
      <c r="A2914" s="63"/>
    </row>
    <row r="2915" spans="1:1" x14ac:dyDescent="0.25">
      <c r="A2915" s="63"/>
    </row>
    <row r="2916" spans="1:1" x14ac:dyDescent="0.25">
      <c r="A2916" s="63"/>
    </row>
    <row r="2917" spans="1:1" x14ac:dyDescent="0.25">
      <c r="A2917" s="63"/>
    </row>
    <row r="2918" spans="1:1" x14ac:dyDescent="0.25">
      <c r="A2918" s="63"/>
    </row>
    <row r="2919" spans="1:1" x14ac:dyDescent="0.25">
      <c r="A2919" s="63"/>
    </row>
    <row r="2920" spans="1:1" x14ac:dyDescent="0.25">
      <c r="A2920" s="63"/>
    </row>
    <row r="2921" spans="1:1" x14ac:dyDescent="0.25">
      <c r="A2921" s="63"/>
    </row>
    <row r="2922" spans="1:1" x14ac:dyDescent="0.25">
      <c r="A2922" s="63"/>
    </row>
    <row r="2923" spans="1:1" x14ac:dyDescent="0.25">
      <c r="A2923" s="63"/>
    </row>
    <row r="2924" spans="1:1" x14ac:dyDescent="0.25">
      <c r="A2924" s="63"/>
    </row>
    <row r="2925" spans="1:1" x14ac:dyDescent="0.25">
      <c r="A2925" s="63"/>
    </row>
    <row r="2926" spans="1:1" x14ac:dyDescent="0.25">
      <c r="A2926" s="63"/>
    </row>
    <row r="2927" spans="1:1" x14ac:dyDescent="0.25">
      <c r="A2927" s="63"/>
    </row>
    <row r="2928" spans="1:1" x14ac:dyDescent="0.25">
      <c r="A2928" s="63"/>
    </row>
    <row r="2929" spans="1:1" x14ac:dyDescent="0.25">
      <c r="A2929" s="63"/>
    </row>
    <row r="2930" spans="1:1" x14ac:dyDescent="0.25">
      <c r="A2930" s="63"/>
    </row>
    <row r="2931" spans="1:1" x14ac:dyDescent="0.25">
      <c r="A2931" s="63"/>
    </row>
    <row r="2932" spans="1:1" x14ac:dyDescent="0.25">
      <c r="A2932" s="63"/>
    </row>
    <row r="2933" spans="1:1" x14ac:dyDescent="0.25">
      <c r="A2933" s="63"/>
    </row>
    <row r="2934" spans="1:1" x14ac:dyDescent="0.25">
      <c r="A2934" s="63"/>
    </row>
    <row r="2935" spans="1:1" x14ac:dyDescent="0.25">
      <c r="A2935" s="63"/>
    </row>
    <row r="2936" spans="1:1" x14ac:dyDescent="0.25">
      <c r="A2936" s="63"/>
    </row>
    <row r="2937" spans="1:1" x14ac:dyDescent="0.25">
      <c r="A2937" s="63"/>
    </row>
    <row r="2938" spans="1:1" x14ac:dyDescent="0.25">
      <c r="A2938" s="63"/>
    </row>
    <row r="2939" spans="1:1" x14ac:dyDescent="0.25">
      <c r="A2939" s="63"/>
    </row>
    <row r="2940" spans="1:1" x14ac:dyDescent="0.25">
      <c r="A2940" s="63"/>
    </row>
    <row r="2941" spans="1:1" x14ac:dyDescent="0.25">
      <c r="A2941" s="63"/>
    </row>
    <row r="2942" spans="1:1" x14ac:dyDescent="0.25">
      <c r="A2942" s="63"/>
    </row>
    <row r="2943" spans="1:1" x14ac:dyDescent="0.25">
      <c r="A2943" s="63"/>
    </row>
    <row r="2944" spans="1:1" x14ac:dyDescent="0.25">
      <c r="A2944" s="63"/>
    </row>
    <row r="2945" spans="1:1" x14ac:dyDescent="0.25">
      <c r="A2945" s="63"/>
    </row>
    <row r="2946" spans="1:1" x14ac:dyDescent="0.25">
      <c r="A2946" s="63"/>
    </row>
    <row r="2947" spans="1:1" x14ac:dyDescent="0.25">
      <c r="A2947" s="63"/>
    </row>
    <row r="2948" spans="1:1" x14ac:dyDescent="0.25">
      <c r="A2948" s="63"/>
    </row>
    <row r="2949" spans="1:1" x14ac:dyDescent="0.25">
      <c r="A2949" s="63"/>
    </row>
    <row r="2950" spans="1:1" x14ac:dyDescent="0.25">
      <c r="A2950" s="63"/>
    </row>
    <row r="2951" spans="1:1" x14ac:dyDescent="0.25">
      <c r="A2951" s="63"/>
    </row>
    <row r="2952" spans="1:1" x14ac:dyDescent="0.25">
      <c r="A2952" s="63"/>
    </row>
    <row r="2953" spans="1:1" x14ac:dyDescent="0.25">
      <c r="A2953" s="63"/>
    </row>
    <row r="2954" spans="1:1" x14ac:dyDescent="0.25">
      <c r="A2954" s="63"/>
    </row>
    <row r="2955" spans="1:1" x14ac:dyDescent="0.25">
      <c r="A2955" s="63"/>
    </row>
    <row r="2956" spans="1:1" x14ac:dyDescent="0.25">
      <c r="A2956" s="63"/>
    </row>
    <row r="2957" spans="1:1" x14ac:dyDescent="0.25">
      <c r="A2957" s="63"/>
    </row>
    <row r="2958" spans="1:1" x14ac:dyDescent="0.25">
      <c r="A2958" s="63"/>
    </row>
    <row r="2959" spans="1:1" x14ac:dyDescent="0.25">
      <c r="A2959" s="63"/>
    </row>
    <row r="2960" spans="1:1" x14ac:dyDescent="0.25">
      <c r="A2960" s="63"/>
    </row>
    <row r="2961" spans="1:1" x14ac:dyDescent="0.25">
      <c r="A2961" s="63"/>
    </row>
    <row r="2962" spans="1:1" x14ac:dyDescent="0.25">
      <c r="A2962" s="63"/>
    </row>
    <row r="2963" spans="1:1" x14ac:dyDescent="0.25">
      <c r="A2963" s="63"/>
    </row>
    <row r="2964" spans="1:1" x14ac:dyDescent="0.25">
      <c r="A2964" s="63"/>
    </row>
    <row r="2965" spans="1:1" x14ac:dyDescent="0.25">
      <c r="A2965" s="63"/>
    </row>
    <row r="2966" spans="1:1" x14ac:dyDescent="0.25">
      <c r="A2966" s="63"/>
    </row>
    <row r="2967" spans="1:1" x14ac:dyDescent="0.25">
      <c r="A2967" s="63"/>
    </row>
    <row r="2968" spans="1:1" x14ac:dyDescent="0.25">
      <c r="A2968" s="63"/>
    </row>
    <row r="2969" spans="1:1" x14ac:dyDescent="0.25">
      <c r="A2969" s="63"/>
    </row>
    <row r="2970" spans="1:1" x14ac:dyDescent="0.25">
      <c r="A2970" s="63"/>
    </row>
    <row r="2971" spans="1:1" x14ac:dyDescent="0.25">
      <c r="A2971" s="63"/>
    </row>
    <row r="2972" spans="1:1" x14ac:dyDescent="0.25">
      <c r="A2972" s="63"/>
    </row>
    <row r="2973" spans="1:1" x14ac:dyDescent="0.25">
      <c r="A2973" s="63"/>
    </row>
    <row r="2974" spans="1:1" x14ac:dyDescent="0.25">
      <c r="A2974" s="63"/>
    </row>
    <row r="2975" spans="1:1" x14ac:dyDescent="0.25">
      <c r="A2975" s="63"/>
    </row>
    <row r="2976" spans="1:1" x14ac:dyDescent="0.25">
      <c r="A2976" s="63"/>
    </row>
    <row r="2977" spans="1:1" x14ac:dyDescent="0.25">
      <c r="A2977" s="63"/>
    </row>
    <row r="2978" spans="1:1" x14ac:dyDescent="0.25">
      <c r="A2978" s="63"/>
    </row>
    <row r="2979" spans="1:1" x14ac:dyDescent="0.25">
      <c r="A2979" s="63"/>
    </row>
    <row r="2980" spans="1:1" x14ac:dyDescent="0.25">
      <c r="A2980" s="63"/>
    </row>
    <row r="2981" spans="1:1" x14ac:dyDescent="0.25">
      <c r="A2981" s="63"/>
    </row>
    <row r="2982" spans="1:1" x14ac:dyDescent="0.25">
      <c r="A2982" s="63"/>
    </row>
    <row r="2983" spans="1:1" x14ac:dyDescent="0.25">
      <c r="A2983" s="63"/>
    </row>
    <row r="2984" spans="1:1" x14ac:dyDescent="0.25">
      <c r="A2984" s="63"/>
    </row>
    <row r="2985" spans="1:1" x14ac:dyDescent="0.25">
      <c r="A2985" s="63"/>
    </row>
    <row r="2986" spans="1:1" x14ac:dyDescent="0.25">
      <c r="A2986" s="63"/>
    </row>
    <row r="2987" spans="1:1" x14ac:dyDescent="0.25">
      <c r="A2987" s="63"/>
    </row>
    <row r="2988" spans="1:1" x14ac:dyDescent="0.25">
      <c r="A2988" s="63"/>
    </row>
    <row r="2989" spans="1:1" x14ac:dyDescent="0.25">
      <c r="A2989" s="63"/>
    </row>
    <row r="2990" spans="1:1" x14ac:dyDescent="0.25">
      <c r="A2990" s="63"/>
    </row>
    <row r="2991" spans="1:1" x14ac:dyDescent="0.25">
      <c r="A2991" s="63"/>
    </row>
    <row r="2992" spans="1:1" x14ac:dyDescent="0.25">
      <c r="A2992" s="63"/>
    </row>
    <row r="2993" spans="1:1" x14ac:dyDescent="0.25">
      <c r="A2993" s="63"/>
    </row>
    <row r="2994" spans="1:1" x14ac:dyDescent="0.25">
      <c r="A2994" s="63"/>
    </row>
    <row r="2995" spans="1:1" x14ac:dyDescent="0.25">
      <c r="A2995" s="63"/>
    </row>
    <row r="2996" spans="1:1" x14ac:dyDescent="0.25">
      <c r="A2996" s="63"/>
    </row>
    <row r="2997" spans="1:1" x14ac:dyDescent="0.25">
      <c r="A2997" s="63"/>
    </row>
    <row r="2998" spans="1:1" x14ac:dyDescent="0.25">
      <c r="A2998" s="63"/>
    </row>
    <row r="2999" spans="1:1" x14ac:dyDescent="0.25">
      <c r="A2999" s="63"/>
    </row>
    <row r="3000" spans="1:1" x14ac:dyDescent="0.25">
      <c r="A3000" s="63"/>
    </row>
    <row r="3001" spans="1:1" x14ac:dyDescent="0.25">
      <c r="A3001" s="63"/>
    </row>
    <row r="3002" spans="1:1" x14ac:dyDescent="0.25">
      <c r="A3002" s="63"/>
    </row>
    <row r="3003" spans="1:1" x14ac:dyDescent="0.25">
      <c r="A3003" s="63"/>
    </row>
    <row r="3004" spans="1:1" x14ac:dyDescent="0.25">
      <c r="A3004" s="63"/>
    </row>
    <row r="3005" spans="1:1" x14ac:dyDescent="0.25">
      <c r="A3005" s="63"/>
    </row>
    <row r="3006" spans="1:1" x14ac:dyDescent="0.25">
      <c r="A3006" s="63"/>
    </row>
    <row r="3007" spans="1:1" x14ac:dyDescent="0.25">
      <c r="A3007" s="63"/>
    </row>
    <row r="3008" spans="1:1" x14ac:dyDescent="0.25">
      <c r="A3008" s="63"/>
    </row>
    <row r="3009" spans="1:1" x14ac:dyDescent="0.25">
      <c r="A3009" s="63"/>
    </row>
    <row r="3010" spans="1:1" x14ac:dyDescent="0.25">
      <c r="A3010" s="63"/>
    </row>
    <row r="3011" spans="1:1" x14ac:dyDescent="0.25">
      <c r="A3011" s="63"/>
    </row>
    <row r="3012" spans="1:1" x14ac:dyDescent="0.25">
      <c r="A3012" s="63"/>
    </row>
    <row r="3013" spans="1:1" x14ac:dyDescent="0.25">
      <c r="A3013" s="63"/>
    </row>
    <row r="3014" spans="1:1" x14ac:dyDescent="0.25">
      <c r="A3014" s="63"/>
    </row>
    <row r="3015" spans="1:1" x14ac:dyDescent="0.25">
      <c r="A3015" s="63"/>
    </row>
    <row r="3016" spans="1:1" x14ac:dyDescent="0.25">
      <c r="A3016" s="63"/>
    </row>
    <row r="3017" spans="1:1" x14ac:dyDescent="0.25">
      <c r="A3017" s="63"/>
    </row>
    <row r="3018" spans="1:1" x14ac:dyDescent="0.25">
      <c r="A3018" s="63"/>
    </row>
    <row r="3019" spans="1:1" x14ac:dyDescent="0.25">
      <c r="A3019" s="63"/>
    </row>
    <row r="3020" spans="1:1" x14ac:dyDescent="0.25">
      <c r="A3020" s="63"/>
    </row>
    <row r="3021" spans="1:1" x14ac:dyDescent="0.25">
      <c r="A3021" s="63"/>
    </row>
    <row r="3022" spans="1:1" x14ac:dyDescent="0.25">
      <c r="A3022" s="63"/>
    </row>
    <row r="3023" spans="1:1" x14ac:dyDescent="0.25">
      <c r="A3023" s="63"/>
    </row>
    <row r="3024" spans="1:1" x14ac:dyDescent="0.25">
      <c r="A3024" s="63"/>
    </row>
    <row r="3025" spans="1:1" x14ac:dyDescent="0.25">
      <c r="A3025" s="63"/>
    </row>
    <row r="3026" spans="1:1" x14ac:dyDescent="0.25">
      <c r="A3026" s="63"/>
    </row>
    <row r="3027" spans="1:1" x14ac:dyDescent="0.25">
      <c r="A3027" s="63"/>
    </row>
    <row r="3028" spans="1:1" x14ac:dyDescent="0.25">
      <c r="A3028" s="63"/>
    </row>
    <row r="3029" spans="1:1" x14ac:dyDescent="0.25">
      <c r="A3029" s="63"/>
    </row>
    <row r="3030" spans="1:1" x14ac:dyDescent="0.25">
      <c r="A3030" s="63"/>
    </row>
    <row r="3031" spans="1:1" x14ac:dyDescent="0.25">
      <c r="A3031" s="63"/>
    </row>
    <row r="3032" spans="1:1" x14ac:dyDescent="0.25">
      <c r="A3032" s="63"/>
    </row>
    <row r="3033" spans="1:1" x14ac:dyDescent="0.25">
      <c r="A3033" s="63"/>
    </row>
    <row r="3034" spans="1:1" x14ac:dyDescent="0.25">
      <c r="A3034" s="63"/>
    </row>
    <row r="3035" spans="1:1" x14ac:dyDescent="0.25">
      <c r="A3035" s="63"/>
    </row>
    <row r="3036" spans="1:1" x14ac:dyDescent="0.25">
      <c r="A3036" s="63"/>
    </row>
    <row r="3037" spans="1:1" x14ac:dyDescent="0.25">
      <c r="A3037" s="63"/>
    </row>
    <row r="3038" spans="1:1" x14ac:dyDescent="0.25">
      <c r="A3038" s="63"/>
    </row>
    <row r="3039" spans="1:1" x14ac:dyDescent="0.25">
      <c r="A3039" s="63"/>
    </row>
    <row r="3040" spans="1:1" x14ac:dyDescent="0.25">
      <c r="A3040" s="63"/>
    </row>
    <row r="3041" spans="1:1" x14ac:dyDescent="0.25">
      <c r="A3041" s="63"/>
    </row>
    <row r="3042" spans="1:1" x14ac:dyDescent="0.25">
      <c r="A3042" s="63"/>
    </row>
    <row r="3043" spans="1:1" x14ac:dyDescent="0.25">
      <c r="A3043" s="63"/>
    </row>
    <row r="3044" spans="1:1" x14ac:dyDescent="0.25">
      <c r="A3044" s="63"/>
    </row>
    <row r="3045" spans="1:1" x14ac:dyDescent="0.25">
      <c r="A3045" s="63"/>
    </row>
    <row r="3046" spans="1:1" x14ac:dyDescent="0.25">
      <c r="A3046" s="63"/>
    </row>
    <row r="3047" spans="1:1" x14ac:dyDescent="0.25">
      <c r="A3047" s="63"/>
    </row>
    <row r="3048" spans="1:1" x14ac:dyDescent="0.25">
      <c r="A3048" s="63"/>
    </row>
    <row r="3049" spans="1:1" x14ac:dyDescent="0.25">
      <c r="A3049" s="63"/>
    </row>
    <row r="3050" spans="1:1" x14ac:dyDescent="0.25">
      <c r="A3050" s="63"/>
    </row>
    <row r="3051" spans="1:1" x14ac:dyDescent="0.25">
      <c r="A3051" s="63"/>
    </row>
    <row r="3052" spans="1:1" x14ac:dyDescent="0.25">
      <c r="A3052" s="63"/>
    </row>
    <row r="3053" spans="1:1" x14ac:dyDescent="0.25">
      <c r="A3053" s="63"/>
    </row>
    <row r="3054" spans="1:1" x14ac:dyDescent="0.25">
      <c r="A3054" s="63"/>
    </row>
    <row r="3055" spans="1:1" x14ac:dyDescent="0.25">
      <c r="A3055" s="63"/>
    </row>
    <row r="3056" spans="1:1" x14ac:dyDescent="0.25">
      <c r="A3056" s="63"/>
    </row>
    <row r="3057" spans="1:1" x14ac:dyDescent="0.25">
      <c r="A3057" s="63"/>
    </row>
    <row r="3058" spans="1:1" x14ac:dyDescent="0.25">
      <c r="A3058" s="63"/>
    </row>
    <row r="3059" spans="1:1" x14ac:dyDescent="0.25">
      <c r="A3059" s="63"/>
    </row>
    <row r="3060" spans="1:1" x14ac:dyDescent="0.25">
      <c r="A3060" s="63"/>
    </row>
    <row r="3061" spans="1:1" x14ac:dyDescent="0.25">
      <c r="A3061" s="63"/>
    </row>
    <row r="3062" spans="1:1" x14ac:dyDescent="0.25">
      <c r="A3062" s="63"/>
    </row>
    <row r="3063" spans="1:1" x14ac:dyDescent="0.25">
      <c r="A3063" s="63"/>
    </row>
    <row r="3064" spans="1:1" x14ac:dyDescent="0.25">
      <c r="A3064" s="63"/>
    </row>
    <row r="3065" spans="1:1" x14ac:dyDescent="0.25">
      <c r="A3065" s="63"/>
    </row>
    <row r="3066" spans="1:1" x14ac:dyDescent="0.25">
      <c r="A3066" s="63"/>
    </row>
    <row r="3067" spans="1:1" x14ac:dyDescent="0.25">
      <c r="A3067" s="63"/>
    </row>
    <row r="3068" spans="1:1" x14ac:dyDescent="0.25">
      <c r="A3068" s="63"/>
    </row>
    <row r="3069" spans="1:1" x14ac:dyDescent="0.25">
      <c r="A3069" s="63"/>
    </row>
    <row r="3070" spans="1:1" x14ac:dyDescent="0.25">
      <c r="A3070" s="63"/>
    </row>
    <row r="3071" spans="1:1" x14ac:dyDescent="0.25">
      <c r="A3071" s="63"/>
    </row>
    <row r="3072" spans="1:1" x14ac:dyDescent="0.25">
      <c r="A3072" s="63"/>
    </row>
    <row r="3073" spans="1:1" x14ac:dyDescent="0.25">
      <c r="A3073" s="63"/>
    </row>
    <row r="3074" spans="1:1" x14ac:dyDescent="0.25">
      <c r="A3074" s="63"/>
    </row>
    <row r="3075" spans="1:1" x14ac:dyDescent="0.25">
      <c r="A3075" s="63"/>
    </row>
    <row r="3076" spans="1:1" x14ac:dyDescent="0.25">
      <c r="A3076" s="63"/>
    </row>
    <row r="3077" spans="1:1" x14ac:dyDescent="0.25">
      <c r="A3077" s="63"/>
    </row>
    <row r="3078" spans="1:1" x14ac:dyDescent="0.25">
      <c r="A3078" s="63"/>
    </row>
    <row r="3079" spans="1:1" x14ac:dyDescent="0.25">
      <c r="A3079" s="63"/>
    </row>
    <row r="3080" spans="1:1" x14ac:dyDescent="0.25">
      <c r="A3080" s="63"/>
    </row>
    <row r="3081" spans="1:1" x14ac:dyDescent="0.25">
      <c r="A3081" s="63"/>
    </row>
    <row r="3082" spans="1:1" x14ac:dyDescent="0.25">
      <c r="A3082" s="63"/>
    </row>
    <row r="3083" spans="1:1" x14ac:dyDescent="0.25">
      <c r="A3083" s="63"/>
    </row>
    <row r="3084" spans="1:1" x14ac:dyDescent="0.25">
      <c r="A3084" s="63"/>
    </row>
    <row r="3085" spans="1:1" x14ac:dyDescent="0.25">
      <c r="A3085" s="63"/>
    </row>
    <row r="3086" spans="1:1" x14ac:dyDescent="0.25">
      <c r="A3086" s="63"/>
    </row>
    <row r="3087" spans="1:1" x14ac:dyDescent="0.25">
      <c r="A3087" s="63"/>
    </row>
    <row r="3088" spans="1:1" x14ac:dyDescent="0.25">
      <c r="A3088" s="63"/>
    </row>
    <row r="3089" spans="1:1" x14ac:dyDescent="0.25">
      <c r="A3089" s="63"/>
    </row>
    <row r="3090" spans="1:1" x14ac:dyDescent="0.25">
      <c r="A3090" s="63"/>
    </row>
    <row r="3091" spans="1:1" x14ac:dyDescent="0.25">
      <c r="A3091" s="63"/>
    </row>
    <row r="3092" spans="1:1" x14ac:dyDescent="0.25">
      <c r="A3092" s="63"/>
    </row>
    <row r="3093" spans="1:1" x14ac:dyDescent="0.25">
      <c r="A3093" s="63"/>
    </row>
    <row r="3094" spans="1:1" x14ac:dyDescent="0.25">
      <c r="A3094" s="63"/>
    </row>
    <row r="3095" spans="1:1" x14ac:dyDescent="0.25">
      <c r="A3095" s="63"/>
    </row>
    <row r="3096" spans="1:1" x14ac:dyDescent="0.25">
      <c r="A3096" s="63"/>
    </row>
    <row r="3097" spans="1:1" x14ac:dyDescent="0.25">
      <c r="A3097" s="63"/>
    </row>
    <row r="3098" spans="1:1" x14ac:dyDescent="0.25">
      <c r="A3098" s="63"/>
    </row>
    <row r="3099" spans="1:1" x14ac:dyDescent="0.25">
      <c r="A3099" s="63"/>
    </row>
    <row r="3100" spans="1:1" x14ac:dyDescent="0.25">
      <c r="A3100" s="63"/>
    </row>
    <row r="3101" spans="1:1" x14ac:dyDescent="0.25">
      <c r="A3101" s="63"/>
    </row>
    <row r="3102" spans="1:1" x14ac:dyDescent="0.25">
      <c r="A3102" s="63"/>
    </row>
    <row r="3103" spans="1:1" x14ac:dyDescent="0.25">
      <c r="A3103" s="63"/>
    </row>
    <row r="3104" spans="1:1" x14ac:dyDescent="0.25">
      <c r="A3104" s="63"/>
    </row>
    <row r="3105" spans="1:1" x14ac:dyDescent="0.25">
      <c r="A3105" s="63"/>
    </row>
    <row r="3106" spans="1:1" x14ac:dyDescent="0.25">
      <c r="A3106" s="63"/>
    </row>
    <row r="3107" spans="1:1" x14ac:dyDescent="0.25">
      <c r="A3107" s="63"/>
    </row>
    <row r="3108" spans="1:1" x14ac:dyDescent="0.25">
      <c r="A3108" s="63"/>
    </row>
    <row r="3109" spans="1:1" x14ac:dyDescent="0.25">
      <c r="A3109" s="63"/>
    </row>
    <row r="3110" spans="1:1" x14ac:dyDescent="0.25">
      <c r="A3110" s="63"/>
    </row>
    <row r="3111" spans="1:1" x14ac:dyDescent="0.25">
      <c r="A3111" s="63"/>
    </row>
    <row r="3112" spans="1:1" x14ac:dyDescent="0.25">
      <c r="A3112" s="63"/>
    </row>
    <row r="3113" spans="1:1" x14ac:dyDescent="0.25">
      <c r="A3113" s="63"/>
    </row>
    <row r="3114" spans="1:1" x14ac:dyDescent="0.25">
      <c r="A3114" s="63"/>
    </row>
    <row r="3115" spans="1:1" x14ac:dyDescent="0.25">
      <c r="A3115" s="63"/>
    </row>
    <row r="3116" spans="1:1" x14ac:dyDescent="0.25">
      <c r="A3116" s="63"/>
    </row>
    <row r="3117" spans="1:1" x14ac:dyDescent="0.25">
      <c r="A3117" s="63"/>
    </row>
    <row r="3118" spans="1:1" x14ac:dyDescent="0.25">
      <c r="A3118" s="63"/>
    </row>
    <row r="3119" spans="1:1" x14ac:dyDescent="0.25">
      <c r="A3119" s="63"/>
    </row>
    <row r="3120" spans="1:1" x14ac:dyDescent="0.25">
      <c r="A3120" s="63"/>
    </row>
    <row r="3121" spans="1:1" x14ac:dyDescent="0.25">
      <c r="A3121" s="63"/>
    </row>
    <row r="3122" spans="1:1" x14ac:dyDescent="0.25">
      <c r="A3122" s="63"/>
    </row>
    <row r="3123" spans="1:1" x14ac:dyDescent="0.25">
      <c r="A3123" s="63"/>
    </row>
    <row r="3124" spans="1:1" x14ac:dyDescent="0.25">
      <c r="A3124" s="63"/>
    </row>
    <row r="3125" spans="1:1" x14ac:dyDescent="0.25">
      <c r="A3125" s="63"/>
    </row>
    <row r="3126" spans="1:1" x14ac:dyDescent="0.25">
      <c r="A3126" s="63"/>
    </row>
    <row r="3127" spans="1:1" x14ac:dyDescent="0.25">
      <c r="A3127" s="63"/>
    </row>
    <row r="3128" spans="1:1" x14ac:dyDescent="0.25">
      <c r="A3128" s="63"/>
    </row>
    <row r="3129" spans="1:1" x14ac:dyDescent="0.25">
      <c r="A3129" s="63"/>
    </row>
    <row r="3130" spans="1:1" x14ac:dyDescent="0.25">
      <c r="A3130" s="63"/>
    </row>
    <row r="3131" spans="1:1" x14ac:dyDescent="0.25">
      <c r="A3131" s="63"/>
    </row>
    <row r="3132" spans="1:1" x14ac:dyDescent="0.25">
      <c r="A3132" s="63"/>
    </row>
    <row r="3133" spans="1:1" x14ac:dyDescent="0.25">
      <c r="A3133" s="63"/>
    </row>
    <row r="3134" spans="1:1" x14ac:dyDescent="0.25">
      <c r="A3134" s="63"/>
    </row>
    <row r="3135" spans="1:1" x14ac:dyDescent="0.25">
      <c r="A3135" s="63"/>
    </row>
    <row r="3136" spans="1:1" x14ac:dyDescent="0.25">
      <c r="A3136" s="63"/>
    </row>
    <row r="3137" spans="1:1" x14ac:dyDescent="0.25">
      <c r="A3137" s="63"/>
    </row>
    <row r="3138" spans="1:1" x14ac:dyDescent="0.25">
      <c r="A3138" s="63"/>
    </row>
    <row r="3139" spans="1:1" x14ac:dyDescent="0.25">
      <c r="A3139" s="63"/>
    </row>
    <row r="3140" spans="1:1" x14ac:dyDescent="0.25">
      <c r="A3140" s="63"/>
    </row>
    <row r="3141" spans="1:1" x14ac:dyDescent="0.25">
      <c r="A3141" s="63"/>
    </row>
    <row r="3142" spans="1:1" x14ac:dyDescent="0.25">
      <c r="A3142" s="63"/>
    </row>
    <row r="3143" spans="1:1" x14ac:dyDescent="0.25">
      <c r="A3143" s="63"/>
    </row>
    <row r="3144" spans="1:1" x14ac:dyDescent="0.25">
      <c r="A3144" s="63"/>
    </row>
    <row r="3145" spans="1:1" x14ac:dyDescent="0.25">
      <c r="A3145" s="63"/>
    </row>
    <row r="3146" spans="1:1" x14ac:dyDescent="0.25">
      <c r="A3146" s="63"/>
    </row>
    <row r="3147" spans="1:1" x14ac:dyDescent="0.25">
      <c r="A3147" s="63"/>
    </row>
    <row r="3148" spans="1:1" x14ac:dyDescent="0.25">
      <c r="A3148" s="63"/>
    </row>
    <row r="3149" spans="1:1" x14ac:dyDescent="0.25">
      <c r="A3149" s="63"/>
    </row>
    <row r="3150" spans="1:1" x14ac:dyDescent="0.25">
      <c r="A3150" s="63"/>
    </row>
    <row r="3151" spans="1:1" x14ac:dyDescent="0.25">
      <c r="A3151" s="63"/>
    </row>
    <row r="3152" spans="1:1" x14ac:dyDescent="0.25">
      <c r="A3152" s="63"/>
    </row>
    <row r="3153" spans="1:1" x14ac:dyDescent="0.25">
      <c r="A3153" s="63"/>
    </row>
    <row r="3154" spans="1:1" x14ac:dyDescent="0.25">
      <c r="A3154" s="63"/>
    </row>
    <row r="3155" spans="1:1" x14ac:dyDescent="0.25">
      <c r="A3155" s="63"/>
    </row>
    <row r="3156" spans="1:1" x14ac:dyDescent="0.25">
      <c r="A3156" s="63"/>
    </row>
    <row r="3157" spans="1:1" x14ac:dyDescent="0.25">
      <c r="A3157" s="63"/>
    </row>
    <row r="3158" spans="1:1" x14ac:dyDescent="0.25">
      <c r="A3158" s="63"/>
    </row>
    <row r="3159" spans="1:1" x14ac:dyDescent="0.25">
      <c r="A3159" s="63"/>
    </row>
    <row r="3160" spans="1:1" x14ac:dyDescent="0.25">
      <c r="A3160" s="63"/>
    </row>
    <row r="3161" spans="1:1" x14ac:dyDescent="0.25">
      <c r="A3161" s="63"/>
    </row>
    <row r="3162" spans="1:1" x14ac:dyDescent="0.25">
      <c r="A3162" s="63"/>
    </row>
    <row r="3163" spans="1:1" x14ac:dyDescent="0.25">
      <c r="A3163" s="63"/>
    </row>
    <row r="3164" spans="1:1" x14ac:dyDescent="0.25">
      <c r="A3164" s="63"/>
    </row>
    <row r="3165" spans="1:1" x14ac:dyDescent="0.25">
      <c r="A3165" s="63"/>
    </row>
    <row r="3166" spans="1:1" x14ac:dyDescent="0.25">
      <c r="A3166" s="63"/>
    </row>
    <row r="3167" spans="1:1" x14ac:dyDescent="0.25">
      <c r="A3167" s="63"/>
    </row>
    <row r="3168" spans="1:1" x14ac:dyDescent="0.25">
      <c r="A3168" s="63"/>
    </row>
    <row r="3169" spans="1:1" x14ac:dyDescent="0.25">
      <c r="A3169" s="63"/>
    </row>
    <row r="3170" spans="1:1" x14ac:dyDescent="0.25">
      <c r="A3170" s="63"/>
    </row>
    <row r="3171" spans="1:1" x14ac:dyDescent="0.25">
      <c r="A3171" s="63"/>
    </row>
    <row r="3172" spans="1:1" x14ac:dyDescent="0.25">
      <c r="A3172" s="63"/>
    </row>
    <row r="3173" spans="1:1" x14ac:dyDescent="0.25">
      <c r="A3173" s="63"/>
    </row>
    <row r="3174" spans="1:1" x14ac:dyDescent="0.25">
      <c r="A3174" s="63"/>
    </row>
    <row r="3175" spans="1:1" x14ac:dyDescent="0.25">
      <c r="A3175" s="63"/>
    </row>
    <row r="3176" spans="1:1" x14ac:dyDescent="0.25">
      <c r="A3176" s="63"/>
    </row>
    <row r="3177" spans="1:1" x14ac:dyDescent="0.25">
      <c r="A3177" s="63"/>
    </row>
    <row r="3178" spans="1:1" x14ac:dyDescent="0.25">
      <c r="A3178" s="63"/>
    </row>
    <row r="3179" spans="1:1" x14ac:dyDescent="0.25">
      <c r="A3179" s="63"/>
    </row>
    <row r="3180" spans="1:1" x14ac:dyDescent="0.25">
      <c r="A3180" s="63"/>
    </row>
    <row r="3181" spans="1:1" x14ac:dyDescent="0.25">
      <c r="A3181" s="63"/>
    </row>
    <row r="3182" spans="1:1" x14ac:dyDescent="0.25">
      <c r="A3182" s="63"/>
    </row>
    <row r="3183" spans="1:1" x14ac:dyDescent="0.25">
      <c r="A3183" s="63"/>
    </row>
    <row r="3184" spans="1:1" x14ac:dyDescent="0.25">
      <c r="A3184" s="63"/>
    </row>
    <row r="3185" spans="1:1" x14ac:dyDescent="0.25">
      <c r="A3185" s="63"/>
    </row>
    <row r="3186" spans="1:1" x14ac:dyDescent="0.25">
      <c r="A3186" s="63"/>
    </row>
    <row r="3187" spans="1:1" x14ac:dyDescent="0.25">
      <c r="A3187" s="63"/>
    </row>
    <row r="3188" spans="1:1" x14ac:dyDescent="0.25">
      <c r="A3188" s="63"/>
    </row>
    <row r="3189" spans="1:1" x14ac:dyDescent="0.25">
      <c r="A3189" s="63"/>
    </row>
    <row r="3190" spans="1:1" x14ac:dyDescent="0.25">
      <c r="A3190" s="63"/>
    </row>
    <row r="3191" spans="1:1" x14ac:dyDescent="0.25">
      <c r="A3191" s="63"/>
    </row>
    <row r="3192" spans="1:1" x14ac:dyDescent="0.25">
      <c r="A3192" s="63"/>
    </row>
    <row r="3193" spans="1:1" x14ac:dyDescent="0.25">
      <c r="A3193" s="63"/>
    </row>
    <row r="3194" spans="1:1" x14ac:dyDescent="0.25">
      <c r="A3194" s="63"/>
    </row>
    <row r="3195" spans="1:1" x14ac:dyDescent="0.25">
      <c r="A3195" s="63"/>
    </row>
    <row r="3196" spans="1:1" x14ac:dyDescent="0.25">
      <c r="A3196" s="63"/>
    </row>
    <row r="3197" spans="1:1" x14ac:dyDescent="0.25">
      <c r="A3197" s="63"/>
    </row>
    <row r="3198" spans="1:1" x14ac:dyDescent="0.25">
      <c r="A3198" s="63"/>
    </row>
    <row r="3199" spans="1:1" x14ac:dyDescent="0.25">
      <c r="A3199" s="63"/>
    </row>
    <row r="3200" spans="1:1" x14ac:dyDescent="0.25">
      <c r="A3200" s="63"/>
    </row>
    <row r="3201" spans="1:1" x14ac:dyDescent="0.25">
      <c r="A3201" s="63"/>
    </row>
    <row r="3202" spans="1:1" x14ac:dyDescent="0.25">
      <c r="A3202" s="63"/>
    </row>
    <row r="3203" spans="1:1" x14ac:dyDescent="0.25">
      <c r="A3203" s="63"/>
    </row>
    <row r="3204" spans="1:1" x14ac:dyDescent="0.25">
      <c r="A3204" s="63"/>
    </row>
    <row r="3205" spans="1:1" x14ac:dyDescent="0.25">
      <c r="A3205" s="63"/>
    </row>
    <row r="3206" spans="1:1" x14ac:dyDescent="0.25">
      <c r="A3206" s="63"/>
    </row>
    <row r="3207" spans="1:1" x14ac:dyDescent="0.25">
      <c r="A3207" s="63"/>
    </row>
    <row r="3208" spans="1:1" x14ac:dyDescent="0.25">
      <c r="A3208" s="63"/>
    </row>
    <row r="3209" spans="1:1" x14ac:dyDescent="0.25">
      <c r="A3209" s="63"/>
    </row>
    <row r="3210" spans="1:1" x14ac:dyDescent="0.25">
      <c r="A3210" s="63"/>
    </row>
    <row r="3211" spans="1:1" x14ac:dyDescent="0.25">
      <c r="A3211" s="63"/>
    </row>
    <row r="3212" spans="1:1" x14ac:dyDescent="0.25">
      <c r="A3212" s="63"/>
    </row>
    <row r="3213" spans="1:1" x14ac:dyDescent="0.25">
      <c r="A3213" s="63"/>
    </row>
    <row r="3214" spans="1:1" x14ac:dyDescent="0.25">
      <c r="A3214" s="63"/>
    </row>
    <row r="3215" spans="1:1" x14ac:dyDescent="0.25">
      <c r="A3215" s="63"/>
    </row>
    <row r="3216" spans="1:1" x14ac:dyDescent="0.25">
      <c r="A3216" s="63"/>
    </row>
    <row r="3217" spans="1:1" x14ac:dyDescent="0.25">
      <c r="A3217" s="63"/>
    </row>
    <row r="3218" spans="1:1" x14ac:dyDescent="0.25">
      <c r="A3218" s="63"/>
    </row>
    <row r="3219" spans="1:1" x14ac:dyDescent="0.25">
      <c r="A3219" s="63"/>
    </row>
    <row r="3220" spans="1:1" x14ac:dyDescent="0.25">
      <c r="A3220" s="63"/>
    </row>
    <row r="3221" spans="1:1" x14ac:dyDescent="0.25">
      <c r="A3221" s="63"/>
    </row>
    <row r="3222" spans="1:1" x14ac:dyDescent="0.25">
      <c r="A3222" s="63"/>
    </row>
    <row r="3223" spans="1:1" x14ac:dyDescent="0.25">
      <c r="A3223" s="63"/>
    </row>
    <row r="3224" spans="1:1" x14ac:dyDescent="0.25">
      <c r="A3224" s="63"/>
    </row>
    <row r="3225" spans="1:1" x14ac:dyDescent="0.25">
      <c r="A3225" s="63"/>
    </row>
    <row r="3226" spans="1:1" x14ac:dyDescent="0.25">
      <c r="A3226" s="63"/>
    </row>
    <row r="3227" spans="1:1" x14ac:dyDescent="0.25">
      <c r="A3227" s="63"/>
    </row>
    <row r="3228" spans="1:1" x14ac:dyDescent="0.25">
      <c r="A3228" s="63"/>
    </row>
    <row r="3229" spans="1:1" x14ac:dyDescent="0.25">
      <c r="A3229" s="63"/>
    </row>
    <row r="3230" spans="1:1" x14ac:dyDescent="0.25">
      <c r="A3230" s="63"/>
    </row>
    <row r="3231" spans="1:1" x14ac:dyDescent="0.25">
      <c r="A3231" s="63"/>
    </row>
    <row r="3232" spans="1:1" x14ac:dyDescent="0.25">
      <c r="A3232" s="63"/>
    </row>
    <row r="3233" spans="1:1" x14ac:dyDescent="0.25">
      <c r="A3233" s="63"/>
    </row>
    <row r="3234" spans="1:1" x14ac:dyDescent="0.25">
      <c r="A3234" s="63"/>
    </row>
    <row r="3235" spans="1:1" x14ac:dyDescent="0.25">
      <c r="A3235" s="63"/>
    </row>
    <row r="3236" spans="1:1" x14ac:dyDescent="0.25">
      <c r="A3236" s="63"/>
    </row>
    <row r="3237" spans="1:1" x14ac:dyDescent="0.25">
      <c r="A3237" s="63"/>
    </row>
    <row r="3238" spans="1:1" x14ac:dyDescent="0.25">
      <c r="A3238" s="63"/>
    </row>
    <row r="3239" spans="1:1" x14ac:dyDescent="0.25">
      <c r="A3239" s="63"/>
    </row>
    <row r="3240" spans="1:1" x14ac:dyDescent="0.25">
      <c r="A3240" s="63"/>
    </row>
    <row r="3241" spans="1:1" x14ac:dyDescent="0.25">
      <c r="A3241" s="63"/>
    </row>
    <row r="3242" spans="1:1" x14ac:dyDescent="0.25">
      <c r="A3242" s="63"/>
    </row>
    <row r="3243" spans="1:1" x14ac:dyDescent="0.25">
      <c r="A3243" s="63"/>
    </row>
    <row r="3244" spans="1:1" x14ac:dyDescent="0.25">
      <c r="A3244" s="63"/>
    </row>
    <row r="3245" spans="1:1" x14ac:dyDescent="0.25">
      <c r="A3245" s="63"/>
    </row>
    <row r="3246" spans="1:1" x14ac:dyDescent="0.25">
      <c r="A3246" s="63"/>
    </row>
    <row r="3247" spans="1:1" x14ac:dyDescent="0.25">
      <c r="A3247" s="63"/>
    </row>
    <row r="3248" spans="1:1" x14ac:dyDescent="0.25">
      <c r="A3248" s="63"/>
    </row>
    <row r="3249" spans="1:1" x14ac:dyDescent="0.25">
      <c r="A3249" s="63"/>
    </row>
    <row r="3250" spans="1:1" x14ac:dyDescent="0.25">
      <c r="A3250" s="63"/>
    </row>
    <row r="3251" spans="1:1" x14ac:dyDescent="0.25">
      <c r="A3251" s="63"/>
    </row>
    <row r="3252" spans="1:1" x14ac:dyDescent="0.25">
      <c r="A3252" s="63"/>
    </row>
    <row r="3253" spans="1:1" x14ac:dyDescent="0.25">
      <c r="A3253" s="63"/>
    </row>
    <row r="3254" spans="1:1" x14ac:dyDescent="0.25">
      <c r="A3254" s="63"/>
    </row>
    <row r="3255" spans="1:1" x14ac:dyDescent="0.25">
      <c r="A3255" s="63"/>
    </row>
    <row r="3256" spans="1:1" x14ac:dyDescent="0.25">
      <c r="A3256" s="63"/>
    </row>
    <row r="3257" spans="1:1" x14ac:dyDescent="0.25">
      <c r="A3257" s="63"/>
    </row>
    <row r="3258" spans="1:1" x14ac:dyDescent="0.25">
      <c r="A3258" s="63"/>
    </row>
    <row r="3259" spans="1:1" x14ac:dyDescent="0.25">
      <c r="A3259" s="63"/>
    </row>
    <row r="3260" spans="1:1" x14ac:dyDescent="0.25">
      <c r="A3260" s="63"/>
    </row>
    <row r="3261" spans="1:1" x14ac:dyDescent="0.25">
      <c r="A3261" s="63"/>
    </row>
    <row r="3262" spans="1:1" x14ac:dyDescent="0.25">
      <c r="A3262" s="63"/>
    </row>
    <row r="3263" spans="1:1" x14ac:dyDescent="0.25">
      <c r="A3263" s="63"/>
    </row>
    <row r="3264" spans="1:1" x14ac:dyDescent="0.25">
      <c r="A3264" s="63"/>
    </row>
    <row r="3265" spans="1:1" x14ac:dyDescent="0.25">
      <c r="A3265" s="63"/>
    </row>
    <row r="3266" spans="1:1" x14ac:dyDescent="0.25">
      <c r="A3266" s="63"/>
    </row>
    <row r="3267" spans="1:1" x14ac:dyDescent="0.25">
      <c r="A3267" s="63"/>
    </row>
    <row r="3268" spans="1:1" x14ac:dyDescent="0.25">
      <c r="A3268" s="63"/>
    </row>
    <row r="3269" spans="1:1" x14ac:dyDescent="0.25">
      <c r="A3269" s="63"/>
    </row>
    <row r="3270" spans="1:1" x14ac:dyDescent="0.25">
      <c r="A3270" s="63"/>
    </row>
    <row r="3271" spans="1:1" x14ac:dyDescent="0.25">
      <c r="A3271" s="63"/>
    </row>
    <row r="3272" spans="1:1" x14ac:dyDescent="0.25">
      <c r="A3272" s="63"/>
    </row>
    <row r="3273" spans="1:1" x14ac:dyDescent="0.25">
      <c r="A3273" s="63"/>
    </row>
    <row r="3274" spans="1:1" x14ac:dyDescent="0.25">
      <c r="A3274" s="63"/>
    </row>
    <row r="3275" spans="1:1" x14ac:dyDescent="0.25">
      <c r="A3275" s="63"/>
    </row>
    <row r="3276" spans="1:1" x14ac:dyDescent="0.25">
      <c r="A3276" s="63"/>
    </row>
    <row r="3277" spans="1:1" x14ac:dyDescent="0.25">
      <c r="A3277" s="63"/>
    </row>
    <row r="3278" spans="1:1" x14ac:dyDescent="0.25">
      <c r="A3278" s="63"/>
    </row>
    <row r="3279" spans="1:1" x14ac:dyDescent="0.25">
      <c r="A3279" s="63"/>
    </row>
    <row r="3280" spans="1:1" x14ac:dyDescent="0.25">
      <c r="A3280" s="63"/>
    </row>
    <row r="3281" spans="1:1" x14ac:dyDescent="0.25">
      <c r="A3281" s="63"/>
    </row>
    <row r="3282" spans="1:1" x14ac:dyDescent="0.25">
      <c r="A3282" s="63"/>
    </row>
    <row r="3283" spans="1:1" x14ac:dyDescent="0.25">
      <c r="A3283" s="63"/>
    </row>
    <row r="3284" spans="1:1" x14ac:dyDescent="0.25">
      <c r="A3284" s="63"/>
    </row>
    <row r="3285" spans="1:1" x14ac:dyDescent="0.25">
      <c r="A3285" s="63"/>
    </row>
    <row r="3286" spans="1:1" x14ac:dyDescent="0.25">
      <c r="A3286" s="63"/>
    </row>
    <row r="3287" spans="1:1" x14ac:dyDescent="0.25">
      <c r="A3287" s="63"/>
    </row>
    <row r="3288" spans="1:1" x14ac:dyDescent="0.25">
      <c r="A3288" s="63"/>
    </row>
    <row r="3289" spans="1:1" x14ac:dyDescent="0.25">
      <c r="A3289" s="63"/>
    </row>
    <row r="3290" spans="1:1" x14ac:dyDescent="0.25">
      <c r="A3290" s="63"/>
    </row>
    <row r="3291" spans="1:1" x14ac:dyDescent="0.25">
      <c r="A3291" s="63"/>
    </row>
    <row r="3292" spans="1:1" x14ac:dyDescent="0.25">
      <c r="A3292" s="63"/>
    </row>
    <row r="3293" spans="1:1" x14ac:dyDescent="0.25">
      <c r="A3293" s="63"/>
    </row>
    <row r="3294" spans="1:1" x14ac:dyDescent="0.25">
      <c r="A3294" s="63"/>
    </row>
    <row r="3295" spans="1:1" x14ac:dyDescent="0.25">
      <c r="A3295" s="63"/>
    </row>
    <row r="3296" spans="1:1" x14ac:dyDescent="0.25">
      <c r="A3296" s="63"/>
    </row>
    <row r="3297" spans="1:1" x14ac:dyDescent="0.25">
      <c r="A3297" s="63"/>
    </row>
    <row r="3298" spans="1:1" x14ac:dyDescent="0.25">
      <c r="A3298" s="63"/>
    </row>
    <row r="3299" spans="1:1" x14ac:dyDescent="0.25">
      <c r="A3299" s="63"/>
    </row>
    <row r="3300" spans="1:1" x14ac:dyDescent="0.25">
      <c r="A3300" s="63"/>
    </row>
    <row r="3301" spans="1:1" x14ac:dyDescent="0.25">
      <c r="A3301" s="63"/>
    </row>
    <row r="3302" spans="1:1" x14ac:dyDescent="0.25">
      <c r="A3302" s="63"/>
    </row>
    <row r="3303" spans="1:1" x14ac:dyDescent="0.25">
      <c r="A3303" s="63"/>
    </row>
    <row r="3304" spans="1:1" x14ac:dyDescent="0.25">
      <c r="A3304" s="63"/>
    </row>
    <row r="3305" spans="1:1" x14ac:dyDescent="0.25">
      <c r="A3305" s="63"/>
    </row>
    <row r="3306" spans="1:1" x14ac:dyDescent="0.25">
      <c r="A3306" s="63"/>
    </row>
    <row r="3307" spans="1:1" x14ac:dyDescent="0.25">
      <c r="A3307" s="63"/>
    </row>
    <row r="3308" spans="1:1" x14ac:dyDescent="0.25">
      <c r="A3308" s="63"/>
    </row>
    <row r="3309" spans="1:1" x14ac:dyDescent="0.25">
      <c r="A3309" s="63"/>
    </row>
    <row r="3310" spans="1:1" x14ac:dyDescent="0.25">
      <c r="A3310" s="63"/>
    </row>
    <row r="3311" spans="1:1" x14ac:dyDescent="0.25">
      <c r="A3311" s="63"/>
    </row>
    <row r="3312" spans="1:1" x14ac:dyDescent="0.25">
      <c r="A3312" s="63"/>
    </row>
    <row r="3313" spans="1:1" x14ac:dyDescent="0.25">
      <c r="A3313" s="63"/>
    </row>
    <row r="3314" spans="1:1" x14ac:dyDescent="0.25">
      <c r="A3314" s="63"/>
    </row>
    <row r="3315" spans="1:1" x14ac:dyDescent="0.25">
      <c r="A3315" s="63"/>
    </row>
    <row r="3316" spans="1:1" x14ac:dyDescent="0.25">
      <c r="A3316" s="63"/>
    </row>
    <row r="3317" spans="1:1" x14ac:dyDescent="0.25">
      <c r="A3317" s="63"/>
    </row>
    <row r="3318" spans="1:1" x14ac:dyDescent="0.25">
      <c r="A3318" s="63"/>
    </row>
    <row r="3319" spans="1:1" x14ac:dyDescent="0.25">
      <c r="A3319" s="63"/>
    </row>
    <row r="3320" spans="1:1" x14ac:dyDescent="0.25">
      <c r="A3320" s="63"/>
    </row>
    <row r="3321" spans="1:1" x14ac:dyDescent="0.25">
      <c r="A3321" s="63"/>
    </row>
    <row r="3322" spans="1:1" x14ac:dyDescent="0.25">
      <c r="A3322" s="63"/>
    </row>
    <row r="3323" spans="1:1" x14ac:dyDescent="0.25">
      <c r="A3323" s="63"/>
    </row>
    <row r="3324" spans="1:1" x14ac:dyDescent="0.25">
      <c r="A3324" s="63"/>
    </row>
    <row r="3325" spans="1:1" x14ac:dyDescent="0.25">
      <c r="A3325" s="63"/>
    </row>
    <row r="3326" spans="1:1" x14ac:dyDescent="0.25">
      <c r="A3326" s="63"/>
    </row>
    <row r="3327" spans="1:1" x14ac:dyDescent="0.25">
      <c r="A3327" s="63"/>
    </row>
    <row r="3328" spans="1:1" x14ac:dyDescent="0.25">
      <c r="A3328" s="63"/>
    </row>
    <row r="3329" spans="1:1" x14ac:dyDescent="0.25">
      <c r="A3329" s="63"/>
    </row>
    <row r="3330" spans="1:1" x14ac:dyDescent="0.25">
      <c r="A3330" s="63"/>
    </row>
    <row r="3331" spans="1:1" x14ac:dyDescent="0.25">
      <c r="A3331" s="63"/>
    </row>
    <row r="3332" spans="1:1" x14ac:dyDescent="0.25">
      <c r="A3332" s="63"/>
    </row>
    <row r="3333" spans="1:1" x14ac:dyDescent="0.25">
      <c r="A3333" s="63"/>
    </row>
    <row r="3334" spans="1:1" x14ac:dyDescent="0.25">
      <c r="A3334" s="63"/>
    </row>
    <row r="3335" spans="1:1" x14ac:dyDescent="0.25">
      <c r="A3335" s="63"/>
    </row>
    <row r="3336" spans="1:1" x14ac:dyDescent="0.25">
      <c r="A3336" s="63"/>
    </row>
    <row r="3337" spans="1:1" x14ac:dyDescent="0.25">
      <c r="A3337" s="63"/>
    </row>
    <row r="3338" spans="1:1" x14ac:dyDescent="0.25">
      <c r="A3338" s="63"/>
    </row>
    <row r="3339" spans="1:1" x14ac:dyDescent="0.25">
      <c r="A3339" s="63"/>
    </row>
    <row r="3340" spans="1:1" x14ac:dyDescent="0.25">
      <c r="A3340" s="63"/>
    </row>
    <row r="3341" spans="1:1" x14ac:dyDescent="0.25">
      <c r="A3341" s="63"/>
    </row>
    <row r="3342" spans="1:1" x14ac:dyDescent="0.25">
      <c r="A3342" s="63"/>
    </row>
    <row r="3343" spans="1:1" x14ac:dyDescent="0.25">
      <c r="A3343" s="63"/>
    </row>
    <row r="3344" spans="1:1" x14ac:dyDescent="0.25">
      <c r="A3344" s="63"/>
    </row>
    <row r="3345" spans="1:1" x14ac:dyDescent="0.25">
      <c r="A3345" s="63"/>
    </row>
    <row r="3346" spans="1:1" x14ac:dyDescent="0.25">
      <c r="A3346" s="63"/>
    </row>
    <row r="3347" spans="1:1" x14ac:dyDescent="0.25">
      <c r="A3347" s="63"/>
    </row>
    <row r="3348" spans="1:1" x14ac:dyDescent="0.25">
      <c r="A3348" s="63"/>
    </row>
    <row r="3349" spans="1:1" x14ac:dyDescent="0.25">
      <c r="A3349" s="63"/>
    </row>
    <row r="3350" spans="1:1" x14ac:dyDescent="0.25">
      <c r="A3350" s="63"/>
    </row>
    <row r="3351" spans="1:1" x14ac:dyDescent="0.25">
      <c r="A3351" s="63"/>
    </row>
    <row r="3352" spans="1:1" x14ac:dyDescent="0.25">
      <c r="A3352" s="63"/>
    </row>
    <row r="3353" spans="1:1" x14ac:dyDescent="0.25">
      <c r="A3353" s="63"/>
    </row>
    <row r="3354" spans="1:1" x14ac:dyDescent="0.25">
      <c r="A3354" s="63"/>
    </row>
    <row r="3355" spans="1:1" x14ac:dyDescent="0.25">
      <c r="A3355" s="63"/>
    </row>
    <row r="3356" spans="1:1" x14ac:dyDescent="0.25">
      <c r="A3356" s="63"/>
    </row>
    <row r="3357" spans="1:1" x14ac:dyDescent="0.25">
      <c r="A3357" s="63"/>
    </row>
    <row r="3358" spans="1:1" x14ac:dyDescent="0.25">
      <c r="A3358" s="63"/>
    </row>
    <row r="3359" spans="1:1" x14ac:dyDescent="0.25">
      <c r="A3359" s="63"/>
    </row>
    <row r="3360" spans="1:1" x14ac:dyDescent="0.25">
      <c r="A3360" s="63"/>
    </row>
    <row r="3361" spans="1:1" x14ac:dyDescent="0.25">
      <c r="A3361" s="63"/>
    </row>
    <row r="3362" spans="1:1" x14ac:dyDescent="0.25">
      <c r="A3362" s="63"/>
    </row>
    <row r="3363" spans="1:1" x14ac:dyDescent="0.25">
      <c r="A3363" s="63"/>
    </row>
    <row r="3364" spans="1:1" x14ac:dyDescent="0.25">
      <c r="A3364" s="63"/>
    </row>
    <row r="3365" spans="1:1" x14ac:dyDescent="0.25">
      <c r="A3365" s="63"/>
    </row>
    <row r="3366" spans="1:1" x14ac:dyDescent="0.25">
      <c r="A3366" s="63"/>
    </row>
    <row r="3367" spans="1:1" x14ac:dyDescent="0.25">
      <c r="A3367" s="63"/>
    </row>
    <row r="3368" spans="1:1" x14ac:dyDescent="0.25">
      <c r="A3368" s="63"/>
    </row>
    <row r="3369" spans="1:1" x14ac:dyDescent="0.25">
      <c r="A3369" s="63"/>
    </row>
    <row r="3370" spans="1:1" x14ac:dyDescent="0.25">
      <c r="A3370" s="63"/>
    </row>
    <row r="3371" spans="1:1" x14ac:dyDescent="0.25">
      <c r="A3371" s="63"/>
    </row>
    <row r="3372" spans="1:1" x14ac:dyDescent="0.25">
      <c r="A3372" s="63"/>
    </row>
    <row r="3373" spans="1:1" x14ac:dyDescent="0.25">
      <c r="A3373" s="63"/>
    </row>
    <row r="3374" spans="1:1" x14ac:dyDescent="0.25">
      <c r="A3374" s="63"/>
    </row>
    <row r="3375" spans="1:1" x14ac:dyDescent="0.25">
      <c r="A3375" s="63"/>
    </row>
    <row r="3376" spans="1:1" x14ac:dyDescent="0.25">
      <c r="A3376" s="63"/>
    </row>
    <row r="3377" spans="1:1" x14ac:dyDescent="0.25">
      <c r="A3377" s="63"/>
    </row>
    <row r="3378" spans="1:1" x14ac:dyDescent="0.25">
      <c r="A3378" s="63"/>
    </row>
    <row r="3379" spans="1:1" x14ac:dyDescent="0.25">
      <c r="A3379" s="63"/>
    </row>
    <row r="3380" spans="1:1" x14ac:dyDescent="0.25">
      <c r="A3380" s="63"/>
    </row>
    <row r="3381" spans="1:1" x14ac:dyDescent="0.25">
      <c r="A3381" s="63"/>
    </row>
    <row r="3382" spans="1:1" x14ac:dyDescent="0.25">
      <c r="A3382" s="63"/>
    </row>
    <row r="3383" spans="1:1" x14ac:dyDescent="0.25">
      <c r="A3383" s="63"/>
    </row>
    <row r="3384" spans="1:1" x14ac:dyDescent="0.25">
      <c r="A3384" s="63"/>
    </row>
    <row r="3385" spans="1:1" x14ac:dyDescent="0.25">
      <c r="A3385" s="63"/>
    </row>
    <row r="3386" spans="1:1" x14ac:dyDescent="0.25">
      <c r="A3386" s="63"/>
    </row>
    <row r="3387" spans="1:1" x14ac:dyDescent="0.25">
      <c r="A3387" s="63"/>
    </row>
    <row r="3388" spans="1:1" x14ac:dyDescent="0.25">
      <c r="A3388" s="63"/>
    </row>
    <row r="3389" spans="1:1" x14ac:dyDescent="0.25">
      <c r="A3389" s="63"/>
    </row>
    <row r="3390" spans="1:1" x14ac:dyDescent="0.25">
      <c r="A3390" s="63"/>
    </row>
    <row r="3391" spans="1:1" x14ac:dyDescent="0.25">
      <c r="A3391" s="63"/>
    </row>
    <row r="3392" spans="1:1" x14ac:dyDescent="0.25">
      <c r="A3392" s="63"/>
    </row>
    <row r="3393" spans="1:1" x14ac:dyDescent="0.25">
      <c r="A3393" s="63"/>
    </row>
    <row r="3394" spans="1:1" x14ac:dyDescent="0.25">
      <c r="A3394" s="63"/>
    </row>
    <row r="3395" spans="1:1" x14ac:dyDescent="0.25">
      <c r="A3395" s="63"/>
    </row>
    <row r="3396" spans="1:1" x14ac:dyDescent="0.25">
      <c r="A3396" s="63"/>
    </row>
    <row r="3397" spans="1:1" x14ac:dyDescent="0.25">
      <c r="A3397" s="63"/>
    </row>
    <row r="3398" spans="1:1" x14ac:dyDescent="0.25">
      <c r="A3398" s="63"/>
    </row>
    <row r="3399" spans="1:1" x14ac:dyDescent="0.25">
      <c r="A3399" s="63"/>
    </row>
    <row r="3400" spans="1:1" x14ac:dyDescent="0.25">
      <c r="A3400" s="63"/>
    </row>
    <row r="3401" spans="1:1" x14ac:dyDescent="0.25">
      <c r="A3401" s="63"/>
    </row>
    <row r="3402" spans="1:1" x14ac:dyDescent="0.25">
      <c r="A3402" s="63"/>
    </row>
    <row r="3403" spans="1:1" x14ac:dyDescent="0.25">
      <c r="A3403" s="63"/>
    </row>
    <row r="3404" spans="1:1" x14ac:dyDescent="0.25">
      <c r="A3404" s="63"/>
    </row>
    <row r="3405" spans="1:1" x14ac:dyDescent="0.25">
      <c r="A3405" s="63"/>
    </row>
    <row r="3406" spans="1:1" x14ac:dyDescent="0.25">
      <c r="A3406" s="63"/>
    </row>
    <row r="3407" spans="1:1" x14ac:dyDescent="0.25">
      <c r="A3407" s="63"/>
    </row>
    <row r="3408" spans="1:1" x14ac:dyDescent="0.25">
      <c r="A3408" s="63"/>
    </row>
    <row r="3409" spans="1:1" x14ac:dyDescent="0.25">
      <c r="A3409" s="63"/>
    </row>
    <row r="3410" spans="1:1" x14ac:dyDescent="0.25">
      <c r="A3410" s="63"/>
    </row>
    <row r="3411" spans="1:1" x14ac:dyDescent="0.25">
      <c r="A3411" s="63"/>
    </row>
    <row r="3412" spans="1:1" x14ac:dyDescent="0.25">
      <c r="A3412" s="63"/>
    </row>
    <row r="3413" spans="1:1" x14ac:dyDescent="0.25">
      <c r="A3413" s="63"/>
    </row>
    <row r="3414" spans="1:1" x14ac:dyDescent="0.25">
      <c r="A3414" s="63"/>
    </row>
    <row r="3415" spans="1:1" x14ac:dyDescent="0.25">
      <c r="A3415" s="63"/>
    </row>
    <row r="3416" spans="1:1" x14ac:dyDescent="0.25">
      <c r="A3416" s="63"/>
    </row>
    <row r="3417" spans="1:1" x14ac:dyDescent="0.25">
      <c r="A3417" s="63"/>
    </row>
    <row r="3418" spans="1:1" x14ac:dyDescent="0.25">
      <c r="A3418" s="63"/>
    </row>
    <row r="3419" spans="1:1" x14ac:dyDescent="0.25">
      <c r="A3419" s="63"/>
    </row>
    <row r="3420" spans="1:1" x14ac:dyDescent="0.25">
      <c r="A3420" s="63"/>
    </row>
    <row r="3421" spans="1:1" x14ac:dyDescent="0.25">
      <c r="A3421" s="63"/>
    </row>
    <row r="3422" spans="1:1" x14ac:dyDescent="0.25">
      <c r="A3422" s="63"/>
    </row>
    <row r="3423" spans="1:1" x14ac:dyDescent="0.25">
      <c r="A3423" s="63"/>
    </row>
    <row r="3424" spans="1:1" x14ac:dyDescent="0.25">
      <c r="A3424" s="63"/>
    </row>
    <row r="3425" spans="1:1" x14ac:dyDescent="0.25">
      <c r="A3425" s="63"/>
    </row>
    <row r="3426" spans="1:1" x14ac:dyDescent="0.25">
      <c r="A3426" s="63"/>
    </row>
    <row r="3427" spans="1:1" x14ac:dyDescent="0.25">
      <c r="A3427" s="63"/>
    </row>
    <row r="3428" spans="1:1" x14ac:dyDescent="0.25">
      <c r="A3428" s="63"/>
    </row>
    <row r="3429" spans="1:1" x14ac:dyDescent="0.25">
      <c r="A3429" s="63"/>
    </row>
    <row r="3430" spans="1:1" x14ac:dyDescent="0.25">
      <c r="A3430" s="63"/>
    </row>
    <row r="3431" spans="1:1" x14ac:dyDescent="0.25">
      <c r="A3431" s="63"/>
    </row>
    <row r="3432" spans="1:1" x14ac:dyDescent="0.25">
      <c r="A3432" s="63"/>
    </row>
    <row r="3433" spans="1:1" x14ac:dyDescent="0.25">
      <c r="A3433" s="63"/>
    </row>
    <row r="3434" spans="1:1" x14ac:dyDescent="0.25">
      <c r="A3434" s="63"/>
    </row>
    <row r="3435" spans="1:1" x14ac:dyDescent="0.25">
      <c r="A3435" s="63"/>
    </row>
    <row r="3436" spans="1:1" x14ac:dyDescent="0.25">
      <c r="A3436" s="63"/>
    </row>
    <row r="3437" spans="1:1" x14ac:dyDescent="0.25">
      <c r="A3437" s="63"/>
    </row>
    <row r="3438" spans="1:1" x14ac:dyDescent="0.25">
      <c r="A3438" s="63"/>
    </row>
    <row r="3439" spans="1:1" x14ac:dyDescent="0.25">
      <c r="A3439" s="63"/>
    </row>
    <row r="3440" spans="1:1" x14ac:dyDescent="0.25">
      <c r="A3440" s="63"/>
    </row>
    <row r="3441" spans="1:1" x14ac:dyDescent="0.25">
      <c r="A3441" s="63"/>
    </row>
    <row r="3442" spans="1:1" x14ac:dyDescent="0.25">
      <c r="A3442" s="63"/>
    </row>
    <row r="3443" spans="1:1" x14ac:dyDescent="0.25">
      <c r="A3443" s="63"/>
    </row>
    <row r="3444" spans="1:1" x14ac:dyDescent="0.25">
      <c r="A3444" s="63"/>
    </row>
    <row r="3445" spans="1:1" x14ac:dyDescent="0.25">
      <c r="A3445" s="63"/>
    </row>
    <row r="3446" spans="1:1" x14ac:dyDescent="0.25">
      <c r="A3446" s="63"/>
    </row>
    <row r="3447" spans="1:1" x14ac:dyDescent="0.25">
      <c r="A3447" s="63"/>
    </row>
    <row r="3448" spans="1:1" x14ac:dyDescent="0.25">
      <c r="A3448" s="63"/>
    </row>
    <row r="3449" spans="1:1" x14ac:dyDescent="0.25">
      <c r="A3449" s="63"/>
    </row>
    <row r="3450" spans="1:1" x14ac:dyDescent="0.25">
      <c r="A3450" s="63"/>
    </row>
    <row r="3451" spans="1:1" x14ac:dyDescent="0.25">
      <c r="A3451" s="63"/>
    </row>
    <row r="3452" spans="1:1" x14ac:dyDescent="0.25">
      <c r="A3452" s="63"/>
    </row>
    <row r="3453" spans="1:1" x14ac:dyDescent="0.25">
      <c r="A3453" s="63"/>
    </row>
    <row r="3454" spans="1:1" x14ac:dyDescent="0.25">
      <c r="A3454" s="63"/>
    </row>
    <row r="3455" spans="1:1" x14ac:dyDescent="0.25">
      <c r="A3455" s="63"/>
    </row>
    <row r="3456" spans="1:1" x14ac:dyDescent="0.25">
      <c r="A3456" s="63"/>
    </row>
    <row r="3457" spans="1:1" x14ac:dyDescent="0.25">
      <c r="A3457" s="63"/>
    </row>
    <row r="3458" spans="1:1" x14ac:dyDescent="0.25">
      <c r="A3458" s="63"/>
    </row>
    <row r="3459" spans="1:1" x14ac:dyDescent="0.25">
      <c r="A3459" s="63"/>
    </row>
    <row r="3460" spans="1:1" x14ac:dyDescent="0.25">
      <c r="A3460" s="63"/>
    </row>
    <row r="3461" spans="1:1" x14ac:dyDescent="0.25">
      <c r="A3461" s="63"/>
    </row>
    <row r="3462" spans="1:1" x14ac:dyDescent="0.25">
      <c r="A3462" s="63"/>
    </row>
    <row r="3463" spans="1:1" x14ac:dyDescent="0.25">
      <c r="A3463" s="63"/>
    </row>
    <row r="3464" spans="1:1" x14ac:dyDescent="0.25">
      <c r="A3464" s="63"/>
    </row>
    <row r="3465" spans="1:1" x14ac:dyDescent="0.25">
      <c r="A3465" s="63"/>
    </row>
    <row r="3466" spans="1:1" x14ac:dyDescent="0.25">
      <c r="A3466" s="63"/>
    </row>
    <row r="3467" spans="1:1" x14ac:dyDescent="0.25">
      <c r="A3467" s="63"/>
    </row>
    <row r="3468" spans="1:1" x14ac:dyDescent="0.25">
      <c r="A3468" s="63"/>
    </row>
    <row r="3469" spans="1:1" x14ac:dyDescent="0.25">
      <c r="A3469" s="63"/>
    </row>
    <row r="3470" spans="1:1" x14ac:dyDescent="0.25">
      <c r="A3470" s="63"/>
    </row>
    <row r="3471" spans="1:1" x14ac:dyDescent="0.25">
      <c r="A3471" s="63"/>
    </row>
    <row r="3472" spans="1:1" x14ac:dyDescent="0.25">
      <c r="A3472" s="63"/>
    </row>
    <row r="3473" spans="1:1" x14ac:dyDescent="0.25">
      <c r="A3473" s="63"/>
    </row>
    <row r="3474" spans="1:1" x14ac:dyDescent="0.25">
      <c r="A3474" s="63"/>
    </row>
    <row r="3475" spans="1:1" x14ac:dyDescent="0.25">
      <c r="A3475" s="63"/>
    </row>
    <row r="3476" spans="1:1" x14ac:dyDescent="0.25">
      <c r="A3476" s="63"/>
    </row>
    <row r="3477" spans="1:1" x14ac:dyDescent="0.25">
      <c r="A3477" s="63"/>
    </row>
    <row r="3478" spans="1:1" x14ac:dyDescent="0.25">
      <c r="A3478" s="63"/>
    </row>
    <row r="3479" spans="1:1" x14ac:dyDescent="0.25">
      <c r="A3479" s="63"/>
    </row>
    <row r="3480" spans="1:1" x14ac:dyDescent="0.25">
      <c r="A3480" s="63"/>
    </row>
    <row r="3481" spans="1:1" x14ac:dyDescent="0.25">
      <c r="A3481" s="63"/>
    </row>
    <row r="3482" spans="1:1" x14ac:dyDescent="0.25">
      <c r="A3482" s="63"/>
    </row>
    <row r="3483" spans="1:1" x14ac:dyDescent="0.25">
      <c r="A3483" s="63"/>
    </row>
    <row r="3484" spans="1:1" x14ac:dyDescent="0.25">
      <c r="A3484" s="63"/>
    </row>
    <row r="3485" spans="1:1" x14ac:dyDescent="0.25">
      <c r="A3485" s="63"/>
    </row>
    <row r="3486" spans="1:1" x14ac:dyDescent="0.25">
      <c r="A3486" s="63"/>
    </row>
    <row r="3487" spans="1:1" x14ac:dyDescent="0.25">
      <c r="A3487" s="63"/>
    </row>
    <row r="3488" spans="1:1" x14ac:dyDescent="0.25">
      <c r="A3488" s="63"/>
    </row>
    <row r="3489" spans="1:1" x14ac:dyDescent="0.25">
      <c r="A3489" s="63"/>
    </row>
    <row r="3490" spans="1:1" x14ac:dyDescent="0.25">
      <c r="A3490" s="63"/>
    </row>
    <row r="3491" spans="1:1" x14ac:dyDescent="0.25">
      <c r="A3491" s="63"/>
    </row>
    <row r="3492" spans="1:1" x14ac:dyDescent="0.25">
      <c r="A3492" s="63"/>
    </row>
    <row r="3493" spans="1:1" x14ac:dyDescent="0.25">
      <c r="A3493" s="63"/>
    </row>
    <row r="3494" spans="1:1" x14ac:dyDescent="0.25">
      <c r="A3494" s="63"/>
    </row>
    <row r="3495" spans="1:1" x14ac:dyDescent="0.25">
      <c r="A3495" s="63"/>
    </row>
    <row r="3496" spans="1:1" x14ac:dyDescent="0.25">
      <c r="A3496" s="63"/>
    </row>
    <row r="3497" spans="1:1" x14ac:dyDescent="0.25">
      <c r="A3497" s="63"/>
    </row>
    <row r="3498" spans="1:1" x14ac:dyDescent="0.25">
      <c r="A3498" s="63"/>
    </row>
    <row r="3499" spans="1:1" x14ac:dyDescent="0.25">
      <c r="A3499" s="63"/>
    </row>
    <row r="3500" spans="1:1" x14ac:dyDescent="0.25">
      <c r="A3500" s="63"/>
    </row>
    <row r="3501" spans="1:1" x14ac:dyDescent="0.25">
      <c r="A3501" s="63"/>
    </row>
    <row r="3502" spans="1:1" x14ac:dyDescent="0.25">
      <c r="A3502" s="63"/>
    </row>
    <row r="3503" spans="1:1" x14ac:dyDescent="0.25">
      <c r="A3503" s="63"/>
    </row>
    <row r="3504" spans="1:1" x14ac:dyDescent="0.25">
      <c r="A3504" s="63"/>
    </row>
    <row r="3505" spans="1:1" x14ac:dyDescent="0.25">
      <c r="A3505" s="63"/>
    </row>
    <row r="3506" spans="1:1" x14ac:dyDescent="0.25">
      <c r="A3506" s="63"/>
    </row>
    <row r="3507" spans="1:1" x14ac:dyDescent="0.25">
      <c r="A3507" s="63"/>
    </row>
    <row r="3508" spans="1:1" x14ac:dyDescent="0.25">
      <c r="A3508" s="63"/>
    </row>
    <row r="3509" spans="1:1" x14ac:dyDescent="0.25">
      <c r="A3509" s="63"/>
    </row>
    <row r="3510" spans="1:1" x14ac:dyDescent="0.25">
      <c r="A3510" s="63"/>
    </row>
    <row r="3511" spans="1:1" x14ac:dyDescent="0.25">
      <c r="A3511" s="63"/>
    </row>
    <row r="3512" spans="1:1" x14ac:dyDescent="0.25">
      <c r="A3512" s="63"/>
    </row>
    <row r="3513" spans="1:1" x14ac:dyDescent="0.25">
      <c r="A3513" s="63"/>
    </row>
    <row r="3514" spans="1:1" x14ac:dyDescent="0.25">
      <c r="A3514" s="63"/>
    </row>
    <row r="3515" spans="1:1" x14ac:dyDescent="0.25">
      <c r="A3515" s="63"/>
    </row>
    <row r="3516" spans="1:1" x14ac:dyDescent="0.25">
      <c r="A3516" s="63"/>
    </row>
    <row r="3517" spans="1:1" x14ac:dyDescent="0.25">
      <c r="A3517" s="63"/>
    </row>
    <row r="3518" spans="1:1" x14ac:dyDescent="0.25">
      <c r="A3518" s="63"/>
    </row>
    <row r="3519" spans="1:1" x14ac:dyDescent="0.25">
      <c r="A3519" s="63"/>
    </row>
    <row r="3520" spans="1:1" x14ac:dyDescent="0.25">
      <c r="A3520" s="63"/>
    </row>
    <row r="3521" spans="1:1" x14ac:dyDescent="0.25">
      <c r="A3521" s="63"/>
    </row>
    <row r="3522" spans="1:1" x14ac:dyDescent="0.25">
      <c r="A3522" s="63"/>
    </row>
    <row r="3523" spans="1:1" x14ac:dyDescent="0.25">
      <c r="A3523" s="63"/>
    </row>
    <row r="3524" spans="1:1" x14ac:dyDescent="0.25">
      <c r="A3524" s="63"/>
    </row>
    <row r="3525" spans="1:1" x14ac:dyDescent="0.25">
      <c r="A3525" s="63"/>
    </row>
    <row r="3526" spans="1:1" x14ac:dyDescent="0.25">
      <c r="A3526" s="63"/>
    </row>
    <row r="3527" spans="1:1" x14ac:dyDescent="0.25">
      <c r="A3527" s="63"/>
    </row>
    <row r="3528" spans="1:1" x14ac:dyDescent="0.25">
      <c r="A3528" s="63"/>
    </row>
    <row r="3529" spans="1:1" x14ac:dyDescent="0.25">
      <c r="A3529" s="63"/>
    </row>
    <row r="3530" spans="1:1" x14ac:dyDescent="0.25">
      <c r="A3530" s="63"/>
    </row>
    <row r="3531" spans="1:1" x14ac:dyDescent="0.25">
      <c r="A3531" s="63"/>
    </row>
    <row r="3532" spans="1:1" x14ac:dyDescent="0.25">
      <c r="A3532" s="63"/>
    </row>
    <row r="3533" spans="1:1" x14ac:dyDescent="0.25">
      <c r="A3533" s="63"/>
    </row>
    <row r="3534" spans="1:1" x14ac:dyDescent="0.25">
      <c r="A3534" s="63"/>
    </row>
    <row r="3535" spans="1:1" x14ac:dyDescent="0.25">
      <c r="A3535" s="63"/>
    </row>
    <row r="3536" spans="1:1" x14ac:dyDescent="0.25">
      <c r="A3536" s="63"/>
    </row>
    <row r="3537" spans="1:1" x14ac:dyDescent="0.25">
      <c r="A3537" s="63"/>
    </row>
    <row r="3538" spans="1:1" x14ac:dyDescent="0.25">
      <c r="A3538" s="63"/>
    </row>
    <row r="3539" spans="1:1" x14ac:dyDescent="0.25">
      <c r="A3539" s="63"/>
    </row>
    <row r="3540" spans="1:1" x14ac:dyDescent="0.25">
      <c r="A3540" s="63"/>
    </row>
    <row r="3541" spans="1:1" x14ac:dyDescent="0.25">
      <c r="A3541" s="63"/>
    </row>
    <row r="3542" spans="1:1" x14ac:dyDescent="0.25">
      <c r="A3542" s="63"/>
    </row>
    <row r="3543" spans="1:1" x14ac:dyDescent="0.25">
      <c r="A3543" s="63"/>
    </row>
    <row r="3544" spans="1:1" x14ac:dyDescent="0.25">
      <c r="A3544" s="63"/>
    </row>
    <row r="3545" spans="1:1" x14ac:dyDescent="0.25">
      <c r="A3545" s="63"/>
    </row>
    <row r="3546" spans="1:1" x14ac:dyDescent="0.25">
      <c r="A3546" s="63"/>
    </row>
    <row r="3547" spans="1:1" x14ac:dyDescent="0.25">
      <c r="A3547" s="63"/>
    </row>
    <row r="3548" spans="1:1" x14ac:dyDescent="0.25">
      <c r="A3548" s="63"/>
    </row>
    <row r="3549" spans="1:1" x14ac:dyDescent="0.25">
      <c r="A3549" s="63"/>
    </row>
    <row r="3550" spans="1:1" x14ac:dyDescent="0.25">
      <c r="A3550" s="63"/>
    </row>
    <row r="3551" spans="1:1" x14ac:dyDescent="0.25">
      <c r="A3551" s="63"/>
    </row>
    <row r="3552" spans="1:1" x14ac:dyDescent="0.25">
      <c r="A3552" s="63"/>
    </row>
    <row r="3553" spans="1:1" x14ac:dyDescent="0.25">
      <c r="A3553" s="63"/>
    </row>
    <row r="3554" spans="1:1" x14ac:dyDescent="0.25">
      <c r="A3554" s="63"/>
    </row>
    <row r="3555" spans="1:1" x14ac:dyDescent="0.25">
      <c r="A3555" s="63"/>
    </row>
    <row r="3556" spans="1:1" x14ac:dyDescent="0.25">
      <c r="A3556" s="63"/>
    </row>
    <row r="3557" spans="1:1" x14ac:dyDescent="0.25">
      <c r="A3557" s="63"/>
    </row>
    <row r="3558" spans="1:1" x14ac:dyDescent="0.25">
      <c r="A3558" s="63"/>
    </row>
    <row r="3559" spans="1:1" x14ac:dyDescent="0.25">
      <c r="A3559" s="63"/>
    </row>
    <row r="3560" spans="1:1" x14ac:dyDescent="0.25">
      <c r="A3560" s="63"/>
    </row>
    <row r="3561" spans="1:1" x14ac:dyDescent="0.25">
      <c r="A3561" s="63"/>
    </row>
    <row r="3562" spans="1:1" x14ac:dyDescent="0.25">
      <c r="A3562" s="63"/>
    </row>
    <row r="3563" spans="1:1" x14ac:dyDescent="0.25">
      <c r="A3563" s="63"/>
    </row>
    <row r="3564" spans="1:1" x14ac:dyDescent="0.25">
      <c r="A3564" s="63"/>
    </row>
    <row r="3565" spans="1:1" x14ac:dyDescent="0.25">
      <c r="A3565" s="63"/>
    </row>
    <row r="3566" spans="1:1" x14ac:dyDescent="0.25">
      <c r="A3566" s="63"/>
    </row>
    <row r="3567" spans="1:1" x14ac:dyDescent="0.25">
      <c r="A3567" s="63"/>
    </row>
    <row r="3568" spans="1:1" x14ac:dyDescent="0.25">
      <c r="A3568" s="63"/>
    </row>
    <row r="3569" spans="1:1" x14ac:dyDescent="0.25">
      <c r="A3569" s="63"/>
    </row>
    <row r="3570" spans="1:1" x14ac:dyDescent="0.25">
      <c r="A3570" s="63"/>
    </row>
    <row r="3571" spans="1:1" x14ac:dyDescent="0.25">
      <c r="A3571" s="63"/>
    </row>
    <row r="3572" spans="1:1" x14ac:dyDescent="0.25">
      <c r="A3572" s="63"/>
    </row>
    <row r="3573" spans="1:1" x14ac:dyDescent="0.25">
      <c r="A3573" s="63"/>
    </row>
    <row r="3574" spans="1:1" x14ac:dyDescent="0.25">
      <c r="A3574" s="63"/>
    </row>
    <row r="3575" spans="1:1" x14ac:dyDescent="0.25">
      <c r="A3575" s="63"/>
    </row>
    <row r="3576" spans="1:1" x14ac:dyDescent="0.25">
      <c r="A3576" s="63"/>
    </row>
    <row r="3577" spans="1:1" x14ac:dyDescent="0.25">
      <c r="A3577" s="63"/>
    </row>
    <row r="3578" spans="1:1" x14ac:dyDescent="0.25">
      <c r="A3578" s="63"/>
    </row>
    <row r="3579" spans="1:1" x14ac:dyDescent="0.25">
      <c r="A3579" s="63"/>
    </row>
    <row r="3580" spans="1:1" x14ac:dyDescent="0.25">
      <c r="A3580" s="63"/>
    </row>
    <row r="3581" spans="1:1" x14ac:dyDescent="0.25">
      <c r="A3581" s="63"/>
    </row>
    <row r="3582" spans="1:1" x14ac:dyDescent="0.25">
      <c r="A3582" s="63"/>
    </row>
    <row r="3583" spans="1:1" x14ac:dyDescent="0.25">
      <c r="A3583" s="63"/>
    </row>
    <row r="3584" spans="1:1" x14ac:dyDescent="0.25">
      <c r="A3584" s="63"/>
    </row>
    <row r="3585" spans="1:1" x14ac:dyDescent="0.25">
      <c r="A3585" s="63"/>
    </row>
    <row r="3586" spans="1:1" x14ac:dyDescent="0.25">
      <c r="A3586" s="63"/>
    </row>
    <row r="3587" spans="1:1" x14ac:dyDescent="0.25">
      <c r="A3587" s="63"/>
    </row>
    <row r="3588" spans="1:1" x14ac:dyDescent="0.25">
      <c r="A3588" s="63"/>
    </row>
    <row r="3589" spans="1:1" x14ac:dyDescent="0.25">
      <c r="A3589" s="63"/>
    </row>
    <row r="3590" spans="1:1" x14ac:dyDescent="0.25">
      <c r="A3590" s="63"/>
    </row>
    <row r="3591" spans="1:1" x14ac:dyDescent="0.25">
      <c r="A3591" s="63"/>
    </row>
    <row r="3592" spans="1:1" x14ac:dyDescent="0.25">
      <c r="A3592" s="63"/>
    </row>
    <row r="3593" spans="1:1" x14ac:dyDescent="0.25">
      <c r="A3593" s="63"/>
    </row>
    <row r="3594" spans="1:1" x14ac:dyDescent="0.25">
      <c r="A3594" s="63"/>
    </row>
    <row r="3595" spans="1:1" x14ac:dyDescent="0.25">
      <c r="A3595" s="63"/>
    </row>
    <row r="3596" spans="1:1" x14ac:dyDescent="0.25">
      <c r="A3596" s="63"/>
    </row>
    <row r="3597" spans="1:1" x14ac:dyDescent="0.25">
      <c r="A3597" s="63"/>
    </row>
    <row r="3598" spans="1:1" x14ac:dyDescent="0.25">
      <c r="A3598" s="63"/>
    </row>
    <row r="3599" spans="1:1" x14ac:dyDescent="0.25">
      <c r="A3599" s="63"/>
    </row>
    <row r="3600" spans="1:1" x14ac:dyDescent="0.25">
      <c r="A3600" s="63"/>
    </row>
    <row r="3601" spans="1:1" x14ac:dyDescent="0.25">
      <c r="A3601" s="63"/>
    </row>
    <row r="3602" spans="1:1" x14ac:dyDescent="0.25">
      <c r="A3602" s="63"/>
    </row>
    <row r="3603" spans="1:1" x14ac:dyDescent="0.25">
      <c r="A3603" s="63"/>
    </row>
    <row r="3604" spans="1:1" x14ac:dyDescent="0.25">
      <c r="A3604" s="63"/>
    </row>
    <row r="3605" spans="1:1" x14ac:dyDescent="0.25">
      <c r="A3605" s="63"/>
    </row>
    <row r="3606" spans="1:1" x14ac:dyDescent="0.25">
      <c r="A3606" s="63"/>
    </row>
    <row r="3607" spans="1:1" x14ac:dyDescent="0.25">
      <c r="A3607" s="63"/>
    </row>
    <row r="3608" spans="1:1" x14ac:dyDescent="0.25">
      <c r="A3608" s="63"/>
    </row>
    <row r="3609" spans="1:1" x14ac:dyDescent="0.25">
      <c r="A3609" s="63"/>
    </row>
    <row r="3610" spans="1:1" x14ac:dyDescent="0.25">
      <c r="A3610" s="63"/>
    </row>
    <row r="3611" spans="1:1" x14ac:dyDescent="0.25">
      <c r="A3611" s="63"/>
    </row>
    <row r="3612" spans="1:1" x14ac:dyDescent="0.25">
      <c r="A3612" s="63"/>
    </row>
    <row r="3613" spans="1:1" x14ac:dyDescent="0.25">
      <c r="A3613" s="63"/>
    </row>
    <row r="3614" spans="1:1" x14ac:dyDescent="0.25">
      <c r="A3614" s="63"/>
    </row>
    <row r="3615" spans="1:1" x14ac:dyDescent="0.25">
      <c r="A3615" s="63"/>
    </row>
    <row r="3616" spans="1:1" x14ac:dyDescent="0.25">
      <c r="A3616" s="63"/>
    </row>
    <row r="3617" spans="1:1" x14ac:dyDescent="0.25">
      <c r="A3617" s="63"/>
    </row>
    <row r="3618" spans="1:1" x14ac:dyDescent="0.25">
      <c r="A3618" s="63"/>
    </row>
    <row r="3619" spans="1:1" x14ac:dyDescent="0.25">
      <c r="A3619" s="63"/>
    </row>
    <row r="3620" spans="1:1" x14ac:dyDescent="0.25">
      <c r="A3620" s="63"/>
    </row>
    <row r="3621" spans="1:1" x14ac:dyDescent="0.25">
      <c r="A3621" s="63"/>
    </row>
    <row r="3622" spans="1:1" x14ac:dyDescent="0.25">
      <c r="A3622" s="63"/>
    </row>
    <row r="3623" spans="1:1" x14ac:dyDescent="0.25">
      <c r="A3623" s="63"/>
    </row>
    <row r="3624" spans="1:1" x14ac:dyDescent="0.25">
      <c r="A3624" s="63"/>
    </row>
    <row r="3625" spans="1:1" x14ac:dyDescent="0.25">
      <c r="A3625" s="63"/>
    </row>
    <row r="3626" spans="1:1" x14ac:dyDescent="0.25">
      <c r="A3626" s="63"/>
    </row>
    <row r="3627" spans="1:1" x14ac:dyDescent="0.25">
      <c r="A3627" s="63"/>
    </row>
    <row r="3628" spans="1:1" x14ac:dyDescent="0.25">
      <c r="A3628" s="63"/>
    </row>
    <row r="3629" spans="1:1" x14ac:dyDescent="0.25">
      <c r="A3629" s="63"/>
    </row>
    <row r="3630" spans="1:1" x14ac:dyDescent="0.25">
      <c r="A3630" s="63"/>
    </row>
    <row r="3631" spans="1:1" x14ac:dyDescent="0.25">
      <c r="A3631" s="63"/>
    </row>
    <row r="3632" spans="1:1" x14ac:dyDescent="0.25">
      <c r="A3632" s="63"/>
    </row>
    <row r="3633" spans="1:1" x14ac:dyDescent="0.25">
      <c r="A3633" s="63"/>
    </row>
    <row r="3634" spans="1:1" x14ac:dyDescent="0.25">
      <c r="A3634" s="63"/>
    </row>
    <row r="3635" spans="1:1" x14ac:dyDescent="0.25">
      <c r="A3635" s="63"/>
    </row>
    <row r="3636" spans="1:1" x14ac:dyDescent="0.25">
      <c r="A3636" s="63"/>
    </row>
    <row r="3637" spans="1:1" x14ac:dyDescent="0.25">
      <c r="A3637" s="63"/>
    </row>
    <row r="3638" spans="1:1" x14ac:dyDescent="0.25">
      <c r="A3638" s="63"/>
    </row>
    <row r="3639" spans="1:1" x14ac:dyDescent="0.25">
      <c r="A3639" s="63"/>
    </row>
    <row r="3640" spans="1:1" x14ac:dyDescent="0.25">
      <c r="A3640" s="63"/>
    </row>
    <row r="3641" spans="1:1" x14ac:dyDescent="0.25">
      <c r="A3641" s="63"/>
    </row>
    <row r="3642" spans="1:1" x14ac:dyDescent="0.25">
      <c r="A3642" s="63"/>
    </row>
    <row r="3643" spans="1:1" x14ac:dyDescent="0.25">
      <c r="A3643" s="63"/>
    </row>
    <row r="3644" spans="1:1" x14ac:dyDescent="0.25">
      <c r="A3644" s="63"/>
    </row>
    <row r="3645" spans="1:1" x14ac:dyDescent="0.25">
      <c r="A3645" s="63"/>
    </row>
    <row r="3646" spans="1:1" x14ac:dyDescent="0.25">
      <c r="A3646" s="63"/>
    </row>
    <row r="3647" spans="1:1" x14ac:dyDescent="0.25">
      <c r="A3647" s="63"/>
    </row>
    <row r="3648" spans="1:1" x14ac:dyDescent="0.25">
      <c r="A3648" s="63"/>
    </row>
    <row r="3649" spans="1:1" x14ac:dyDescent="0.25">
      <c r="A3649" s="63"/>
    </row>
    <row r="3650" spans="1:1" x14ac:dyDescent="0.25">
      <c r="A3650" s="63"/>
    </row>
    <row r="3651" spans="1:1" x14ac:dyDescent="0.25">
      <c r="A3651" s="63"/>
    </row>
    <row r="3652" spans="1:1" x14ac:dyDescent="0.25">
      <c r="A3652" s="63"/>
    </row>
    <row r="3653" spans="1:1" x14ac:dyDescent="0.25">
      <c r="A3653" s="63"/>
    </row>
    <row r="3654" spans="1:1" x14ac:dyDescent="0.25">
      <c r="A3654" s="63"/>
    </row>
    <row r="3655" spans="1:1" x14ac:dyDescent="0.25">
      <c r="A3655" s="63"/>
    </row>
    <row r="3656" spans="1:1" x14ac:dyDescent="0.25">
      <c r="A3656" s="63"/>
    </row>
    <row r="3657" spans="1:1" x14ac:dyDescent="0.25">
      <c r="A3657" s="63"/>
    </row>
    <row r="3658" spans="1:1" x14ac:dyDescent="0.25">
      <c r="A3658" s="63"/>
    </row>
    <row r="3659" spans="1:1" x14ac:dyDescent="0.25">
      <c r="A3659" s="63"/>
    </row>
    <row r="3660" spans="1:1" x14ac:dyDescent="0.25">
      <c r="A3660" s="63"/>
    </row>
    <row r="3661" spans="1:1" x14ac:dyDescent="0.25">
      <c r="A3661" s="63"/>
    </row>
    <row r="3662" spans="1:1" x14ac:dyDescent="0.25">
      <c r="A3662" s="63"/>
    </row>
    <row r="3663" spans="1:1" x14ac:dyDescent="0.25">
      <c r="A3663" s="63"/>
    </row>
    <row r="3664" spans="1:1" x14ac:dyDescent="0.25">
      <c r="A3664" s="63"/>
    </row>
    <row r="3665" spans="1:1" x14ac:dyDescent="0.25">
      <c r="A3665" s="63"/>
    </row>
    <row r="3666" spans="1:1" x14ac:dyDescent="0.25">
      <c r="A3666" s="63"/>
    </row>
    <row r="3667" spans="1:1" x14ac:dyDescent="0.25">
      <c r="A3667" s="63"/>
    </row>
    <row r="3668" spans="1:1" x14ac:dyDescent="0.25">
      <c r="A3668" s="63"/>
    </row>
    <row r="3669" spans="1:1" x14ac:dyDescent="0.25">
      <c r="A3669" s="63"/>
    </row>
    <row r="3670" spans="1:1" x14ac:dyDescent="0.25">
      <c r="A3670" s="63"/>
    </row>
    <row r="3671" spans="1:1" x14ac:dyDescent="0.25">
      <c r="A3671" s="63"/>
    </row>
    <row r="3672" spans="1:1" x14ac:dyDescent="0.25">
      <c r="A3672" s="63"/>
    </row>
    <row r="3673" spans="1:1" x14ac:dyDescent="0.25">
      <c r="A3673" s="63"/>
    </row>
    <row r="3674" spans="1:1" x14ac:dyDescent="0.25">
      <c r="A3674" s="63"/>
    </row>
    <row r="3675" spans="1:1" x14ac:dyDescent="0.25">
      <c r="A3675" s="63"/>
    </row>
    <row r="3676" spans="1:1" x14ac:dyDescent="0.25">
      <c r="A3676" s="63"/>
    </row>
    <row r="3677" spans="1:1" x14ac:dyDescent="0.25">
      <c r="A3677" s="63"/>
    </row>
    <row r="3678" spans="1:1" x14ac:dyDescent="0.25">
      <c r="A3678" s="63"/>
    </row>
    <row r="3679" spans="1:1" x14ac:dyDescent="0.25">
      <c r="A3679" s="63"/>
    </row>
    <row r="3680" spans="1:1" x14ac:dyDescent="0.25">
      <c r="A3680" s="63"/>
    </row>
    <row r="3681" spans="1:1" x14ac:dyDescent="0.25">
      <c r="A3681" s="63"/>
    </row>
    <row r="3682" spans="1:1" x14ac:dyDescent="0.25">
      <c r="A3682" s="63"/>
    </row>
    <row r="3683" spans="1:1" x14ac:dyDescent="0.25">
      <c r="A3683" s="63"/>
    </row>
    <row r="3684" spans="1:1" x14ac:dyDescent="0.25">
      <c r="A3684" s="63"/>
    </row>
    <row r="3685" spans="1:1" x14ac:dyDescent="0.25">
      <c r="A3685" s="63"/>
    </row>
    <row r="3686" spans="1:1" x14ac:dyDescent="0.25">
      <c r="A3686" s="63"/>
    </row>
    <row r="3687" spans="1:1" x14ac:dyDescent="0.25">
      <c r="A3687" s="63"/>
    </row>
    <row r="3688" spans="1:1" x14ac:dyDescent="0.25">
      <c r="A3688" s="63"/>
    </row>
    <row r="3689" spans="1:1" x14ac:dyDescent="0.25">
      <c r="A3689" s="63"/>
    </row>
    <row r="3690" spans="1:1" x14ac:dyDescent="0.25">
      <c r="A3690" s="63"/>
    </row>
    <row r="3691" spans="1:1" x14ac:dyDescent="0.25">
      <c r="A3691" s="63"/>
    </row>
    <row r="3692" spans="1:1" x14ac:dyDescent="0.25">
      <c r="A3692" s="63"/>
    </row>
    <row r="3693" spans="1:1" x14ac:dyDescent="0.25">
      <c r="A3693" s="63"/>
    </row>
    <row r="3694" spans="1:1" x14ac:dyDescent="0.25">
      <c r="A3694" s="63"/>
    </row>
    <row r="3695" spans="1:1" x14ac:dyDescent="0.25">
      <c r="A3695" s="63"/>
    </row>
    <row r="3696" spans="1:1" x14ac:dyDescent="0.25">
      <c r="A3696" s="63"/>
    </row>
    <row r="3697" spans="1:1" x14ac:dyDescent="0.25">
      <c r="A3697" s="63"/>
    </row>
    <row r="3698" spans="1:1" x14ac:dyDescent="0.25">
      <c r="A3698" s="63"/>
    </row>
    <row r="3699" spans="1:1" x14ac:dyDescent="0.25">
      <c r="A3699" s="63"/>
    </row>
    <row r="3700" spans="1:1" x14ac:dyDescent="0.25">
      <c r="A3700" s="63"/>
    </row>
    <row r="3701" spans="1:1" x14ac:dyDescent="0.25">
      <c r="A3701" s="63"/>
    </row>
    <row r="3702" spans="1:1" x14ac:dyDescent="0.25">
      <c r="A3702" s="63"/>
    </row>
    <row r="3703" spans="1:1" x14ac:dyDescent="0.25">
      <c r="A3703" s="63"/>
    </row>
    <row r="3704" spans="1:1" x14ac:dyDescent="0.25">
      <c r="A3704" s="63"/>
    </row>
    <row r="3705" spans="1:1" x14ac:dyDescent="0.25">
      <c r="A3705" s="63"/>
    </row>
    <row r="3706" spans="1:1" x14ac:dyDescent="0.25">
      <c r="A3706" s="63"/>
    </row>
    <row r="3707" spans="1:1" x14ac:dyDescent="0.25">
      <c r="A3707" s="63"/>
    </row>
    <row r="3708" spans="1:1" x14ac:dyDescent="0.25">
      <c r="A3708" s="63"/>
    </row>
    <row r="3709" spans="1:1" x14ac:dyDescent="0.25">
      <c r="A3709" s="63"/>
    </row>
    <row r="3710" spans="1:1" x14ac:dyDescent="0.25">
      <c r="A3710" s="63"/>
    </row>
    <row r="3711" spans="1:1" x14ac:dyDescent="0.25">
      <c r="A3711" s="63"/>
    </row>
    <row r="3712" spans="1:1" x14ac:dyDescent="0.25">
      <c r="A3712" s="63"/>
    </row>
    <row r="3713" spans="1:1" x14ac:dyDescent="0.25">
      <c r="A3713" s="63"/>
    </row>
    <row r="3714" spans="1:1" x14ac:dyDescent="0.25">
      <c r="A3714" s="63"/>
    </row>
    <row r="3715" spans="1:1" x14ac:dyDescent="0.25">
      <c r="A3715" s="63"/>
    </row>
    <row r="3716" spans="1:1" x14ac:dyDescent="0.25">
      <c r="A3716" s="63"/>
    </row>
    <row r="3717" spans="1:1" x14ac:dyDescent="0.25">
      <c r="A3717" s="63"/>
    </row>
    <row r="3718" spans="1:1" x14ac:dyDescent="0.25">
      <c r="A3718" s="63"/>
    </row>
    <row r="3719" spans="1:1" x14ac:dyDescent="0.25">
      <c r="A3719" s="63"/>
    </row>
    <row r="3720" spans="1:1" x14ac:dyDescent="0.25">
      <c r="A3720" s="63"/>
    </row>
    <row r="3721" spans="1:1" x14ac:dyDescent="0.25">
      <c r="A3721" s="63"/>
    </row>
    <row r="3722" spans="1:1" x14ac:dyDescent="0.25">
      <c r="A3722" s="63"/>
    </row>
    <row r="3723" spans="1:1" x14ac:dyDescent="0.25">
      <c r="A3723" s="63"/>
    </row>
    <row r="3724" spans="1:1" x14ac:dyDescent="0.25">
      <c r="A3724" s="63"/>
    </row>
    <row r="3725" spans="1:1" x14ac:dyDescent="0.25">
      <c r="A3725" s="63"/>
    </row>
    <row r="3726" spans="1:1" x14ac:dyDescent="0.25">
      <c r="A3726" s="63"/>
    </row>
    <row r="3727" spans="1:1" x14ac:dyDescent="0.25">
      <c r="A3727" s="63"/>
    </row>
    <row r="3728" spans="1:1" x14ac:dyDescent="0.25">
      <c r="A3728" s="63"/>
    </row>
    <row r="3729" spans="1:1" x14ac:dyDescent="0.25">
      <c r="A3729" s="63"/>
    </row>
    <row r="3730" spans="1:1" x14ac:dyDescent="0.25">
      <c r="A3730" s="63"/>
    </row>
    <row r="3731" spans="1:1" x14ac:dyDescent="0.25">
      <c r="A3731" s="63"/>
    </row>
    <row r="3732" spans="1:1" x14ac:dyDescent="0.25">
      <c r="A3732" s="63"/>
    </row>
    <row r="3733" spans="1:1" x14ac:dyDescent="0.25">
      <c r="A3733" s="63"/>
    </row>
    <row r="3734" spans="1:1" x14ac:dyDescent="0.25">
      <c r="A3734" s="63"/>
    </row>
    <row r="3735" spans="1:1" x14ac:dyDescent="0.25">
      <c r="A3735" s="63"/>
    </row>
    <row r="3736" spans="1:1" x14ac:dyDescent="0.25">
      <c r="A3736" s="63"/>
    </row>
    <row r="3737" spans="1:1" x14ac:dyDescent="0.25">
      <c r="A3737" s="63"/>
    </row>
    <row r="3738" spans="1:1" x14ac:dyDescent="0.25">
      <c r="A3738" s="63"/>
    </row>
    <row r="3739" spans="1:1" x14ac:dyDescent="0.25">
      <c r="A3739" s="63"/>
    </row>
    <row r="3740" spans="1:1" x14ac:dyDescent="0.25">
      <c r="A3740" s="63"/>
    </row>
    <row r="3741" spans="1:1" x14ac:dyDescent="0.25">
      <c r="A3741" s="63"/>
    </row>
    <row r="3742" spans="1:1" x14ac:dyDescent="0.25">
      <c r="A3742" s="63"/>
    </row>
    <row r="3743" spans="1:1" x14ac:dyDescent="0.25">
      <c r="A3743" s="63"/>
    </row>
    <row r="3744" spans="1:1" x14ac:dyDescent="0.25">
      <c r="A3744" s="63"/>
    </row>
    <row r="3745" spans="1:1" x14ac:dyDescent="0.25">
      <c r="A3745" s="63"/>
    </row>
    <row r="3746" spans="1:1" x14ac:dyDescent="0.25">
      <c r="A3746" s="63"/>
    </row>
    <row r="3747" spans="1:1" x14ac:dyDescent="0.25">
      <c r="A3747" s="63"/>
    </row>
    <row r="3748" spans="1:1" x14ac:dyDescent="0.25">
      <c r="A3748" s="63"/>
    </row>
    <row r="3749" spans="1:1" x14ac:dyDescent="0.25">
      <c r="A3749" s="63"/>
    </row>
    <row r="3750" spans="1:1" x14ac:dyDescent="0.25">
      <c r="A3750" s="63"/>
    </row>
    <row r="3751" spans="1:1" x14ac:dyDescent="0.25">
      <c r="A3751" s="63"/>
    </row>
    <row r="3752" spans="1:1" x14ac:dyDescent="0.25">
      <c r="A3752" s="63"/>
    </row>
    <row r="3753" spans="1:1" x14ac:dyDescent="0.25">
      <c r="A3753" s="63"/>
    </row>
    <row r="3754" spans="1:1" x14ac:dyDescent="0.25">
      <c r="A3754" s="63"/>
    </row>
    <row r="3755" spans="1:1" x14ac:dyDescent="0.25">
      <c r="A3755" s="63"/>
    </row>
    <row r="3756" spans="1:1" x14ac:dyDescent="0.25">
      <c r="A3756" s="63"/>
    </row>
    <row r="3757" spans="1:1" x14ac:dyDescent="0.25">
      <c r="A3757" s="63"/>
    </row>
    <row r="3758" spans="1:1" x14ac:dyDescent="0.25">
      <c r="A3758" s="63"/>
    </row>
    <row r="3759" spans="1:1" x14ac:dyDescent="0.25">
      <c r="A3759" s="63"/>
    </row>
    <row r="3760" spans="1:1" x14ac:dyDescent="0.25">
      <c r="A3760" s="63"/>
    </row>
    <row r="3761" spans="1:1" x14ac:dyDescent="0.25">
      <c r="A3761" s="63"/>
    </row>
    <row r="3762" spans="1:1" x14ac:dyDescent="0.25">
      <c r="A3762" s="63"/>
    </row>
    <row r="3763" spans="1:1" x14ac:dyDescent="0.25">
      <c r="A3763" s="63"/>
    </row>
    <row r="3764" spans="1:1" x14ac:dyDescent="0.25">
      <c r="A3764" s="63"/>
    </row>
    <row r="3765" spans="1:1" x14ac:dyDescent="0.25">
      <c r="A3765" s="63"/>
    </row>
    <row r="3766" spans="1:1" x14ac:dyDescent="0.25">
      <c r="A3766" s="63"/>
    </row>
    <row r="3767" spans="1:1" x14ac:dyDescent="0.25">
      <c r="A3767" s="63"/>
    </row>
    <row r="3768" spans="1:1" x14ac:dyDescent="0.25">
      <c r="A3768" s="63"/>
    </row>
    <row r="3769" spans="1:1" x14ac:dyDescent="0.25">
      <c r="A3769" s="63"/>
    </row>
    <row r="3770" spans="1:1" x14ac:dyDescent="0.25">
      <c r="A3770" s="63"/>
    </row>
    <row r="3771" spans="1:1" x14ac:dyDescent="0.25">
      <c r="A3771" s="63"/>
    </row>
    <row r="3772" spans="1:1" x14ac:dyDescent="0.25">
      <c r="A3772" s="63"/>
    </row>
    <row r="3773" spans="1:1" x14ac:dyDescent="0.25">
      <c r="A3773" s="63"/>
    </row>
    <row r="3774" spans="1:1" x14ac:dyDescent="0.25">
      <c r="A3774" s="63"/>
    </row>
    <row r="3775" spans="1:1" x14ac:dyDescent="0.25">
      <c r="A3775" s="63"/>
    </row>
    <row r="3776" spans="1:1" x14ac:dyDescent="0.25">
      <c r="A3776" s="63"/>
    </row>
    <row r="3777" spans="1:1" x14ac:dyDescent="0.25">
      <c r="A3777" s="63"/>
    </row>
    <row r="3778" spans="1:1" x14ac:dyDescent="0.25">
      <c r="A3778" s="63"/>
    </row>
    <row r="3779" spans="1:1" x14ac:dyDescent="0.25">
      <c r="A3779" s="63"/>
    </row>
    <row r="3780" spans="1:1" x14ac:dyDescent="0.25">
      <c r="A3780" s="63"/>
    </row>
    <row r="3781" spans="1:1" x14ac:dyDescent="0.25">
      <c r="A3781" s="63"/>
    </row>
    <row r="3782" spans="1:1" x14ac:dyDescent="0.25">
      <c r="A3782" s="63"/>
    </row>
    <row r="3783" spans="1:1" x14ac:dyDescent="0.25">
      <c r="A3783" s="63"/>
    </row>
    <row r="3784" spans="1:1" x14ac:dyDescent="0.25">
      <c r="A3784" s="63"/>
    </row>
    <row r="3785" spans="1:1" x14ac:dyDescent="0.25">
      <c r="A3785" s="63"/>
    </row>
    <row r="3786" spans="1:1" x14ac:dyDescent="0.25">
      <c r="A3786" s="63"/>
    </row>
    <row r="3787" spans="1:1" x14ac:dyDescent="0.25">
      <c r="A3787" s="63"/>
    </row>
    <row r="3788" spans="1:1" x14ac:dyDescent="0.25">
      <c r="A3788" s="63"/>
    </row>
    <row r="3789" spans="1:1" x14ac:dyDescent="0.25">
      <c r="A3789" s="63"/>
    </row>
    <row r="3790" spans="1:1" x14ac:dyDescent="0.25">
      <c r="A3790" s="63"/>
    </row>
    <row r="3791" spans="1:1" x14ac:dyDescent="0.25">
      <c r="A3791" s="63"/>
    </row>
    <row r="3792" spans="1:1" x14ac:dyDescent="0.25">
      <c r="A3792" s="63"/>
    </row>
    <row r="3793" spans="1:1" x14ac:dyDescent="0.25">
      <c r="A3793" s="63"/>
    </row>
    <row r="3794" spans="1:1" x14ac:dyDescent="0.25">
      <c r="A3794" s="63"/>
    </row>
    <row r="3795" spans="1:1" x14ac:dyDescent="0.25">
      <c r="A3795" s="63"/>
    </row>
    <row r="3796" spans="1:1" x14ac:dyDescent="0.25">
      <c r="A3796" s="63"/>
    </row>
    <row r="3797" spans="1:1" x14ac:dyDescent="0.25">
      <c r="A3797" s="63"/>
    </row>
    <row r="3798" spans="1:1" x14ac:dyDescent="0.25">
      <c r="A3798" s="63"/>
    </row>
    <row r="3799" spans="1:1" x14ac:dyDescent="0.25">
      <c r="A3799" s="63"/>
    </row>
    <row r="3800" spans="1:1" x14ac:dyDescent="0.25">
      <c r="A3800" s="63"/>
    </row>
    <row r="3801" spans="1:1" x14ac:dyDescent="0.25">
      <c r="A3801" s="63"/>
    </row>
    <row r="3802" spans="1:1" x14ac:dyDescent="0.25">
      <c r="A3802" s="63"/>
    </row>
    <row r="3803" spans="1:1" x14ac:dyDescent="0.25">
      <c r="A3803" s="63"/>
    </row>
    <row r="3804" spans="1:1" x14ac:dyDescent="0.25">
      <c r="A3804" s="63"/>
    </row>
    <row r="3805" spans="1:1" x14ac:dyDescent="0.25">
      <c r="A3805" s="63"/>
    </row>
    <row r="3806" spans="1:1" x14ac:dyDescent="0.25">
      <c r="A3806" s="63"/>
    </row>
    <row r="3807" spans="1:1" x14ac:dyDescent="0.25">
      <c r="A3807" s="63"/>
    </row>
    <row r="3808" spans="1:1" x14ac:dyDescent="0.25">
      <c r="A3808" s="63"/>
    </row>
    <row r="3809" spans="1:1" x14ac:dyDescent="0.25">
      <c r="A3809" s="63"/>
    </row>
    <row r="3810" spans="1:1" x14ac:dyDescent="0.25">
      <c r="A3810" s="63"/>
    </row>
    <row r="3811" spans="1:1" x14ac:dyDescent="0.25">
      <c r="A3811" s="63"/>
    </row>
    <row r="3812" spans="1:1" x14ac:dyDescent="0.25">
      <c r="A3812" s="63"/>
    </row>
    <row r="3813" spans="1:1" x14ac:dyDescent="0.25">
      <c r="A3813" s="63"/>
    </row>
    <row r="3814" spans="1:1" x14ac:dyDescent="0.25">
      <c r="A3814" s="63"/>
    </row>
    <row r="3815" spans="1:1" x14ac:dyDescent="0.25">
      <c r="A3815" s="63"/>
    </row>
    <row r="3816" spans="1:1" x14ac:dyDescent="0.25">
      <c r="A3816" s="63"/>
    </row>
    <row r="3817" spans="1:1" x14ac:dyDescent="0.25">
      <c r="A3817" s="63"/>
    </row>
    <row r="3818" spans="1:1" x14ac:dyDescent="0.25">
      <c r="A3818" s="63"/>
    </row>
    <row r="3819" spans="1:1" x14ac:dyDescent="0.25">
      <c r="A3819" s="63"/>
    </row>
    <row r="3820" spans="1:1" x14ac:dyDescent="0.25">
      <c r="A3820" s="63"/>
    </row>
    <row r="3821" spans="1:1" x14ac:dyDescent="0.25">
      <c r="A3821" s="63"/>
    </row>
    <row r="3822" spans="1:1" x14ac:dyDescent="0.25">
      <c r="A3822" s="63"/>
    </row>
    <row r="3823" spans="1:1" x14ac:dyDescent="0.25">
      <c r="A3823" s="63"/>
    </row>
    <row r="3824" spans="1:1" x14ac:dyDescent="0.25">
      <c r="A3824" s="63"/>
    </row>
    <row r="3825" spans="1:1" x14ac:dyDescent="0.25">
      <c r="A3825" s="63"/>
    </row>
    <row r="3826" spans="1:1" x14ac:dyDescent="0.25">
      <c r="A3826" s="63"/>
    </row>
    <row r="3827" spans="1:1" x14ac:dyDescent="0.25">
      <c r="A3827" s="63"/>
    </row>
    <row r="3828" spans="1:1" x14ac:dyDescent="0.25">
      <c r="A3828" s="63"/>
    </row>
    <row r="3829" spans="1:1" x14ac:dyDescent="0.25">
      <c r="A3829" s="63"/>
    </row>
    <row r="3830" spans="1:1" x14ac:dyDescent="0.25">
      <c r="A3830" s="63"/>
    </row>
    <row r="3831" spans="1:1" x14ac:dyDescent="0.25">
      <c r="A3831" s="63"/>
    </row>
    <row r="3832" spans="1:1" x14ac:dyDescent="0.25">
      <c r="A3832" s="63"/>
    </row>
    <row r="3833" spans="1:1" x14ac:dyDescent="0.25">
      <c r="A3833" s="63"/>
    </row>
    <row r="3834" spans="1:1" x14ac:dyDescent="0.25">
      <c r="A3834" s="63"/>
    </row>
    <row r="3835" spans="1:1" x14ac:dyDescent="0.25">
      <c r="A3835" s="63"/>
    </row>
    <row r="3836" spans="1:1" x14ac:dyDescent="0.25">
      <c r="A3836" s="63"/>
    </row>
    <row r="3837" spans="1:1" x14ac:dyDescent="0.25">
      <c r="A3837" s="63"/>
    </row>
    <row r="3838" spans="1:1" x14ac:dyDescent="0.25">
      <c r="A3838" s="63"/>
    </row>
    <row r="3839" spans="1:1" x14ac:dyDescent="0.25">
      <c r="A3839" s="63"/>
    </row>
    <row r="3840" spans="1:1" x14ac:dyDescent="0.25">
      <c r="A3840" s="63"/>
    </row>
    <row r="3841" spans="1:1" x14ac:dyDescent="0.25">
      <c r="A3841" s="63"/>
    </row>
    <row r="3842" spans="1:1" x14ac:dyDescent="0.25">
      <c r="A3842" s="63"/>
    </row>
    <row r="3843" spans="1:1" x14ac:dyDescent="0.25">
      <c r="A3843" s="63"/>
    </row>
    <row r="3844" spans="1:1" x14ac:dyDescent="0.25">
      <c r="A3844" s="63"/>
    </row>
    <row r="3845" spans="1:1" x14ac:dyDescent="0.25">
      <c r="A3845" s="63"/>
    </row>
    <row r="3846" spans="1:1" x14ac:dyDescent="0.25">
      <c r="A3846" s="63"/>
    </row>
    <row r="3847" spans="1:1" x14ac:dyDescent="0.25">
      <c r="A3847" s="63"/>
    </row>
    <row r="3848" spans="1:1" x14ac:dyDescent="0.25">
      <c r="A3848" s="63"/>
    </row>
    <row r="3849" spans="1:1" x14ac:dyDescent="0.25">
      <c r="A3849" s="63"/>
    </row>
    <row r="3850" spans="1:1" x14ac:dyDescent="0.25">
      <c r="A3850" s="63"/>
    </row>
    <row r="3851" spans="1:1" x14ac:dyDescent="0.25">
      <c r="A3851" s="63"/>
    </row>
    <row r="3852" spans="1:1" x14ac:dyDescent="0.25">
      <c r="A3852" s="63"/>
    </row>
    <row r="3853" spans="1:1" x14ac:dyDescent="0.25">
      <c r="A3853" s="63"/>
    </row>
    <row r="3854" spans="1:1" x14ac:dyDescent="0.25">
      <c r="A3854" s="63"/>
    </row>
    <row r="3855" spans="1:1" x14ac:dyDescent="0.25">
      <c r="A3855" s="63"/>
    </row>
    <row r="3856" spans="1:1" x14ac:dyDescent="0.25">
      <c r="A3856" s="63"/>
    </row>
    <row r="3857" spans="1:1" x14ac:dyDescent="0.25">
      <c r="A3857" s="63"/>
    </row>
    <row r="3858" spans="1:1" x14ac:dyDescent="0.25">
      <c r="A3858" s="63"/>
    </row>
    <row r="3859" spans="1:1" x14ac:dyDescent="0.25">
      <c r="A3859" s="63"/>
    </row>
    <row r="3860" spans="1:1" x14ac:dyDescent="0.25">
      <c r="A3860" s="63"/>
    </row>
    <row r="3861" spans="1:1" x14ac:dyDescent="0.25">
      <c r="A3861" s="63"/>
    </row>
    <row r="3862" spans="1:1" x14ac:dyDescent="0.25">
      <c r="A3862" s="63"/>
    </row>
    <row r="3863" spans="1:1" x14ac:dyDescent="0.25">
      <c r="A3863" s="63"/>
    </row>
    <row r="3864" spans="1:1" x14ac:dyDescent="0.25">
      <c r="A3864" s="63"/>
    </row>
    <row r="3865" spans="1:1" x14ac:dyDescent="0.25">
      <c r="A3865" s="63"/>
    </row>
    <row r="3866" spans="1:1" x14ac:dyDescent="0.25">
      <c r="A3866" s="63"/>
    </row>
    <row r="3867" spans="1:1" x14ac:dyDescent="0.25">
      <c r="A3867" s="63"/>
    </row>
    <row r="3868" spans="1:1" x14ac:dyDescent="0.25">
      <c r="A3868" s="63"/>
    </row>
    <row r="3869" spans="1:1" x14ac:dyDescent="0.25">
      <c r="A3869" s="63"/>
    </row>
    <row r="3870" spans="1:1" x14ac:dyDescent="0.25">
      <c r="A3870" s="63"/>
    </row>
    <row r="3871" spans="1:1" x14ac:dyDescent="0.25">
      <c r="A3871" s="63"/>
    </row>
    <row r="3872" spans="1:1" x14ac:dyDescent="0.25">
      <c r="A3872" s="63"/>
    </row>
    <row r="3873" spans="1:1" x14ac:dyDescent="0.25">
      <c r="A3873" s="63"/>
    </row>
    <row r="3874" spans="1:1" x14ac:dyDescent="0.25">
      <c r="A3874" s="63"/>
    </row>
    <row r="3875" spans="1:1" x14ac:dyDescent="0.25">
      <c r="A3875" s="63"/>
    </row>
    <row r="3876" spans="1:1" x14ac:dyDescent="0.25">
      <c r="A3876" s="63"/>
    </row>
    <row r="3877" spans="1:1" x14ac:dyDescent="0.25">
      <c r="A3877" s="63"/>
    </row>
    <row r="3878" spans="1:1" x14ac:dyDescent="0.25">
      <c r="A3878" s="63"/>
    </row>
    <row r="3879" spans="1:1" x14ac:dyDescent="0.25">
      <c r="A3879" s="63"/>
    </row>
    <row r="3880" spans="1:1" x14ac:dyDescent="0.25">
      <c r="A3880" s="63"/>
    </row>
    <row r="3881" spans="1:1" x14ac:dyDescent="0.25">
      <c r="A3881" s="63"/>
    </row>
    <row r="3882" spans="1:1" x14ac:dyDescent="0.25">
      <c r="A3882" s="63"/>
    </row>
    <row r="3883" spans="1:1" x14ac:dyDescent="0.25">
      <c r="A3883" s="63"/>
    </row>
    <row r="3884" spans="1:1" x14ac:dyDescent="0.25">
      <c r="A3884" s="63"/>
    </row>
    <row r="3885" spans="1:1" x14ac:dyDescent="0.25">
      <c r="A3885" s="63"/>
    </row>
    <row r="3886" spans="1:1" x14ac:dyDescent="0.25">
      <c r="A3886" s="63"/>
    </row>
    <row r="3887" spans="1:1" x14ac:dyDescent="0.25">
      <c r="A3887" s="63"/>
    </row>
    <row r="3888" spans="1:1" x14ac:dyDescent="0.25">
      <c r="A3888" s="63"/>
    </row>
    <row r="3889" spans="1:1" x14ac:dyDescent="0.25">
      <c r="A3889" s="63"/>
    </row>
    <row r="3890" spans="1:1" x14ac:dyDescent="0.25">
      <c r="A3890" s="63"/>
    </row>
    <row r="3891" spans="1:1" x14ac:dyDescent="0.25">
      <c r="A3891" s="63"/>
    </row>
    <row r="3892" spans="1:1" x14ac:dyDescent="0.25">
      <c r="A3892" s="63"/>
    </row>
    <row r="3893" spans="1:1" x14ac:dyDescent="0.25">
      <c r="A3893" s="63"/>
    </row>
    <row r="3894" spans="1:1" x14ac:dyDescent="0.25">
      <c r="A3894" s="63"/>
    </row>
    <row r="3895" spans="1:1" x14ac:dyDescent="0.25">
      <c r="A3895" s="63"/>
    </row>
    <row r="3896" spans="1:1" x14ac:dyDescent="0.25">
      <c r="A3896" s="63"/>
    </row>
    <row r="3897" spans="1:1" x14ac:dyDescent="0.25">
      <c r="A3897" s="63"/>
    </row>
    <row r="3898" spans="1:1" x14ac:dyDescent="0.25">
      <c r="A3898" s="63"/>
    </row>
    <row r="3899" spans="1:1" x14ac:dyDescent="0.25">
      <c r="A3899" s="63"/>
    </row>
    <row r="3900" spans="1:1" x14ac:dyDescent="0.25">
      <c r="A3900" s="63"/>
    </row>
    <row r="3901" spans="1:1" x14ac:dyDescent="0.25">
      <c r="A3901" s="63"/>
    </row>
    <row r="3902" spans="1:1" x14ac:dyDescent="0.25">
      <c r="A3902" s="63"/>
    </row>
    <row r="3903" spans="1:1" x14ac:dyDescent="0.25">
      <c r="A3903" s="63"/>
    </row>
    <row r="3904" spans="1:1" x14ac:dyDescent="0.25">
      <c r="A3904" s="63"/>
    </row>
    <row r="3905" spans="1:1" x14ac:dyDescent="0.25">
      <c r="A3905" s="63"/>
    </row>
    <row r="3906" spans="1:1" x14ac:dyDescent="0.25">
      <c r="A3906" s="63"/>
    </row>
    <row r="3907" spans="1:1" x14ac:dyDescent="0.25">
      <c r="A3907" s="63"/>
    </row>
    <row r="3908" spans="1:1" x14ac:dyDescent="0.25">
      <c r="A3908" s="63"/>
    </row>
    <row r="3909" spans="1:1" x14ac:dyDescent="0.25">
      <c r="A3909" s="63"/>
    </row>
    <row r="3910" spans="1:1" x14ac:dyDescent="0.25">
      <c r="A3910" s="63"/>
    </row>
    <row r="3911" spans="1:1" x14ac:dyDescent="0.25">
      <c r="A3911" s="63"/>
    </row>
    <row r="3912" spans="1:1" x14ac:dyDescent="0.25">
      <c r="A3912" s="63"/>
    </row>
    <row r="3913" spans="1:1" x14ac:dyDescent="0.25">
      <c r="A3913" s="63"/>
    </row>
    <row r="3914" spans="1:1" x14ac:dyDescent="0.25">
      <c r="A3914" s="63"/>
    </row>
    <row r="3915" spans="1:1" x14ac:dyDescent="0.25">
      <c r="A3915" s="63"/>
    </row>
    <row r="3916" spans="1:1" x14ac:dyDescent="0.25">
      <c r="A3916" s="63"/>
    </row>
    <row r="3917" spans="1:1" x14ac:dyDescent="0.25">
      <c r="A3917" s="63"/>
    </row>
    <row r="3918" spans="1:1" x14ac:dyDescent="0.25">
      <c r="A3918" s="63"/>
    </row>
    <row r="3919" spans="1:1" x14ac:dyDescent="0.25">
      <c r="A3919" s="63"/>
    </row>
    <row r="3920" spans="1:1" x14ac:dyDescent="0.25">
      <c r="A3920" s="63"/>
    </row>
    <row r="3921" spans="1:1" x14ac:dyDescent="0.25">
      <c r="A3921" s="63"/>
    </row>
    <row r="3922" spans="1:1" x14ac:dyDescent="0.25">
      <c r="A3922" s="63"/>
    </row>
    <row r="3923" spans="1:1" x14ac:dyDescent="0.25">
      <c r="A3923" s="63"/>
    </row>
    <row r="3924" spans="1:1" x14ac:dyDescent="0.25">
      <c r="A3924" s="63"/>
    </row>
    <row r="3925" spans="1:1" x14ac:dyDescent="0.25">
      <c r="A3925" s="63"/>
    </row>
    <row r="3926" spans="1:1" x14ac:dyDescent="0.25">
      <c r="A3926" s="63"/>
    </row>
    <row r="3927" spans="1:1" x14ac:dyDescent="0.25">
      <c r="A3927" s="63"/>
    </row>
    <row r="3928" spans="1:1" x14ac:dyDescent="0.25">
      <c r="A3928" s="63"/>
    </row>
    <row r="3929" spans="1:1" x14ac:dyDescent="0.25">
      <c r="A3929" s="63"/>
    </row>
    <row r="3930" spans="1:1" x14ac:dyDescent="0.25">
      <c r="A3930" s="63"/>
    </row>
    <row r="3931" spans="1:1" x14ac:dyDescent="0.25">
      <c r="A3931" s="63"/>
    </row>
    <row r="3932" spans="1:1" x14ac:dyDescent="0.25">
      <c r="A3932" s="63"/>
    </row>
    <row r="3933" spans="1:1" x14ac:dyDescent="0.25">
      <c r="A3933" s="63"/>
    </row>
    <row r="3934" spans="1:1" x14ac:dyDescent="0.25">
      <c r="A3934" s="63"/>
    </row>
    <row r="3935" spans="1:1" x14ac:dyDescent="0.25">
      <c r="A3935" s="63"/>
    </row>
    <row r="3936" spans="1:1" x14ac:dyDescent="0.25">
      <c r="A3936" s="63"/>
    </row>
    <row r="3937" spans="1:1" x14ac:dyDescent="0.25">
      <c r="A3937" s="63"/>
    </row>
    <row r="3938" spans="1:1" x14ac:dyDescent="0.25">
      <c r="A3938" s="63"/>
    </row>
    <row r="3939" spans="1:1" x14ac:dyDescent="0.25">
      <c r="A3939" s="63"/>
    </row>
    <row r="3940" spans="1:1" x14ac:dyDescent="0.25">
      <c r="A3940" s="63"/>
    </row>
    <row r="3941" spans="1:1" x14ac:dyDescent="0.25">
      <c r="A3941" s="63"/>
    </row>
    <row r="3942" spans="1:1" x14ac:dyDescent="0.25">
      <c r="A3942" s="63"/>
    </row>
    <row r="3943" spans="1:1" x14ac:dyDescent="0.25">
      <c r="A3943" s="63"/>
    </row>
    <row r="3944" spans="1:1" x14ac:dyDescent="0.25">
      <c r="A3944" s="63"/>
    </row>
    <row r="3945" spans="1:1" x14ac:dyDescent="0.25">
      <c r="A3945" s="63"/>
    </row>
    <row r="3946" spans="1:1" x14ac:dyDescent="0.25">
      <c r="A3946" s="63"/>
    </row>
    <row r="3947" spans="1:1" x14ac:dyDescent="0.25">
      <c r="A3947" s="63"/>
    </row>
    <row r="3948" spans="1:1" x14ac:dyDescent="0.25">
      <c r="A3948" s="63"/>
    </row>
    <row r="3949" spans="1:1" x14ac:dyDescent="0.25">
      <c r="A3949" s="63"/>
    </row>
    <row r="3950" spans="1:1" x14ac:dyDescent="0.25">
      <c r="A3950" s="63"/>
    </row>
    <row r="3951" spans="1:1" x14ac:dyDescent="0.25">
      <c r="A3951" s="63"/>
    </row>
    <row r="3952" spans="1:1" x14ac:dyDescent="0.25">
      <c r="A3952" s="63"/>
    </row>
    <row r="3953" spans="1:1" x14ac:dyDescent="0.25">
      <c r="A3953" s="63"/>
    </row>
    <row r="3954" spans="1:1" x14ac:dyDescent="0.25">
      <c r="A3954" s="63"/>
    </row>
    <row r="3955" spans="1:1" x14ac:dyDescent="0.25">
      <c r="A3955" s="63"/>
    </row>
    <row r="3956" spans="1:1" x14ac:dyDescent="0.25">
      <c r="A3956" s="63"/>
    </row>
    <row r="3957" spans="1:1" x14ac:dyDescent="0.25">
      <c r="A3957" s="63"/>
    </row>
    <row r="3958" spans="1:1" x14ac:dyDescent="0.25">
      <c r="A3958" s="63"/>
    </row>
    <row r="3959" spans="1:1" x14ac:dyDescent="0.25">
      <c r="A3959" s="63"/>
    </row>
    <row r="3960" spans="1:1" x14ac:dyDescent="0.25">
      <c r="A3960" s="63"/>
    </row>
    <row r="3961" spans="1:1" x14ac:dyDescent="0.25">
      <c r="A3961" s="63"/>
    </row>
    <row r="3962" spans="1:1" x14ac:dyDescent="0.25">
      <c r="A3962" s="63"/>
    </row>
    <row r="3963" spans="1:1" x14ac:dyDescent="0.25">
      <c r="A3963" s="63"/>
    </row>
    <row r="3964" spans="1:1" x14ac:dyDescent="0.25">
      <c r="A3964" s="63"/>
    </row>
    <row r="3965" spans="1:1" x14ac:dyDescent="0.25">
      <c r="A3965" s="63"/>
    </row>
    <row r="3966" spans="1:1" x14ac:dyDescent="0.25">
      <c r="A3966" s="63"/>
    </row>
    <row r="3967" spans="1:1" x14ac:dyDescent="0.25">
      <c r="A3967" s="63"/>
    </row>
    <row r="3968" spans="1:1" x14ac:dyDescent="0.25">
      <c r="A3968" s="63"/>
    </row>
    <row r="3969" spans="1:1" x14ac:dyDescent="0.25">
      <c r="A3969" s="63"/>
    </row>
    <row r="3970" spans="1:1" x14ac:dyDescent="0.25">
      <c r="A3970" s="63"/>
    </row>
    <row r="3971" spans="1:1" x14ac:dyDescent="0.25">
      <c r="A3971" s="63"/>
    </row>
    <row r="3972" spans="1:1" x14ac:dyDescent="0.25">
      <c r="A3972" s="63"/>
    </row>
    <row r="3973" spans="1:1" x14ac:dyDescent="0.25">
      <c r="A3973" s="63"/>
    </row>
    <row r="3974" spans="1:1" x14ac:dyDescent="0.25">
      <c r="A3974" s="63"/>
    </row>
    <row r="3975" spans="1:1" x14ac:dyDescent="0.25">
      <c r="A3975" s="63"/>
    </row>
    <row r="3976" spans="1:1" x14ac:dyDescent="0.25">
      <c r="A3976" s="63"/>
    </row>
    <row r="3977" spans="1:1" x14ac:dyDescent="0.25">
      <c r="A3977" s="63"/>
    </row>
    <row r="3978" spans="1:1" x14ac:dyDescent="0.25">
      <c r="A3978" s="63"/>
    </row>
    <row r="3979" spans="1:1" x14ac:dyDescent="0.25">
      <c r="A3979" s="63"/>
    </row>
    <row r="3980" spans="1:1" x14ac:dyDescent="0.25">
      <c r="A3980" s="63"/>
    </row>
    <row r="3981" spans="1:1" x14ac:dyDescent="0.25">
      <c r="A3981" s="63"/>
    </row>
    <row r="3982" spans="1:1" x14ac:dyDescent="0.25">
      <c r="A3982" s="63"/>
    </row>
    <row r="3983" spans="1:1" x14ac:dyDescent="0.25">
      <c r="A3983" s="63"/>
    </row>
    <row r="3984" spans="1:1" x14ac:dyDescent="0.25">
      <c r="A3984" s="63"/>
    </row>
    <row r="3985" spans="1:1" x14ac:dyDescent="0.25">
      <c r="A3985" s="63"/>
    </row>
    <row r="3986" spans="1:1" x14ac:dyDescent="0.25">
      <c r="A3986" s="63"/>
    </row>
    <row r="3987" spans="1:1" x14ac:dyDescent="0.25">
      <c r="A3987" s="63"/>
    </row>
    <row r="3988" spans="1:1" x14ac:dyDescent="0.25">
      <c r="A3988" s="63"/>
    </row>
    <row r="3989" spans="1:1" x14ac:dyDescent="0.25">
      <c r="A3989" s="63"/>
    </row>
    <row r="3990" spans="1:1" x14ac:dyDescent="0.25">
      <c r="A3990" s="63"/>
    </row>
    <row r="3991" spans="1:1" x14ac:dyDescent="0.25">
      <c r="A3991" s="63"/>
    </row>
    <row r="3992" spans="1:1" x14ac:dyDescent="0.25">
      <c r="A3992" s="63"/>
    </row>
    <row r="3993" spans="1:1" x14ac:dyDescent="0.25">
      <c r="A3993" s="63"/>
    </row>
    <row r="3994" spans="1:1" x14ac:dyDescent="0.25">
      <c r="A3994" s="63"/>
    </row>
    <row r="3995" spans="1:1" x14ac:dyDescent="0.25">
      <c r="A3995" s="63"/>
    </row>
    <row r="3996" spans="1:1" x14ac:dyDescent="0.25">
      <c r="A3996" s="63"/>
    </row>
    <row r="3997" spans="1:1" x14ac:dyDescent="0.25">
      <c r="A3997" s="63"/>
    </row>
    <row r="3998" spans="1:1" x14ac:dyDescent="0.25">
      <c r="A3998" s="63"/>
    </row>
    <row r="3999" spans="1:1" x14ac:dyDescent="0.25">
      <c r="A3999" s="63"/>
    </row>
    <row r="4000" spans="1:1" x14ac:dyDescent="0.25">
      <c r="A4000" s="63"/>
    </row>
    <row r="4001" spans="1:1" x14ac:dyDescent="0.25">
      <c r="A4001" s="63"/>
    </row>
    <row r="4002" spans="1:1" x14ac:dyDescent="0.25">
      <c r="A4002" s="63"/>
    </row>
    <row r="4003" spans="1:1" x14ac:dyDescent="0.25">
      <c r="A4003" s="63"/>
    </row>
    <row r="4004" spans="1:1" x14ac:dyDescent="0.25">
      <c r="A4004" s="63"/>
    </row>
    <row r="4005" spans="1:1" x14ac:dyDescent="0.25">
      <c r="A4005" s="63"/>
    </row>
    <row r="4006" spans="1:1" x14ac:dyDescent="0.25">
      <c r="A4006" s="63"/>
    </row>
    <row r="4007" spans="1:1" x14ac:dyDescent="0.25">
      <c r="A4007" s="63"/>
    </row>
    <row r="4008" spans="1:1" x14ac:dyDescent="0.25">
      <c r="A4008" s="63"/>
    </row>
    <row r="4009" spans="1:1" x14ac:dyDescent="0.25">
      <c r="A4009" s="63"/>
    </row>
    <row r="4010" spans="1:1" x14ac:dyDescent="0.25">
      <c r="A4010" s="63"/>
    </row>
    <row r="4011" spans="1:1" x14ac:dyDescent="0.25">
      <c r="A4011" s="63"/>
    </row>
    <row r="4012" spans="1:1" x14ac:dyDescent="0.25">
      <c r="A4012" s="63"/>
    </row>
    <row r="4013" spans="1:1" x14ac:dyDescent="0.25">
      <c r="A4013" s="63"/>
    </row>
    <row r="4014" spans="1:1" x14ac:dyDescent="0.25">
      <c r="A4014" s="63"/>
    </row>
    <row r="4015" spans="1:1" x14ac:dyDescent="0.25">
      <c r="A4015" s="63"/>
    </row>
    <row r="4016" spans="1:1" x14ac:dyDescent="0.25">
      <c r="A4016" s="63"/>
    </row>
    <row r="4017" spans="1:1" x14ac:dyDescent="0.25">
      <c r="A4017" s="63"/>
    </row>
    <row r="4018" spans="1:1" x14ac:dyDescent="0.25">
      <c r="A4018" s="63"/>
    </row>
    <row r="4019" spans="1:1" x14ac:dyDescent="0.25">
      <c r="A4019" s="63"/>
    </row>
    <row r="4020" spans="1:1" x14ac:dyDescent="0.25">
      <c r="A4020" s="63"/>
    </row>
    <row r="4021" spans="1:1" x14ac:dyDescent="0.25">
      <c r="A4021" s="63"/>
    </row>
    <row r="4022" spans="1:1" x14ac:dyDescent="0.25">
      <c r="A4022" s="63"/>
    </row>
    <row r="4023" spans="1:1" x14ac:dyDescent="0.25">
      <c r="A4023" s="63"/>
    </row>
    <row r="4024" spans="1:1" x14ac:dyDescent="0.25">
      <c r="A4024" s="63"/>
    </row>
    <row r="4025" spans="1:1" x14ac:dyDescent="0.25">
      <c r="A4025" s="63"/>
    </row>
    <row r="4026" spans="1:1" x14ac:dyDescent="0.25">
      <c r="A4026" s="63"/>
    </row>
    <row r="4027" spans="1:1" x14ac:dyDescent="0.25">
      <c r="A4027" s="63"/>
    </row>
    <row r="4028" spans="1:1" x14ac:dyDescent="0.25">
      <c r="A4028" s="63"/>
    </row>
    <row r="4029" spans="1:1" x14ac:dyDescent="0.25">
      <c r="A4029" s="63"/>
    </row>
    <row r="4030" spans="1:1" x14ac:dyDescent="0.25">
      <c r="A4030" s="63"/>
    </row>
    <row r="4031" spans="1:1" x14ac:dyDescent="0.25">
      <c r="A4031" s="63"/>
    </row>
    <row r="4032" spans="1:1" x14ac:dyDescent="0.25">
      <c r="A4032" s="63"/>
    </row>
    <row r="4033" spans="1:1" x14ac:dyDescent="0.25">
      <c r="A4033" s="63"/>
    </row>
    <row r="4034" spans="1:1" x14ac:dyDescent="0.25">
      <c r="A4034" s="63"/>
    </row>
    <row r="4035" spans="1:1" x14ac:dyDescent="0.25">
      <c r="A4035" s="63"/>
    </row>
    <row r="4036" spans="1:1" x14ac:dyDescent="0.25">
      <c r="A4036" s="63"/>
    </row>
    <row r="4037" spans="1:1" x14ac:dyDescent="0.25">
      <c r="A4037" s="63"/>
    </row>
    <row r="4038" spans="1:1" x14ac:dyDescent="0.25">
      <c r="A4038" s="63"/>
    </row>
    <row r="4039" spans="1:1" x14ac:dyDescent="0.25">
      <c r="A4039" s="63"/>
    </row>
    <row r="4040" spans="1:1" x14ac:dyDescent="0.25">
      <c r="A4040" s="63"/>
    </row>
    <row r="4041" spans="1:1" x14ac:dyDescent="0.25">
      <c r="A4041" s="63"/>
    </row>
    <row r="4042" spans="1:1" x14ac:dyDescent="0.25">
      <c r="A4042" s="63"/>
    </row>
    <row r="4043" spans="1:1" x14ac:dyDescent="0.25">
      <c r="A4043" s="63"/>
    </row>
    <row r="4044" spans="1:1" x14ac:dyDescent="0.25">
      <c r="A4044" s="63"/>
    </row>
    <row r="4045" spans="1:1" x14ac:dyDescent="0.25">
      <c r="A4045" s="63"/>
    </row>
    <row r="4046" spans="1:1" x14ac:dyDescent="0.25">
      <c r="A4046" s="63"/>
    </row>
    <row r="4047" spans="1:1" x14ac:dyDescent="0.25">
      <c r="A4047" s="63"/>
    </row>
    <row r="4048" spans="1:1" x14ac:dyDescent="0.25">
      <c r="A4048" s="63"/>
    </row>
    <row r="4049" spans="1:1" x14ac:dyDescent="0.25">
      <c r="A4049" s="63"/>
    </row>
    <row r="4050" spans="1:1" x14ac:dyDescent="0.25">
      <c r="A4050" s="63"/>
    </row>
    <row r="4051" spans="1:1" x14ac:dyDescent="0.25">
      <c r="A4051" s="63"/>
    </row>
    <row r="4052" spans="1:1" x14ac:dyDescent="0.25">
      <c r="A4052" s="63"/>
    </row>
    <row r="4053" spans="1:1" x14ac:dyDescent="0.25">
      <c r="A4053" s="63"/>
    </row>
    <row r="4054" spans="1:1" x14ac:dyDescent="0.25">
      <c r="A4054" s="63"/>
    </row>
    <row r="4055" spans="1:1" x14ac:dyDescent="0.25">
      <c r="A4055" s="63"/>
    </row>
    <row r="4056" spans="1:1" x14ac:dyDescent="0.25">
      <c r="A4056" s="63"/>
    </row>
    <row r="4057" spans="1:1" x14ac:dyDescent="0.25">
      <c r="A4057" s="63"/>
    </row>
    <row r="4058" spans="1:1" x14ac:dyDescent="0.25">
      <c r="A4058" s="63"/>
    </row>
    <row r="4059" spans="1:1" x14ac:dyDescent="0.25">
      <c r="A4059" s="63"/>
    </row>
    <row r="4060" spans="1:1" x14ac:dyDescent="0.25">
      <c r="A4060" s="63"/>
    </row>
    <row r="4061" spans="1:1" x14ac:dyDescent="0.25">
      <c r="A4061" s="63"/>
    </row>
    <row r="4062" spans="1:1" x14ac:dyDescent="0.25">
      <c r="A4062" s="63"/>
    </row>
    <row r="4063" spans="1:1" x14ac:dyDescent="0.25">
      <c r="A4063" s="63"/>
    </row>
    <row r="4064" spans="1:1" x14ac:dyDescent="0.25">
      <c r="A4064" s="63"/>
    </row>
    <row r="4065" spans="1:1" x14ac:dyDescent="0.25">
      <c r="A4065" s="63"/>
    </row>
    <row r="4066" spans="1:1" x14ac:dyDescent="0.25">
      <c r="A4066" s="63"/>
    </row>
    <row r="4067" spans="1:1" x14ac:dyDescent="0.25">
      <c r="A4067" s="63"/>
    </row>
    <row r="4068" spans="1:1" x14ac:dyDescent="0.25">
      <c r="A4068" s="63"/>
    </row>
    <row r="4069" spans="1:1" x14ac:dyDescent="0.25">
      <c r="A4069" s="63"/>
    </row>
    <row r="4070" spans="1:1" x14ac:dyDescent="0.25">
      <c r="A4070" s="63"/>
    </row>
    <row r="4071" spans="1:1" x14ac:dyDescent="0.25">
      <c r="A4071" s="63"/>
    </row>
    <row r="4072" spans="1:1" x14ac:dyDescent="0.25">
      <c r="A4072" s="63"/>
    </row>
    <row r="4073" spans="1:1" x14ac:dyDescent="0.25">
      <c r="A4073" s="63"/>
    </row>
    <row r="4074" spans="1:1" x14ac:dyDescent="0.25">
      <c r="A4074" s="63"/>
    </row>
    <row r="4075" spans="1:1" x14ac:dyDescent="0.25">
      <c r="A4075" s="63"/>
    </row>
    <row r="4076" spans="1:1" x14ac:dyDescent="0.25">
      <c r="A4076" s="63"/>
    </row>
    <row r="4077" spans="1:1" x14ac:dyDescent="0.25">
      <c r="A4077" s="63"/>
    </row>
    <row r="4078" spans="1:1" x14ac:dyDescent="0.25">
      <c r="A4078" s="63"/>
    </row>
    <row r="4079" spans="1:1" x14ac:dyDescent="0.25">
      <c r="A4079" s="63"/>
    </row>
    <row r="4080" spans="1:1" x14ac:dyDescent="0.25">
      <c r="A4080" s="63"/>
    </row>
    <row r="4081" spans="1:1" x14ac:dyDescent="0.25">
      <c r="A4081" s="63"/>
    </row>
    <row r="4082" spans="1:1" x14ac:dyDescent="0.25">
      <c r="A4082" s="63"/>
    </row>
    <row r="4083" spans="1:1" x14ac:dyDescent="0.25">
      <c r="A4083" s="63"/>
    </row>
    <row r="4084" spans="1:1" x14ac:dyDescent="0.25">
      <c r="A4084" s="63"/>
    </row>
    <row r="4085" spans="1:1" x14ac:dyDescent="0.25">
      <c r="A4085" s="63"/>
    </row>
    <row r="4086" spans="1:1" x14ac:dyDescent="0.25">
      <c r="A4086" s="63"/>
    </row>
    <row r="4087" spans="1:1" x14ac:dyDescent="0.25">
      <c r="A4087" s="63"/>
    </row>
    <row r="4088" spans="1:1" x14ac:dyDescent="0.25">
      <c r="A4088" s="63"/>
    </row>
    <row r="4089" spans="1:1" x14ac:dyDescent="0.25">
      <c r="A4089" s="63"/>
    </row>
    <row r="4090" spans="1:1" x14ac:dyDescent="0.25">
      <c r="A4090" s="63"/>
    </row>
    <row r="4091" spans="1:1" x14ac:dyDescent="0.25">
      <c r="A4091" s="63"/>
    </row>
    <row r="4092" spans="1:1" x14ac:dyDescent="0.25">
      <c r="A4092" s="63"/>
    </row>
    <row r="4093" spans="1:1" x14ac:dyDescent="0.25">
      <c r="A4093" s="63"/>
    </row>
    <row r="4094" spans="1:1" x14ac:dyDescent="0.25">
      <c r="A4094" s="63"/>
    </row>
    <row r="4095" spans="1:1" x14ac:dyDescent="0.25">
      <c r="A4095" s="63"/>
    </row>
    <row r="4096" spans="1:1" x14ac:dyDescent="0.25">
      <c r="A4096" s="63"/>
    </row>
    <row r="4097" spans="1:1" x14ac:dyDescent="0.25">
      <c r="A4097" s="63"/>
    </row>
    <row r="4098" spans="1:1" x14ac:dyDescent="0.25">
      <c r="A4098" s="63"/>
    </row>
    <row r="4099" spans="1:1" x14ac:dyDescent="0.25">
      <c r="A4099" s="63"/>
    </row>
    <row r="4100" spans="1:1" x14ac:dyDescent="0.25">
      <c r="A4100" s="63"/>
    </row>
    <row r="4101" spans="1:1" x14ac:dyDescent="0.25">
      <c r="A4101" s="63"/>
    </row>
    <row r="4102" spans="1:1" x14ac:dyDescent="0.25">
      <c r="A4102" s="63"/>
    </row>
    <row r="4103" spans="1:1" x14ac:dyDescent="0.25">
      <c r="A4103" s="63"/>
    </row>
    <row r="4104" spans="1:1" x14ac:dyDescent="0.25">
      <c r="A4104" s="63"/>
    </row>
    <row r="4105" spans="1:1" x14ac:dyDescent="0.25">
      <c r="A4105" s="63"/>
    </row>
    <row r="4106" spans="1:1" x14ac:dyDescent="0.25">
      <c r="A4106" s="63"/>
    </row>
    <row r="4107" spans="1:1" x14ac:dyDescent="0.25">
      <c r="A4107" s="63"/>
    </row>
    <row r="4108" spans="1:1" x14ac:dyDescent="0.25">
      <c r="A4108" s="63"/>
    </row>
    <row r="4109" spans="1:1" x14ac:dyDescent="0.25">
      <c r="A4109" s="63"/>
    </row>
    <row r="4110" spans="1:1" x14ac:dyDescent="0.25">
      <c r="A4110" s="63"/>
    </row>
    <row r="4111" spans="1:1" x14ac:dyDescent="0.25">
      <c r="A4111" s="63"/>
    </row>
    <row r="4112" spans="1:1" x14ac:dyDescent="0.25">
      <c r="A4112" s="63"/>
    </row>
    <row r="4113" spans="1:1" x14ac:dyDescent="0.25">
      <c r="A4113" s="63"/>
    </row>
    <row r="4114" spans="1:1" x14ac:dyDescent="0.25">
      <c r="A4114" s="63"/>
    </row>
    <row r="4115" spans="1:1" x14ac:dyDescent="0.25">
      <c r="A4115" s="63"/>
    </row>
    <row r="4116" spans="1:1" x14ac:dyDescent="0.25">
      <c r="A4116" s="63"/>
    </row>
    <row r="4117" spans="1:1" x14ac:dyDescent="0.25">
      <c r="A4117" s="63"/>
    </row>
    <row r="4118" spans="1:1" x14ac:dyDescent="0.25">
      <c r="A4118" s="63"/>
    </row>
    <row r="4119" spans="1:1" x14ac:dyDescent="0.25">
      <c r="A4119" s="63"/>
    </row>
    <row r="4120" spans="1:1" x14ac:dyDescent="0.25">
      <c r="A4120" s="63"/>
    </row>
    <row r="4121" spans="1:1" x14ac:dyDescent="0.25">
      <c r="A4121" s="63"/>
    </row>
    <row r="4122" spans="1:1" x14ac:dyDescent="0.25">
      <c r="A4122" s="63"/>
    </row>
    <row r="4123" spans="1:1" x14ac:dyDescent="0.25">
      <c r="A4123" s="63"/>
    </row>
    <row r="4124" spans="1:1" x14ac:dyDescent="0.25">
      <c r="A4124" s="63"/>
    </row>
    <row r="4125" spans="1:1" x14ac:dyDescent="0.25">
      <c r="A4125" s="63"/>
    </row>
    <row r="4126" spans="1:1" x14ac:dyDescent="0.25">
      <c r="A4126" s="63"/>
    </row>
    <row r="4127" spans="1:1" x14ac:dyDescent="0.25">
      <c r="A4127" s="63"/>
    </row>
    <row r="4128" spans="1:1" x14ac:dyDescent="0.25">
      <c r="A4128" s="63"/>
    </row>
    <row r="4129" spans="1:1" x14ac:dyDescent="0.25">
      <c r="A4129" s="63"/>
    </row>
    <row r="4130" spans="1:1" x14ac:dyDescent="0.25">
      <c r="A4130" s="63"/>
    </row>
    <row r="4131" spans="1:1" x14ac:dyDescent="0.25">
      <c r="A4131" s="63"/>
    </row>
    <row r="4132" spans="1:1" x14ac:dyDescent="0.25">
      <c r="A4132" s="63"/>
    </row>
    <row r="4133" spans="1:1" x14ac:dyDescent="0.25">
      <c r="A4133" s="63"/>
    </row>
    <row r="4134" spans="1:1" x14ac:dyDescent="0.25">
      <c r="A4134" s="63"/>
    </row>
    <row r="4135" spans="1:1" x14ac:dyDescent="0.25">
      <c r="A4135" s="63"/>
    </row>
    <row r="4136" spans="1:1" x14ac:dyDescent="0.25">
      <c r="A4136" s="63"/>
    </row>
    <row r="4137" spans="1:1" x14ac:dyDescent="0.25">
      <c r="A4137" s="63"/>
    </row>
    <row r="4138" spans="1:1" x14ac:dyDescent="0.25">
      <c r="A4138" s="63"/>
    </row>
    <row r="4139" spans="1:1" x14ac:dyDescent="0.25">
      <c r="A4139" s="63"/>
    </row>
    <row r="4140" spans="1:1" x14ac:dyDescent="0.25">
      <c r="A4140" s="63"/>
    </row>
    <row r="4141" spans="1:1" x14ac:dyDescent="0.25">
      <c r="A4141" s="63"/>
    </row>
    <row r="4142" spans="1:1" x14ac:dyDescent="0.25">
      <c r="A4142" s="63"/>
    </row>
    <row r="4143" spans="1:1" x14ac:dyDescent="0.25">
      <c r="A4143" s="63"/>
    </row>
    <row r="4144" spans="1:1" x14ac:dyDescent="0.25">
      <c r="A4144" s="63"/>
    </row>
    <row r="4145" spans="1:1" x14ac:dyDescent="0.25">
      <c r="A4145" s="63"/>
    </row>
    <row r="4146" spans="1:1" x14ac:dyDescent="0.25">
      <c r="A4146" s="63"/>
    </row>
    <row r="4147" spans="1:1" x14ac:dyDescent="0.25">
      <c r="A4147" s="63"/>
    </row>
    <row r="4148" spans="1:1" x14ac:dyDescent="0.25">
      <c r="A4148" s="63"/>
    </row>
    <row r="4149" spans="1:1" x14ac:dyDescent="0.25">
      <c r="A4149" s="63"/>
    </row>
    <row r="4150" spans="1:1" x14ac:dyDescent="0.25">
      <c r="A4150" s="63"/>
    </row>
    <row r="4151" spans="1:1" x14ac:dyDescent="0.25">
      <c r="A4151" s="63"/>
    </row>
    <row r="4152" spans="1:1" x14ac:dyDescent="0.25">
      <c r="A4152" s="63"/>
    </row>
    <row r="4153" spans="1:1" x14ac:dyDescent="0.25">
      <c r="A4153" s="63"/>
    </row>
    <row r="4154" spans="1:1" x14ac:dyDescent="0.25">
      <c r="A4154" s="63"/>
    </row>
    <row r="4155" spans="1:1" x14ac:dyDescent="0.25">
      <c r="A4155" s="63"/>
    </row>
    <row r="4156" spans="1:1" x14ac:dyDescent="0.25">
      <c r="A4156" s="63"/>
    </row>
    <row r="4157" spans="1:1" x14ac:dyDescent="0.25">
      <c r="A4157" s="63"/>
    </row>
    <row r="4158" spans="1:1" x14ac:dyDescent="0.25">
      <c r="A4158" s="63"/>
    </row>
    <row r="4159" spans="1:1" x14ac:dyDescent="0.25">
      <c r="A4159" s="63"/>
    </row>
    <row r="4160" spans="1:1" x14ac:dyDescent="0.25">
      <c r="A4160" s="63"/>
    </row>
    <row r="4161" spans="1:1" x14ac:dyDescent="0.25">
      <c r="A4161" s="63"/>
    </row>
    <row r="4162" spans="1:1" x14ac:dyDescent="0.25">
      <c r="A4162" s="63"/>
    </row>
    <row r="4163" spans="1:1" x14ac:dyDescent="0.25">
      <c r="A4163" s="63"/>
    </row>
    <row r="4164" spans="1:1" x14ac:dyDescent="0.25">
      <c r="A4164" s="63"/>
    </row>
    <row r="4165" spans="1:1" x14ac:dyDescent="0.25">
      <c r="A4165" s="63"/>
    </row>
    <row r="4166" spans="1:1" x14ac:dyDescent="0.25">
      <c r="A4166" s="63"/>
    </row>
    <row r="4167" spans="1:1" x14ac:dyDescent="0.25">
      <c r="A4167" s="63"/>
    </row>
    <row r="4168" spans="1:1" x14ac:dyDescent="0.25">
      <c r="A4168" s="63"/>
    </row>
    <row r="4169" spans="1:1" x14ac:dyDescent="0.25">
      <c r="A4169" s="63"/>
    </row>
    <row r="4170" spans="1:1" x14ac:dyDescent="0.25">
      <c r="A4170" s="63"/>
    </row>
    <row r="4171" spans="1:1" x14ac:dyDescent="0.25">
      <c r="A4171" s="63"/>
    </row>
    <row r="4172" spans="1:1" x14ac:dyDescent="0.25">
      <c r="A4172" s="63"/>
    </row>
    <row r="4173" spans="1:1" x14ac:dyDescent="0.25">
      <c r="A4173" s="63"/>
    </row>
    <row r="4174" spans="1:1" x14ac:dyDescent="0.25">
      <c r="A4174" s="63"/>
    </row>
    <row r="4175" spans="1:1" x14ac:dyDescent="0.25">
      <c r="A4175" s="63"/>
    </row>
    <row r="4176" spans="1:1" x14ac:dyDescent="0.25">
      <c r="A4176" s="63"/>
    </row>
    <row r="4177" spans="1:1" x14ac:dyDescent="0.25">
      <c r="A4177" s="63"/>
    </row>
    <row r="4178" spans="1:1" x14ac:dyDescent="0.25">
      <c r="A4178" s="63"/>
    </row>
    <row r="4179" spans="1:1" x14ac:dyDescent="0.25">
      <c r="A4179" s="63"/>
    </row>
    <row r="4180" spans="1:1" x14ac:dyDescent="0.25">
      <c r="A4180" s="63"/>
    </row>
    <row r="4181" spans="1:1" x14ac:dyDescent="0.25">
      <c r="A4181" s="63"/>
    </row>
    <row r="4182" spans="1:1" x14ac:dyDescent="0.25">
      <c r="A4182" s="63"/>
    </row>
    <row r="4183" spans="1:1" x14ac:dyDescent="0.25">
      <c r="A4183" s="63"/>
    </row>
    <row r="4184" spans="1:1" x14ac:dyDescent="0.25">
      <c r="A4184" s="63"/>
    </row>
    <row r="4185" spans="1:1" x14ac:dyDescent="0.25">
      <c r="A4185" s="63"/>
    </row>
    <row r="4186" spans="1:1" x14ac:dyDescent="0.25">
      <c r="A4186" s="63"/>
    </row>
    <row r="4187" spans="1:1" x14ac:dyDescent="0.25">
      <c r="A4187" s="63"/>
    </row>
    <row r="4188" spans="1:1" x14ac:dyDescent="0.25">
      <c r="A4188" s="63"/>
    </row>
    <row r="4189" spans="1:1" x14ac:dyDescent="0.25">
      <c r="A4189" s="63"/>
    </row>
    <row r="4190" spans="1:1" x14ac:dyDescent="0.25">
      <c r="A4190" s="63"/>
    </row>
    <row r="4191" spans="1:1" x14ac:dyDescent="0.25">
      <c r="A4191" s="63"/>
    </row>
    <row r="4192" spans="1:1" x14ac:dyDescent="0.25">
      <c r="A4192" s="63"/>
    </row>
    <row r="4193" spans="1:1" x14ac:dyDescent="0.25">
      <c r="A4193" s="63"/>
    </row>
    <row r="4194" spans="1:1" x14ac:dyDescent="0.25">
      <c r="A4194" s="63"/>
    </row>
    <row r="4195" spans="1:1" x14ac:dyDescent="0.25">
      <c r="A4195" s="63"/>
    </row>
    <row r="4196" spans="1:1" x14ac:dyDescent="0.25">
      <c r="A4196" s="63"/>
    </row>
    <row r="4197" spans="1:1" x14ac:dyDescent="0.25">
      <c r="A4197" s="63"/>
    </row>
    <row r="4198" spans="1:1" x14ac:dyDescent="0.25">
      <c r="A4198" s="63"/>
    </row>
    <row r="4199" spans="1:1" x14ac:dyDescent="0.25">
      <c r="A4199" s="63"/>
    </row>
    <row r="4200" spans="1:1" x14ac:dyDescent="0.25">
      <c r="A4200" s="63"/>
    </row>
    <row r="4201" spans="1:1" x14ac:dyDescent="0.25">
      <c r="A4201" s="63"/>
    </row>
    <row r="4202" spans="1:1" x14ac:dyDescent="0.25">
      <c r="A4202" s="63"/>
    </row>
    <row r="4203" spans="1:1" x14ac:dyDescent="0.25">
      <c r="A4203" s="63"/>
    </row>
    <row r="4204" spans="1:1" x14ac:dyDescent="0.25">
      <c r="A4204" s="63"/>
    </row>
    <row r="4205" spans="1:1" x14ac:dyDescent="0.25">
      <c r="A4205" s="63"/>
    </row>
    <row r="4206" spans="1:1" x14ac:dyDescent="0.25">
      <c r="A4206" s="63"/>
    </row>
    <row r="4207" spans="1:1" x14ac:dyDescent="0.25">
      <c r="A4207" s="63"/>
    </row>
    <row r="4208" spans="1:1" x14ac:dyDescent="0.25">
      <c r="A4208" s="63"/>
    </row>
    <row r="4209" spans="1:1" x14ac:dyDescent="0.25">
      <c r="A4209" s="63"/>
    </row>
    <row r="4210" spans="1:1" x14ac:dyDescent="0.25">
      <c r="A4210" s="63"/>
    </row>
    <row r="4211" spans="1:1" x14ac:dyDescent="0.25">
      <c r="A4211" s="63"/>
    </row>
    <row r="4212" spans="1:1" x14ac:dyDescent="0.25">
      <c r="A4212" s="63"/>
    </row>
    <row r="4213" spans="1:1" x14ac:dyDescent="0.25">
      <c r="A4213" s="63"/>
    </row>
    <row r="4214" spans="1:1" x14ac:dyDescent="0.25">
      <c r="A4214" s="63"/>
    </row>
    <row r="4215" spans="1:1" x14ac:dyDescent="0.25">
      <c r="A4215" s="63"/>
    </row>
    <row r="4216" spans="1:1" x14ac:dyDescent="0.25">
      <c r="A4216" s="63"/>
    </row>
    <row r="4217" spans="1:1" x14ac:dyDescent="0.25">
      <c r="A4217" s="63"/>
    </row>
    <row r="4218" spans="1:1" x14ac:dyDescent="0.25">
      <c r="A4218" s="63"/>
    </row>
    <row r="4219" spans="1:1" x14ac:dyDescent="0.25">
      <c r="A4219" s="63"/>
    </row>
    <row r="4220" spans="1:1" x14ac:dyDescent="0.25">
      <c r="A4220" s="63"/>
    </row>
    <row r="4221" spans="1:1" x14ac:dyDescent="0.25">
      <c r="A4221" s="63"/>
    </row>
    <row r="4222" spans="1:1" x14ac:dyDescent="0.25">
      <c r="A4222" s="63"/>
    </row>
    <row r="4223" spans="1:1" x14ac:dyDescent="0.25">
      <c r="A4223" s="63"/>
    </row>
    <row r="4224" spans="1:1" x14ac:dyDescent="0.25">
      <c r="A4224" s="63"/>
    </row>
    <row r="4225" spans="1:1" x14ac:dyDescent="0.25">
      <c r="A4225" s="63"/>
    </row>
    <row r="4226" spans="1:1" x14ac:dyDescent="0.25">
      <c r="A4226" s="63"/>
    </row>
    <row r="4227" spans="1:1" x14ac:dyDescent="0.25">
      <c r="A4227" s="63"/>
    </row>
    <row r="4228" spans="1:1" x14ac:dyDescent="0.25">
      <c r="A4228" s="63"/>
    </row>
    <row r="4229" spans="1:1" x14ac:dyDescent="0.25">
      <c r="A4229" s="63"/>
    </row>
    <row r="4230" spans="1:1" x14ac:dyDescent="0.25">
      <c r="A4230" s="63"/>
    </row>
    <row r="4231" spans="1:1" x14ac:dyDescent="0.25">
      <c r="A4231" s="63"/>
    </row>
    <row r="4232" spans="1:1" x14ac:dyDescent="0.25">
      <c r="A4232" s="63"/>
    </row>
    <row r="4233" spans="1:1" x14ac:dyDescent="0.25">
      <c r="A4233" s="63"/>
    </row>
    <row r="4234" spans="1:1" x14ac:dyDescent="0.25">
      <c r="A4234" s="63"/>
    </row>
    <row r="4235" spans="1:1" x14ac:dyDescent="0.25">
      <c r="A4235" s="63"/>
    </row>
    <row r="4236" spans="1:1" x14ac:dyDescent="0.25">
      <c r="A4236" s="63"/>
    </row>
    <row r="4237" spans="1:1" x14ac:dyDescent="0.25">
      <c r="A4237" s="63"/>
    </row>
    <row r="4238" spans="1:1" x14ac:dyDescent="0.25">
      <c r="A4238" s="63"/>
    </row>
    <row r="4239" spans="1:1" x14ac:dyDescent="0.25">
      <c r="A4239" s="63"/>
    </row>
    <row r="4240" spans="1:1" x14ac:dyDescent="0.25">
      <c r="A4240" s="63"/>
    </row>
    <row r="4241" spans="1:1" x14ac:dyDescent="0.25">
      <c r="A4241" s="63"/>
    </row>
    <row r="4242" spans="1:1" x14ac:dyDescent="0.25">
      <c r="A4242" s="63"/>
    </row>
    <row r="4243" spans="1:1" x14ac:dyDescent="0.25">
      <c r="A4243" s="63"/>
    </row>
    <row r="4244" spans="1:1" x14ac:dyDescent="0.25">
      <c r="A4244" s="63"/>
    </row>
    <row r="4245" spans="1:1" x14ac:dyDescent="0.25">
      <c r="A4245" s="63"/>
    </row>
    <row r="4246" spans="1:1" x14ac:dyDescent="0.25">
      <c r="A4246" s="63"/>
    </row>
    <row r="4247" spans="1:1" x14ac:dyDescent="0.25">
      <c r="A4247" s="63"/>
    </row>
    <row r="4248" spans="1:1" x14ac:dyDescent="0.25">
      <c r="A4248" s="63"/>
    </row>
    <row r="4249" spans="1:1" x14ac:dyDescent="0.25">
      <c r="A4249" s="63"/>
    </row>
    <row r="4250" spans="1:1" x14ac:dyDescent="0.25">
      <c r="A4250" s="63"/>
    </row>
    <row r="4251" spans="1:1" x14ac:dyDescent="0.25">
      <c r="A4251" s="63"/>
    </row>
    <row r="4252" spans="1:1" x14ac:dyDescent="0.25">
      <c r="A4252" s="63"/>
    </row>
    <row r="4253" spans="1:1" x14ac:dyDescent="0.25">
      <c r="A4253" s="63"/>
    </row>
    <row r="4254" spans="1:1" x14ac:dyDescent="0.25">
      <c r="A4254" s="63"/>
    </row>
    <row r="4255" spans="1:1" x14ac:dyDescent="0.25">
      <c r="A4255" s="63"/>
    </row>
    <row r="4256" spans="1:1" x14ac:dyDescent="0.25">
      <c r="A4256" s="63"/>
    </row>
    <row r="4257" spans="1:1" x14ac:dyDescent="0.25">
      <c r="A4257" s="63"/>
    </row>
    <row r="4258" spans="1:1" x14ac:dyDescent="0.25">
      <c r="A4258" s="63"/>
    </row>
    <row r="4259" spans="1:1" x14ac:dyDescent="0.25">
      <c r="A4259" s="63"/>
    </row>
    <row r="4260" spans="1:1" x14ac:dyDescent="0.25">
      <c r="A4260" s="63"/>
    </row>
    <row r="4261" spans="1:1" x14ac:dyDescent="0.25">
      <c r="A4261" s="63"/>
    </row>
    <row r="4262" spans="1:1" x14ac:dyDescent="0.25">
      <c r="A4262" s="63"/>
    </row>
    <row r="4263" spans="1:1" x14ac:dyDescent="0.25">
      <c r="A4263" s="63"/>
    </row>
    <row r="4264" spans="1:1" x14ac:dyDescent="0.25">
      <c r="A4264" s="63"/>
    </row>
    <row r="4265" spans="1:1" x14ac:dyDescent="0.25">
      <c r="A4265" s="63"/>
    </row>
    <row r="4266" spans="1:1" x14ac:dyDescent="0.25">
      <c r="A4266" s="63"/>
    </row>
    <row r="4267" spans="1:1" x14ac:dyDescent="0.25">
      <c r="A4267" s="63"/>
    </row>
    <row r="4268" spans="1:1" x14ac:dyDescent="0.25">
      <c r="A4268" s="63"/>
    </row>
    <row r="4269" spans="1:1" x14ac:dyDescent="0.25">
      <c r="A4269" s="63"/>
    </row>
    <row r="4270" spans="1:1" x14ac:dyDescent="0.25">
      <c r="A4270" s="63"/>
    </row>
    <row r="4271" spans="1:1" x14ac:dyDescent="0.25">
      <c r="A4271" s="63"/>
    </row>
    <row r="4272" spans="1:1" x14ac:dyDescent="0.25">
      <c r="A4272" s="63"/>
    </row>
    <row r="4273" spans="1:1" x14ac:dyDescent="0.25">
      <c r="A4273" s="63"/>
    </row>
    <row r="4274" spans="1:1" x14ac:dyDescent="0.25">
      <c r="A4274" s="63"/>
    </row>
    <row r="4275" spans="1:1" x14ac:dyDescent="0.25">
      <c r="A4275" s="63"/>
    </row>
    <row r="4276" spans="1:1" x14ac:dyDescent="0.25">
      <c r="A4276" s="63"/>
    </row>
    <row r="4277" spans="1:1" x14ac:dyDescent="0.25">
      <c r="A4277" s="63"/>
    </row>
    <row r="4278" spans="1:1" x14ac:dyDescent="0.25">
      <c r="A4278" s="63"/>
    </row>
    <row r="4279" spans="1:1" x14ac:dyDescent="0.25">
      <c r="A4279" s="63"/>
    </row>
    <row r="4280" spans="1:1" x14ac:dyDescent="0.25">
      <c r="A4280" s="63"/>
    </row>
    <row r="4281" spans="1:1" x14ac:dyDescent="0.25">
      <c r="A4281" s="63"/>
    </row>
    <row r="4282" spans="1:1" x14ac:dyDescent="0.25">
      <c r="A4282" s="63"/>
    </row>
    <row r="4283" spans="1:1" x14ac:dyDescent="0.25">
      <c r="A4283" s="63"/>
    </row>
    <row r="4284" spans="1:1" x14ac:dyDescent="0.25">
      <c r="A4284" s="63"/>
    </row>
    <row r="4285" spans="1:1" x14ac:dyDescent="0.25">
      <c r="A4285" s="63"/>
    </row>
    <row r="4286" spans="1:1" x14ac:dyDescent="0.25">
      <c r="A4286" s="63"/>
    </row>
    <row r="4287" spans="1:1" x14ac:dyDescent="0.25">
      <c r="A4287" s="63"/>
    </row>
    <row r="4288" spans="1:1" x14ac:dyDescent="0.25">
      <c r="A4288" s="63"/>
    </row>
    <row r="4289" spans="1:1" x14ac:dyDescent="0.25">
      <c r="A4289" s="63"/>
    </row>
    <row r="4290" spans="1:1" x14ac:dyDescent="0.25">
      <c r="A4290" s="63"/>
    </row>
    <row r="4291" spans="1:1" x14ac:dyDescent="0.25">
      <c r="A4291" s="63"/>
    </row>
    <row r="4292" spans="1:1" x14ac:dyDescent="0.25">
      <c r="A4292" s="63"/>
    </row>
    <row r="4293" spans="1:1" x14ac:dyDescent="0.25">
      <c r="A4293" s="63"/>
    </row>
    <row r="4294" spans="1:1" x14ac:dyDescent="0.25">
      <c r="A4294" s="63"/>
    </row>
    <row r="4295" spans="1:1" x14ac:dyDescent="0.25">
      <c r="A4295" s="63"/>
    </row>
    <row r="4296" spans="1:1" x14ac:dyDescent="0.25">
      <c r="A4296" s="63"/>
    </row>
    <row r="4297" spans="1:1" x14ac:dyDescent="0.25">
      <c r="A4297" s="63"/>
    </row>
    <row r="4298" spans="1:1" x14ac:dyDescent="0.25">
      <c r="A4298" s="63"/>
    </row>
    <row r="4299" spans="1:1" x14ac:dyDescent="0.25">
      <c r="A4299" s="63"/>
    </row>
    <row r="4300" spans="1:1" x14ac:dyDescent="0.25">
      <c r="A4300" s="63"/>
    </row>
    <row r="4301" spans="1:1" x14ac:dyDescent="0.25">
      <c r="A4301" s="63"/>
    </row>
    <row r="4302" spans="1:1" x14ac:dyDescent="0.25">
      <c r="A4302" s="63"/>
    </row>
    <row r="4303" spans="1:1" x14ac:dyDescent="0.25">
      <c r="A4303" s="63"/>
    </row>
    <row r="4304" spans="1:1" x14ac:dyDescent="0.25">
      <c r="A4304" s="63"/>
    </row>
    <row r="4305" spans="1:1" x14ac:dyDescent="0.25">
      <c r="A4305" s="63"/>
    </row>
    <row r="4306" spans="1:1" x14ac:dyDescent="0.25">
      <c r="A4306" s="63"/>
    </row>
    <row r="4307" spans="1:1" x14ac:dyDescent="0.25">
      <c r="A4307" s="63"/>
    </row>
    <row r="4308" spans="1:1" x14ac:dyDescent="0.25">
      <c r="A4308" s="63"/>
    </row>
    <row r="4309" spans="1:1" x14ac:dyDescent="0.25">
      <c r="A4309" s="63"/>
    </row>
    <row r="4310" spans="1:1" x14ac:dyDescent="0.25">
      <c r="A4310" s="63"/>
    </row>
    <row r="4311" spans="1:1" x14ac:dyDescent="0.25">
      <c r="A4311" s="63"/>
    </row>
    <row r="4312" spans="1:1" x14ac:dyDescent="0.25">
      <c r="A4312" s="63"/>
    </row>
    <row r="4313" spans="1:1" x14ac:dyDescent="0.25">
      <c r="A4313" s="63"/>
    </row>
    <row r="4314" spans="1:1" x14ac:dyDescent="0.25">
      <c r="A4314" s="63"/>
    </row>
    <row r="4315" spans="1:1" x14ac:dyDescent="0.25">
      <c r="A4315" s="63"/>
    </row>
    <row r="4316" spans="1:1" x14ac:dyDescent="0.25">
      <c r="A4316" s="63"/>
    </row>
    <row r="4317" spans="1:1" x14ac:dyDescent="0.25">
      <c r="A4317" s="63"/>
    </row>
    <row r="4318" spans="1:1" x14ac:dyDescent="0.25">
      <c r="A4318" s="63"/>
    </row>
    <row r="4319" spans="1:1" x14ac:dyDescent="0.25">
      <c r="A4319" s="63"/>
    </row>
    <row r="4320" spans="1:1" x14ac:dyDescent="0.25">
      <c r="A4320" s="63"/>
    </row>
    <row r="4321" spans="1:1" x14ac:dyDescent="0.25">
      <c r="A4321" s="63"/>
    </row>
    <row r="4322" spans="1:1" x14ac:dyDescent="0.25">
      <c r="A4322" s="63"/>
    </row>
    <row r="4323" spans="1:1" x14ac:dyDescent="0.25">
      <c r="A4323" s="63"/>
    </row>
    <row r="4324" spans="1:1" x14ac:dyDescent="0.25">
      <c r="A4324" s="63"/>
    </row>
    <row r="4325" spans="1:1" x14ac:dyDescent="0.25">
      <c r="A4325" s="63"/>
    </row>
    <row r="4326" spans="1:1" x14ac:dyDescent="0.25">
      <c r="A4326" s="63"/>
    </row>
    <row r="4327" spans="1:1" x14ac:dyDescent="0.25">
      <c r="A4327" s="63"/>
    </row>
    <row r="4328" spans="1:1" x14ac:dyDescent="0.25">
      <c r="A4328" s="63"/>
    </row>
    <row r="4329" spans="1:1" x14ac:dyDescent="0.25">
      <c r="A4329" s="63"/>
    </row>
    <row r="4330" spans="1:1" x14ac:dyDescent="0.25">
      <c r="A4330" s="63"/>
    </row>
    <row r="4331" spans="1:1" x14ac:dyDescent="0.25">
      <c r="A4331" s="63"/>
    </row>
    <row r="4332" spans="1:1" x14ac:dyDescent="0.25">
      <c r="A4332" s="63"/>
    </row>
    <row r="4333" spans="1:1" x14ac:dyDescent="0.25">
      <c r="A4333" s="63"/>
    </row>
    <row r="4334" spans="1:1" x14ac:dyDescent="0.25">
      <c r="A4334" s="63"/>
    </row>
    <row r="4335" spans="1:1" x14ac:dyDescent="0.25">
      <c r="A4335" s="63"/>
    </row>
    <row r="4336" spans="1:1" x14ac:dyDescent="0.25">
      <c r="A4336" s="63"/>
    </row>
    <row r="4337" spans="1:1" x14ac:dyDescent="0.25">
      <c r="A4337" s="63"/>
    </row>
    <row r="4338" spans="1:1" x14ac:dyDescent="0.25">
      <c r="A4338" s="63"/>
    </row>
    <row r="4339" spans="1:1" x14ac:dyDescent="0.25">
      <c r="A4339" s="63"/>
    </row>
    <row r="4340" spans="1:1" x14ac:dyDescent="0.25">
      <c r="A4340" s="63"/>
    </row>
    <row r="4341" spans="1:1" x14ac:dyDescent="0.25">
      <c r="A4341" s="63"/>
    </row>
    <row r="4342" spans="1:1" x14ac:dyDescent="0.25">
      <c r="A4342" s="63"/>
    </row>
    <row r="4343" spans="1:1" x14ac:dyDescent="0.25">
      <c r="A4343" s="63"/>
    </row>
    <row r="4344" spans="1:1" x14ac:dyDescent="0.25">
      <c r="A4344" s="63"/>
    </row>
    <row r="4345" spans="1:1" x14ac:dyDescent="0.25">
      <c r="A4345" s="63"/>
    </row>
    <row r="4346" spans="1:1" x14ac:dyDescent="0.25">
      <c r="A4346" s="63"/>
    </row>
    <row r="4347" spans="1:1" x14ac:dyDescent="0.25">
      <c r="A4347" s="63"/>
    </row>
    <row r="4348" spans="1:1" x14ac:dyDescent="0.25">
      <c r="A4348" s="63"/>
    </row>
    <row r="4349" spans="1:1" x14ac:dyDescent="0.25">
      <c r="A4349" s="63"/>
    </row>
    <row r="4350" spans="1:1" x14ac:dyDescent="0.25">
      <c r="A4350" s="63"/>
    </row>
    <row r="4351" spans="1:1" x14ac:dyDescent="0.25">
      <c r="A4351" s="63"/>
    </row>
    <row r="4352" spans="1:1" x14ac:dyDescent="0.25">
      <c r="A4352" s="63"/>
    </row>
    <row r="4353" spans="1:1" x14ac:dyDescent="0.25">
      <c r="A4353" s="63"/>
    </row>
    <row r="4354" spans="1:1" x14ac:dyDescent="0.25">
      <c r="A4354" s="63"/>
    </row>
    <row r="4355" spans="1:1" x14ac:dyDescent="0.25">
      <c r="A4355" s="63"/>
    </row>
    <row r="4356" spans="1:1" x14ac:dyDescent="0.25">
      <c r="A4356" s="63"/>
    </row>
    <row r="4357" spans="1:1" x14ac:dyDescent="0.25">
      <c r="A4357" s="63"/>
    </row>
    <row r="4358" spans="1:1" x14ac:dyDescent="0.25">
      <c r="A4358" s="63"/>
    </row>
    <row r="4359" spans="1:1" x14ac:dyDescent="0.25">
      <c r="A4359" s="63"/>
    </row>
    <row r="4360" spans="1:1" x14ac:dyDescent="0.25">
      <c r="A4360" s="63"/>
    </row>
    <row r="4361" spans="1:1" x14ac:dyDescent="0.25">
      <c r="A4361" s="63"/>
    </row>
    <row r="4362" spans="1:1" x14ac:dyDescent="0.25">
      <c r="A4362" s="63"/>
    </row>
    <row r="4363" spans="1:1" x14ac:dyDescent="0.25">
      <c r="A4363" s="63"/>
    </row>
    <row r="4364" spans="1:1" x14ac:dyDescent="0.25">
      <c r="A4364" s="63"/>
    </row>
    <row r="4365" spans="1:1" x14ac:dyDescent="0.25">
      <c r="A4365" s="63"/>
    </row>
    <row r="4366" spans="1:1" x14ac:dyDescent="0.25">
      <c r="A4366" s="63"/>
    </row>
    <row r="4367" spans="1:1" x14ac:dyDescent="0.25">
      <c r="A4367" s="63"/>
    </row>
    <row r="4368" spans="1:1" x14ac:dyDescent="0.25">
      <c r="A4368" s="63"/>
    </row>
    <row r="4369" spans="1:1" x14ac:dyDescent="0.25">
      <c r="A4369" s="63"/>
    </row>
    <row r="4370" spans="1:1" x14ac:dyDescent="0.25">
      <c r="A4370" s="63"/>
    </row>
    <row r="4371" spans="1:1" x14ac:dyDescent="0.25">
      <c r="A4371" s="63"/>
    </row>
    <row r="4372" spans="1:1" x14ac:dyDescent="0.25">
      <c r="A4372" s="63"/>
    </row>
    <row r="4373" spans="1:1" x14ac:dyDescent="0.25">
      <c r="A4373" s="63"/>
    </row>
    <row r="4374" spans="1:1" x14ac:dyDescent="0.25">
      <c r="A4374" s="63"/>
    </row>
    <row r="4375" spans="1:1" x14ac:dyDescent="0.25">
      <c r="A4375" s="63"/>
    </row>
    <row r="4376" spans="1:1" x14ac:dyDescent="0.25">
      <c r="A4376" s="63"/>
    </row>
    <row r="4377" spans="1:1" x14ac:dyDescent="0.25">
      <c r="A4377" s="63"/>
    </row>
    <row r="4378" spans="1:1" x14ac:dyDescent="0.25">
      <c r="A4378" s="63"/>
    </row>
    <row r="4379" spans="1:1" x14ac:dyDescent="0.25">
      <c r="A4379" s="63"/>
    </row>
    <row r="4380" spans="1:1" x14ac:dyDescent="0.25">
      <c r="A4380" s="63"/>
    </row>
    <row r="4381" spans="1:1" x14ac:dyDescent="0.25">
      <c r="A4381" s="63"/>
    </row>
    <row r="4382" spans="1:1" x14ac:dyDescent="0.25">
      <c r="A4382" s="63"/>
    </row>
    <row r="4383" spans="1:1" x14ac:dyDescent="0.25">
      <c r="A4383" s="63"/>
    </row>
    <row r="4384" spans="1:1" x14ac:dyDescent="0.25">
      <c r="A4384" s="63"/>
    </row>
    <row r="4385" spans="1:1" x14ac:dyDescent="0.25">
      <c r="A4385" s="63"/>
    </row>
    <row r="4386" spans="1:1" x14ac:dyDescent="0.25">
      <c r="A4386" s="63"/>
    </row>
    <row r="4387" spans="1:1" x14ac:dyDescent="0.25">
      <c r="A4387" s="63"/>
    </row>
    <row r="4388" spans="1:1" x14ac:dyDescent="0.25">
      <c r="A4388" s="63"/>
    </row>
    <row r="4389" spans="1:1" x14ac:dyDescent="0.25">
      <c r="A4389" s="63"/>
    </row>
    <row r="4390" spans="1:1" x14ac:dyDescent="0.25">
      <c r="A4390" s="63"/>
    </row>
    <row r="4391" spans="1:1" x14ac:dyDescent="0.25">
      <c r="A4391" s="63"/>
    </row>
    <row r="4392" spans="1:1" x14ac:dyDescent="0.25">
      <c r="A4392" s="63"/>
    </row>
    <row r="4393" spans="1:1" x14ac:dyDescent="0.25">
      <c r="A4393" s="63"/>
    </row>
    <row r="4394" spans="1:1" x14ac:dyDescent="0.25">
      <c r="A4394" s="63"/>
    </row>
    <row r="4395" spans="1:1" x14ac:dyDescent="0.25">
      <c r="A4395" s="63"/>
    </row>
    <row r="4396" spans="1:1" x14ac:dyDescent="0.25">
      <c r="A4396" s="63"/>
    </row>
    <row r="4397" spans="1:1" x14ac:dyDescent="0.25">
      <c r="A4397" s="63"/>
    </row>
    <row r="4398" spans="1:1" x14ac:dyDescent="0.25">
      <c r="A4398" s="63"/>
    </row>
    <row r="4399" spans="1:1" x14ac:dyDescent="0.25">
      <c r="A4399" s="63"/>
    </row>
    <row r="4400" spans="1:1" x14ac:dyDescent="0.25">
      <c r="A4400" s="63"/>
    </row>
    <row r="4401" spans="1:1" x14ac:dyDescent="0.25">
      <c r="A4401" s="63"/>
    </row>
    <row r="4402" spans="1:1" x14ac:dyDescent="0.25">
      <c r="A4402" s="63"/>
    </row>
    <row r="4403" spans="1:1" x14ac:dyDescent="0.25">
      <c r="A4403" s="63"/>
    </row>
    <row r="4404" spans="1:1" x14ac:dyDescent="0.25">
      <c r="A4404" s="63"/>
    </row>
    <row r="4405" spans="1:1" x14ac:dyDescent="0.25">
      <c r="A4405" s="63"/>
    </row>
    <row r="4406" spans="1:1" x14ac:dyDescent="0.25">
      <c r="A4406" s="63"/>
    </row>
    <row r="4407" spans="1:1" x14ac:dyDescent="0.25">
      <c r="A4407" s="63"/>
    </row>
    <row r="4408" spans="1:1" x14ac:dyDescent="0.25">
      <c r="A4408" s="63"/>
    </row>
    <row r="4409" spans="1:1" x14ac:dyDescent="0.25">
      <c r="A4409" s="63"/>
    </row>
    <row r="4410" spans="1:1" x14ac:dyDescent="0.25">
      <c r="A4410" s="63"/>
    </row>
    <row r="4411" spans="1:1" x14ac:dyDescent="0.25">
      <c r="A4411" s="63"/>
    </row>
    <row r="4412" spans="1:1" x14ac:dyDescent="0.25">
      <c r="A4412" s="63"/>
    </row>
    <row r="4413" spans="1:1" x14ac:dyDescent="0.25">
      <c r="A4413" s="63"/>
    </row>
    <row r="4414" spans="1:1" x14ac:dyDescent="0.25">
      <c r="A4414" s="63"/>
    </row>
    <row r="4415" spans="1:1" x14ac:dyDescent="0.25">
      <c r="A4415" s="63"/>
    </row>
    <row r="4416" spans="1:1" x14ac:dyDescent="0.25">
      <c r="A4416" s="63"/>
    </row>
    <row r="4417" spans="1:1" x14ac:dyDescent="0.25">
      <c r="A4417" s="63"/>
    </row>
    <row r="4418" spans="1:1" x14ac:dyDescent="0.25">
      <c r="A4418" s="63"/>
    </row>
    <row r="4419" spans="1:1" x14ac:dyDescent="0.25">
      <c r="A4419" s="63"/>
    </row>
    <row r="4420" spans="1:1" x14ac:dyDescent="0.25">
      <c r="A4420" s="63"/>
    </row>
    <row r="4421" spans="1:1" x14ac:dyDescent="0.25">
      <c r="A4421" s="63"/>
    </row>
    <row r="4422" spans="1:1" x14ac:dyDescent="0.25">
      <c r="A4422" s="63"/>
    </row>
    <row r="4423" spans="1:1" x14ac:dyDescent="0.25">
      <c r="A4423" s="63"/>
    </row>
    <row r="4424" spans="1:1" x14ac:dyDescent="0.25">
      <c r="A4424" s="63"/>
    </row>
    <row r="4425" spans="1:1" x14ac:dyDescent="0.25">
      <c r="A4425" s="63"/>
    </row>
    <row r="4426" spans="1:1" x14ac:dyDescent="0.25">
      <c r="A4426" s="63"/>
    </row>
    <row r="4427" spans="1:1" x14ac:dyDescent="0.25">
      <c r="A4427" s="63"/>
    </row>
    <row r="4428" spans="1:1" x14ac:dyDescent="0.25">
      <c r="A4428" s="63"/>
    </row>
    <row r="4429" spans="1:1" x14ac:dyDescent="0.25">
      <c r="A4429" s="63"/>
    </row>
    <row r="4430" spans="1:1" x14ac:dyDescent="0.25">
      <c r="A4430" s="63"/>
    </row>
    <row r="4431" spans="1:1" x14ac:dyDescent="0.25">
      <c r="A4431" s="63"/>
    </row>
    <row r="4432" spans="1:1" x14ac:dyDescent="0.25">
      <c r="A4432" s="63"/>
    </row>
    <row r="4433" spans="1:1" x14ac:dyDescent="0.25">
      <c r="A4433" s="63"/>
    </row>
    <row r="4434" spans="1:1" x14ac:dyDescent="0.25">
      <c r="A4434" s="63"/>
    </row>
    <row r="4435" spans="1:1" x14ac:dyDescent="0.25">
      <c r="A4435" s="63"/>
    </row>
    <row r="4436" spans="1:1" x14ac:dyDescent="0.25">
      <c r="A4436" s="63"/>
    </row>
    <row r="4437" spans="1:1" x14ac:dyDescent="0.25">
      <c r="A4437" s="63"/>
    </row>
    <row r="4438" spans="1:1" x14ac:dyDescent="0.25">
      <c r="A4438" s="63"/>
    </row>
    <row r="4439" spans="1:1" x14ac:dyDescent="0.25">
      <c r="A4439" s="63"/>
    </row>
    <row r="4440" spans="1:1" x14ac:dyDescent="0.25">
      <c r="A4440" s="63"/>
    </row>
    <row r="4441" spans="1:1" x14ac:dyDescent="0.25">
      <c r="A4441" s="63"/>
    </row>
    <row r="4442" spans="1:1" x14ac:dyDescent="0.25">
      <c r="A4442" s="63"/>
    </row>
    <row r="4443" spans="1:1" x14ac:dyDescent="0.25">
      <c r="A4443" s="63"/>
    </row>
    <row r="4444" spans="1:1" x14ac:dyDescent="0.25">
      <c r="A4444" s="63"/>
    </row>
    <row r="4445" spans="1:1" x14ac:dyDescent="0.25">
      <c r="A4445" s="63"/>
    </row>
    <row r="4446" spans="1:1" x14ac:dyDescent="0.25">
      <c r="A4446" s="63"/>
    </row>
    <row r="4447" spans="1:1" x14ac:dyDescent="0.25">
      <c r="A4447" s="63"/>
    </row>
    <row r="4448" spans="1:1" x14ac:dyDescent="0.25">
      <c r="A4448" s="63"/>
    </row>
    <row r="4449" spans="1:1" x14ac:dyDescent="0.25">
      <c r="A4449" s="63"/>
    </row>
    <row r="4450" spans="1:1" x14ac:dyDescent="0.25">
      <c r="A4450" s="63"/>
    </row>
    <row r="4451" spans="1:1" x14ac:dyDescent="0.25">
      <c r="A4451" s="63"/>
    </row>
    <row r="4452" spans="1:1" x14ac:dyDescent="0.25">
      <c r="A4452" s="63"/>
    </row>
    <row r="4453" spans="1:1" x14ac:dyDescent="0.25">
      <c r="A4453" s="63"/>
    </row>
    <row r="4454" spans="1:1" x14ac:dyDescent="0.25">
      <c r="A4454" s="63"/>
    </row>
    <row r="4455" spans="1:1" x14ac:dyDescent="0.25">
      <c r="A4455" s="63"/>
    </row>
    <row r="4456" spans="1:1" x14ac:dyDescent="0.25">
      <c r="A4456" s="63"/>
    </row>
    <row r="4457" spans="1:1" x14ac:dyDescent="0.25">
      <c r="A4457" s="63"/>
    </row>
    <row r="4458" spans="1:1" x14ac:dyDescent="0.25">
      <c r="A4458" s="63"/>
    </row>
    <row r="4459" spans="1:1" x14ac:dyDescent="0.25">
      <c r="A4459" s="63"/>
    </row>
    <row r="4460" spans="1:1" x14ac:dyDescent="0.25">
      <c r="A4460" s="63"/>
    </row>
    <row r="4461" spans="1:1" x14ac:dyDescent="0.25">
      <c r="A4461" s="63"/>
    </row>
    <row r="4462" spans="1:1" x14ac:dyDescent="0.25">
      <c r="A4462" s="63"/>
    </row>
    <row r="4463" spans="1:1" x14ac:dyDescent="0.25">
      <c r="A4463" s="63"/>
    </row>
    <row r="4464" spans="1:1" x14ac:dyDescent="0.25">
      <c r="A4464" s="63"/>
    </row>
    <row r="4465" spans="1:1" x14ac:dyDescent="0.25">
      <c r="A4465" s="63"/>
    </row>
    <row r="4466" spans="1:1" x14ac:dyDescent="0.25">
      <c r="A4466" s="63"/>
    </row>
    <row r="4467" spans="1:1" x14ac:dyDescent="0.25">
      <c r="A4467" s="63"/>
    </row>
    <row r="4468" spans="1:1" x14ac:dyDescent="0.25">
      <c r="A4468" s="63"/>
    </row>
    <row r="4469" spans="1:1" x14ac:dyDescent="0.25">
      <c r="A4469" s="63"/>
    </row>
    <row r="4470" spans="1:1" x14ac:dyDescent="0.25">
      <c r="A4470" s="63"/>
    </row>
    <row r="4471" spans="1:1" x14ac:dyDescent="0.25">
      <c r="A4471" s="63"/>
    </row>
    <row r="4472" spans="1:1" x14ac:dyDescent="0.25">
      <c r="A4472" s="63"/>
    </row>
    <row r="4473" spans="1:1" x14ac:dyDescent="0.25">
      <c r="A4473" s="63"/>
    </row>
    <row r="4474" spans="1:1" x14ac:dyDescent="0.25">
      <c r="A4474" s="63"/>
    </row>
    <row r="4475" spans="1:1" x14ac:dyDescent="0.25">
      <c r="A4475" s="63"/>
    </row>
    <row r="4476" spans="1:1" x14ac:dyDescent="0.25">
      <c r="A4476" s="63"/>
    </row>
    <row r="4477" spans="1:1" x14ac:dyDescent="0.25">
      <c r="A4477" s="63"/>
    </row>
    <row r="4478" spans="1:1" x14ac:dyDescent="0.25">
      <c r="A4478" s="63"/>
    </row>
    <row r="4479" spans="1:1" x14ac:dyDescent="0.25">
      <c r="A4479" s="63"/>
    </row>
    <row r="4480" spans="1:1" x14ac:dyDescent="0.25">
      <c r="A4480" s="63"/>
    </row>
    <row r="4481" spans="1:1" x14ac:dyDescent="0.25">
      <c r="A4481" s="63"/>
    </row>
    <row r="4482" spans="1:1" x14ac:dyDescent="0.25">
      <c r="A4482" s="63"/>
    </row>
    <row r="4483" spans="1:1" x14ac:dyDescent="0.25">
      <c r="A4483" s="63"/>
    </row>
    <row r="4484" spans="1:1" x14ac:dyDescent="0.25">
      <c r="A4484" s="63"/>
    </row>
    <row r="4485" spans="1:1" x14ac:dyDescent="0.25">
      <c r="A4485" s="63"/>
    </row>
    <row r="4486" spans="1:1" x14ac:dyDescent="0.25">
      <c r="A4486" s="63"/>
    </row>
    <row r="4487" spans="1:1" x14ac:dyDescent="0.25">
      <c r="A4487" s="63"/>
    </row>
    <row r="4488" spans="1:1" x14ac:dyDescent="0.25">
      <c r="A4488" s="63"/>
    </row>
    <row r="4489" spans="1:1" x14ac:dyDescent="0.25">
      <c r="A4489" s="63"/>
    </row>
    <row r="4490" spans="1:1" x14ac:dyDescent="0.25">
      <c r="A4490" s="63"/>
    </row>
    <row r="4491" spans="1:1" x14ac:dyDescent="0.25">
      <c r="A4491" s="63"/>
    </row>
    <row r="4492" spans="1:1" x14ac:dyDescent="0.25">
      <c r="A4492" s="63"/>
    </row>
    <row r="4493" spans="1:1" x14ac:dyDescent="0.25">
      <c r="A4493" s="63"/>
    </row>
    <row r="4494" spans="1:1" x14ac:dyDescent="0.25">
      <c r="A4494" s="63"/>
    </row>
    <row r="4495" spans="1:1" x14ac:dyDescent="0.25">
      <c r="A4495" s="63"/>
    </row>
    <row r="4496" spans="1:1" x14ac:dyDescent="0.25">
      <c r="A4496" s="63"/>
    </row>
    <row r="4497" spans="1:1" x14ac:dyDescent="0.25">
      <c r="A4497" s="63"/>
    </row>
    <row r="4498" spans="1:1" x14ac:dyDescent="0.25">
      <c r="A4498" s="63"/>
    </row>
    <row r="4499" spans="1:1" x14ac:dyDescent="0.25">
      <c r="A4499" s="63"/>
    </row>
    <row r="4500" spans="1:1" x14ac:dyDescent="0.25">
      <c r="A4500" s="63"/>
    </row>
    <row r="4501" spans="1:1" x14ac:dyDescent="0.25">
      <c r="A4501" s="63"/>
    </row>
    <row r="4502" spans="1:1" x14ac:dyDescent="0.25">
      <c r="A4502" s="63"/>
    </row>
    <row r="4503" spans="1:1" x14ac:dyDescent="0.25">
      <c r="A4503" s="63"/>
    </row>
    <row r="4504" spans="1:1" x14ac:dyDescent="0.25">
      <c r="A4504" s="63"/>
    </row>
    <row r="4505" spans="1:1" x14ac:dyDescent="0.25">
      <c r="A4505" s="63"/>
    </row>
    <row r="4506" spans="1:1" x14ac:dyDescent="0.25">
      <c r="A4506" s="63"/>
    </row>
    <row r="4507" spans="1:1" x14ac:dyDescent="0.25">
      <c r="A4507" s="63"/>
    </row>
    <row r="4508" spans="1:1" x14ac:dyDescent="0.25">
      <c r="A4508" s="63"/>
    </row>
    <row r="4509" spans="1:1" x14ac:dyDescent="0.25">
      <c r="A4509" s="63"/>
    </row>
    <row r="4510" spans="1:1" x14ac:dyDescent="0.25">
      <c r="A4510" s="63"/>
    </row>
    <row r="4511" spans="1:1" x14ac:dyDescent="0.25">
      <c r="A4511" s="63"/>
    </row>
    <row r="4512" spans="1:1" x14ac:dyDescent="0.25">
      <c r="A4512" s="63"/>
    </row>
    <row r="4513" spans="1:1" x14ac:dyDescent="0.25">
      <c r="A4513" s="63"/>
    </row>
    <row r="4514" spans="1:1" x14ac:dyDescent="0.25">
      <c r="A4514" s="63"/>
    </row>
    <row r="4515" spans="1:1" x14ac:dyDescent="0.25">
      <c r="A4515" s="63"/>
    </row>
    <row r="4516" spans="1:1" x14ac:dyDescent="0.25">
      <c r="A4516" s="63"/>
    </row>
    <row r="4517" spans="1:1" x14ac:dyDescent="0.25">
      <c r="A4517" s="63"/>
    </row>
    <row r="4518" spans="1:1" x14ac:dyDescent="0.25">
      <c r="A4518" s="63"/>
    </row>
    <row r="4519" spans="1:1" x14ac:dyDescent="0.25">
      <c r="A4519" s="63"/>
    </row>
    <row r="4520" spans="1:1" x14ac:dyDescent="0.25">
      <c r="A4520" s="63"/>
    </row>
    <row r="4521" spans="1:1" x14ac:dyDescent="0.25">
      <c r="A4521" s="63"/>
    </row>
    <row r="4522" spans="1:1" x14ac:dyDescent="0.25">
      <c r="A4522" s="63"/>
    </row>
    <row r="4523" spans="1:1" x14ac:dyDescent="0.25">
      <c r="A4523" s="63"/>
    </row>
    <row r="4524" spans="1:1" x14ac:dyDescent="0.25">
      <c r="A4524" s="63"/>
    </row>
    <row r="4525" spans="1:1" x14ac:dyDescent="0.25">
      <c r="A4525" s="63"/>
    </row>
    <row r="4526" spans="1:1" x14ac:dyDescent="0.25">
      <c r="A4526" s="63"/>
    </row>
    <row r="4527" spans="1:1" x14ac:dyDescent="0.25">
      <c r="A4527" s="63"/>
    </row>
    <row r="4528" spans="1:1" x14ac:dyDescent="0.25">
      <c r="A4528" s="63"/>
    </row>
    <row r="4529" spans="1:1" x14ac:dyDescent="0.25">
      <c r="A4529" s="63"/>
    </row>
    <row r="4530" spans="1:1" x14ac:dyDescent="0.25">
      <c r="A4530" s="63"/>
    </row>
    <row r="4531" spans="1:1" x14ac:dyDescent="0.25">
      <c r="A4531" s="63"/>
    </row>
    <row r="4532" spans="1:1" x14ac:dyDescent="0.25">
      <c r="A4532" s="63"/>
    </row>
    <row r="4533" spans="1:1" x14ac:dyDescent="0.25">
      <c r="A4533" s="63"/>
    </row>
    <row r="4534" spans="1:1" x14ac:dyDescent="0.25">
      <c r="A4534" s="63"/>
    </row>
    <row r="4535" spans="1:1" x14ac:dyDescent="0.25">
      <c r="A4535" s="63"/>
    </row>
    <row r="4536" spans="1:1" x14ac:dyDescent="0.25">
      <c r="A4536" s="63"/>
    </row>
    <row r="4537" spans="1:1" x14ac:dyDescent="0.25">
      <c r="A4537" s="63"/>
    </row>
    <row r="4538" spans="1:1" x14ac:dyDescent="0.25">
      <c r="A4538" s="63"/>
    </row>
    <row r="4539" spans="1:1" x14ac:dyDescent="0.25">
      <c r="A4539" s="63"/>
    </row>
    <row r="4540" spans="1:1" x14ac:dyDescent="0.25">
      <c r="A4540" s="63"/>
    </row>
    <row r="4541" spans="1:1" x14ac:dyDescent="0.25">
      <c r="A4541" s="63"/>
    </row>
    <row r="4542" spans="1:1" x14ac:dyDescent="0.25">
      <c r="A4542" s="63"/>
    </row>
    <row r="4543" spans="1:1" x14ac:dyDescent="0.25">
      <c r="A4543" s="63"/>
    </row>
    <row r="4544" spans="1:1" x14ac:dyDescent="0.25">
      <c r="A4544" s="63"/>
    </row>
    <row r="4545" spans="1:1" x14ac:dyDescent="0.25">
      <c r="A4545" s="63"/>
    </row>
    <row r="4546" spans="1:1" x14ac:dyDescent="0.25">
      <c r="A4546" s="63"/>
    </row>
    <row r="4547" spans="1:1" x14ac:dyDescent="0.25">
      <c r="A4547" s="63"/>
    </row>
    <row r="4548" spans="1:1" x14ac:dyDescent="0.25">
      <c r="A4548" s="63"/>
    </row>
    <row r="4549" spans="1:1" x14ac:dyDescent="0.25">
      <c r="A4549" s="63"/>
    </row>
    <row r="4550" spans="1:1" x14ac:dyDescent="0.25">
      <c r="A4550" s="63"/>
    </row>
    <row r="4551" spans="1:1" x14ac:dyDescent="0.25">
      <c r="A4551" s="63"/>
    </row>
    <row r="4552" spans="1:1" x14ac:dyDescent="0.25">
      <c r="A4552" s="63"/>
    </row>
    <row r="4553" spans="1:1" x14ac:dyDescent="0.25">
      <c r="A4553" s="63"/>
    </row>
    <row r="4554" spans="1:1" x14ac:dyDescent="0.25">
      <c r="A4554" s="63"/>
    </row>
    <row r="4555" spans="1:1" x14ac:dyDescent="0.25">
      <c r="A4555" s="63"/>
    </row>
    <row r="4556" spans="1:1" x14ac:dyDescent="0.25">
      <c r="A4556" s="63"/>
    </row>
    <row r="4557" spans="1:1" x14ac:dyDescent="0.25">
      <c r="A4557" s="63"/>
    </row>
    <row r="4558" spans="1:1" x14ac:dyDescent="0.25">
      <c r="A4558" s="63"/>
    </row>
    <row r="4559" spans="1:1" x14ac:dyDescent="0.25">
      <c r="A4559" s="63"/>
    </row>
    <row r="4560" spans="1:1" x14ac:dyDescent="0.25">
      <c r="A4560" s="63"/>
    </row>
    <row r="4561" spans="1:1" x14ac:dyDescent="0.25">
      <c r="A4561" s="63"/>
    </row>
    <row r="4562" spans="1:1" x14ac:dyDescent="0.25">
      <c r="A4562" s="63"/>
    </row>
    <row r="4563" spans="1:1" x14ac:dyDescent="0.25">
      <c r="A4563" s="63"/>
    </row>
    <row r="4564" spans="1:1" x14ac:dyDescent="0.25">
      <c r="A4564" s="63"/>
    </row>
    <row r="4565" spans="1:1" x14ac:dyDescent="0.25">
      <c r="A4565" s="63"/>
    </row>
    <row r="4566" spans="1:1" x14ac:dyDescent="0.25">
      <c r="A4566" s="63"/>
    </row>
    <row r="4567" spans="1:1" x14ac:dyDescent="0.25">
      <c r="A4567" s="63"/>
    </row>
    <row r="4568" spans="1:1" x14ac:dyDescent="0.25">
      <c r="A4568" s="63"/>
    </row>
    <row r="4569" spans="1:1" x14ac:dyDescent="0.25">
      <c r="A4569" s="63"/>
    </row>
    <row r="4570" spans="1:1" x14ac:dyDescent="0.25">
      <c r="A4570" s="63"/>
    </row>
    <row r="4571" spans="1:1" x14ac:dyDescent="0.25">
      <c r="A4571" s="63"/>
    </row>
    <row r="4572" spans="1:1" x14ac:dyDescent="0.25">
      <c r="A4572" s="63"/>
    </row>
    <row r="4573" spans="1:1" x14ac:dyDescent="0.25">
      <c r="A4573" s="63"/>
    </row>
    <row r="4574" spans="1:1" x14ac:dyDescent="0.25">
      <c r="A4574" s="63"/>
    </row>
    <row r="4575" spans="1:1" x14ac:dyDescent="0.25">
      <c r="A4575" s="63"/>
    </row>
    <row r="4576" spans="1:1" x14ac:dyDescent="0.25">
      <c r="A4576" s="63"/>
    </row>
    <row r="4577" spans="1:1" x14ac:dyDescent="0.25">
      <c r="A4577" s="63"/>
    </row>
    <row r="4578" spans="1:1" x14ac:dyDescent="0.25">
      <c r="A4578" s="63"/>
    </row>
    <row r="4579" spans="1:1" x14ac:dyDescent="0.25">
      <c r="A4579" s="63"/>
    </row>
    <row r="4580" spans="1:1" x14ac:dyDescent="0.25">
      <c r="A4580" s="63"/>
    </row>
    <row r="4581" spans="1:1" x14ac:dyDescent="0.25">
      <c r="A4581" s="63"/>
    </row>
    <row r="4582" spans="1:1" x14ac:dyDescent="0.25">
      <c r="A4582" s="63"/>
    </row>
    <row r="4583" spans="1:1" x14ac:dyDescent="0.25">
      <c r="A4583" s="63"/>
    </row>
    <row r="4584" spans="1:1" x14ac:dyDescent="0.25">
      <c r="A4584" s="63"/>
    </row>
    <row r="4585" spans="1:1" x14ac:dyDescent="0.25">
      <c r="A4585" s="63"/>
    </row>
    <row r="4586" spans="1:1" x14ac:dyDescent="0.25">
      <c r="A4586" s="63"/>
    </row>
    <row r="4587" spans="1:1" x14ac:dyDescent="0.25">
      <c r="A4587" s="63"/>
    </row>
    <row r="4588" spans="1:1" x14ac:dyDescent="0.25">
      <c r="A4588" s="63"/>
    </row>
    <row r="4589" spans="1:1" x14ac:dyDescent="0.25">
      <c r="A4589" s="63"/>
    </row>
    <row r="4590" spans="1:1" x14ac:dyDescent="0.25">
      <c r="A4590" s="63"/>
    </row>
    <row r="4591" spans="1:1" x14ac:dyDescent="0.25">
      <c r="A4591" s="63"/>
    </row>
    <row r="4592" spans="1:1" x14ac:dyDescent="0.25">
      <c r="A4592" s="63"/>
    </row>
    <row r="4593" spans="1:1" x14ac:dyDescent="0.25">
      <c r="A4593" s="63"/>
    </row>
    <row r="4594" spans="1:1" x14ac:dyDescent="0.25">
      <c r="A4594" s="63"/>
    </row>
    <row r="4595" spans="1:1" x14ac:dyDescent="0.25">
      <c r="A4595" s="63"/>
    </row>
    <row r="4596" spans="1:1" x14ac:dyDescent="0.25">
      <c r="A4596" s="63"/>
    </row>
    <row r="4597" spans="1:1" x14ac:dyDescent="0.25">
      <c r="A4597" s="63"/>
    </row>
    <row r="4598" spans="1:1" x14ac:dyDescent="0.25">
      <c r="A4598" s="63"/>
    </row>
    <row r="4599" spans="1:1" x14ac:dyDescent="0.25">
      <c r="A4599" s="63"/>
    </row>
    <row r="4600" spans="1:1" x14ac:dyDescent="0.25">
      <c r="A4600" s="63"/>
    </row>
    <row r="4601" spans="1:1" x14ac:dyDescent="0.25">
      <c r="A4601" s="63"/>
    </row>
    <row r="4602" spans="1:1" x14ac:dyDescent="0.25">
      <c r="A4602" s="63"/>
    </row>
    <row r="4603" spans="1:1" x14ac:dyDescent="0.25">
      <c r="A4603" s="63"/>
    </row>
    <row r="4604" spans="1:1" x14ac:dyDescent="0.25">
      <c r="A4604" s="63"/>
    </row>
    <row r="4605" spans="1:1" x14ac:dyDescent="0.25">
      <c r="A4605" s="63"/>
    </row>
    <row r="4606" spans="1:1" x14ac:dyDescent="0.25">
      <c r="A4606" s="63"/>
    </row>
    <row r="4607" spans="1:1" x14ac:dyDescent="0.25">
      <c r="A4607" s="63"/>
    </row>
    <row r="4608" spans="1:1" x14ac:dyDescent="0.25">
      <c r="A4608" s="63"/>
    </row>
    <row r="4609" spans="1:1" x14ac:dyDescent="0.25">
      <c r="A4609" s="63"/>
    </row>
    <row r="4610" spans="1:1" x14ac:dyDescent="0.25">
      <c r="A4610" s="63"/>
    </row>
    <row r="4611" spans="1:1" x14ac:dyDescent="0.25">
      <c r="A4611" s="63"/>
    </row>
    <row r="4612" spans="1:1" x14ac:dyDescent="0.25">
      <c r="A4612" s="63"/>
    </row>
    <row r="4613" spans="1:1" x14ac:dyDescent="0.25">
      <c r="A4613" s="63"/>
    </row>
    <row r="4614" spans="1:1" x14ac:dyDescent="0.25">
      <c r="A4614" s="63"/>
    </row>
    <row r="4615" spans="1:1" x14ac:dyDescent="0.25">
      <c r="A4615" s="63"/>
    </row>
    <row r="4616" spans="1:1" x14ac:dyDescent="0.25">
      <c r="A4616" s="63"/>
    </row>
    <row r="4617" spans="1:1" x14ac:dyDescent="0.25">
      <c r="A4617" s="63"/>
    </row>
    <row r="4618" spans="1:1" x14ac:dyDescent="0.25">
      <c r="A4618" s="63"/>
    </row>
    <row r="4619" spans="1:1" x14ac:dyDescent="0.25">
      <c r="A4619" s="63"/>
    </row>
    <row r="4620" spans="1:1" x14ac:dyDescent="0.25">
      <c r="A4620" s="63"/>
    </row>
    <row r="4621" spans="1:1" x14ac:dyDescent="0.25">
      <c r="A4621" s="63"/>
    </row>
    <row r="4622" spans="1:1" x14ac:dyDescent="0.25">
      <c r="A4622" s="63"/>
    </row>
    <row r="4623" spans="1:1" x14ac:dyDescent="0.25">
      <c r="A4623" s="63"/>
    </row>
    <row r="4624" spans="1:1" x14ac:dyDescent="0.25">
      <c r="A4624" s="63"/>
    </row>
    <row r="4625" spans="1:1" x14ac:dyDescent="0.25">
      <c r="A4625" s="63"/>
    </row>
    <row r="4626" spans="1:1" x14ac:dyDescent="0.25">
      <c r="A4626" s="63"/>
    </row>
    <row r="4627" spans="1:1" x14ac:dyDescent="0.25">
      <c r="A4627" s="63"/>
    </row>
    <row r="4628" spans="1:1" x14ac:dyDescent="0.25">
      <c r="A4628" s="63"/>
    </row>
    <row r="4629" spans="1:1" x14ac:dyDescent="0.25">
      <c r="A4629" s="63"/>
    </row>
    <row r="4630" spans="1:1" x14ac:dyDescent="0.25">
      <c r="A4630" s="63"/>
    </row>
    <row r="4631" spans="1:1" x14ac:dyDescent="0.25">
      <c r="A4631" s="63"/>
    </row>
    <row r="4632" spans="1:1" x14ac:dyDescent="0.25">
      <c r="A4632" s="63"/>
    </row>
    <row r="4633" spans="1:1" x14ac:dyDescent="0.25">
      <c r="A4633" s="63"/>
    </row>
    <row r="4634" spans="1:1" x14ac:dyDescent="0.25">
      <c r="A4634" s="63"/>
    </row>
    <row r="4635" spans="1:1" x14ac:dyDescent="0.25">
      <c r="A4635" s="63"/>
    </row>
    <row r="4636" spans="1:1" x14ac:dyDescent="0.25">
      <c r="A4636" s="63"/>
    </row>
    <row r="4637" spans="1:1" x14ac:dyDescent="0.25">
      <c r="A4637" s="63"/>
    </row>
    <row r="4638" spans="1:1" x14ac:dyDescent="0.25">
      <c r="A4638" s="63"/>
    </row>
    <row r="4639" spans="1:1" x14ac:dyDescent="0.25">
      <c r="A4639" s="63"/>
    </row>
    <row r="4640" spans="1:1" x14ac:dyDescent="0.25">
      <c r="A4640" s="63"/>
    </row>
    <row r="4641" spans="1:1" x14ac:dyDescent="0.25">
      <c r="A4641" s="63"/>
    </row>
    <row r="4642" spans="1:1" x14ac:dyDescent="0.25">
      <c r="A4642" s="63"/>
    </row>
    <row r="4643" spans="1:1" x14ac:dyDescent="0.25">
      <c r="A4643" s="63"/>
    </row>
    <row r="4644" spans="1:1" x14ac:dyDescent="0.25">
      <c r="A4644" s="63"/>
    </row>
    <row r="4645" spans="1:1" x14ac:dyDescent="0.25">
      <c r="A4645" s="63"/>
    </row>
    <row r="4646" spans="1:1" x14ac:dyDescent="0.25">
      <c r="A4646" s="63"/>
    </row>
    <row r="4647" spans="1:1" x14ac:dyDescent="0.25">
      <c r="A4647" s="63"/>
    </row>
    <row r="4648" spans="1:1" x14ac:dyDescent="0.25">
      <c r="A4648" s="63"/>
    </row>
    <row r="4649" spans="1:1" x14ac:dyDescent="0.25">
      <c r="A4649" s="63"/>
    </row>
    <row r="4650" spans="1:1" x14ac:dyDescent="0.25">
      <c r="A4650" s="63"/>
    </row>
    <row r="4651" spans="1:1" x14ac:dyDescent="0.25">
      <c r="A4651" s="63"/>
    </row>
    <row r="4652" spans="1:1" x14ac:dyDescent="0.25">
      <c r="A4652" s="63"/>
    </row>
    <row r="4653" spans="1:1" x14ac:dyDescent="0.25">
      <c r="A4653" s="63"/>
    </row>
    <row r="4654" spans="1:1" x14ac:dyDescent="0.25">
      <c r="A4654" s="63"/>
    </row>
    <row r="4655" spans="1:1" x14ac:dyDescent="0.25">
      <c r="A4655" s="63"/>
    </row>
    <row r="4656" spans="1:1" x14ac:dyDescent="0.25">
      <c r="A4656" s="63"/>
    </row>
    <row r="4657" spans="1:1" x14ac:dyDescent="0.25">
      <c r="A4657" s="63"/>
    </row>
    <row r="4658" spans="1:1" x14ac:dyDescent="0.25">
      <c r="A4658" s="63"/>
    </row>
    <row r="4659" spans="1:1" x14ac:dyDescent="0.25">
      <c r="A4659" s="63"/>
    </row>
    <row r="4660" spans="1:1" x14ac:dyDescent="0.25">
      <c r="A4660" s="63"/>
    </row>
    <row r="4661" spans="1:1" x14ac:dyDescent="0.25">
      <c r="A4661" s="63"/>
    </row>
    <row r="4662" spans="1:1" x14ac:dyDescent="0.25">
      <c r="A4662" s="63"/>
    </row>
    <row r="4663" spans="1:1" x14ac:dyDescent="0.25">
      <c r="A4663" s="63"/>
    </row>
    <row r="4664" spans="1:1" x14ac:dyDescent="0.25">
      <c r="A4664" s="63"/>
    </row>
    <row r="4665" spans="1:1" x14ac:dyDescent="0.25">
      <c r="A4665" s="63"/>
    </row>
    <row r="4666" spans="1:1" x14ac:dyDescent="0.25">
      <c r="A4666" s="63"/>
    </row>
    <row r="4667" spans="1:1" x14ac:dyDescent="0.25">
      <c r="A4667" s="63"/>
    </row>
    <row r="4668" spans="1:1" x14ac:dyDescent="0.25">
      <c r="A4668" s="63"/>
    </row>
    <row r="4669" spans="1:1" x14ac:dyDescent="0.25">
      <c r="A4669" s="63"/>
    </row>
    <row r="4670" spans="1:1" x14ac:dyDescent="0.25">
      <c r="A4670" s="63"/>
    </row>
    <row r="4671" spans="1:1" x14ac:dyDescent="0.25">
      <c r="A4671" s="63"/>
    </row>
    <row r="4672" spans="1:1" x14ac:dyDescent="0.25">
      <c r="A4672" s="63"/>
    </row>
    <row r="4673" spans="1:1" x14ac:dyDescent="0.25">
      <c r="A4673" s="63"/>
    </row>
    <row r="4674" spans="1:1" x14ac:dyDescent="0.25">
      <c r="A4674" s="63"/>
    </row>
    <row r="4675" spans="1:1" x14ac:dyDescent="0.25">
      <c r="A4675" s="63"/>
    </row>
    <row r="4676" spans="1:1" x14ac:dyDescent="0.25">
      <c r="A4676" s="63"/>
    </row>
    <row r="4677" spans="1:1" x14ac:dyDescent="0.25">
      <c r="A4677" s="63"/>
    </row>
    <row r="4678" spans="1:1" x14ac:dyDescent="0.25">
      <c r="A4678" s="63"/>
    </row>
    <row r="4679" spans="1:1" x14ac:dyDescent="0.25">
      <c r="A4679" s="63"/>
    </row>
    <row r="4680" spans="1:1" x14ac:dyDescent="0.25">
      <c r="A4680" s="63"/>
    </row>
    <row r="4681" spans="1:1" x14ac:dyDescent="0.25">
      <c r="A4681" s="63"/>
    </row>
    <row r="4682" spans="1:1" x14ac:dyDescent="0.25">
      <c r="A4682" s="63"/>
    </row>
    <row r="4683" spans="1:1" x14ac:dyDescent="0.25">
      <c r="A4683" s="63"/>
    </row>
    <row r="4684" spans="1:1" x14ac:dyDescent="0.25">
      <c r="A4684" s="63"/>
    </row>
    <row r="4685" spans="1:1" x14ac:dyDescent="0.25">
      <c r="A4685" s="63"/>
    </row>
    <row r="4686" spans="1:1" x14ac:dyDescent="0.25">
      <c r="A4686" s="63"/>
    </row>
    <row r="4687" spans="1:1" x14ac:dyDescent="0.25">
      <c r="A4687" s="63"/>
    </row>
    <row r="4688" spans="1:1" x14ac:dyDescent="0.25">
      <c r="A4688" s="63"/>
    </row>
    <row r="4689" spans="1:1" x14ac:dyDescent="0.25">
      <c r="A4689" s="63"/>
    </row>
    <row r="4690" spans="1:1" x14ac:dyDescent="0.25">
      <c r="A4690" s="63"/>
    </row>
    <row r="4691" spans="1:1" x14ac:dyDescent="0.25">
      <c r="A4691" s="63"/>
    </row>
    <row r="4692" spans="1:1" x14ac:dyDescent="0.25">
      <c r="A4692" s="63"/>
    </row>
    <row r="4693" spans="1:1" x14ac:dyDescent="0.25">
      <c r="A4693" s="63"/>
    </row>
    <row r="4694" spans="1:1" x14ac:dyDescent="0.25">
      <c r="A4694" s="63"/>
    </row>
    <row r="4695" spans="1:1" x14ac:dyDescent="0.25">
      <c r="A4695" s="63"/>
    </row>
    <row r="4696" spans="1:1" x14ac:dyDescent="0.25">
      <c r="A4696" s="63"/>
    </row>
    <row r="4697" spans="1:1" x14ac:dyDescent="0.25">
      <c r="A4697" s="63"/>
    </row>
    <row r="4698" spans="1:1" x14ac:dyDescent="0.25">
      <c r="A4698" s="63"/>
    </row>
    <row r="4699" spans="1:1" x14ac:dyDescent="0.25">
      <c r="A4699" s="63"/>
    </row>
    <row r="4700" spans="1:1" x14ac:dyDescent="0.25">
      <c r="A4700" s="63"/>
    </row>
    <row r="4701" spans="1:1" x14ac:dyDescent="0.25">
      <c r="A4701" s="63"/>
    </row>
    <row r="4702" spans="1:1" x14ac:dyDescent="0.25">
      <c r="A4702" s="63"/>
    </row>
    <row r="4703" spans="1:1" x14ac:dyDescent="0.25">
      <c r="A4703" s="63"/>
    </row>
    <row r="4704" spans="1:1" x14ac:dyDescent="0.25">
      <c r="A4704" s="63"/>
    </row>
    <row r="4705" spans="1:1" x14ac:dyDescent="0.25">
      <c r="A4705" s="63"/>
    </row>
    <row r="4706" spans="1:1" x14ac:dyDescent="0.25">
      <c r="A4706" s="63"/>
    </row>
    <row r="4707" spans="1:1" x14ac:dyDescent="0.25">
      <c r="A4707" s="63"/>
    </row>
    <row r="4708" spans="1:1" x14ac:dyDescent="0.25">
      <c r="A4708" s="63"/>
    </row>
    <row r="4709" spans="1:1" x14ac:dyDescent="0.25">
      <c r="A4709" s="63"/>
    </row>
    <row r="4710" spans="1:1" x14ac:dyDescent="0.25">
      <c r="A4710" s="63"/>
    </row>
    <row r="4711" spans="1:1" x14ac:dyDescent="0.25">
      <c r="A4711" s="63"/>
    </row>
    <row r="4712" spans="1:1" x14ac:dyDescent="0.25">
      <c r="A4712" s="63"/>
    </row>
    <row r="4713" spans="1:1" x14ac:dyDescent="0.25">
      <c r="A4713" s="63"/>
    </row>
    <row r="4714" spans="1:1" x14ac:dyDescent="0.25">
      <c r="A4714" s="63"/>
    </row>
    <row r="4715" spans="1:1" x14ac:dyDescent="0.25">
      <c r="A4715" s="63"/>
    </row>
    <row r="4716" spans="1:1" x14ac:dyDescent="0.25">
      <c r="A4716" s="63"/>
    </row>
    <row r="4717" spans="1:1" x14ac:dyDescent="0.25">
      <c r="A4717" s="63"/>
    </row>
    <row r="4718" spans="1:1" x14ac:dyDescent="0.25">
      <c r="A4718" s="63"/>
    </row>
    <row r="4719" spans="1:1" x14ac:dyDescent="0.25">
      <c r="A4719" s="63"/>
    </row>
    <row r="4720" spans="1:1" x14ac:dyDescent="0.25">
      <c r="A4720" s="63"/>
    </row>
    <row r="4721" spans="1:1" x14ac:dyDescent="0.25">
      <c r="A4721" s="63"/>
    </row>
    <row r="4722" spans="1:1" x14ac:dyDescent="0.25">
      <c r="A4722" s="63"/>
    </row>
    <row r="4723" spans="1:1" x14ac:dyDescent="0.25">
      <c r="A4723" s="63"/>
    </row>
    <row r="4724" spans="1:1" x14ac:dyDescent="0.25">
      <c r="A4724" s="63"/>
    </row>
    <row r="4725" spans="1:1" x14ac:dyDescent="0.25">
      <c r="A4725" s="63"/>
    </row>
    <row r="4726" spans="1:1" x14ac:dyDescent="0.25">
      <c r="A4726" s="63"/>
    </row>
    <row r="4727" spans="1:1" x14ac:dyDescent="0.25">
      <c r="A4727" s="63"/>
    </row>
    <row r="4728" spans="1:1" x14ac:dyDescent="0.25">
      <c r="A4728" s="63"/>
    </row>
    <row r="4729" spans="1:1" x14ac:dyDescent="0.25">
      <c r="A4729" s="63"/>
    </row>
    <row r="4730" spans="1:1" x14ac:dyDescent="0.25">
      <c r="A4730" s="63"/>
    </row>
    <row r="4731" spans="1:1" x14ac:dyDescent="0.25">
      <c r="A4731" s="63"/>
    </row>
    <row r="4732" spans="1:1" x14ac:dyDescent="0.25">
      <c r="A4732" s="63"/>
    </row>
    <row r="4733" spans="1:1" x14ac:dyDescent="0.25">
      <c r="A4733" s="63"/>
    </row>
    <row r="4734" spans="1:1" x14ac:dyDescent="0.25">
      <c r="A4734" s="63"/>
    </row>
    <row r="4735" spans="1:1" x14ac:dyDescent="0.25">
      <c r="A4735" s="63"/>
    </row>
    <row r="4736" spans="1:1" x14ac:dyDescent="0.25">
      <c r="A4736" s="63"/>
    </row>
    <row r="4737" spans="1:1" x14ac:dyDescent="0.25">
      <c r="A4737" s="63"/>
    </row>
    <row r="4738" spans="1:1" x14ac:dyDescent="0.25">
      <c r="A4738" s="63"/>
    </row>
    <row r="4739" spans="1:1" x14ac:dyDescent="0.25">
      <c r="A4739" s="63"/>
    </row>
    <row r="4740" spans="1:1" x14ac:dyDescent="0.25">
      <c r="A4740" s="63"/>
    </row>
    <row r="4741" spans="1:1" x14ac:dyDescent="0.25">
      <c r="A4741" s="63"/>
    </row>
    <row r="4742" spans="1:1" x14ac:dyDescent="0.25">
      <c r="A4742" s="63"/>
    </row>
    <row r="4743" spans="1:1" x14ac:dyDescent="0.25">
      <c r="A4743" s="63"/>
    </row>
    <row r="4744" spans="1:1" x14ac:dyDescent="0.25">
      <c r="A4744" s="63"/>
    </row>
    <row r="4745" spans="1:1" x14ac:dyDescent="0.25">
      <c r="A4745" s="63"/>
    </row>
    <row r="4746" spans="1:1" x14ac:dyDescent="0.25">
      <c r="A4746" s="63"/>
    </row>
    <row r="4747" spans="1:1" x14ac:dyDescent="0.25">
      <c r="A4747" s="63"/>
    </row>
    <row r="4748" spans="1:1" x14ac:dyDescent="0.25">
      <c r="A4748" s="63"/>
    </row>
    <row r="4749" spans="1:1" x14ac:dyDescent="0.25">
      <c r="A4749" s="63"/>
    </row>
    <row r="4750" spans="1:1" x14ac:dyDescent="0.25">
      <c r="A4750" s="63"/>
    </row>
    <row r="4751" spans="1:1" x14ac:dyDescent="0.25">
      <c r="A4751" s="63"/>
    </row>
    <row r="4752" spans="1:1" x14ac:dyDescent="0.25">
      <c r="A4752" s="63"/>
    </row>
    <row r="4753" spans="1:1" x14ac:dyDescent="0.25">
      <c r="A4753" s="63"/>
    </row>
    <row r="4754" spans="1:1" x14ac:dyDescent="0.25">
      <c r="A4754" s="63"/>
    </row>
    <row r="4755" spans="1:1" x14ac:dyDescent="0.25">
      <c r="A4755" s="63"/>
    </row>
    <row r="4756" spans="1:1" x14ac:dyDescent="0.25">
      <c r="A4756" s="63"/>
    </row>
    <row r="4757" spans="1:1" x14ac:dyDescent="0.25">
      <c r="A4757" s="63"/>
    </row>
    <row r="4758" spans="1:1" x14ac:dyDescent="0.25">
      <c r="A4758" s="63"/>
    </row>
    <row r="4759" spans="1:1" x14ac:dyDescent="0.25">
      <c r="A4759" s="63"/>
    </row>
    <row r="4760" spans="1:1" x14ac:dyDescent="0.25">
      <c r="A4760" s="63"/>
    </row>
    <row r="4761" spans="1:1" x14ac:dyDescent="0.25">
      <c r="A4761" s="63"/>
    </row>
    <row r="4762" spans="1:1" x14ac:dyDescent="0.25">
      <c r="A4762" s="63"/>
    </row>
    <row r="4763" spans="1:1" x14ac:dyDescent="0.25">
      <c r="A4763" s="63"/>
    </row>
    <row r="4764" spans="1:1" x14ac:dyDescent="0.25">
      <c r="A4764" s="63"/>
    </row>
    <row r="4765" spans="1:1" x14ac:dyDescent="0.25">
      <c r="A4765" s="63"/>
    </row>
    <row r="4766" spans="1:1" x14ac:dyDescent="0.25">
      <c r="A4766" s="63"/>
    </row>
    <row r="4767" spans="1:1" x14ac:dyDescent="0.25">
      <c r="A4767" s="63"/>
    </row>
    <row r="4768" spans="1:1" x14ac:dyDescent="0.25">
      <c r="A4768" s="63"/>
    </row>
    <row r="4769" spans="1:1" x14ac:dyDescent="0.25">
      <c r="A4769" s="63"/>
    </row>
    <row r="4770" spans="1:1" x14ac:dyDescent="0.25">
      <c r="A4770" s="63"/>
    </row>
    <row r="4771" spans="1:1" x14ac:dyDescent="0.25">
      <c r="A4771" s="63"/>
    </row>
    <row r="4772" spans="1:1" x14ac:dyDescent="0.25">
      <c r="A4772" s="63"/>
    </row>
    <row r="4773" spans="1:1" x14ac:dyDescent="0.25">
      <c r="A4773" s="63"/>
    </row>
    <row r="4774" spans="1:1" x14ac:dyDescent="0.25">
      <c r="A4774" s="63"/>
    </row>
    <row r="4775" spans="1:1" x14ac:dyDescent="0.25">
      <c r="A4775" s="63"/>
    </row>
    <row r="4776" spans="1:1" x14ac:dyDescent="0.25">
      <c r="A4776" s="63"/>
    </row>
    <row r="4777" spans="1:1" x14ac:dyDescent="0.25">
      <c r="A4777" s="63"/>
    </row>
    <row r="4778" spans="1:1" x14ac:dyDescent="0.25">
      <c r="A4778" s="63"/>
    </row>
    <row r="4779" spans="1:1" x14ac:dyDescent="0.25">
      <c r="A4779" s="63"/>
    </row>
    <row r="4780" spans="1:1" x14ac:dyDescent="0.25">
      <c r="A4780" s="63"/>
    </row>
    <row r="4781" spans="1:1" x14ac:dyDescent="0.25">
      <c r="A4781" s="63"/>
    </row>
    <row r="4782" spans="1:1" x14ac:dyDescent="0.25">
      <c r="A4782" s="63"/>
    </row>
    <row r="4783" spans="1:1" x14ac:dyDescent="0.25">
      <c r="A4783" s="63"/>
    </row>
    <row r="4784" spans="1:1" x14ac:dyDescent="0.25">
      <c r="A4784" s="63"/>
    </row>
    <row r="4785" spans="1:1" x14ac:dyDescent="0.25">
      <c r="A4785" s="63"/>
    </row>
    <row r="4786" spans="1:1" x14ac:dyDescent="0.25">
      <c r="A4786" s="63"/>
    </row>
    <row r="4787" spans="1:1" x14ac:dyDescent="0.25">
      <c r="A4787" s="63"/>
    </row>
    <row r="4788" spans="1:1" x14ac:dyDescent="0.25">
      <c r="A4788" s="63"/>
    </row>
    <row r="4789" spans="1:1" x14ac:dyDescent="0.25">
      <c r="A4789" s="63"/>
    </row>
    <row r="4790" spans="1:1" x14ac:dyDescent="0.25">
      <c r="A4790" s="63"/>
    </row>
    <row r="4791" spans="1:1" x14ac:dyDescent="0.25">
      <c r="A4791" s="63"/>
    </row>
    <row r="4792" spans="1:1" x14ac:dyDescent="0.25">
      <c r="A4792" s="63"/>
    </row>
    <row r="4793" spans="1:1" x14ac:dyDescent="0.25">
      <c r="A4793" s="63"/>
    </row>
    <row r="4794" spans="1:1" x14ac:dyDescent="0.25">
      <c r="A4794" s="63"/>
    </row>
    <row r="4795" spans="1:1" x14ac:dyDescent="0.25">
      <c r="A4795" s="63"/>
    </row>
    <row r="4796" spans="1:1" x14ac:dyDescent="0.25">
      <c r="A4796" s="63"/>
    </row>
    <row r="4797" spans="1:1" x14ac:dyDescent="0.25">
      <c r="A4797" s="63"/>
    </row>
    <row r="4798" spans="1:1" x14ac:dyDescent="0.25">
      <c r="A4798" s="63"/>
    </row>
    <row r="4799" spans="1:1" x14ac:dyDescent="0.25">
      <c r="A4799" s="63"/>
    </row>
    <row r="4800" spans="1:1" x14ac:dyDescent="0.25">
      <c r="A4800" s="63"/>
    </row>
    <row r="4801" spans="1:1" x14ac:dyDescent="0.25">
      <c r="A4801" s="63"/>
    </row>
    <row r="4802" spans="1:1" x14ac:dyDescent="0.25">
      <c r="A4802" s="63"/>
    </row>
    <row r="4803" spans="1:1" x14ac:dyDescent="0.25">
      <c r="A4803" s="63"/>
    </row>
    <row r="4804" spans="1:1" x14ac:dyDescent="0.25">
      <c r="A4804" s="63"/>
    </row>
    <row r="4805" spans="1:1" x14ac:dyDescent="0.25">
      <c r="A4805" s="63"/>
    </row>
    <row r="4806" spans="1:1" x14ac:dyDescent="0.25">
      <c r="A4806" s="63"/>
    </row>
    <row r="4807" spans="1:1" x14ac:dyDescent="0.25">
      <c r="A4807" s="63"/>
    </row>
    <row r="4808" spans="1:1" x14ac:dyDescent="0.25">
      <c r="A4808" s="63"/>
    </row>
    <row r="4809" spans="1:1" x14ac:dyDescent="0.25">
      <c r="A4809" s="63"/>
    </row>
    <row r="4810" spans="1:1" x14ac:dyDescent="0.25">
      <c r="A4810" s="63"/>
    </row>
    <row r="4811" spans="1:1" x14ac:dyDescent="0.25">
      <c r="A4811" s="63"/>
    </row>
    <row r="4812" spans="1:1" x14ac:dyDescent="0.25">
      <c r="A4812" s="63"/>
    </row>
    <row r="4813" spans="1:1" x14ac:dyDescent="0.25">
      <c r="A4813" s="63"/>
    </row>
    <row r="4814" spans="1:1" x14ac:dyDescent="0.25">
      <c r="A4814" s="63"/>
    </row>
    <row r="4815" spans="1:1" x14ac:dyDescent="0.25">
      <c r="A4815" s="63"/>
    </row>
    <row r="4816" spans="1:1" x14ac:dyDescent="0.25">
      <c r="A4816" s="63"/>
    </row>
    <row r="4817" spans="1:1" x14ac:dyDescent="0.25">
      <c r="A4817" s="63"/>
    </row>
    <row r="4818" spans="1:1" x14ac:dyDescent="0.25">
      <c r="A4818" s="63"/>
    </row>
    <row r="4819" spans="1:1" x14ac:dyDescent="0.25">
      <c r="A4819" s="63"/>
    </row>
    <row r="4820" spans="1:1" x14ac:dyDescent="0.25">
      <c r="A4820" s="63"/>
    </row>
    <row r="4821" spans="1:1" x14ac:dyDescent="0.25">
      <c r="A4821" s="63"/>
    </row>
    <row r="4822" spans="1:1" x14ac:dyDescent="0.25">
      <c r="A4822" s="63"/>
    </row>
    <row r="4823" spans="1:1" x14ac:dyDescent="0.25">
      <c r="A4823" s="63"/>
    </row>
    <row r="4824" spans="1:1" x14ac:dyDescent="0.25">
      <c r="A4824" s="63"/>
    </row>
    <row r="4825" spans="1:1" x14ac:dyDescent="0.25">
      <c r="A4825" s="63"/>
    </row>
    <row r="4826" spans="1:1" x14ac:dyDescent="0.25">
      <c r="A4826" s="63"/>
    </row>
    <row r="4827" spans="1:1" x14ac:dyDescent="0.25">
      <c r="A4827" s="63"/>
    </row>
    <row r="4828" spans="1:1" x14ac:dyDescent="0.25">
      <c r="A4828" s="63"/>
    </row>
    <row r="4829" spans="1:1" x14ac:dyDescent="0.25">
      <c r="A4829" s="63"/>
    </row>
    <row r="4830" spans="1:1" x14ac:dyDescent="0.25">
      <c r="A4830" s="63"/>
    </row>
    <row r="4831" spans="1:1" x14ac:dyDescent="0.25">
      <c r="A4831" s="63"/>
    </row>
    <row r="4832" spans="1:1" x14ac:dyDescent="0.25">
      <c r="A4832" s="63"/>
    </row>
    <row r="4833" spans="1:1" x14ac:dyDescent="0.25">
      <c r="A4833" s="63"/>
    </row>
    <row r="4834" spans="1:1" x14ac:dyDescent="0.25">
      <c r="A4834" s="63"/>
    </row>
    <row r="4835" spans="1:1" x14ac:dyDescent="0.25">
      <c r="A4835" s="63"/>
    </row>
    <row r="4836" spans="1:1" x14ac:dyDescent="0.25">
      <c r="A4836" s="63"/>
    </row>
    <row r="4837" spans="1:1" x14ac:dyDescent="0.25">
      <c r="A4837" s="63"/>
    </row>
    <row r="4838" spans="1:1" x14ac:dyDescent="0.25">
      <c r="A4838" s="63"/>
    </row>
    <row r="4839" spans="1:1" x14ac:dyDescent="0.25">
      <c r="A4839" s="63"/>
    </row>
    <row r="4840" spans="1:1" x14ac:dyDescent="0.25">
      <c r="A4840" s="63"/>
    </row>
    <row r="4841" spans="1:1" x14ac:dyDescent="0.25">
      <c r="A4841" s="63"/>
    </row>
    <row r="4842" spans="1:1" x14ac:dyDescent="0.25">
      <c r="A4842" s="63"/>
    </row>
    <row r="4843" spans="1:1" x14ac:dyDescent="0.25">
      <c r="A4843" s="63"/>
    </row>
    <row r="4844" spans="1:1" x14ac:dyDescent="0.25">
      <c r="A4844" s="63"/>
    </row>
    <row r="4845" spans="1:1" x14ac:dyDescent="0.25">
      <c r="A4845" s="63"/>
    </row>
    <row r="4846" spans="1:1" x14ac:dyDescent="0.25">
      <c r="A4846" s="63"/>
    </row>
    <row r="4847" spans="1:1" x14ac:dyDescent="0.25">
      <c r="A4847" s="63"/>
    </row>
    <row r="4848" spans="1:1" x14ac:dyDescent="0.25">
      <c r="A4848" s="63"/>
    </row>
    <row r="4849" spans="1:1" x14ac:dyDescent="0.25">
      <c r="A4849" s="63"/>
    </row>
    <row r="4850" spans="1:1" x14ac:dyDescent="0.25">
      <c r="A4850" s="63"/>
    </row>
    <row r="4851" spans="1:1" x14ac:dyDescent="0.25">
      <c r="A4851" s="63"/>
    </row>
    <row r="4852" spans="1:1" x14ac:dyDescent="0.25">
      <c r="A4852" s="63"/>
    </row>
    <row r="4853" spans="1:1" x14ac:dyDescent="0.25">
      <c r="A4853" s="63"/>
    </row>
    <row r="4854" spans="1:1" x14ac:dyDescent="0.25">
      <c r="A4854" s="63"/>
    </row>
    <row r="4855" spans="1:1" x14ac:dyDescent="0.25">
      <c r="A4855" s="63"/>
    </row>
    <row r="4856" spans="1:1" x14ac:dyDescent="0.25">
      <c r="A4856" s="63"/>
    </row>
    <row r="4857" spans="1:1" x14ac:dyDescent="0.25">
      <c r="A4857" s="63"/>
    </row>
    <row r="4858" spans="1:1" x14ac:dyDescent="0.25">
      <c r="A4858" s="63"/>
    </row>
    <row r="4859" spans="1:1" x14ac:dyDescent="0.25">
      <c r="A4859" s="63"/>
    </row>
    <row r="4860" spans="1:1" x14ac:dyDescent="0.25">
      <c r="A4860" s="63"/>
    </row>
    <row r="4861" spans="1:1" x14ac:dyDescent="0.25">
      <c r="A4861" s="63"/>
    </row>
    <row r="4862" spans="1:1" x14ac:dyDescent="0.25">
      <c r="A4862" s="63"/>
    </row>
    <row r="4863" spans="1:1" x14ac:dyDescent="0.25">
      <c r="A4863" s="63"/>
    </row>
    <row r="4864" spans="1:1" x14ac:dyDescent="0.25">
      <c r="A4864" s="63"/>
    </row>
    <row r="4865" spans="1:1" x14ac:dyDescent="0.25">
      <c r="A4865" s="63"/>
    </row>
    <row r="4866" spans="1:1" x14ac:dyDescent="0.25">
      <c r="A4866" s="63"/>
    </row>
    <row r="4867" spans="1:1" x14ac:dyDescent="0.25">
      <c r="A4867" s="63"/>
    </row>
    <row r="4868" spans="1:1" x14ac:dyDescent="0.25">
      <c r="A4868" s="63"/>
    </row>
    <row r="4869" spans="1:1" x14ac:dyDescent="0.25">
      <c r="A4869" s="63"/>
    </row>
    <row r="4870" spans="1:1" x14ac:dyDescent="0.25">
      <c r="A4870" s="63"/>
    </row>
    <row r="4871" spans="1:1" x14ac:dyDescent="0.25">
      <c r="A4871" s="63"/>
    </row>
    <row r="4872" spans="1:1" x14ac:dyDescent="0.25">
      <c r="A4872" s="63"/>
    </row>
    <row r="4873" spans="1:1" x14ac:dyDescent="0.25">
      <c r="A4873" s="63"/>
    </row>
    <row r="4874" spans="1:1" x14ac:dyDescent="0.25">
      <c r="A4874" s="63"/>
    </row>
    <row r="4875" spans="1:1" x14ac:dyDescent="0.25">
      <c r="A4875" s="63"/>
    </row>
    <row r="4876" spans="1:1" x14ac:dyDescent="0.25">
      <c r="A4876" s="63"/>
    </row>
    <row r="4877" spans="1:1" x14ac:dyDescent="0.25">
      <c r="A4877" s="63"/>
    </row>
    <row r="4878" spans="1:1" x14ac:dyDescent="0.25">
      <c r="A4878" s="63"/>
    </row>
    <row r="4879" spans="1:1" x14ac:dyDescent="0.25">
      <c r="A4879" s="63"/>
    </row>
    <row r="4880" spans="1:1" x14ac:dyDescent="0.25">
      <c r="A4880" s="63"/>
    </row>
    <row r="4881" spans="1:1" x14ac:dyDescent="0.25">
      <c r="A4881" s="63"/>
    </row>
    <row r="4882" spans="1:1" x14ac:dyDescent="0.25">
      <c r="A4882" s="63"/>
    </row>
    <row r="4883" spans="1:1" x14ac:dyDescent="0.25">
      <c r="A4883" s="63"/>
    </row>
    <row r="4884" spans="1:1" x14ac:dyDescent="0.25">
      <c r="A4884" s="63"/>
    </row>
    <row r="4885" spans="1:1" x14ac:dyDescent="0.25">
      <c r="A4885" s="63"/>
    </row>
    <row r="4886" spans="1:1" x14ac:dyDescent="0.25">
      <c r="A4886" s="63"/>
    </row>
    <row r="4887" spans="1:1" x14ac:dyDescent="0.25">
      <c r="A4887" s="63"/>
    </row>
    <row r="4888" spans="1:1" x14ac:dyDescent="0.25">
      <c r="A4888" s="63"/>
    </row>
    <row r="4889" spans="1:1" x14ac:dyDescent="0.25">
      <c r="A4889" s="63"/>
    </row>
    <row r="4890" spans="1:1" x14ac:dyDescent="0.25">
      <c r="A4890" s="63"/>
    </row>
    <row r="4891" spans="1:1" x14ac:dyDescent="0.25">
      <c r="A4891" s="63"/>
    </row>
    <row r="4892" spans="1:1" x14ac:dyDescent="0.25">
      <c r="A4892" s="63"/>
    </row>
    <row r="4893" spans="1:1" x14ac:dyDescent="0.25">
      <c r="A4893" s="63"/>
    </row>
    <row r="4894" spans="1:1" x14ac:dyDescent="0.25">
      <c r="A4894" s="63"/>
    </row>
    <row r="4895" spans="1:1" x14ac:dyDescent="0.25">
      <c r="A4895" s="63"/>
    </row>
    <row r="4896" spans="1:1" x14ac:dyDescent="0.25">
      <c r="A4896" s="63"/>
    </row>
    <row r="4897" spans="1:1" x14ac:dyDescent="0.25">
      <c r="A4897" s="63"/>
    </row>
    <row r="4898" spans="1:1" x14ac:dyDescent="0.25">
      <c r="A4898" s="63"/>
    </row>
    <row r="4899" spans="1:1" x14ac:dyDescent="0.25">
      <c r="A4899" s="63"/>
    </row>
    <row r="4900" spans="1:1" x14ac:dyDescent="0.25">
      <c r="A4900" s="63"/>
    </row>
    <row r="4901" spans="1:1" x14ac:dyDescent="0.25">
      <c r="A4901" s="63"/>
    </row>
    <row r="4902" spans="1:1" x14ac:dyDescent="0.25">
      <c r="A4902" s="63"/>
    </row>
    <row r="4903" spans="1:1" x14ac:dyDescent="0.25">
      <c r="A4903" s="63"/>
    </row>
    <row r="4904" spans="1:1" x14ac:dyDescent="0.25">
      <c r="A4904" s="63"/>
    </row>
    <row r="4905" spans="1:1" x14ac:dyDescent="0.25">
      <c r="A4905" s="63"/>
    </row>
    <row r="4906" spans="1:1" x14ac:dyDescent="0.25">
      <c r="A4906" s="63"/>
    </row>
    <row r="4907" spans="1:1" x14ac:dyDescent="0.25">
      <c r="A4907" s="63"/>
    </row>
    <row r="4908" spans="1:1" x14ac:dyDescent="0.25">
      <c r="A4908" s="63"/>
    </row>
    <row r="4909" spans="1:1" x14ac:dyDescent="0.25">
      <c r="A4909" s="63"/>
    </row>
    <row r="4910" spans="1:1" x14ac:dyDescent="0.25">
      <c r="A4910" s="63"/>
    </row>
    <row r="4911" spans="1:1" x14ac:dyDescent="0.25">
      <c r="A4911" s="63"/>
    </row>
    <row r="4912" spans="1:1" x14ac:dyDescent="0.25">
      <c r="A4912" s="63"/>
    </row>
    <row r="4913" spans="1:1" x14ac:dyDescent="0.25">
      <c r="A4913" s="63"/>
    </row>
    <row r="4914" spans="1:1" x14ac:dyDescent="0.25">
      <c r="A4914" s="63"/>
    </row>
    <row r="4915" spans="1:1" x14ac:dyDescent="0.25">
      <c r="A4915" s="63"/>
    </row>
    <row r="4916" spans="1:1" x14ac:dyDescent="0.25">
      <c r="A4916" s="63"/>
    </row>
    <row r="4917" spans="1:1" x14ac:dyDescent="0.25">
      <c r="A4917" s="63"/>
    </row>
    <row r="4918" spans="1:1" x14ac:dyDescent="0.25">
      <c r="A4918" s="63"/>
    </row>
    <row r="4919" spans="1:1" x14ac:dyDescent="0.25">
      <c r="A4919" s="63"/>
    </row>
    <row r="4920" spans="1:1" x14ac:dyDescent="0.25">
      <c r="A4920" s="63"/>
    </row>
    <row r="4921" spans="1:1" x14ac:dyDescent="0.25">
      <c r="A4921" s="63"/>
    </row>
    <row r="4922" spans="1:1" x14ac:dyDescent="0.25">
      <c r="A4922" s="63"/>
    </row>
    <row r="4923" spans="1:1" x14ac:dyDescent="0.25">
      <c r="A4923" s="63"/>
    </row>
    <row r="4924" spans="1:1" x14ac:dyDescent="0.25">
      <c r="A4924" s="63"/>
    </row>
    <row r="4925" spans="1:1" x14ac:dyDescent="0.25">
      <c r="A4925" s="63"/>
    </row>
    <row r="4926" spans="1:1" x14ac:dyDescent="0.25">
      <c r="A4926" s="63"/>
    </row>
    <row r="4927" spans="1:1" x14ac:dyDescent="0.25">
      <c r="A4927" s="63"/>
    </row>
    <row r="4928" spans="1:1" x14ac:dyDescent="0.25">
      <c r="A4928" s="63"/>
    </row>
    <row r="4929" spans="1:1" x14ac:dyDescent="0.25">
      <c r="A4929" s="63"/>
    </row>
    <row r="4930" spans="1:1" x14ac:dyDescent="0.25">
      <c r="A4930" s="63"/>
    </row>
    <row r="4931" spans="1:1" x14ac:dyDescent="0.25">
      <c r="A4931" s="63"/>
    </row>
    <row r="4932" spans="1:1" x14ac:dyDescent="0.25">
      <c r="A4932" s="63"/>
    </row>
    <row r="4933" spans="1:1" x14ac:dyDescent="0.25">
      <c r="A4933" s="63"/>
    </row>
    <row r="4934" spans="1:1" x14ac:dyDescent="0.25">
      <c r="A4934" s="63"/>
    </row>
    <row r="4935" spans="1:1" x14ac:dyDescent="0.25">
      <c r="A4935" s="63"/>
    </row>
    <row r="4936" spans="1:1" x14ac:dyDescent="0.25">
      <c r="A4936" s="63"/>
    </row>
    <row r="4937" spans="1:1" x14ac:dyDescent="0.25">
      <c r="A4937" s="63"/>
    </row>
    <row r="4938" spans="1:1" x14ac:dyDescent="0.25">
      <c r="A4938" s="63"/>
    </row>
    <row r="4939" spans="1:1" x14ac:dyDescent="0.25">
      <c r="A4939" s="63"/>
    </row>
    <row r="4940" spans="1:1" x14ac:dyDescent="0.25">
      <c r="A4940" s="63"/>
    </row>
    <row r="4941" spans="1:1" x14ac:dyDescent="0.25">
      <c r="A4941" s="63"/>
    </row>
    <row r="4942" spans="1:1" x14ac:dyDescent="0.25">
      <c r="A4942" s="63"/>
    </row>
    <row r="4943" spans="1:1" x14ac:dyDescent="0.25">
      <c r="A4943" s="63"/>
    </row>
    <row r="4944" spans="1:1" x14ac:dyDescent="0.25">
      <c r="A4944" s="63"/>
    </row>
    <row r="4945" spans="1:1" x14ac:dyDescent="0.25">
      <c r="A4945" s="63"/>
    </row>
    <row r="4946" spans="1:1" x14ac:dyDescent="0.25">
      <c r="A4946" s="63"/>
    </row>
    <row r="4947" spans="1:1" x14ac:dyDescent="0.25">
      <c r="A4947" s="63"/>
    </row>
    <row r="4948" spans="1:1" x14ac:dyDescent="0.25">
      <c r="A4948" s="63"/>
    </row>
    <row r="4949" spans="1:1" x14ac:dyDescent="0.25">
      <c r="A4949" s="63"/>
    </row>
    <row r="4950" spans="1:1" x14ac:dyDescent="0.25">
      <c r="A4950" s="63"/>
    </row>
    <row r="4951" spans="1:1" x14ac:dyDescent="0.25">
      <c r="A4951" s="63"/>
    </row>
    <row r="4952" spans="1:1" x14ac:dyDescent="0.25">
      <c r="A4952" s="63"/>
    </row>
    <row r="4953" spans="1:1" x14ac:dyDescent="0.25">
      <c r="A4953" s="63"/>
    </row>
    <row r="4954" spans="1:1" x14ac:dyDescent="0.25">
      <c r="A4954" s="63"/>
    </row>
    <row r="4955" spans="1:1" x14ac:dyDescent="0.25">
      <c r="A4955" s="63"/>
    </row>
    <row r="4956" spans="1:1" x14ac:dyDescent="0.25">
      <c r="A4956" s="63"/>
    </row>
    <row r="4957" spans="1:1" x14ac:dyDescent="0.25">
      <c r="A4957" s="63"/>
    </row>
    <row r="4958" spans="1:1" x14ac:dyDescent="0.25">
      <c r="A4958" s="63"/>
    </row>
    <row r="4959" spans="1:1" x14ac:dyDescent="0.25">
      <c r="A4959" s="63"/>
    </row>
    <row r="4960" spans="1:1" x14ac:dyDescent="0.25">
      <c r="A4960" s="63"/>
    </row>
    <row r="4961" spans="1:1" x14ac:dyDescent="0.25">
      <c r="A4961" s="63"/>
    </row>
    <row r="4962" spans="1:1" x14ac:dyDescent="0.25">
      <c r="A4962" s="63"/>
    </row>
    <row r="4963" spans="1:1" x14ac:dyDescent="0.25">
      <c r="A4963" s="63"/>
    </row>
    <row r="4964" spans="1:1" x14ac:dyDescent="0.25">
      <c r="A4964" s="63"/>
    </row>
    <row r="4965" spans="1:1" x14ac:dyDescent="0.25">
      <c r="A4965" s="63"/>
    </row>
    <row r="4966" spans="1:1" x14ac:dyDescent="0.25">
      <c r="A4966" s="63"/>
    </row>
    <row r="4967" spans="1:1" x14ac:dyDescent="0.25">
      <c r="A4967" s="63"/>
    </row>
    <row r="4968" spans="1:1" x14ac:dyDescent="0.25">
      <c r="A4968" s="63"/>
    </row>
    <row r="4969" spans="1:1" x14ac:dyDescent="0.25">
      <c r="A4969" s="63"/>
    </row>
    <row r="4970" spans="1:1" x14ac:dyDescent="0.25">
      <c r="A4970" s="63"/>
    </row>
    <row r="4971" spans="1:1" x14ac:dyDescent="0.25">
      <c r="A4971" s="63"/>
    </row>
    <row r="4972" spans="1:1" x14ac:dyDescent="0.25">
      <c r="A4972" s="63"/>
    </row>
    <row r="4973" spans="1:1" x14ac:dyDescent="0.25">
      <c r="A4973" s="63"/>
    </row>
    <row r="4974" spans="1:1" x14ac:dyDescent="0.25">
      <c r="A4974" s="63"/>
    </row>
    <row r="4975" spans="1:1" x14ac:dyDescent="0.25">
      <c r="A4975" s="63"/>
    </row>
    <row r="4976" spans="1:1" x14ac:dyDescent="0.25">
      <c r="A4976" s="63"/>
    </row>
    <row r="4977" spans="1:1" x14ac:dyDescent="0.25">
      <c r="A4977" s="63"/>
    </row>
    <row r="4978" spans="1:1" x14ac:dyDescent="0.25">
      <c r="A4978" s="63"/>
    </row>
    <row r="4979" spans="1:1" x14ac:dyDescent="0.25">
      <c r="A4979" s="63"/>
    </row>
    <row r="4980" spans="1:1" x14ac:dyDescent="0.25">
      <c r="A4980" s="63"/>
    </row>
    <row r="4981" spans="1:1" x14ac:dyDescent="0.25">
      <c r="A4981" s="63"/>
    </row>
    <row r="4982" spans="1:1" x14ac:dyDescent="0.25">
      <c r="A4982" s="63"/>
    </row>
    <row r="4983" spans="1:1" x14ac:dyDescent="0.25">
      <c r="A4983" s="63"/>
    </row>
    <row r="4984" spans="1:1" x14ac:dyDescent="0.25">
      <c r="A4984" s="63"/>
    </row>
    <row r="4985" spans="1:1" x14ac:dyDescent="0.25">
      <c r="A4985" s="63"/>
    </row>
    <row r="4986" spans="1:1" x14ac:dyDescent="0.25">
      <c r="A4986" s="63"/>
    </row>
    <row r="4987" spans="1:1" x14ac:dyDescent="0.25">
      <c r="A4987" s="63"/>
    </row>
    <row r="4988" spans="1:1" x14ac:dyDescent="0.25">
      <c r="A4988" s="63"/>
    </row>
    <row r="4989" spans="1:1" x14ac:dyDescent="0.25">
      <c r="A4989" s="63"/>
    </row>
    <row r="4990" spans="1:1" x14ac:dyDescent="0.25">
      <c r="A4990" s="63"/>
    </row>
    <row r="4991" spans="1:1" x14ac:dyDescent="0.25">
      <c r="A4991" s="63"/>
    </row>
    <row r="4992" spans="1:1" x14ac:dyDescent="0.25">
      <c r="A4992" s="63"/>
    </row>
    <row r="4993" spans="1:1" x14ac:dyDescent="0.25">
      <c r="A4993" s="63"/>
    </row>
    <row r="4994" spans="1:1" x14ac:dyDescent="0.25">
      <c r="A4994" s="63"/>
    </row>
    <row r="4995" spans="1:1" x14ac:dyDescent="0.25">
      <c r="A4995" s="63"/>
    </row>
    <row r="4996" spans="1:1" x14ac:dyDescent="0.25">
      <c r="A4996" s="63"/>
    </row>
    <row r="4997" spans="1:1" x14ac:dyDescent="0.25">
      <c r="A4997" s="63"/>
    </row>
    <row r="4998" spans="1:1" x14ac:dyDescent="0.25">
      <c r="A4998" s="63"/>
    </row>
    <row r="4999" spans="1:1" x14ac:dyDescent="0.25">
      <c r="A4999" s="63"/>
    </row>
    <row r="5000" spans="1:1" x14ac:dyDescent="0.25">
      <c r="A5000" s="63"/>
    </row>
    <row r="5001" spans="1:1" x14ac:dyDescent="0.25">
      <c r="A5001" s="63"/>
    </row>
    <row r="5002" spans="1:1" x14ac:dyDescent="0.25">
      <c r="A5002" s="63"/>
    </row>
  </sheetData>
  <autoFilter ref="A14:AP1086"/>
  <sortState ref="A11:AN27">
    <sortCondition descending="1" ref="AG11:AG27"/>
  </sortState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>
      <selection sqref="A1:XFD1048576"/>
    </sheetView>
  </sheetViews>
  <sheetFormatPr defaultRowHeight="13.5" x14ac:dyDescent="0.25"/>
  <cols>
    <col min="1" max="1" width="7.7109375" style="25" customWidth="1"/>
    <col min="2" max="6" width="6.42578125" style="25" customWidth="1"/>
    <col min="7" max="8" width="3" style="25" customWidth="1"/>
    <col min="9" max="12" width="6" style="25" customWidth="1"/>
    <col min="13" max="14" width="4.42578125" style="25" customWidth="1"/>
    <col min="15" max="15" width="3.42578125" style="25" customWidth="1"/>
    <col min="16" max="17" width="4" style="25" customWidth="1"/>
    <col min="18" max="28" width="6.28515625" style="25" customWidth="1"/>
    <col min="29" max="30" width="0" style="25" hidden="1" customWidth="1"/>
    <col min="31" max="32" width="6.28515625" style="25" customWidth="1"/>
    <col min="33" max="34" width="7" style="25" customWidth="1"/>
    <col min="35" max="35" width="6.140625" style="25" customWidth="1"/>
    <col min="36" max="36" width="7.42578125" style="25" customWidth="1"/>
    <col min="37" max="37" width="7.85546875" style="25" customWidth="1"/>
    <col min="38" max="38" width="7.28515625" style="25" customWidth="1"/>
    <col min="39" max="40" width="8.85546875" style="25" customWidth="1"/>
    <col min="41" max="16384" width="9.140625" style="25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BetList!betanalysis_2019_06_07T21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2019-06-09T10:19:42Z</dcterms:modified>
</cp:coreProperties>
</file>