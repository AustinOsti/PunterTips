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analysis_2019_05_01T21" localSheetId="1">BetList!$B$11:$AB$98</definedName>
  </definedNames>
  <calcPr calcId="145621"/>
</workbook>
</file>

<file path=xl/calcChain.xml><?xml version="1.0" encoding="utf-8"?>
<calcChain xmlns="http://schemas.openxmlformats.org/spreadsheetml/2006/main">
  <c r="AG98" i="1" l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H55" i="1"/>
  <c r="AG55" i="1"/>
  <c r="AJ55" i="1" s="1"/>
  <c r="AF55" i="1"/>
  <c r="AI55" i="1" s="1"/>
  <c r="AE55" i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B1" i="1" l="1"/>
  <c r="AI9" i="1" l="1"/>
  <c r="AG9" i="1"/>
  <c r="AJ9" i="1" s="1"/>
  <c r="AF9" i="1"/>
  <c r="AE9" i="1"/>
  <c r="AH9" i="1" s="1"/>
  <c r="AD9" i="1"/>
  <c r="AC9" i="1"/>
  <c r="AF3" i="1"/>
  <c r="AE3" i="1"/>
  <c r="AJ5" i="1"/>
  <c r="AH5" i="1"/>
  <c r="AH6" i="1"/>
  <c r="AJ6" i="1"/>
  <c r="AD5" i="1" l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5-01T21" type="6" refreshedVersion="4" background="1" saveData="1">
    <textPr codePage="1254" sourceFile="D:\PunterTips\extracts - Analysis\betanalysis_2019-05-01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<sst xmlns="http://schemas.openxmlformats.org/spreadsheetml/2006/main" count="571" uniqueCount="454">
  <si>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</si>
  <si>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</si>
  <si>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</si>
  <si>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</si>
  <si>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</si>
  <si>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</si>
  <si>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</si>
  <si>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</si>
  <si>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</si>
  <si>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</si>
  <si>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</si>
  <si>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</si>
  <si>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</si>
  <si>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</si>
  <si>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</si>
  <si>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</si>
  <si>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</si>
  <si>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</si>
  <si>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</si>
  <si>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</si>
  <si>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</si>
  <si>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</si>
  <si>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</si>
  <si>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</si>
  <si>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</si>
  <si>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</si>
  <si>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</si>
  <si>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</si>
  <si>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</si>
  <si>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</si>
  <si>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</si>
  <si>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</si>
  <si>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</si>
  <si>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</si>
  <si>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</si>
  <si>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</si>
  <si>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</si>
  <si>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</si>
  <si>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</si>
  <si>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</si>
  <si>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</si>
  <si>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</si>
  <si>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</si>
  <si>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</si>
  <si>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</si>
  <si>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</si>
  <si>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</si>
  <si>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</si>
  <si>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</si>
  <si>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</si>
  <si>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</si>
  <si>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</si>
  <si>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</si>
  <si>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</si>
  <si>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</si>
  <si>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</si>
  <si>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</si>
  <si>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</si>
  <si>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</si>
  <si>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</si>
  <si>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</si>
  <si>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</si>
  <si>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</si>
  <si>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</si>
  <si>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</si>
  <si>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</si>
  <si>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</si>
  <si>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</si>
  <si>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</si>
  <si>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</si>
  <si>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</si>
  <si>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</si>
  <si>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</si>
  <si>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</si>
  <si>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</si>
  <si>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</si>
  <si>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</si>
  <si>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</si>
  <si>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</si>
  <si>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</si>
  <si>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</si>
  <si>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</si>
  <si>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</si>
  <si>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</si>
  <si>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</si>
  <si>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</si>
  <si>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</si>
  <si>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</si>
  <si>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</si>
  <si>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</si>
  <si>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</si>
  <si>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</si>
  <si>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</si>
  <si>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</si>
  <si>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</si>
  <si>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</si>
  <si>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</si>
  <si>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</si>
  <si>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</si>
  <si>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</si>
  <si>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</si>
  <si>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</si>
  <si>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</si>
  <si>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</si>
  <si>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</si>
  <si>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</si>
  <si>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Colombia</t>
  </si>
  <si>
    <t>Liga Aguila</t>
  </si>
  <si>
    <t>Aguilas-Dep. Pasto</t>
  </si>
  <si>
    <t>Aguilas</t>
  </si>
  <si>
    <t>Dep. Pasto</t>
  </si>
  <si>
    <t>Honduras</t>
  </si>
  <si>
    <t>Liga Nacional</t>
  </si>
  <si>
    <t>UPNFM-Real Espana</t>
  </si>
  <si>
    <t>UPNFM</t>
  </si>
  <si>
    <t>Real Espana</t>
  </si>
  <si>
    <t>Nicaragua</t>
  </si>
  <si>
    <t>Liga Primera</t>
  </si>
  <si>
    <t>Jalapa-Esteli</t>
  </si>
  <si>
    <t>Jalapa</t>
  </si>
  <si>
    <t>Esteli</t>
  </si>
  <si>
    <t>UNAN Managua-Juventus Managua</t>
  </si>
  <si>
    <t>UNAN Managua</t>
  </si>
  <si>
    <t>Juventus Managua</t>
  </si>
  <si>
    <t>Real Madriz-Ferretti</t>
  </si>
  <si>
    <t>Real Madriz</t>
  </si>
  <si>
    <t>Ferretti</t>
  </si>
  <si>
    <t>Paraguay</t>
  </si>
  <si>
    <t>Primera Division</t>
  </si>
  <si>
    <t>Cerro Porteno-San Lorenzo</t>
  </si>
  <si>
    <t>Cerro Porteno</t>
  </si>
  <si>
    <t>San Lorenzo</t>
  </si>
  <si>
    <t>Dep. Capiata-Olimpia Asuncion</t>
  </si>
  <si>
    <t>Dep. Capiata</t>
  </si>
  <si>
    <t>Olimpia Asuncion</t>
  </si>
  <si>
    <t>Bolivia</t>
  </si>
  <si>
    <t>Division Profesional</t>
  </si>
  <si>
    <t>Destroyers-The Strongest</t>
  </si>
  <si>
    <t>Destroyers</t>
  </si>
  <si>
    <t>The Strongest</t>
  </si>
  <si>
    <t>Guatemala</t>
  </si>
  <si>
    <t>Sanarate-Iztapa</t>
  </si>
  <si>
    <t>Sanarate</t>
  </si>
  <si>
    <t>Iztapa</t>
  </si>
  <si>
    <t>Platense-Motagua</t>
  </si>
  <si>
    <t>Platense</t>
  </si>
  <si>
    <t>Motagua</t>
  </si>
  <si>
    <t>North &amp; Central America</t>
  </si>
  <si>
    <t>CONCACAF Championship U17</t>
  </si>
  <si>
    <t>Mexico U17-Jamaica U17</t>
  </si>
  <si>
    <t>Mexico U17</t>
  </si>
  <si>
    <t>Jamaica U17</t>
  </si>
  <si>
    <t>Brazil</t>
  </si>
  <si>
    <t>Serie A</t>
  </si>
  <si>
    <t>Cruzeiro-Ceara</t>
  </si>
  <si>
    <t>Cruzeiro</t>
  </si>
  <si>
    <t>Ceara</t>
  </si>
  <si>
    <t>Avai-Gremio</t>
  </si>
  <si>
    <t>Avai</t>
  </si>
  <si>
    <t>Gremio</t>
  </si>
  <si>
    <t>South America</t>
  </si>
  <si>
    <t>Copa Sudamericana</t>
  </si>
  <si>
    <t>Sol de America (Par) -Mineros (Ven)</t>
  </si>
  <si>
    <t>Sol de America (Par)</t>
  </si>
  <si>
    <t>Mineros (Ven)</t>
  </si>
  <si>
    <t>Jaguares de Cordoba-La Equidad</t>
  </si>
  <si>
    <t>Jaguares de Cordoba</t>
  </si>
  <si>
    <t>La Equidad</t>
  </si>
  <si>
    <t>Santa Fe-Millonarios</t>
  </si>
  <si>
    <t>Santa Fe</t>
  </si>
  <si>
    <t>Millonarios</t>
  </si>
  <si>
    <t>USA</t>
  </si>
  <si>
    <t>USL Championship</t>
  </si>
  <si>
    <t>Indy Eleven-Tampa Bay</t>
  </si>
  <si>
    <t>Indy Eleven</t>
  </si>
  <si>
    <t>Tampa Bay</t>
  </si>
  <si>
    <t>New York Red Bulls 2-Birmingham</t>
  </si>
  <si>
    <t>New York Red Bulls 2</t>
  </si>
  <si>
    <t>Birmingham</t>
  </si>
  <si>
    <t>Blooming-Royal Pari</t>
  </si>
  <si>
    <t>Blooming</t>
  </si>
  <si>
    <t>Royal Pari</t>
  </si>
  <si>
    <t>MLS</t>
  </si>
  <si>
    <t>Philadelphia Union-Cincinnati</t>
  </si>
  <si>
    <t>Philadelphia Union</t>
  </si>
  <si>
    <t>Cincinnati</t>
  </si>
  <si>
    <t>Comunicaciones-Petapa</t>
  </si>
  <si>
    <t>Comunicaciones</t>
  </si>
  <si>
    <t>Petapa</t>
  </si>
  <si>
    <t>Fortaleza-Athletico PR</t>
  </si>
  <si>
    <t>Fortaleza</t>
  </si>
  <si>
    <t>Athletico PR</t>
  </si>
  <si>
    <t>Vasco-Atletico MG</t>
  </si>
  <si>
    <t>Vasco</t>
  </si>
  <si>
    <t>Atletico MG</t>
  </si>
  <si>
    <t>Goias-Sao Paulo</t>
  </si>
  <si>
    <t>Goias</t>
  </si>
  <si>
    <t>Sao Paulo</t>
  </si>
  <si>
    <t>Binacional (Per) -Independiente (Arg)</t>
  </si>
  <si>
    <t>Binacional (Per)</t>
  </si>
  <si>
    <t>Independiente (Arg)</t>
  </si>
  <si>
    <t>Ind. Medellin-Huila</t>
  </si>
  <si>
    <t>Ind. Medellin</t>
  </si>
  <si>
    <t>Huila</t>
  </si>
  <si>
    <t>Deportivo Chiantla-Xelaju</t>
  </si>
  <si>
    <t>Deportivo Chiantla</t>
  </si>
  <si>
    <t>Xelaju</t>
  </si>
  <si>
    <t>CONCACAF Champions League</t>
  </si>
  <si>
    <t>Monterrey-U.A.N.L.  Tigres</t>
  </si>
  <si>
    <t>Monterrey</t>
  </si>
  <si>
    <t>U.A.N.L.  Tigres</t>
  </si>
  <si>
    <t>Japan</t>
  </si>
  <si>
    <t>Football Championships Women</t>
  </si>
  <si>
    <t>Kunoichi W-Vegalta Sendai W</t>
  </si>
  <si>
    <t>Kunoichi W</t>
  </si>
  <si>
    <t>Vegalta Sendai W</t>
  </si>
  <si>
    <t>Albirex Niigata W-Nojima Stella W</t>
  </si>
  <si>
    <t>Albirex Niigata W</t>
  </si>
  <si>
    <t>Nojima Stella W</t>
  </si>
  <si>
    <t>Beleza W-Nippon Sport Science University W</t>
  </si>
  <si>
    <t>Beleza W</t>
  </si>
  <si>
    <t>Nippon Sport Science University W</t>
  </si>
  <si>
    <t>Urawa W-Inac Kobe Leonesa W</t>
  </si>
  <si>
    <t>Urawa W</t>
  </si>
  <si>
    <t>Inac Kobe Leonesa W</t>
  </si>
  <si>
    <t>Parceiro Nagano W-JEF United W</t>
  </si>
  <si>
    <t>Parceiro Nagano W</t>
  </si>
  <si>
    <t>JEF United W</t>
  </si>
  <si>
    <t>Russia</t>
  </si>
  <si>
    <t>Supreme Division Women 2019</t>
  </si>
  <si>
    <t>Torpedo Izhevsk W-Chertanovo M. W</t>
  </si>
  <si>
    <t>Torpedo Izhevsk W</t>
  </si>
  <si>
    <t>Chertanovo M. W</t>
  </si>
  <si>
    <t>South Korea</t>
  </si>
  <si>
    <t>WK League Women</t>
  </si>
  <si>
    <t>Suwon FMC W-Changnyeong W</t>
  </si>
  <si>
    <t>Suwon FMC W</t>
  </si>
  <si>
    <t>Changnyeong W</t>
  </si>
  <si>
    <t>Hwacheon W-Incheon Hyundai Steel W</t>
  </si>
  <si>
    <t>Hwacheon W</t>
  </si>
  <si>
    <t>Incheon Hyundai Steel W</t>
  </si>
  <si>
    <t>Gumi Sportstoto W-Seoul W</t>
  </si>
  <si>
    <t>Gumi Sportstoto W</t>
  </si>
  <si>
    <t>Seoul W</t>
  </si>
  <si>
    <t>Gyeongju W-Boeun Sangmu W</t>
  </si>
  <si>
    <t>Gyeongju W</t>
  </si>
  <si>
    <t>Boeun Sangmu W</t>
  </si>
  <si>
    <t>Uganda</t>
  </si>
  <si>
    <t>Premier League</t>
  </si>
  <si>
    <t>Ndejje University-Onduparaka FC</t>
  </si>
  <si>
    <t>Ndejje University</t>
  </si>
  <si>
    <t>Onduparaka FC</t>
  </si>
  <si>
    <t>China</t>
  </si>
  <si>
    <t>FA Cup</t>
  </si>
  <si>
    <t>Jiangsu Suning-Hebei Elite</t>
  </si>
  <si>
    <t>Jiangsu Suning</t>
  </si>
  <si>
    <t>Hebei Elite</t>
  </si>
  <si>
    <t>Armenia</t>
  </si>
  <si>
    <t>Shirak Gyumri-Ararat Yerevan</t>
  </si>
  <si>
    <t>Shirak Gyumri</t>
  </si>
  <si>
    <t>Ararat Yerevan</t>
  </si>
  <si>
    <t>Kenya</t>
  </si>
  <si>
    <t>Bandari-Ulinzi Stars</t>
  </si>
  <si>
    <t>Bandari</t>
  </si>
  <si>
    <t>Ulinzi Stars</t>
  </si>
  <si>
    <t>Gor Mahia-Kenya CB</t>
  </si>
  <si>
    <t>Gor Mahia</t>
  </si>
  <si>
    <t>Kenya CB</t>
  </si>
  <si>
    <t>Netherlands</t>
  </si>
  <si>
    <t>Reserve League 2018/2019</t>
  </si>
  <si>
    <t>Jong Zwolle-Jong Feyenoord</t>
  </si>
  <si>
    <t>Jong Zwolle</t>
  </si>
  <si>
    <t>Jong Feyenoord</t>
  </si>
  <si>
    <t>Poland</t>
  </si>
  <si>
    <t>Central Youth League 2018/2019</t>
  </si>
  <si>
    <t>Lech Poznan U18-GKS Belchatow U18</t>
  </si>
  <si>
    <t>Lech Poznan U18</t>
  </si>
  <si>
    <t>GKS Belchatow U18</t>
  </si>
  <si>
    <t>Slovenia</t>
  </si>
  <si>
    <t>Prva liga</t>
  </si>
  <si>
    <t>Triglav-ND Gorica</t>
  </si>
  <si>
    <t>Triglav</t>
  </si>
  <si>
    <t>ND Gorica</t>
  </si>
  <si>
    <t>FC Zvezda Perm W-FK Yenisey W</t>
  </si>
  <si>
    <t>FC Zvezda Perm W</t>
  </si>
  <si>
    <t>FK Yenisey W</t>
  </si>
  <si>
    <t>Rwanda</t>
  </si>
  <si>
    <t>National Football league</t>
  </si>
  <si>
    <t>Musanze-Etincelles</t>
  </si>
  <si>
    <t>Musanze</t>
  </si>
  <si>
    <t>Etincelles</t>
  </si>
  <si>
    <t>Rayon Sport-Espoir</t>
  </si>
  <si>
    <t>Rayon Sport</t>
  </si>
  <si>
    <t>Espoir</t>
  </si>
  <si>
    <t>Uzbekistan</t>
  </si>
  <si>
    <t>Super League</t>
  </si>
  <si>
    <t>Lok. Tashkent-Kokand 1912</t>
  </si>
  <si>
    <t>Lok. Tashkent</t>
  </si>
  <si>
    <t>Kokand 1912</t>
  </si>
  <si>
    <t>Spain</t>
  </si>
  <si>
    <t>Tercera Division - Group 7</t>
  </si>
  <si>
    <t>Leganes B-Las Rozas</t>
  </si>
  <si>
    <t>Leganes B</t>
  </si>
  <si>
    <t>Las Rozas</t>
  </si>
  <si>
    <t>Jordan</t>
  </si>
  <si>
    <t>Al Ahli-Al Hussein</t>
  </si>
  <si>
    <t>Al Ahli</t>
  </si>
  <si>
    <t>Al Hussein</t>
  </si>
  <si>
    <t>Polish Cup</t>
  </si>
  <si>
    <t>Jagiellonia-Lechia Gdansk</t>
  </si>
  <si>
    <t>Jagiellonia</t>
  </si>
  <si>
    <t>Lechia Gdansk</t>
  </si>
  <si>
    <t>Kubanochka Krasnodar W-Ryazan W</t>
  </si>
  <si>
    <t>Kubanochka Krasnodar W</t>
  </si>
  <si>
    <t>Ryazan W</t>
  </si>
  <si>
    <t>CSKA Moscow W-Lokomotiv Moscow W</t>
  </si>
  <si>
    <t>CSKA Moscow W</t>
  </si>
  <si>
    <t>Lokomotiv Moscow W</t>
  </si>
  <si>
    <t>United Arab Emirates</t>
  </si>
  <si>
    <t>UAE League</t>
  </si>
  <si>
    <t>Ajman-Al Wasl</t>
  </si>
  <si>
    <t>Ajman</t>
  </si>
  <si>
    <t>Al Wasl</t>
  </si>
  <si>
    <t>Bulgaria</t>
  </si>
  <si>
    <t>Parva Liga</t>
  </si>
  <si>
    <t>Etar-Bistritsa</t>
  </si>
  <si>
    <t>Etar</t>
  </si>
  <si>
    <t>Bistritsa</t>
  </si>
  <si>
    <t>Iran</t>
  </si>
  <si>
    <t>Persian Gulf Pro League</t>
  </si>
  <si>
    <t>Foolad-Paykan</t>
  </si>
  <si>
    <t>Foolad</t>
  </si>
  <si>
    <t>Paykan</t>
  </si>
  <si>
    <t>Celje-NK Olimpija Ljubljana</t>
  </si>
  <si>
    <t>Celje</t>
  </si>
  <si>
    <t>NK Olimpija Ljubljana</t>
  </si>
  <si>
    <t>Benin</t>
  </si>
  <si>
    <t>Championnat National</t>
  </si>
  <si>
    <t>Avrankou Omnisport-JAC</t>
  </si>
  <si>
    <t>Avrankou Omnisport</t>
  </si>
  <si>
    <t>JAC</t>
  </si>
  <si>
    <t>Finland</t>
  </si>
  <si>
    <t>Ykkonen</t>
  </si>
  <si>
    <t>Haka-KTP</t>
  </si>
  <si>
    <t>Haka</t>
  </si>
  <si>
    <t>KTP</t>
  </si>
  <si>
    <t>Bahrain</t>
  </si>
  <si>
    <t>Al Hala-Sitra</t>
  </si>
  <si>
    <t>Al Hala</t>
  </si>
  <si>
    <t>Sitra</t>
  </si>
  <si>
    <t>Estonia</t>
  </si>
  <si>
    <t>Esiliiga</t>
  </si>
  <si>
    <t>JK Jarve-Legion</t>
  </si>
  <si>
    <t>JK Jarve</t>
  </si>
  <si>
    <t>Legion</t>
  </si>
  <si>
    <t>Hungary</t>
  </si>
  <si>
    <t>NB I Women</t>
  </si>
  <si>
    <t>Ferencvaros W-Gyor W</t>
  </si>
  <si>
    <t>Ferencvaros W</t>
  </si>
  <si>
    <t>Gyor W</t>
  </si>
  <si>
    <t>Norway</t>
  </si>
  <si>
    <t>NM Cup</t>
  </si>
  <si>
    <t>Gjovik Lyn-Ull/Kisa</t>
  </si>
  <si>
    <t>Gjovik Lyn</t>
  </si>
  <si>
    <t>Ull/Kisa</t>
  </si>
  <si>
    <t>Storm BK-Odd</t>
  </si>
  <si>
    <t>Storm BK</t>
  </si>
  <si>
    <t>Odd</t>
  </si>
  <si>
    <t>Froyland-Viking</t>
  </si>
  <si>
    <t>Froyland</t>
  </si>
  <si>
    <t>Viking</t>
  </si>
  <si>
    <t>Floya-Senja</t>
  </si>
  <si>
    <t>Floya</t>
  </si>
  <si>
    <t>Senja</t>
  </si>
  <si>
    <t>Krsko-Rudar</t>
  </si>
  <si>
    <t>Krsko</t>
  </si>
  <si>
    <t>Rudar</t>
  </si>
  <si>
    <t>Lok. Plovdiv-Septemvri Sofia</t>
  </si>
  <si>
    <t>Lok. Plovdiv</t>
  </si>
  <si>
    <t>Septemvri Sofia</t>
  </si>
  <si>
    <t>Al Sareeh-Aqaba</t>
  </si>
  <si>
    <t>Al Sareeh</t>
  </si>
  <si>
    <t>Aqaba</t>
  </si>
  <si>
    <t>Faaberg-Valerenga</t>
  </si>
  <si>
    <t>Faaberg</t>
  </si>
  <si>
    <t>Valerenga</t>
  </si>
  <si>
    <t>Al Jazira-Al Wahda</t>
  </si>
  <si>
    <t>Al Jazira</t>
  </si>
  <si>
    <t>Al Wahda</t>
  </si>
  <si>
    <t>Egypt</t>
  </si>
  <si>
    <t>Enppi-Petrojet</t>
  </si>
  <si>
    <t>Enppi</t>
  </si>
  <si>
    <t>Petrojet</t>
  </si>
  <si>
    <t>Sweden</t>
  </si>
  <si>
    <t>Allsvenskan Women</t>
  </si>
  <si>
    <t>Vaxjo DFF W-Vittsjo W</t>
  </si>
  <si>
    <t>Vaxjo DFF W</t>
  </si>
  <si>
    <t>Vittsjo W</t>
  </si>
  <si>
    <t>Germany</t>
  </si>
  <si>
    <t>Oberliga Niedersachsen</t>
  </si>
  <si>
    <t>Wunstorf-Arminia Hannover</t>
  </si>
  <si>
    <t>Wunstorf</t>
  </si>
  <si>
    <t>Arminia Hannover</t>
  </si>
  <si>
    <t>Saudi Arabia</t>
  </si>
  <si>
    <t>King Cup</t>
  </si>
  <si>
    <t>Al Taawon-Al-Ittihad FC</t>
  </si>
  <si>
    <t>Al Taawon</t>
  </si>
  <si>
    <t>Al-Ittihad FC</t>
  </si>
  <si>
    <t>England</t>
  </si>
  <si>
    <t>National League</t>
  </si>
  <si>
    <t>Wrexham-Eastleigh</t>
  </si>
  <si>
    <t>Wrexham</t>
  </si>
  <si>
    <t>Eastleigh</t>
  </si>
  <si>
    <t>Oberliga Mittelrhein</t>
  </si>
  <si>
    <t>Wegberg Beeck-Freialdenhoven</t>
  </si>
  <si>
    <t>Wegberg Beeck</t>
  </si>
  <si>
    <t>Freialdenhoven</t>
  </si>
  <si>
    <t>DVTK W-MTK Hungaria W</t>
  </si>
  <si>
    <t>DVTK W</t>
  </si>
  <si>
    <t>MTK Hungaria W</t>
  </si>
  <si>
    <t>Argentina</t>
  </si>
  <si>
    <t>Primera D Metropolitana</t>
  </si>
  <si>
    <t>Yupanqui-Central Ballester</t>
  </si>
  <si>
    <t>Yupanqui</t>
  </si>
  <si>
    <t>Central Ballester</t>
  </si>
  <si>
    <t>Isthmian League Premier Division</t>
  </si>
  <si>
    <t>Carshalton-Merstham</t>
  </si>
  <si>
    <t>Carshalton</t>
  </si>
  <si>
    <t>Merstham</t>
  </si>
  <si>
    <t>Haringey-Tonbridge</t>
  </si>
  <si>
    <t>Haringey</t>
  </si>
  <si>
    <t>Tonbridge</t>
  </si>
  <si>
    <t>France</t>
  </si>
  <si>
    <t>National</t>
  </si>
  <si>
    <t>Tours-Laval</t>
  </si>
  <si>
    <t>Tours</t>
  </si>
  <si>
    <t>Laval</t>
  </si>
  <si>
    <t>San Marino</t>
  </si>
  <si>
    <t>Campionato Sammarinese</t>
  </si>
  <si>
    <t>Juvenes/Dogana-La Fiorita</t>
  </si>
  <si>
    <t>Juvenes/Dogana</t>
  </si>
  <si>
    <t>La Fiorita</t>
  </si>
  <si>
    <t>Europe</t>
  </si>
  <si>
    <t>Europa League</t>
  </si>
  <si>
    <t>Arsenal-Valencia</t>
  </si>
  <si>
    <t>Arsenal</t>
  </si>
  <si>
    <t>Valencia</t>
  </si>
  <si>
    <t>Eintracht Frankfurt-Chelsea</t>
  </si>
  <si>
    <t>Eintracht Frankfurt</t>
  </si>
  <si>
    <t>Chelsea</t>
  </si>
  <si>
    <t>Copa do Brasil U20</t>
  </si>
  <si>
    <t>Palmeiras U20-Vasco U20</t>
  </si>
  <si>
    <t>Palmeiras U20</t>
  </si>
  <si>
    <t>Vasco U20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</si>
</sst>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6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betanalysis_2019-05-01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7" activePane="bottomLeft" state="frozen"/>
      <selection pane="bottomLeft" activeCell="B7" sqref="B7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88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6" t="s">
        <v>4</v>
      </c>
      <c r="AI1" s="57"/>
      <c r="AJ1" s="58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88</v>
      </c>
      <c r="AF2" s="11">
        <f>SUBTOTAL(2,AI11:AI30387)</f>
        <v>88</v>
      </c>
      <c r="AG2" s="11">
        <f>SUBTOTAL(2,AJ11:AJ30387)</f>
        <v>88</v>
      </c>
      <c r="AH2" s="12">
        <f>SUBTOTAL(2,AH11:AH30387)*$B$2</f>
        <v>4400</v>
      </c>
      <c r="AI2" s="12">
        <f>SUBTOTAL(2,AI11:AI30387)*$B$2</f>
        <v>4400</v>
      </c>
      <c r="AJ2" s="12">
        <f>SUBTOTAL(2,AJ11:AJ30387)*$B$2</f>
        <v>4400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37</v>
      </c>
      <c r="AF3" s="11">
        <f ca="1">SUMPRODUCT(SUBTOTAL(3,OFFSET(AF11:AF30387,ROW(AF11:AF30387)-MIN(ROW(AF11:AF30387)),,1)), --(AF11:AF30387=$AD$3))</f>
        <v>22</v>
      </c>
      <c r="AG3" s="11">
        <f ca="1">SUMPRODUCT(SUBTOTAL(3,OFFSET(AG11:AG30387,ROW(AG11:AG30387)-MIN(ROW(AG11:AG30387)),,1)), --(AG11:AG30387=$AD$3))</f>
        <v>29</v>
      </c>
      <c r="AH3" s="12">
        <f>SUBTOTAL(9,AH11:AH30387)</f>
        <v>-940</v>
      </c>
      <c r="AI3" s="12">
        <f>SUBTOTAL(9,AI11:AI30387)</f>
        <v>-485</v>
      </c>
      <c r="AJ3" s="12">
        <f>SUBTOTAL(9,AJ11:AJ30387)</f>
        <v>-726.5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>
        <f t="shared" ref="AE4:AJ4" ca="1" si="0">+AE3/AE2</f>
        <v>0.42045454545454547</v>
      </c>
      <c r="AF4" s="14">
        <f t="shared" ca="1" si="0"/>
        <v>0.25</v>
      </c>
      <c r="AG4" s="14">
        <f t="shared" ca="1" si="0"/>
        <v>0.32954545454545453</v>
      </c>
      <c r="AH4" s="14">
        <f t="shared" si="0"/>
        <v>-0.21363636363636362</v>
      </c>
      <c r="AI4" s="14">
        <f t="shared" si="0"/>
        <v>-0.11022727272727273</v>
      </c>
      <c r="AJ4" s="14">
        <f t="shared" si="0"/>
        <v>-0.16511363636363635</v>
      </c>
    </row>
    <row r="5" spans="1:39" s="3" customFormat="1" x14ac:dyDescent="0.2">
      <c r="B5" s="15"/>
      <c r="C5" s="16"/>
      <c r="D5" s="9"/>
      <c r="H5" s="5"/>
      <c r="I5" s="6"/>
      <c r="AD5" s="55">
        <f ca="1">+AH5+AJ5</f>
        <v>550</v>
      </c>
      <c r="AH5" s="12">
        <f ca="1">[1]!COUNTBYCELLCOLOR(AH11:AH30387,$AD$5)*$B$2</f>
        <v>300</v>
      </c>
      <c r="AJ5" s="12">
        <f ca="1">[1]!COUNTBYCELLCOLOR(AJ11:AJ30387,$AD$5)*$B$2</f>
        <v>250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>
        <f ca="1">+AH6+AJ6</f>
        <v>-44.499999999999986</v>
      </c>
      <c r="AH6" s="12">
        <f ca="1">[1]!SUMBYCELLCOLOR(AH11:AH30387,$AD$6)</f>
        <v>-133</v>
      </c>
      <c r="AJ6" s="12">
        <f ca="1">[1]!SUMBYCELLCOLOR(AJ11:AJ30387,$AD$6)</f>
        <v>88.500000000000014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x14ac:dyDescent="0.2">
      <c r="A11" s="36">
        <v>43587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2</v>
      </c>
      <c r="H11" s="37">
        <v>1</v>
      </c>
      <c r="I11" s="37">
        <v>2.31</v>
      </c>
      <c r="J11" s="37">
        <v>2.87</v>
      </c>
      <c r="K11" s="37">
        <v>3.26</v>
      </c>
      <c r="L11" s="37">
        <v>-0.95</v>
      </c>
      <c r="M11" s="37">
        <v>17</v>
      </c>
      <c r="N11" s="37">
        <v>23</v>
      </c>
      <c r="O11" s="37">
        <v>0</v>
      </c>
      <c r="P11" s="37">
        <v>8</v>
      </c>
      <c r="Q11" s="37">
        <v>12</v>
      </c>
      <c r="R11" s="37">
        <v>0</v>
      </c>
      <c r="S11" s="37">
        <v>0</v>
      </c>
      <c r="T11" s="37">
        <v>0</v>
      </c>
      <c r="U11" s="37">
        <v>11.76</v>
      </c>
      <c r="V11" s="37">
        <v>29.41</v>
      </c>
      <c r="W11" s="37">
        <v>58.82</v>
      </c>
      <c r="X11" s="37">
        <v>47.83</v>
      </c>
      <c r="Y11" s="37">
        <v>30.43</v>
      </c>
      <c r="Z11" s="37">
        <v>21.74</v>
      </c>
      <c r="AA11" s="37">
        <v>25</v>
      </c>
      <c r="AB11" s="37">
        <v>41.67</v>
      </c>
      <c r="AC11" s="24">
        <f t="shared" ref="AC11:AC74" si="1">(+R11*$R$8)+(S11*$S$8)-(T11*$T$8)+(U11*$U$8)+(V11*$V$8)-(W11*$W$8)-(X11*$X$8)-(Y11*$Y$8)+(Z11*$Z$8)</f>
        <v>-14.732000000000003</v>
      </c>
      <c r="AD11" s="25">
        <f t="shared" ref="AD11:AD74" si="2">(-R11*$R$8)+(S11*$S$8)+(T11*$T$8)-(U11*$U$8)-(V11*$V$8)+(W11*$W$8)+(X11*$X$8)+(Y11*$Y$8)-(Z11*$Z$8)</f>
        <v>14.732000000000003</v>
      </c>
      <c r="AE11" s="23" t="str">
        <f t="shared" ref="AE11:AE74" si="3">IF(G11&gt;H11,"Win","Loss")</f>
        <v>Win</v>
      </c>
      <c r="AF11" s="23" t="str">
        <f t="shared" ref="AF11:AF74" si="4">IF(G11=H11,"Win","Loss")</f>
        <v>Loss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65.5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-50</v>
      </c>
    </row>
    <row r="12" spans="1:39" x14ac:dyDescent="0.2">
      <c r="A12" s="36">
        <v>43587</v>
      </c>
      <c r="B12" s="37" t="s">
        <v>111</v>
      </c>
      <c r="C12" s="37" t="s">
        <v>112</v>
      </c>
      <c r="D12" s="37" t="s">
        <v>113</v>
      </c>
      <c r="E12" s="37" t="s">
        <v>114</v>
      </c>
      <c r="F12" s="37" t="s">
        <v>115</v>
      </c>
      <c r="G12" s="37">
        <v>3</v>
      </c>
      <c r="H12" s="37">
        <v>1</v>
      </c>
      <c r="I12" s="37">
        <v>2.13</v>
      </c>
      <c r="J12" s="37">
        <v>2.92</v>
      </c>
      <c r="K12" s="37">
        <v>3.47</v>
      </c>
      <c r="L12" s="37">
        <v>-1.34</v>
      </c>
      <c r="M12" s="37">
        <v>37</v>
      </c>
      <c r="N12" s="37">
        <v>39</v>
      </c>
      <c r="O12" s="37">
        <v>4</v>
      </c>
      <c r="P12" s="37">
        <v>19</v>
      </c>
      <c r="Q12" s="37">
        <v>20</v>
      </c>
      <c r="R12" s="37">
        <v>25</v>
      </c>
      <c r="S12" s="37">
        <v>50</v>
      </c>
      <c r="T12" s="37">
        <v>25</v>
      </c>
      <c r="U12" s="37">
        <v>40.54</v>
      </c>
      <c r="V12" s="37">
        <v>32.43</v>
      </c>
      <c r="W12" s="37">
        <v>27.03</v>
      </c>
      <c r="X12" s="37">
        <v>38.46</v>
      </c>
      <c r="Y12" s="37">
        <v>35.9</v>
      </c>
      <c r="Z12" s="37">
        <v>25.64</v>
      </c>
      <c r="AA12" s="37">
        <v>47.37</v>
      </c>
      <c r="AB12" s="37">
        <v>25</v>
      </c>
      <c r="AC12" s="24">
        <f t="shared" si="1"/>
        <v>4.7909999999999986</v>
      </c>
      <c r="AD12" s="25">
        <f t="shared" si="2"/>
        <v>5.2089999999999996</v>
      </c>
      <c r="AE12" s="23" t="str">
        <f t="shared" si="3"/>
        <v>Win</v>
      </c>
      <c r="AF12" s="23" t="str">
        <f t="shared" si="4"/>
        <v>Loss</v>
      </c>
      <c r="AG12" s="23" t="str">
        <f t="shared" si="5"/>
        <v>Loss</v>
      </c>
      <c r="AH12" s="23">
        <f t="shared" si="6"/>
        <v>56.5</v>
      </c>
      <c r="AI12" s="23">
        <f t="shared" si="7"/>
        <v>-50</v>
      </c>
      <c r="AJ12" s="23">
        <f t="shared" si="8"/>
        <v>-50</v>
      </c>
    </row>
    <row r="13" spans="1:39" x14ac:dyDescent="0.2">
      <c r="A13" s="36">
        <v>43587</v>
      </c>
      <c r="B13" s="37" t="s">
        <v>116</v>
      </c>
      <c r="C13" s="37" t="s">
        <v>117</v>
      </c>
      <c r="D13" s="37" t="s">
        <v>118</v>
      </c>
      <c r="E13" s="37" t="s">
        <v>119</v>
      </c>
      <c r="F13" s="37" t="s">
        <v>120</v>
      </c>
      <c r="G13" s="37">
        <v>0</v>
      </c>
      <c r="H13" s="37">
        <v>10</v>
      </c>
      <c r="I13" s="37">
        <v>14.65</v>
      </c>
      <c r="J13" s="37">
        <v>8.0399999999999991</v>
      </c>
      <c r="K13" s="37">
        <v>1.1000000000000001</v>
      </c>
      <c r="L13" s="37">
        <v>13.55</v>
      </c>
      <c r="M13" s="37">
        <v>25</v>
      </c>
      <c r="N13" s="37">
        <v>28</v>
      </c>
      <c r="O13" s="37">
        <v>1</v>
      </c>
      <c r="P13" s="37">
        <v>10</v>
      </c>
      <c r="Q13" s="37">
        <v>13</v>
      </c>
      <c r="R13" s="37">
        <v>0</v>
      </c>
      <c r="S13" s="37">
        <v>100</v>
      </c>
      <c r="T13" s="37">
        <v>0</v>
      </c>
      <c r="U13" s="37">
        <v>24</v>
      </c>
      <c r="V13" s="37">
        <v>12</v>
      </c>
      <c r="W13" s="37">
        <v>64</v>
      </c>
      <c r="X13" s="37">
        <v>67.86</v>
      </c>
      <c r="Y13" s="37">
        <v>25</v>
      </c>
      <c r="Z13" s="37">
        <v>7.14</v>
      </c>
      <c r="AA13" s="37">
        <v>20</v>
      </c>
      <c r="AB13" s="37">
        <v>53.85</v>
      </c>
      <c r="AC13" s="24">
        <f t="shared" si="1"/>
        <v>-11.444000000000003</v>
      </c>
      <c r="AD13" s="25">
        <f t="shared" si="2"/>
        <v>31.443999999999999</v>
      </c>
      <c r="AE13" s="23" t="str">
        <f t="shared" si="3"/>
        <v>Loss</v>
      </c>
      <c r="AF13" s="23" t="str">
        <f t="shared" si="4"/>
        <v>Loss</v>
      </c>
      <c r="AG13" s="23" t="str">
        <f t="shared" si="5"/>
        <v>Win</v>
      </c>
      <c r="AH13" s="23">
        <f t="shared" si="6"/>
        <v>-50</v>
      </c>
      <c r="AI13" s="23">
        <f t="shared" si="7"/>
        <v>-50</v>
      </c>
      <c r="AJ13" s="23">
        <f t="shared" si="8"/>
        <v>5.0000000000000071</v>
      </c>
    </row>
    <row r="14" spans="1:39" x14ac:dyDescent="0.2">
      <c r="A14" s="36">
        <v>43587</v>
      </c>
      <c r="B14" s="37" t="s">
        <v>116</v>
      </c>
      <c r="C14" s="37" t="s">
        <v>117</v>
      </c>
      <c r="D14" s="37" t="s">
        <v>121</v>
      </c>
      <c r="E14" s="37" t="s">
        <v>122</v>
      </c>
      <c r="F14" s="37" t="s">
        <v>123</v>
      </c>
      <c r="G14" s="37">
        <v>4</v>
      </c>
      <c r="H14" s="37">
        <v>2</v>
      </c>
      <c r="I14" s="37">
        <v>2.58</v>
      </c>
      <c r="J14" s="37">
        <v>3.48</v>
      </c>
      <c r="K14" s="37">
        <v>2.35</v>
      </c>
      <c r="L14" s="37">
        <v>0.23</v>
      </c>
      <c r="M14" s="37">
        <v>28</v>
      </c>
      <c r="N14" s="37">
        <v>33</v>
      </c>
      <c r="O14" s="37">
        <v>2</v>
      </c>
      <c r="P14" s="37">
        <v>15</v>
      </c>
      <c r="Q14" s="37">
        <v>15</v>
      </c>
      <c r="R14" s="37">
        <v>0</v>
      </c>
      <c r="S14" s="37">
        <v>0</v>
      </c>
      <c r="T14" s="37">
        <v>100</v>
      </c>
      <c r="U14" s="37">
        <v>25</v>
      </c>
      <c r="V14" s="37">
        <v>3.57</v>
      </c>
      <c r="W14" s="37">
        <v>71.430000000000007</v>
      </c>
      <c r="X14" s="37">
        <v>42.42</v>
      </c>
      <c r="Y14" s="37">
        <v>12.12</v>
      </c>
      <c r="Z14" s="37">
        <v>45.45</v>
      </c>
      <c r="AA14" s="37">
        <v>40</v>
      </c>
      <c r="AB14" s="37">
        <v>26.67</v>
      </c>
      <c r="AC14" s="24">
        <f t="shared" si="1"/>
        <v>-39.535000000000004</v>
      </c>
      <c r="AD14" s="25">
        <f t="shared" si="2"/>
        <v>39.535000000000004</v>
      </c>
      <c r="AE14" s="23" t="str">
        <f t="shared" si="3"/>
        <v>Win</v>
      </c>
      <c r="AF14" s="23" t="str">
        <f t="shared" si="4"/>
        <v>Loss</v>
      </c>
      <c r="AG14" s="23" t="str">
        <f t="shared" si="5"/>
        <v>Loss</v>
      </c>
      <c r="AH14" s="23">
        <f t="shared" si="6"/>
        <v>79</v>
      </c>
      <c r="AI14" s="23">
        <f t="shared" si="7"/>
        <v>-50</v>
      </c>
      <c r="AJ14" s="23">
        <f t="shared" si="8"/>
        <v>-50</v>
      </c>
    </row>
    <row r="15" spans="1:39" x14ac:dyDescent="0.2">
      <c r="A15" s="36">
        <v>43587</v>
      </c>
      <c r="B15" s="37" t="s">
        <v>116</v>
      </c>
      <c r="C15" s="37" t="s">
        <v>117</v>
      </c>
      <c r="D15" s="37" t="s">
        <v>124</v>
      </c>
      <c r="E15" s="37" t="s">
        <v>125</v>
      </c>
      <c r="F15" s="37" t="s">
        <v>126</v>
      </c>
      <c r="G15" s="37">
        <v>0</v>
      </c>
      <c r="H15" s="37">
        <v>3</v>
      </c>
      <c r="I15" s="37">
        <v>3.4</v>
      </c>
      <c r="J15" s="37">
        <v>3.63</v>
      </c>
      <c r="K15" s="37">
        <v>1.87</v>
      </c>
      <c r="L15" s="37">
        <v>1.53</v>
      </c>
      <c r="M15" s="37">
        <v>25</v>
      </c>
      <c r="N15" s="37">
        <v>34</v>
      </c>
      <c r="O15" s="37">
        <v>2</v>
      </c>
      <c r="P15" s="37">
        <v>9</v>
      </c>
      <c r="Q15" s="37">
        <v>15</v>
      </c>
      <c r="R15" s="37">
        <v>0</v>
      </c>
      <c r="S15" s="37">
        <v>100</v>
      </c>
      <c r="T15" s="37">
        <v>0</v>
      </c>
      <c r="U15" s="37">
        <v>32</v>
      </c>
      <c r="V15" s="37">
        <v>36</v>
      </c>
      <c r="W15" s="37">
        <v>32</v>
      </c>
      <c r="X15" s="37">
        <v>44.12</v>
      </c>
      <c r="Y15" s="37">
        <v>29.41</v>
      </c>
      <c r="Z15" s="37">
        <v>26.47</v>
      </c>
      <c r="AA15" s="37">
        <v>55.56</v>
      </c>
      <c r="AB15" s="37">
        <v>40</v>
      </c>
      <c r="AC15" s="24">
        <f t="shared" si="1"/>
        <v>7.1289999999999996</v>
      </c>
      <c r="AD15" s="25">
        <f t="shared" si="2"/>
        <v>12.870999999999999</v>
      </c>
      <c r="AE15" s="23" t="str">
        <f t="shared" si="3"/>
        <v>Loss</v>
      </c>
      <c r="AF15" s="23" t="str">
        <f t="shared" si="4"/>
        <v>Loss</v>
      </c>
      <c r="AG15" s="23" t="str">
        <f t="shared" si="5"/>
        <v>Win</v>
      </c>
      <c r="AH15" s="23">
        <f t="shared" si="6"/>
        <v>-50</v>
      </c>
      <c r="AI15" s="23">
        <f t="shared" si="7"/>
        <v>-50</v>
      </c>
      <c r="AJ15" s="23">
        <f t="shared" si="8"/>
        <v>43.5</v>
      </c>
    </row>
    <row r="16" spans="1:39" x14ac:dyDescent="0.2">
      <c r="A16" s="36">
        <v>43587</v>
      </c>
      <c r="B16" s="37" t="s">
        <v>127</v>
      </c>
      <c r="C16" s="37" t="s">
        <v>128</v>
      </c>
      <c r="D16" s="37" t="s">
        <v>129</v>
      </c>
      <c r="E16" s="37" t="s">
        <v>130</v>
      </c>
      <c r="F16" s="37" t="s">
        <v>131</v>
      </c>
      <c r="G16" s="37">
        <v>1</v>
      </c>
      <c r="H16" s="37">
        <v>1</v>
      </c>
      <c r="I16" s="37">
        <v>1.43</v>
      </c>
      <c r="J16" s="37">
        <v>4.2699999999999996</v>
      </c>
      <c r="K16" s="37">
        <v>6.15</v>
      </c>
      <c r="L16" s="37">
        <v>-4.72</v>
      </c>
      <c r="M16" s="37">
        <v>18</v>
      </c>
      <c r="N16" s="37">
        <v>18</v>
      </c>
      <c r="O16" s="37">
        <v>1</v>
      </c>
      <c r="P16" s="37">
        <v>9</v>
      </c>
      <c r="Q16" s="37">
        <v>9</v>
      </c>
      <c r="R16" s="37">
        <v>0</v>
      </c>
      <c r="S16" s="37">
        <v>0</v>
      </c>
      <c r="T16" s="37">
        <v>100</v>
      </c>
      <c r="U16" s="37">
        <v>61.11</v>
      </c>
      <c r="V16" s="37">
        <v>16.670000000000002</v>
      </c>
      <c r="W16" s="37">
        <v>22.22</v>
      </c>
      <c r="X16" s="37">
        <v>33.33</v>
      </c>
      <c r="Y16" s="37">
        <v>5.56</v>
      </c>
      <c r="Z16" s="37">
        <v>61.11</v>
      </c>
      <c r="AA16" s="37">
        <v>66.67</v>
      </c>
      <c r="AB16" s="37">
        <v>22.22</v>
      </c>
      <c r="AC16" s="24">
        <f t="shared" si="1"/>
        <v>-15.554999999999996</v>
      </c>
      <c r="AD16" s="25">
        <f t="shared" si="2"/>
        <v>15.554999999999996</v>
      </c>
      <c r="AE16" s="23" t="str">
        <f t="shared" si="3"/>
        <v>Loss</v>
      </c>
      <c r="AF16" s="23" t="str">
        <f t="shared" si="4"/>
        <v>Win</v>
      </c>
      <c r="AG16" s="23" t="str">
        <f t="shared" si="5"/>
        <v>Loss</v>
      </c>
      <c r="AH16" s="23">
        <f t="shared" si="6"/>
        <v>-50</v>
      </c>
      <c r="AI16" s="23">
        <f t="shared" si="7"/>
        <v>163.49999999999997</v>
      </c>
      <c r="AJ16" s="23">
        <f t="shared" si="8"/>
        <v>-50</v>
      </c>
    </row>
    <row r="17" spans="1:36" x14ac:dyDescent="0.2">
      <c r="A17" s="36">
        <v>43587</v>
      </c>
      <c r="B17" s="37" t="s">
        <v>127</v>
      </c>
      <c r="C17" s="37" t="s">
        <v>128</v>
      </c>
      <c r="D17" s="37" t="s">
        <v>132</v>
      </c>
      <c r="E17" s="37" t="s">
        <v>133</v>
      </c>
      <c r="F17" s="37" t="s">
        <v>134</v>
      </c>
      <c r="G17" s="37">
        <v>2</v>
      </c>
      <c r="H17" s="37">
        <v>2</v>
      </c>
      <c r="I17" s="37">
        <v>6.89</v>
      </c>
      <c r="J17" s="37">
        <v>4.55</v>
      </c>
      <c r="K17" s="37">
        <v>1.37</v>
      </c>
      <c r="L17" s="37">
        <v>5.52</v>
      </c>
      <c r="M17" s="37">
        <v>18</v>
      </c>
      <c r="N17" s="37">
        <v>17</v>
      </c>
      <c r="O17" s="37">
        <v>1</v>
      </c>
      <c r="P17" s="37">
        <v>9</v>
      </c>
      <c r="Q17" s="37">
        <v>8</v>
      </c>
      <c r="R17" s="37">
        <v>0</v>
      </c>
      <c r="S17" s="37">
        <v>0</v>
      </c>
      <c r="T17" s="37">
        <v>100</v>
      </c>
      <c r="U17" s="37">
        <v>33.33</v>
      </c>
      <c r="V17" s="37">
        <v>27.78</v>
      </c>
      <c r="W17" s="37">
        <v>38.89</v>
      </c>
      <c r="X17" s="37">
        <v>76.47</v>
      </c>
      <c r="Y17" s="37">
        <v>23.53</v>
      </c>
      <c r="Z17" s="37">
        <v>0</v>
      </c>
      <c r="AA17" s="37">
        <v>44.44</v>
      </c>
      <c r="AB17" s="37">
        <v>100</v>
      </c>
      <c r="AC17" s="24">
        <f t="shared" si="1"/>
        <v>-45.981000000000002</v>
      </c>
      <c r="AD17" s="25">
        <f t="shared" si="2"/>
        <v>45.981000000000002</v>
      </c>
      <c r="AE17" s="23" t="str">
        <f t="shared" si="3"/>
        <v>Loss</v>
      </c>
      <c r="AF17" s="23" t="str">
        <f t="shared" si="4"/>
        <v>Win</v>
      </c>
      <c r="AG17" s="23" t="str">
        <f t="shared" si="5"/>
        <v>Loss</v>
      </c>
      <c r="AH17" s="23">
        <f t="shared" si="6"/>
        <v>-50</v>
      </c>
      <c r="AI17" s="23">
        <f t="shared" si="7"/>
        <v>177.5</v>
      </c>
      <c r="AJ17" s="59">
        <f t="shared" si="8"/>
        <v>-50</v>
      </c>
    </row>
    <row r="18" spans="1:36" x14ac:dyDescent="0.2">
      <c r="A18" s="36">
        <v>43587</v>
      </c>
      <c r="B18" s="37" t="s">
        <v>135</v>
      </c>
      <c r="C18" s="37" t="s">
        <v>136</v>
      </c>
      <c r="D18" s="37" t="s">
        <v>137</v>
      </c>
      <c r="E18" s="37" t="s">
        <v>138</v>
      </c>
      <c r="F18" s="37" t="s">
        <v>139</v>
      </c>
      <c r="G18" s="37">
        <v>0</v>
      </c>
      <c r="H18" s="37">
        <v>1</v>
      </c>
      <c r="I18" s="37">
        <v>3.23</v>
      </c>
      <c r="J18" s="37">
        <v>3.53</v>
      </c>
      <c r="K18" s="37">
        <v>1.99</v>
      </c>
      <c r="L18" s="37">
        <v>1.24</v>
      </c>
      <c r="M18" s="37">
        <v>20</v>
      </c>
      <c r="N18" s="37">
        <v>19</v>
      </c>
      <c r="O18" s="37">
        <v>1</v>
      </c>
      <c r="P18" s="37">
        <v>10</v>
      </c>
      <c r="Q18" s="37">
        <v>10</v>
      </c>
      <c r="R18" s="37">
        <v>0</v>
      </c>
      <c r="S18" s="37">
        <v>0</v>
      </c>
      <c r="T18" s="37">
        <v>100</v>
      </c>
      <c r="U18" s="37">
        <v>20</v>
      </c>
      <c r="V18" s="37">
        <v>30</v>
      </c>
      <c r="W18" s="37">
        <v>50</v>
      </c>
      <c r="X18" s="37">
        <v>63.16</v>
      </c>
      <c r="Y18" s="37">
        <v>15.79</v>
      </c>
      <c r="Z18" s="37">
        <v>21.05</v>
      </c>
      <c r="AA18" s="37">
        <v>40</v>
      </c>
      <c r="AB18" s="37">
        <v>40</v>
      </c>
      <c r="AC18" s="24">
        <f t="shared" si="1"/>
        <v>-43.000999999999998</v>
      </c>
      <c r="AD18" s="25">
        <f t="shared" si="2"/>
        <v>43.000999999999998</v>
      </c>
      <c r="AE18" s="23" t="str">
        <f t="shared" si="3"/>
        <v>Loss</v>
      </c>
      <c r="AF18" s="23" t="str">
        <f t="shared" si="4"/>
        <v>Loss</v>
      </c>
      <c r="AG18" s="23" t="str">
        <f t="shared" si="5"/>
        <v>Win</v>
      </c>
      <c r="AH18" s="23">
        <f t="shared" si="6"/>
        <v>-50</v>
      </c>
      <c r="AI18" s="23">
        <f t="shared" si="7"/>
        <v>-50</v>
      </c>
      <c r="AJ18" s="59">
        <f t="shared" si="8"/>
        <v>49.5</v>
      </c>
    </row>
    <row r="19" spans="1:36" x14ac:dyDescent="0.2">
      <c r="A19" s="36">
        <v>43587</v>
      </c>
      <c r="B19" s="37" t="s">
        <v>140</v>
      </c>
      <c r="C19" s="37" t="s">
        <v>112</v>
      </c>
      <c r="D19" s="37" t="s">
        <v>141</v>
      </c>
      <c r="E19" s="37" t="s">
        <v>142</v>
      </c>
      <c r="F19" s="37" t="s">
        <v>143</v>
      </c>
      <c r="G19" s="37">
        <v>2</v>
      </c>
      <c r="H19" s="37">
        <v>1</v>
      </c>
      <c r="I19" s="37">
        <v>1.51</v>
      </c>
      <c r="J19" s="37">
        <v>3.72</v>
      </c>
      <c r="K19" s="37">
        <v>5.65</v>
      </c>
      <c r="L19" s="37">
        <v>-4.1399999999999997</v>
      </c>
      <c r="M19" s="37">
        <v>41</v>
      </c>
      <c r="N19" s="37">
        <v>42</v>
      </c>
      <c r="O19" s="37">
        <v>3</v>
      </c>
      <c r="P19" s="37">
        <v>20</v>
      </c>
      <c r="Q19" s="37">
        <v>21</v>
      </c>
      <c r="R19" s="37">
        <v>0</v>
      </c>
      <c r="S19" s="37">
        <v>33.33</v>
      </c>
      <c r="T19" s="37">
        <v>66.67</v>
      </c>
      <c r="U19" s="37">
        <v>24.39</v>
      </c>
      <c r="V19" s="37">
        <v>19.510000000000002</v>
      </c>
      <c r="W19" s="37">
        <v>56.1</v>
      </c>
      <c r="X19" s="37">
        <v>28.57</v>
      </c>
      <c r="Y19" s="37">
        <v>26.19</v>
      </c>
      <c r="Z19" s="37">
        <v>45.24</v>
      </c>
      <c r="AA19" s="37">
        <v>40</v>
      </c>
      <c r="AB19" s="37">
        <v>9.52</v>
      </c>
      <c r="AC19" s="24">
        <f t="shared" si="1"/>
        <v>-20.343999999999994</v>
      </c>
      <c r="AD19" s="25">
        <f t="shared" si="2"/>
        <v>27.009999999999998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25.5</v>
      </c>
      <c r="AI19" s="23">
        <f t="shared" si="7"/>
        <v>-50</v>
      </c>
      <c r="AJ19" s="23">
        <f t="shared" si="8"/>
        <v>-50</v>
      </c>
    </row>
    <row r="20" spans="1:36" x14ac:dyDescent="0.2">
      <c r="A20" s="36">
        <v>43587</v>
      </c>
      <c r="B20" s="37" t="s">
        <v>111</v>
      </c>
      <c r="C20" s="37" t="s">
        <v>112</v>
      </c>
      <c r="D20" s="37" t="s">
        <v>144</v>
      </c>
      <c r="E20" s="37" t="s">
        <v>145</v>
      </c>
      <c r="F20" s="37" t="s">
        <v>146</v>
      </c>
      <c r="G20" s="37">
        <v>0</v>
      </c>
      <c r="H20" s="37">
        <v>0</v>
      </c>
      <c r="I20" s="37">
        <v>2.48</v>
      </c>
      <c r="J20" s="37">
        <v>2.93</v>
      </c>
      <c r="K20" s="37">
        <v>2.84</v>
      </c>
      <c r="L20" s="37">
        <v>-0.36</v>
      </c>
      <c r="M20" s="37">
        <v>39</v>
      </c>
      <c r="N20" s="37">
        <v>39</v>
      </c>
      <c r="O20" s="37">
        <v>5</v>
      </c>
      <c r="P20" s="37">
        <v>20</v>
      </c>
      <c r="Q20" s="37">
        <v>20</v>
      </c>
      <c r="R20" s="37">
        <v>60</v>
      </c>
      <c r="S20" s="37">
        <v>0</v>
      </c>
      <c r="T20" s="37">
        <v>40</v>
      </c>
      <c r="U20" s="37">
        <v>35.9</v>
      </c>
      <c r="V20" s="37">
        <v>28.21</v>
      </c>
      <c r="W20" s="37">
        <v>35.9</v>
      </c>
      <c r="X20" s="37">
        <v>56.41</v>
      </c>
      <c r="Y20" s="37">
        <v>20.51</v>
      </c>
      <c r="Z20" s="37">
        <v>23.08</v>
      </c>
      <c r="AA20" s="37">
        <v>40</v>
      </c>
      <c r="AB20" s="37">
        <v>45</v>
      </c>
      <c r="AC20" s="24">
        <f t="shared" si="1"/>
        <v>0.10400000000000098</v>
      </c>
      <c r="AD20" s="25">
        <f t="shared" si="2"/>
        <v>-0.10400000000000098</v>
      </c>
      <c r="AE20" s="23" t="str">
        <f t="shared" si="3"/>
        <v>Loss</v>
      </c>
      <c r="AF20" s="23" t="str">
        <f t="shared" si="4"/>
        <v>Win</v>
      </c>
      <c r="AG20" s="23" t="str">
        <f t="shared" si="5"/>
        <v>Loss</v>
      </c>
      <c r="AH20" s="23">
        <f t="shared" si="6"/>
        <v>-50</v>
      </c>
      <c r="AI20" s="23">
        <f t="shared" si="7"/>
        <v>96.5</v>
      </c>
      <c r="AJ20" s="23">
        <f t="shared" si="8"/>
        <v>-50</v>
      </c>
    </row>
    <row r="21" spans="1:36" x14ac:dyDescent="0.2">
      <c r="A21" s="36">
        <v>43587</v>
      </c>
      <c r="B21" s="37" t="s">
        <v>147</v>
      </c>
      <c r="C21" s="37" t="s">
        <v>148</v>
      </c>
      <c r="D21" s="37" t="s">
        <v>149</v>
      </c>
      <c r="E21" s="37" t="s">
        <v>150</v>
      </c>
      <c r="F21" s="37" t="s">
        <v>151</v>
      </c>
      <c r="G21" s="37">
        <v>1</v>
      </c>
      <c r="H21" s="37">
        <v>0</v>
      </c>
      <c r="I21" s="37">
        <v>1.1000000000000001</v>
      </c>
      <c r="J21" s="37">
        <v>7.16</v>
      </c>
      <c r="K21" s="37">
        <v>12.13</v>
      </c>
      <c r="L21" s="37">
        <v>-11.03</v>
      </c>
      <c r="M21" s="37">
        <v>6</v>
      </c>
      <c r="N21" s="37">
        <v>3</v>
      </c>
      <c r="O21" s="37">
        <v>1</v>
      </c>
      <c r="P21" s="37">
        <v>3</v>
      </c>
      <c r="Q21" s="37">
        <v>2</v>
      </c>
      <c r="R21" s="37">
        <v>100</v>
      </c>
      <c r="S21" s="37">
        <v>0</v>
      </c>
      <c r="T21" s="37">
        <v>0</v>
      </c>
      <c r="U21" s="37">
        <v>83.33</v>
      </c>
      <c r="V21" s="37">
        <v>0</v>
      </c>
      <c r="W21" s="37">
        <v>16.670000000000002</v>
      </c>
      <c r="X21" s="37">
        <v>33.33</v>
      </c>
      <c r="Y21" s="37">
        <v>0</v>
      </c>
      <c r="Z21" s="37">
        <v>66.67</v>
      </c>
      <c r="AA21" s="37">
        <v>66.67</v>
      </c>
      <c r="AB21" s="37">
        <v>50</v>
      </c>
      <c r="AC21" s="24">
        <f t="shared" si="1"/>
        <v>50</v>
      </c>
      <c r="AD21" s="25">
        <f t="shared" si="2"/>
        <v>-50</v>
      </c>
      <c r="AE21" s="23" t="str">
        <f t="shared" si="3"/>
        <v>Win</v>
      </c>
      <c r="AF21" s="23" t="str">
        <f t="shared" si="4"/>
        <v>Loss</v>
      </c>
      <c r="AG21" s="23" t="str">
        <f t="shared" si="5"/>
        <v>Loss</v>
      </c>
      <c r="AH21" s="59">
        <f t="shared" si="6"/>
        <v>5.0000000000000071</v>
      </c>
      <c r="AI21" s="23">
        <f t="shared" si="7"/>
        <v>-50</v>
      </c>
      <c r="AJ21" s="23">
        <f t="shared" si="8"/>
        <v>-50</v>
      </c>
    </row>
    <row r="22" spans="1:36" x14ac:dyDescent="0.2">
      <c r="A22" s="36">
        <v>43587</v>
      </c>
      <c r="B22" s="37" t="s">
        <v>152</v>
      </c>
      <c r="C22" s="37" t="s">
        <v>153</v>
      </c>
      <c r="D22" s="37" t="s">
        <v>154</v>
      </c>
      <c r="E22" s="37" t="s">
        <v>155</v>
      </c>
      <c r="F22" s="37" t="s">
        <v>156</v>
      </c>
      <c r="G22" s="37">
        <v>1</v>
      </c>
      <c r="H22" s="37">
        <v>0</v>
      </c>
      <c r="I22" s="37">
        <v>1.46</v>
      </c>
      <c r="J22" s="37">
        <v>3.95</v>
      </c>
      <c r="K22" s="37">
        <v>7.58</v>
      </c>
      <c r="L22" s="37">
        <v>-6.12</v>
      </c>
      <c r="M22" s="37">
        <v>59</v>
      </c>
      <c r="N22" s="37">
        <v>60</v>
      </c>
      <c r="O22" s="37">
        <v>1</v>
      </c>
      <c r="P22" s="37">
        <v>30</v>
      </c>
      <c r="Q22" s="37">
        <v>31</v>
      </c>
      <c r="R22" s="37">
        <v>100</v>
      </c>
      <c r="S22" s="37">
        <v>0</v>
      </c>
      <c r="T22" s="37">
        <v>0</v>
      </c>
      <c r="U22" s="37">
        <v>49.15</v>
      </c>
      <c r="V22" s="37">
        <v>30.51</v>
      </c>
      <c r="W22" s="37">
        <v>20.34</v>
      </c>
      <c r="X22" s="37">
        <v>35</v>
      </c>
      <c r="Y22" s="37">
        <v>38.33</v>
      </c>
      <c r="Z22" s="37">
        <v>26.67</v>
      </c>
      <c r="AA22" s="37">
        <v>70</v>
      </c>
      <c r="AB22" s="37">
        <v>25.81</v>
      </c>
      <c r="AC22" s="24">
        <f t="shared" si="1"/>
        <v>33.314000000000007</v>
      </c>
      <c r="AD22" s="25">
        <f t="shared" si="2"/>
        <v>-33.314000000000007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23</v>
      </c>
      <c r="AI22" s="23">
        <f t="shared" si="7"/>
        <v>-50</v>
      </c>
      <c r="AJ22" s="23">
        <f t="shared" si="8"/>
        <v>-50</v>
      </c>
    </row>
    <row r="23" spans="1:36" x14ac:dyDescent="0.2">
      <c r="A23" s="36">
        <v>43587</v>
      </c>
      <c r="B23" s="37" t="s">
        <v>152</v>
      </c>
      <c r="C23" s="37" t="s">
        <v>153</v>
      </c>
      <c r="D23" s="37" t="s">
        <v>157</v>
      </c>
      <c r="E23" s="37" t="s">
        <v>158</v>
      </c>
      <c r="F23" s="37" t="s">
        <v>159</v>
      </c>
      <c r="G23" s="37">
        <v>1</v>
      </c>
      <c r="H23" s="37">
        <v>1</v>
      </c>
      <c r="I23" s="37">
        <v>3.72</v>
      </c>
      <c r="J23" s="37">
        <v>3.11</v>
      </c>
      <c r="K23" s="37">
        <v>2.1</v>
      </c>
      <c r="L23" s="37">
        <v>1.62</v>
      </c>
      <c r="M23" s="37">
        <v>66</v>
      </c>
      <c r="N23" s="37">
        <v>55</v>
      </c>
      <c r="O23" s="37">
        <v>0</v>
      </c>
      <c r="P23" s="37">
        <v>33</v>
      </c>
      <c r="Q23" s="37">
        <v>26</v>
      </c>
      <c r="R23" s="37">
        <v>0</v>
      </c>
      <c r="S23" s="37">
        <v>0</v>
      </c>
      <c r="T23" s="37">
        <v>0</v>
      </c>
      <c r="U23" s="37">
        <v>48.48</v>
      </c>
      <c r="V23" s="37">
        <v>25.76</v>
      </c>
      <c r="W23" s="37">
        <v>25.76</v>
      </c>
      <c r="X23" s="37">
        <v>52.73</v>
      </c>
      <c r="Y23" s="37">
        <v>30.91</v>
      </c>
      <c r="Z23" s="37">
        <v>16.36</v>
      </c>
      <c r="AA23" s="37">
        <v>51.52</v>
      </c>
      <c r="AB23" s="37">
        <v>34.619999999999997</v>
      </c>
      <c r="AC23" s="24">
        <f t="shared" si="1"/>
        <v>-3.2450000000000001</v>
      </c>
      <c r="AD23" s="25">
        <f t="shared" si="2"/>
        <v>3.2450000000000001</v>
      </c>
      <c r="AE23" s="23" t="str">
        <f t="shared" si="3"/>
        <v>Loss</v>
      </c>
      <c r="AF23" s="23" t="str">
        <f t="shared" si="4"/>
        <v>Win</v>
      </c>
      <c r="AG23" s="23" t="str">
        <f t="shared" si="5"/>
        <v>Loss</v>
      </c>
      <c r="AH23" s="23">
        <f t="shared" si="6"/>
        <v>-50</v>
      </c>
      <c r="AI23" s="23">
        <f t="shared" si="7"/>
        <v>105.5</v>
      </c>
      <c r="AJ23" s="23">
        <f t="shared" si="8"/>
        <v>-50</v>
      </c>
    </row>
    <row r="24" spans="1:36" x14ac:dyDescent="0.2">
      <c r="A24" s="36">
        <v>43587</v>
      </c>
      <c r="B24" s="37" t="s">
        <v>160</v>
      </c>
      <c r="C24" s="37" t="s">
        <v>161</v>
      </c>
      <c r="D24" s="37" t="s">
        <v>162</v>
      </c>
      <c r="E24" s="37" t="s">
        <v>163</v>
      </c>
      <c r="F24" s="37" t="s">
        <v>164</v>
      </c>
      <c r="G24" s="37">
        <v>2</v>
      </c>
      <c r="H24" s="37">
        <v>0</v>
      </c>
      <c r="I24" s="37">
        <v>1.47</v>
      </c>
      <c r="J24" s="37">
        <v>3.82</v>
      </c>
      <c r="K24" s="37">
        <v>7.3</v>
      </c>
      <c r="L24" s="37">
        <v>-5.83</v>
      </c>
      <c r="M24" s="37">
        <v>1</v>
      </c>
      <c r="N24" s="37">
        <v>1</v>
      </c>
      <c r="O24" s="37">
        <v>1</v>
      </c>
      <c r="P24" s="37">
        <v>0</v>
      </c>
      <c r="Q24" s="37">
        <v>0</v>
      </c>
      <c r="R24" s="37">
        <v>0</v>
      </c>
      <c r="S24" s="37">
        <v>0</v>
      </c>
      <c r="T24" s="37">
        <v>100</v>
      </c>
      <c r="U24" s="37">
        <v>0</v>
      </c>
      <c r="V24" s="37">
        <v>0</v>
      </c>
      <c r="W24" s="37">
        <v>100</v>
      </c>
      <c r="X24" s="37">
        <v>100</v>
      </c>
      <c r="Y24" s="37">
        <v>0</v>
      </c>
      <c r="Z24" s="37">
        <v>0</v>
      </c>
      <c r="AA24" s="37">
        <v>0</v>
      </c>
      <c r="AB24" s="37">
        <v>0</v>
      </c>
      <c r="AC24" s="24">
        <f t="shared" si="1"/>
        <v>-70</v>
      </c>
      <c r="AD24" s="25">
        <f t="shared" si="2"/>
        <v>70</v>
      </c>
      <c r="AE24" s="23" t="str">
        <f t="shared" si="3"/>
        <v>Win</v>
      </c>
      <c r="AF24" s="23" t="str">
        <f t="shared" si="4"/>
        <v>Loss</v>
      </c>
      <c r="AG24" s="23" t="str">
        <f t="shared" si="5"/>
        <v>Loss</v>
      </c>
      <c r="AH24" s="23">
        <f t="shared" si="6"/>
        <v>23.5</v>
      </c>
      <c r="AI24" s="23">
        <f t="shared" si="7"/>
        <v>-50</v>
      </c>
      <c r="AJ24" s="59">
        <f t="shared" si="8"/>
        <v>-50</v>
      </c>
    </row>
    <row r="25" spans="1:36" x14ac:dyDescent="0.2">
      <c r="A25" s="36">
        <v>43587</v>
      </c>
      <c r="B25" s="37" t="s">
        <v>106</v>
      </c>
      <c r="C25" s="37" t="s">
        <v>107</v>
      </c>
      <c r="D25" s="37" t="s">
        <v>165</v>
      </c>
      <c r="E25" s="37" t="s">
        <v>166</v>
      </c>
      <c r="F25" s="37" t="s">
        <v>167</v>
      </c>
      <c r="G25" s="37">
        <v>1</v>
      </c>
      <c r="H25" s="37">
        <v>1</v>
      </c>
      <c r="I25" s="37">
        <v>2.21</v>
      </c>
      <c r="J25" s="37">
        <v>2.79</v>
      </c>
      <c r="K25" s="37">
        <v>3.59</v>
      </c>
      <c r="L25" s="37">
        <v>-1.38</v>
      </c>
      <c r="M25" s="37">
        <v>23</v>
      </c>
      <c r="N25" s="37">
        <v>18</v>
      </c>
      <c r="O25" s="37">
        <v>0</v>
      </c>
      <c r="P25" s="37">
        <v>11</v>
      </c>
      <c r="Q25" s="37">
        <v>9</v>
      </c>
      <c r="R25" s="37">
        <v>0</v>
      </c>
      <c r="S25" s="37">
        <v>0</v>
      </c>
      <c r="T25" s="37">
        <v>0</v>
      </c>
      <c r="U25" s="37">
        <v>17.39</v>
      </c>
      <c r="V25" s="37">
        <v>39.130000000000003</v>
      </c>
      <c r="W25" s="37">
        <v>43.48</v>
      </c>
      <c r="X25" s="37">
        <v>16.670000000000002</v>
      </c>
      <c r="Y25" s="37">
        <v>50</v>
      </c>
      <c r="Z25" s="37">
        <v>33.33</v>
      </c>
      <c r="AA25" s="37">
        <v>18.18</v>
      </c>
      <c r="AB25" s="37">
        <v>11.11</v>
      </c>
      <c r="AC25" s="24">
        <f t="shared" si="1"/>
        <v>-2.972999999999999</v>
      </c>
      <c r="AD25" s="25">
        <f t="shared" si="2"/>
        <v>2.972999999999999</v>
      </c>
      <c r="AE25" s="23" t="str">
        <f t="shared" si="3"/>
        <v>Loss</v>
      </c>
      <c r="AF25" s="23" t="str">
        <f t="shared" si="4"/>
        <v>Win</v>
      </c>
      <c r="AG25" s="23" t="str">
        <f t="shared" si="5"/>
        <v>Loss</v>
      </c>
      <c r="AH25" s="23">
        <f t="shared" si="6"/>
        <v>-50</v>
      </c>
      <c r="AI25" s="23">
        <f t="shared" si="7"/>
        <v>89.5</v>
      </c>
      <c r="AJ25" s="23">
        <f t="shared" si="8"/>
        <v>-50</v>
      </c>
    </row>
    <row r="26" spans="1:36" x14ac:dyDescent="0.2">
      <c r="A26" s="36">
        <v>43587</v>
      </c>
      <c r="B26" s="37" t="s">
        <v>106</v>
      </c>
      <c r="C26" s="37" t="s">
        <v>107</v>
      </c>
      <c r="D26" s="37" t="s">
        <v>168</v>
      </c>
      <c r="E26" s="37" t="s">
        <v>169</v>
      </c>
      <c r="F26" s="37" t="s">
        <v>170</v>
      </c>
      <c r="G26" s="37">
        <v>0</v>
      </c>
      <c r="H26" s="37">
        <v>0</v>
      </c>
      <c r="I26" s="37">
        <v>2.4300000000000002</v>
      </c>
      <c r="J26" s="37">
        <v>3.05</v>
      </c>
      <c r="K26" s="37">
        <v>2.85</v>
      </c>
      <c r="L26" s="37">
        <v>-0.42</v>
      </c>
      <c r="M26" s="37">
        <v>24</v>
      </c>
      <c r="N26" s="37">
        <v>23</v>
      </c>
      <c r="O26" s="37">
        <v>1</v>
      </c>
      <c r="P26" s="37">
        <v>12</v>
      </c>
      <c r="Q26" s="37">
        <v>12</v>
      </c>
      <c r="R26" s="37">
        <v>0</v>
      </c>
      <c r="S26" s="37">
        <v>100</v>
      </c>
      <c r="T26" s="37">
        <v>0</v>
      </c>
      <c r="U26" s="37">
        <v>8.33</v>
      </c>
      <c r="V26" s="37">
        <v>62.5</v>
      </c>
      <c r="W26" s="37">
        <v>29.17</v>
      </c>
      <c r="X26" s="37">
        <v>65.22</v>
      </c>
      <c r="Y26" s="37">
        <v>21.74</v>
      </c>
      <c r="Z26" s="37">
        <v>13.04</v>
      </c>
      <c r="AA26" s="37">
        <v>8.33</v>
      </c>
      <c r="AB26" s="37">
        <v>66.67</v>
      </c>
      <c r="AC26" s="24">
        <f t="shared" si="1"/>
        <v>-0.52799999999999958</v>
      </c>
      <c r="AD26" s="25">
        <f t="shared" si="2"/>
        <v>20.527999999999999</v>
      </c>
      <c r="AE26" s="23" t="str">
        <f t="shared" si="3"/>
        <v>Loss</v>
      </c>
      <c r="AF26" s="23" t="str">
        <f t="shared" si="4"/>
        <v>Win</v>
      </c>
      <c r="AG26" s="23" t="str">
        <f t="shared" si="5"/>
        <v>Loss</v>
      </c>
      <c r="AH26" s="23">
        <f t="shared" si="6"/>
        <v>-50</v>
      </c>
      <c r="AI26" s="23">
        <f t="shared" si="7"/>
        <v>102.5</v>
      </c>
      <c r="AJ26" s="23">
        <f t="shared" si="8"/>
        <v>-50</v>
      </c>
    </row>
    <row r="27" spans="1:36" x14ac:dyDescent="0.2">
      <c r="A27" s="36">
        <v>43587</v>
      </c>
      <c r="B27" s="37" t="s">
        <v>171</v>
      </c>
      <c r="C27" s="37" t="s">
        <v>172</v>
      </c>
      <c r="D27" s="37" t="s">
        <v>173</v>
      </c>
      <c r="E27" s="37" t="s">
        <v>174</v>
      </c>
      <c r="F27" s="37" t="s">
        <v>175</v>
      </c>
      <c r="G27" s="37">
        <v>0</v>
      </c>
      <c r="H27" s="37">
        <v>0</v>
      </c>
      <c r="I27" s="37">
        <v>2.16</v>
      </c>
      <c r="J27" s="37">
        <v>3.16</v>
      </c>
      <c r="K27" s="37">
        <v>3.13</v>
      </c>
      <c r="L27" s="37">
        <v>-0.97</v>
      </c>
      <c r="M27" s="37">
        <v>38</v>
      </c>
      <c r="N27" s="37">
        <v>39</v>
      </c>
      <c r="O27" s="37">
        <v>0</v>
      </c>
      <c r="P27" s="37">
        <v>18</v>
      </c>
      <c r="Q27" s="37">
        <v>19</v>
      </c>
      <c r="R27" s="37">
        <v>0</v>
      </c>
      <c r="S27" s="37">
        <v>0</v>
      </c>
      <c r="T27" s="37">
        <v>0</v>
      </c>
      <c r="U27" s="37">
        <v>28.95</v>
      </c>
      <c r="V27" s="37">
        <v>31.58</v>
      </c>
      <c r="W27" s="37">
        <v>39.47</v>
      </c>
      <c r="X27" s="37">
        <v>28.21</v>
      </c>
      <c r="Y27" s="37">
        <v>38.46</v>
      </c>
      <c r="Z27" s="37">
        <v>33.33</v>
      </c>
      <c r="AA27" s="37">
        <v>33.33</v>
      </c>
      <c r="AB27" s="37">
        <v>26.32</v>
      </c>
      <c r="AC27" s="24">
        <f t="shared" si="1"/>
        <v>-1.7680000000000007</v>
      </c>
      <c r="AD27" s="25">
        <f t="shared" si="2"/>
        <v>1.7680000000000007</v>
      </c>
      <c r="AE27" s="23" t="str">
        <f t="shared" si="3"/>
        <v>Loss</v>
      </c>
      <c r="AF27" s="23" t="str">
        <f t="shared" si="4"/>
        <v>Win</v>
      </c>
      <c r="AG27" s="23" t="str">
        <f t="shared" si="5"/>
        <v>Loss</v>
      </c>
      <c r="AH27" s="23">
        <f t="shared" si="6"/>
        <v>-50</v>
      </c>
      <c r="AI27" s="23">
        <f t="shared" si="7"/>
        <v>108</v>
      </c>
      <c r="AJ27" s="23">
        <f t="shared" si="8"/>
        <v>-50</v>
      </c>
    </row>
    <row r="28" spans="1:36" x14ac:dyDescent="0.2">
      <c r="A28" s="36">
        <v>43587</v>
      </c>
      <c r="B28" s="37" t="s">
        <v>171</v>
      </c>
      <c r="C28" s="37" t="s">
        <v>172</v>
      </c>
      <c r="D28" s="37" t="s">
        <v>176</v>
      </c>
      <c r="E28" s="37" t="s">
        <v>177</v>
      </c>
      <c r="F28" s="37" t="s">
        <v>178</v>
      </c>
      <c r="G28" s="37">
        <v>5</v>
      </c>
      <c r="H28" s="37">
        <v>0</v>
      </c>
      <c r="I28" s="37">
        <v>1.58</v>
      </c>
      <c r="J28" s="37">
        <v>3.98</v>
      </c>
      <c r="K28" s="37">
        <v>4.6500000000000004</v>
      </c>
      <c r="L28" s="37">
        <v>-3.07</v>
      </c>
      <c r="M28" s="37">
        <v>7</v>
      </c>
      <c r="N28" s="37">
        <v>5</v>
      </c>
      <c r="O28" s="37">
        <v>0</v>
      </c>
      <c r="P28" s="37">
        <v>6</v>
      </c>
      <c r="Q28" s="37">
        <v>2</v>
      </c>
      <c r="R28" s="37">
        <v>0</v>
      </c>
      <c r="S28" s="37">
        <v>0</v>
      </c>
      <c r="T28" s="37">
        <v>0</v>
      </c>
      <c r="U28" s="37">
        <v>71.430000000000007</v>
      </c>
      <c r="V28" s="37">
        <v>14.29</v>
      </c>
      <c r="W28" s="37">
        <v>14.29</v>
      </c>
      <c r="X28" s="37">
        <v>60</v>
      </c>
      <c r="Y28" s="37">
        <v>20</v>
      </c>
      <c r="Z28" s="37">
        <v>20</v>
      </c>
      <c r="AA28" s="37">
        <v>66.67</v>
      </c>
      <c r="AB28" s="37">
        <v>100</v>
      </c>
      <c r="AC28" s="24">
        <f t="shared" si="1"/>
        <v>2.8570000000000011</v>
      </c>
      <c r="AD28" s="25">
        <f t="shared" si="2"/>
        <v>-2.8570000000000011</v>
      </c>
      <c r="AE28" s="23" t="str">
        <f t="shared" si="3"/>
        <v>Win</v>
      </c>
      <c r="AF28" s="23" t="str">
        <f t="shared" si="4"/>
        <v>Loss</v>
      </c>
      <c r="AG28" s="23" t="str">
        <f t="shared" si="5"/>
        <v>Loss</v>
      </c>
      <c r="AH28" s="23">
        <f t="shared" si="6"/>
        <v>29</v>
      </c>
      <c r="AI28" s="23">
        <f t="shared" si="7"/>
        <v>-50</v>
      </c>
      <c r="AJ28" s="23">
        <f t="shared" si="8"/>
        <v>-50</v>
      </c>
    </row>
    <row r="29" spans="1:36" x14ac:dyDescent="0.2">
      <c r="A29" s="36">
        <v>43587</v>
      </c>
      <c r="B29" s="37" t="s">
        <v>135</v>
      </c>
      <c r="C29" s="37" t="s">
        <v>136</v>
      </c>
      <c r="D29" s="37" t="s">
        <v>179</v>
      </c>
      <c r="E29" s="37" t="s">
        <v>180</v>
      </c>
      <c r="F29" s="37" t="s">
        <v>181</v>
      </c>
      <c r="G29" s="37">
        <v>2</v>
      </c>
      <c r="H29" s="37">
        <v>3</v>
      </c>
      <c r="I29" s="37">
        <v>1.79</v>
      </c>
      <c r="J29" s="37">
        <v>3.83</v>
      </c>
      <c r="K29" s="37">
        <v>3.61</v>
      </c>
      <c r="L29" s="37">
        <v>-1.82</v>
      </c>
      <c r="M29" s="37">
        <v>20</v>
      </c>
      <c r="N29" s="37">
        <v>20</v>
      </c>
      <c r="O29" s="37">
        <v>1</v>
      </c>
      <c r="P29" s="37">
        <v>10</v>
      </c>
      <c r="Q29" s="37">
        <v>10</v>
      </c>
      <c r="R29" s="37">
        <v>100</v>
      </c>
      <c r="S29" s="37">
        <v>0</v>
      </c>
      <c r="T29" s="37">
        <v>0</v>
      </c>
      <c r="U29" s="37">
        <v>65</v>
      </c>
      <c r="V29" s="37">
        <v>5</v>
      </c>
      <c r="W29" s="37">
        <v>30</v>
      </c>
      <c r="X29" s="37">
        <v>15</v>
      </c>
      <c r="Y29" s="37">
        <v>35</v>
      </c>
      <c r="Z29" s="37">
        <v>50</v>
      </c>
      <c r="AA29" s="37">
        <v>90</v>
      </c>
      <c r="AB29" s="37">
        <v>10</v>
      </c>
      <c r="AC29" s="24">
        <f t="shared" si="1"/>
        <v>41</v>
      </c>
      <c r="AD29" s="25">
        <f t="shared" si="2"/>
        <v>-41</v>
      </c>
      <c r="AE29" s="23" t="str">
        <f t="shared" si="3"/>
        <v>Loss</v>
      </c>
      <c r="AF29" s="23" t="str">
        <f t="shared" si="4"/>
        <v>Loss</v>
      </c>
      <c r="AG29" s="23" t="str">
        <f t="shared" si="5"/>
        <v>Win</v>
      </c>
      <c r="AH29" s="59">
        <f t="shared" si="6"/>
        <v>-50</v>
      </c>
      <c r="AI29" s="23">
        <f t="shared" si="7"/>
        <v>-50</v>
      </c>
      <c r="AJ29" s="23">
        <f t="shared" si="8"/>
        <v>130.5</v>
      </c>
    </row>
    <row r="30" spans="1:36" x14ac:dyDescent="0.2">
      <c r="A30" s="36">
        <v>43587</v>
      </c>
      <c r="B30" s="37" t="s">
        <v>171</v>
      </c>
      <c r="C30" s="37" t="s">
        <v>182</v>
      </c>
      <c r="D30" s="37" t="s">
        <v>183</v>
      </c>
      <c r="E30" s="37" t="s">
        <v>184</v>
      </c>
      <c r="F30" s="37" t="s">
        <v>185</v>
      </c>
      <c r="G30" s="37">
        <v>2</v>
      </c>
      <c r="H30" s="37">
        <v>0</v>
      </c>
      <c r="I30" s="37">
        <v>1.61</v>
      </c>
      <c r="J30" s="37">
        <v>3.93</v>
      </c>
      <c r="K30" s="37">
        <v>5.34</v>
      </c>
      <c r="L30" s="37">
        <v>-3.73</v>
      </c>
      <c r="M30" s="37">
        <v>14</v>
      </c>
      <c r="N30" s="37">
        <v>15</v>
      </c>
      <c r="O30" s="37">
        <v>1</v>
      </c>
      <c r="P30" s="37">
        <v>8</v>
      </c>
      <c r="Q30" s="37">
        <v>9</v>
      </c>
      <c r="R30" s="37">
        <v>100</v>
      </c>
      <c r="S30" s="37">
        <v>0</v>
      </c>
      <c r="T30" s="37">
        <v>0</v>
      </c>
      <c r="U30" s="37">
        <v>57.14</v>
      </c>
      <c r="V30" s="37">
        <v>14.29</v>
      </c>
      <c r="W30" s="37">
        <v>28.57</v>
      </c>
      <c r="X30" s="37">
        <v>33.33</v>
      </c>
      <c r="Y30" s="37">
        <v>20</v>
      </c>
      <c r="Z30" s="37">
        <v>46.67</v>
      </c>
      <c r="AA30" s="37">
        <v>87.5</v>
      </c>
      <c r="AB30" s="37">
        <v>33.33</v>
      </c>
      <c r="AC30" s="24">
        <f t="shared" si="1"/>
        <v>37.811</v>
      </c>
      <c r="AD30" s="25">
        <f t="shared" si="2"/>
        <v>-37.811</v>
      </c>
      <c r="AE30" s="23" t="str">
        <f t="shared" si="3"/>
        <v>Win</v>
      </c>
      <c r="AF30" s="23" t="str">
        <f t="shared" si="4"/>
        <v>Loss</v>
      </c>
      <c r="AG30" s="23" t="str">
        <f t="shared" si="5"/>
        <v>Loss</v>
      </c>
      <c r="AH30" s="23">
        <f t="shared" si="6"/>
        <v>30.5</v>
      </c>
      <c r="AI30" s="23">
        <f t="shared" si="7"/>
        <v>-50</v>
      </c>
      <c r="AJ30" s="23">
        <f t="shared" si="8"/>
        <v>-50</v>
      </c>
    </row>
    <row r="31" spans="1:36" x14ac:dyDescent="0.2">
      <c r="A31" s="36">
        <v>43587</v>
      </c>
      <c r="B31" s="37" t="s">
        <v>140</v>
      </c>
      <c r="C31" s="37" t="s">
        <v>112</v>
      </c>
      <c r="D31" s="37" t="s">
        <v>186</v>
      </c>
      <c r="E31" s="37" t="s">
        <v>187</v>
      </c>
      <c r="F31" s="37" t="s">
        <v>188</v>
      </c>
      <c r="G31" s="37">
        <v>5</v>
      </c>
      <c r="H31" s="37">
        <v>0</v>
      </c>
      <c r="I31" s="37">
        <v>1.07</v>
      </c>
      <c r="J31" s="37">
        <v>8.9600000000000009</v>
      </c>
      <c r="K31" s="37">
        <v>17.059999999999999</v>
      </c>
      <c r="L31" s="37">
        <v>-15.99</v>
      </c>
      <c r="M31" s="37">
        <v>48</v>
      </c>
      <c r="N31" s="37">
        <v>42</v>
      </c>
      <c r="O31" s="37">
        <v>3</v>
      </c>
      <c r="P31" s="37">
        <v>24</v>
      </c>
      <c r="Q31" s="37">
        <v>21</v>
      </c>
      <c r="R31" s="37">
        <v>33.33</v>
      </c>
      <c r="S31" s="37">
        <v>66.67</v>
      </c>
      <c r="T31" s="37">
        <v>0</v>
      </c>
      <c r="U31" s="37">
        <v>45.83</v>
      </c>
      <c r="V31" s="37">
        <v>27.08</v>
      </c>
      <c r="W31" s="37">
        <v>27.08</v>
      </c>
      <c r="X31" s="37">
        <v>11.9</v>
      </c>
      <c r="Y31" s="37">
        <v>19.05</v>
      </c>
      <c r="Z31" s="37">
        <v>69.05</v>
      </c>
      <c r="AA31" s="37">
        <v>54.17</v>
      </c>
      <c r="AB31" s="37">
        <v>4.76</v>
      </c>
      <c r="AC31" s="24">
        <f t="shared" si="1"/>
        <v>32.649000000000001</v>
      </c>
      <c r="AD31" s="25">
        <f t="shared" si="2"/>
        <v>-19.314999999999998</v>
      </c>
      <c r="AE31" s="23" t="str">
        <f t="shared" si="3"/>
        <v>Win</v>
      </c>
      <c r="AF31" s="23" t="str">
        <f t="shared" si="4"/>
        <v>Loss</v>
      </c>
      <c r="AG31" s="23" t="str">
        <f t="shared" si="5"/>
        <v>Loss</v>
      </c>
      <c r="AH31" s="23">
        <f t="shared" si="6"/>
        <v>3.5</v>
      </c>
      <c r="AI31" s="23">
        <f t="shared" si="7"/>
        <v>-50</v>
      </c>
      <c r="AJ31" s="23">
        <f t="shared" si="8"/>
        <v>-50</v>
      </c>
    </row>
    <row r="32" spans="1:36" x14ac:dyDescent="0.2">
      <c r="A32" s="36">
        <v>43587</v>
      </c>
      <c r="B32" s="37" t="s">
        <v>152</v>
      </c>
      <c r="C32" s="37" t="s">
        <v>153</v>
      </c>
      <c r="D32" s="37" t="s">
        <v>189</v>
      </c>
      <c r="E32" s="37" t="s">
        <v>190</v>
      </c>
      <c r="F32" s="37" t="s">
        <v>191</v>
      </c>
      <c r="G32" s="37">
        <v>2</v>
      </c>
      <c r="H32" s="37">
        <v>1</v>
      </c>
      <c r="I32" s="37">
        <v>3.42</v>
      </c>
      <c r="J32" s="37">
        <v>3.09</v>
      </c>
      <c r="K32" s="37">
        <v>2.21</v>
      </c>
      <c r="L32" s="37">
        <v>1.21</v>
      </c>
      <c r="M32" s="37">
        <v>59</v>
      </c>
      <c r="N32" s="37">
        <v>48</v>
      </c>
      <c r="O32" s="37">
        <v>0</v>
      </c>
      <c r="P32" s="37">
        <v>30</v>
      </c>
      <c r="Q32" s="37">
        <v>22</v>
      </c>
      <c r="R32" s="37">
        <v>0</v>
      </c>
      <c r="S32" s="37">
        <v>0</v>
      </c>
      <c r="T32" s="37">
        <v>0</v>
      </c>
      <c r="U32" s="37">
        <v>54.24</v>
      </c>
      <c r="V32" s="37">
        <v>23.73</v>
      </c>
      <c r="W32" s="37">
        <v>22.03</v>
      </c>
      <c r="X32" s="37">
        <v>47.92</v>
      </c>
      <c r="Y32" s="37">
        <v>20.83</v>
      </c>
      <c r="Z32" s="37">
        <v>31.25</v>
      </c>
      <c r="AA32" s="37">
        <v>66.67</v>
      </c>
      <c r="AB32" s="37">
        <v>18.18</v>
      </c>
      <c r="AC32" s="24">
        <f t="shared" si="1"/>
        <v>3.3979999999999984</v>
      </c>
      <c r="AD32" s="25">
        <f t="shared" si="2"/>
        <v>-3.3979999999999984</v>
      </c>
      <c r="AE32" s="23" t="str">
        <f t="shared" si="3"/>
        <v>Win</v>
      </c>
      <c r="AF32" s="23" t="str">
        <f t="shared" si="4"/>
        <v>Loss</v>
      </c>
      <c r="AG32" s="23" t="str">
        <f t="shared" si="5"/>
        <v>Loss</v>
      </c>
      <c r="AH32" s="23">
        <f t="shared" si="6"/>
        <v>121</v>
      </c>
      <c r="AI32" s="23">
        <f t="shared" si="7"/>
        <v>-50</v>
      </c>
      <c r="AJ32" s="23">
        <f t="shared" si="8"/>
        <v>-50</v>
      </c>
    </row>
    <row r="33" spans="1:36" x14ac:dyDescent="0.2">
      <c r="A33" s="36">
        <v>43587</v>
      </c>
      <c r="B33" s="37" t="s">
        <v>152</v>
      </c>
      <c r="C33" s="37" t="s">
        <v>153</v>
      </c>
      <c r="D33" s="37" t="s">
        <v>192</v>
      </c>
      <c r="E33" s="37" t="s">
        <v>193</v>
      </c>
      <c r="F33" s="37" t="s">
        <v>194</v>
      </c>
      <c r="G33" s="37">
        <v>1</v>
      </c>
      <c r="H33" s="37">
        <v>2</v>
      </c>
      <c r="I33" s="37">
        <v>3.15</v>
      </c>
      <c r="J33" s="37">
        <v>3.17</v>
      </c>
      <c r="K33" s="37">
        <v>2.2999999999999998</v>
      </c>
      <c r="L33" s="37">
        <v>0.85</v>
      </c>
      <c r="M33" s="37">
        <v>58</v>
      </c>
      <c r="N33" s="37">
        <v>54</v>
      </c>
      <c r="O33" s="37">
        <v>2</v>
      </c>
      <c r="P33" s="37">
        <v>30</v>
      </c>
      <c r="Q33" s="37">
        <v>26</v>
      </c>
      <c r="R33" s="37">
        <v>50</v>
      </c>
      <c r="S33" s="37">
        <v>50</v>
      </c>
      <c r="T33" s="37">
        <v>0</v>
      </c>
      <c r="U33" s="37">
        <v>39.659999999999997</v>
      </c>
      <c r="V33" s="37">
        <v>25.86</v>
      </c>
      <c r="W33" s="37">
        <v>34.479999999999997</v>
      </c>
      <c r="X33" s="37">
        <v>55.56</v>
      </c>
      <c r="Y33" s="37">
        <v>18.52</v>
      </c>
      <c r="Z33" s="37">
        <v>25.93</v>
      </c>
      <c r="AA33" s="37">
        <v>56.67</v>
      </c>
      <c r="AB33" s="37">
        <v>26.92</v>
      </c>
      <c r="AC33" s="24">
        <f t="shared" si="1"/>
        <v>15.843999999999998</v>
      </c>
      <c r="AD33" s="25">
        <f t="shared" si="2"/>
        <v>-5.8439999999999976</v>
      </c>
      <c r="AE33" s="23" t="str">
        <f t="shared" si="3"/>
        <v>Loss</v>
      </c>
      <c r="AF33" s="23" t="str">
        <f t="shared" si="4"/>
        <v>Loss</v>
      </c>
      <c r="AG33" s="23" t="str">
        <f t="shared" si="5"/>
        <v>Win</v>
      </c>
      <c r="AH33" s="23">
        <f t="shared" si="6"/>
        <v>-50</v>
      </c>
      <c r="AI33" s="23">
        <f t="shared" si="7"/>
        <v>-50</v>
      </c>
      <c r="AJ33" s="23">
        <f t="shared" si="8"/>
        <v>64.999999999999986</v>
      </c>
    </row>
    <row r="34" spans="1:36" x14ac:dyDescent="0.2">
      <c r="A34" s="36">
        <v>43587</v>
      </c>
      <c r="B34" s="37" t="s">
        <v>152</v>
      </c>
      <c r="C34" s="37" t="s">
        <v>153</v>
      </c>
      <c r="D34" s="37" t="s">
        <v>195</v>
      </c>
      <c r="E34" s="37" t="s">
        <v>196</v>
      </c>
      <c r="F34" s="37" t="s">
        <v>197</v>
      </c>
      <c r="G34" s="37">
        <v>1</v>
      </c>
      <c r="H34" s="37">
        <v>2</v>
      </c>
      <c r="I34" s="37">
        <v>3.03</v>
      </c>
      <c r="J34" s="37">
        <v>2.98</v>
      </c>
      <c r="K34" s="37">
        <v>2.4900000000000002</v>
      </c>
      <c r="L34" s="37">
        <v>0.54</v>
      </c>
      <c r="M34" s="37">
        <v>59</v>
      </c>
      <c r="N34" s="37">
        <v>52</v>
      </c>
      <c r="O34" s="37">
        <v>0</v>
      </c>
      <c r="P34" s="37">
        <v>29</v>
      </c>
      <c r="Q34" s="37">
        <v>25</v>
      </c>
      <c r="R34" s="37">
        <v>0</v>
      </c>
      <c r="S34" s="37">
        <v>0</v>
      </c>
      <c r="T34" s="37">
        <v>0</v>
      </c>
      <c r="U34" s="37">
        <v>55.93</v>
      </c>
      <c r="V34" s="37">
        <v>11.86</v>
      </c>
      <c r="W34" s="37">
        <v>32.200000000000003</v>
      </c>
      <c r="X34" s="37">
        <v>44.23</v>
      </c>
      <c r="Y34" s="37">
        <v>32.69</v>
      </c>
      <c r="Z34" s="37">
        <v>23.08</v>
      </c>
      <c r="AA34" s="37">
        <v>55.17</v>
      </c>
      <c r="AB34" s="37">
        <v>36</v>
      </c>
      <c r="AC34" s="24">
        <f t="shared" si="1"/>
        <v>-1.5670000000000019</v>
      </c>
      <c r="AD34" s="25">
        <f t="shared" si="2"/>
        <v>1.5670000000000019</v>
      </c>
      <c r="AE34" s="23" t="str">
        <f t="shared" si="3"/>
        <v>Loss</v>
      </c>
      <c r="AF34" s="23" t="str">
        <f t="shared" si="4"/>
        <v>Loss</v>
      </c>
      <c r="AG34" s="23" t="str">
        <f t="shared" si="5"/>
        <v>Win</v>
      </c>
      <c r="AH34" s="23">
        <f t="shared" si="6"/>
        <v>-50</v>
      </c>
      <c r="AI34" s="23">
        <f t="shared" si="7"/>
        <v>-50</v>
      </c>
      <c r="AJ34" s="23">
        <f t="shared" si="8"/>
        <v>74.500000000000014</v>
      </c>
    </row>
    <row r="35" spans="1:36" x14ac:dyDescent="0.2">
      <c r="A35" s="36">
        <v>43587</v>
      </c>
      <c r="B35" s="37" t="s">
        <v>160</v>
      </c>
      <c r="C35" s="37" t="s">
        <v>161</v>
      </c>
      <c r="D35" s="37" t="s">
        <v>198</v>
      </c>
      <c r="E35" s="37" t="s">
        <v>199</v>
      </c>
      <c r="F35" s="37" t="s">
        <v>200</v>
      </c>
      <c r="G35" s="37">
        <v>1</v>
      </c>
      <c r="H35" s="37">
        <v>2</v>
      </c>
      <c r="I35" s="37">
        <v>2.71</v>
      </c>
      <c r="J35" s="37">
        <v>3.1</v>
      </c>
      <c r="K35" s="37">
        <v>2.58</v>
      </c>
      <c r="L35" s="37">
        <v>0.13</v>
      </c>
      <c r="M35" s="37">
        <v>1</v>
      </c>
      <c r="N35" s="37">
        <v>1</v>
      </c>
      <c r="O35" s="37">
        <v>1</v>
      </c>
      <c r="P35" s="37">
        <v>0</v>
      </c>
      <c r="Q35" s="37">
        <v>0</v>
      </c>
      <c r="R35" s="37">
        <v>0</v>
      </c>
      <c r="S35" s="37">
        <v>0</v>
      </c>
      <c r="T35" s="37">
        <v>100</v>
      </c>
      <c r="U35" s="37">
        <v>0</v>
      </c>
      <c r="V35" s="37">
        <v>0</v>
      </c>
      <c r="W35" s="37">
        <v>100</v>
      </c>
      <c r="X35" s="37">
        <v>100</v>
      </c>
      <c r="Y35" s="37">
        <v>0</v>
      </c>
      <c r="Z35" s="37">
        <v>0</v>
      </c>
      <c r="AA35" s="37">
        <v>0</v>
      </c>
      <c r="AB35" s="37">
        <v>0</v>
      </c>
      <c r="AC35" s="24">
        <f t="shared" si="1"/>
        <v>-70</v>
      </c>
      <c r="AD35" s="25">
        <f t="shared" si="2"/>
        <v>70</v>
      </c>
      <c r="AE35" s="23" t="str">
        <f t="shared" si="3"/>
        <v>Loss</v>
      </c>
      <c r="AF35" s="23" t="str">
        <f t="shared" si="4"/>
        <v>Loss</v>
      </c>
      <c r="AG35" s="23" t="str">
        <f t="shared" si="5"/>
        <v>Win</v>
      </c>
      <c r="AH35" s="23">
        <f t="shared" si="6"/>
        <v>-50</v>
      </c>
      <c r="AI35" s="23">
        <f t="shared" si="7"/>
        <v>-50</v>
      </c>
      <c r="AJ35" s="59">
        <f t="shared" si="8"/>
        <v>79</v>
      </c>
    </row>
    <row r="36" spans="1:36" x14ac:dyDescent="0.2">
      <c r="A36" s="36">
        <v>43587</v>
      </c>
      <c r="B36" s="37" t="s">
        <v>106</v>
      </c>
      <c r="C36" s="37" t="s">
        <v>107</v>
      </c>
      <c r="D36" s="37" t="s">
        <v>201</v>
      </c>
      <c r="E36" s="37" t="s">
        <v>202</v>
      </c>
      <c r="F36" s="37" t="s">
        <v>203</v>
      </c>
      <c r="G36" s="37">
        <v>2</v>
      </c>
      <c r="H36" s="37">
        <v>1</v>
      </c>
      <c r="I36" s="37">
        <v>1.41</v>
      </c>
      <c r="J36" s="37">
        <v>4.33</v>
      </c>
      <c r="K36" s="37">
        <v>6.85</v>
      </c>
      <c r="L36" s="37">
        <v>-5.44</v>
      </c>
      <c r="M36" s="37">
        <v>18</v>
      </c>
      <c r="N36" s="37">
        <v>22</v>
      </c>
      <c r="O36" s="37">
        <v>0</v>
      </c>
      <c r="P36" s="37">
        <v>9</v>
      </c>
      <c r="Q36" s="37">
        <v>10</v>
      </c>
      <c r="R36" s="37">
        <v>0</v>
      </c>
      <c r="S36" s="37">
        <v>0</v>
      </c>
      <c r="T36" s="37">
        <v>0</v>
      </c>
      <c r="U36" s="37">
        <v>27.78</v>
      </c>
      <c r="V36" s="37">
        <v>38.89</v>
      </c>
      <c r="W36" s="37">
        <v>33.33</v>
      </c>
      <c r="X36" s="37">
        <v>31.82</v>
      </c>
      <c r="Y36" s="37">
        <v>31.82</v>
      </c>
      <c r="Z36" s="37">
        <v>36.36</v>
      </c>
      <c r="AA36" s="37">
        <v>44.44</v>
      </c>
      <c r="AB36" s="37">
        <v>20</v>
      </c>
      <c r="AC36" s="24">
        <f t="shared" si="1"/>
        <v>0.50499999999999901</v>
      </c>
      <c r="AD36" s="25">
        <f t="shared" si="2"/>
        <v>-0.50499999999999901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23">
        <f t="shared" si="6"/>
        <v>20.5</v>
      </c>
      <c r="AI36" s="23">
        <f t="shared" si="7"/>
        <v>-50</v>
      </c>
      <c r="AJ36" s="23">
        <f t="shared" si="8"/>
        <v>-50</v>
      </c>
    </row>
    <row r="37" spans="1:36" x14ac:dyDescent="0.2">
      <c r="A37" s="36">
        <v>43587</v>
      </c>
      <c r="B37" s="37" t="s">
        <v>140</v>
      </c>
      <c r="C37" s="37" t="s">
        <v>112</v>
      </c>
      <c r="D37" s="37" t="s">
        <v>204</v>
      </c>
      <c r="E37" s="37" t="s">
        <v>205</v>
      </c>
      <c r="F37" s="37" t="s">
        <v>206</v>
      </c>
      <c r="G37" s="37">
        <v>1</v>
      </c>
      <c r="H37" s="37">
        <v>1</v>
      </c>
      <c r="I37" s="37">
        <v>1.94</v>
      </c>
      <c r="J37" s="37">
        <v>3.25</v>
      </c>
      <c r="K37" s="37">
        <v>3.53</v>
      </c>
      <c r="L37" s="37">
        <v>-1.59</v>
      </c>
      <c r="M37" s="37">
        <v>42</v>
      </c>
      <c r="N37" s="37">
        <v>44</v>
      </c>
      <c r="O37" s="37">
        <v>3</v>
      </c>
      <c r="P37" s="37">
        <v>21</v>
      </c>
      <c r="Q37" s="37">
        <v>22</v>
      </c>
      <c r="R37" s="37">
        <v>33.33</v>
      </c>
      <c r="S37" s="37">
        <v>0</v>
      </c>
      <c r="T37" s="37">
        <v>66.67</v>
      </c>
      <c r="U37" s="37">
        <v>23.81</v>
      </c>
      <c r="V37" s="37">
        <v>23.81</v>
      </c>
      <c r="W37" s="37">
        <v>52.38</v>
      </c>
      <c r="X37" s="37">
        <v>45.45</v>
      </c>
      <c r="Y37" s="37">
        <v>22.73</v>
      </c>
      <c r="Z37" s="37">
        <v>31.82</v>
      </c>
      <c r="AA37" s="37">
        <v>28.57</v>
      </c>
      <c r="AB37" s="37">
        <v>18.18</v>
      </c>
      <c r="AC37" s="24">
        <f t="shared" si="1"/>
        <v>-18.334000000000003</v>
      </c>
      <c r="AD37" s="25">
        <f t="shared" si="2"/>
        <v>18.334000000000003</v>
      </c>
      <c r="AE37" s="23" t="str">
        <f t="shared" si="3"/>
        <v>Loss</v>
      </c>
      <c r="AF37" s="23" t="str">
        <f t="shared" si="4"/>
        <v>Win</v>
      </c>
      <c r="AG37" s="23" t="str">
        <f t="shared" si="5"/>
        <v>Loss</v>
      </c>
      <c r="AH37" s="23">
        <f t="shared" si="6"/>
        <v>-50</v>
      </c>
      <c r="AI37" s="23">
        <f t="shared" si="7"/>
        <v>112.5</v>
      </c>
      <c r="AJ37" s="23">
        <f t="shared" si="8"/>
        <v>-50</v>
      </c>
    </row>
    <row r="38" spans="1:36" x14ac:dyDescent="0.2">
      <c r="A38" s="36">
        <v>43587</v>
      </c>
      <c r="B38" s="37" t="s">
        <v>147</v>
      </c>
      <c r="C38" s="37" t="s">
        <v>207</v>
      </c>
      <c r="D38" s="37" t="s">
        <v>208</v>
      </c>
      <c r="E38" s="37" t="s">
        <v>209</v>
      </c>
      <c r="F38" s="37" t="s">
        <v>210</v>
      </c>
      <c r="G38" s="37">
        <v>1</v>
      </c>
      <c r="H38" s="37">
        <v>1</v>
      </c>
      <c r="I38" s="37">
        <v>2.38</v>
      </c>
      <c r="J38" s="37">
        <v>3.12</v>
      </c>
      <c r="K38" s="37">
        <v>2.98</v>
      </c>
      <c r="L38" s="37">
        <v>-0.6</v>
      </c>
      <c r="M38" s="37">
        <v>7</v>
      </c>
      <c r="N38" s="37">
        <v>2</v>
      </c>
      <c r="O38" s="37">
        <v>1</v>
      </c>
      <c r="P38" s="37">
        <v>3</v>
      </c>
      <c r="Q38" s="37">
        <v>1</v>
      </c>
      <c r="R38" s="37">
        <v>100</v>
      </c>
      <c r="S38" s="37">
        <v>0</v>
      </c>
      <c r="T38" s="37">
        <v>0</v>
      </c>
      <c r="U38" s="37">
        <v>71.430000000000007</v>
      </c>
      <c r="V38" s="37">
        <v>14.29</v>
      </c>
      <c r="W38" s="37">
        <v>14.29</v>
      </c>
      <c r="X38" s="37">
        <v>0</v>
      </c>
      <c r="Y38" s="37">
        <v>0</v>
      </c>
      <c r="Z38" s="37">
        <v>100</v>
      </c>
      <c r="AA38" s="37">
        <v>100</v>
      </c>
      <c r="AB38" s="37">
        <v>0</v>
      </c>
      <c r="AC38" s="24">
        <f t="shared" si="1"/>
        <v>62.857000000000006</v>
      </c>
      <c r="AD38" s="25">
        <f t="shared" si="2"/>
        <v>-62.857000000000006</v>
      </c>
      <c r="AE38" s="23" t="str">
        <f t="shared" si="3"/>
        <v>Loss</v>
      </c>
      <c r="AF38" s="23" t="str">
        <f t="shared" si="4"/>
        <v>Win</v>
      </c>
      <c r="AG38" s="23" t="str">
        <f t="shared" si="5"/>
        <v>Loss</v>
      </c>
      <c r="AH38" s="59">
        <f t="shared" si="6"/>
        <v>-50</v>
      </c>
      <c r="AI38" s="23">
        <f t="shared" si="7"/>
        <v>106</v>
      </c>
      <c r="AJ38" s="23">
        <f t="shared" si="8"/>
        <v>-50</v>
      </c>
    </row>
    <row r="39" spans="1:36" x14ac:dyDescent="0.2">
      <c r="A39" s="36">
        <v>43587</v>
      </c>
      <c r="B39" s="37" t="s">
        <v>211</v>
      </c>
      <c r="C39" s="37" t="s">
        <v>212</v>
      </c>
      <c r="D39" s="37" t="s">
        <v>213</v>
      </c>
      <c r="E39" s="37" t="s">
        <v>214</v>
      </c>
      <c r="F39" s="37" t="s">
        <v>215</v>
      </c>
      <c r="G39" s="37">
        <v>2</v>
      </c>
      <c r="H39" s="37">
        <v>1</v>
      </c>
      <c r="I39" s="37">
        <v>1.61</v>
      </c>
      <c r="J39" s="37">
        <v>3.45</v>
      </c>
      <c r="K39" s="37">
        <v>5.1100000000000003</v>
      </c>
      <c r="L39" s="37">
        <v>-3.5</v>
      </c>
      <c r="M39" s="37">
        <v>4</v>
      </c>
      <c r="N39" s="37">
        <v>6</v>
      </c>
      <c r="O39" s="37">
        <v>0</v>
      </c>
      <c r="P39" s="37">
        <v>2</v>
      </c>
      <c r="Q39" s="37">
        <v>5</v>
      </c>
      <c r="R39" s="37">
        <v>0</v>
      </c>
      <c r="S39" s="37">
        <v>0</v>
      </c>
      <c r="T39" s="37">
        <v>0</v>
      </c>
      <c r="U39" s="37">
        <v>50</v>
      </c>
      <c r="V39" s="37">
        <v>25</v>
      </c>
      <c r="W39" s="37">
        <v>25</v>
      </c>
      <c r="X39" s="37">
        <v>33.33</v>
      </c>
      <c r="Y39" s="37">
        <v>0</v>
      </c>
      <c r="Z39" s="37">
        <v>66.67</v>
      </c>
      <c r="AA39" s="37">
        <v>50</v>
      </c>
      <c r="AB39" s="37">
        <v>40</v>
      </c>
      <c r="AC39" s="24">
        <f t="shared" si="1"/>
        <v>14.168000000000001</v>
      </c>
      <c r="AD39" s="25">
        <f t="shared" si="2"/>
        <v>-14.168000000000001</v>
      </c>
      <c r="AE39" s="23" t="str">
        <f t="shared" si="3"/>
        <v>Win</v>
      </c>
      <c r="AF39" s="23" t="str">
        <f t="shared" si="4"/>
        <v>Loss</v>
      </c>
      <c r="AG39" s="23" t="str">
        <f t="shared" si="5"/>
        <v>Loss</v>
      </c>
      <c r="AH39" s="23">
        <f t="shared" si="6"/>
        <v>30.5</v>
      </c>
      <c r="AI39" s="23">
        <f t="shared" si="7"/>
        <v>-50</v>
      </c>
      <c r="AJ39" s="23">
        <f t="shared" si="8"/>
        <v>-50</v>
      </c>
    </row>
    <row r="40" spans="1:36" x14ac:dyDescent="0.2">
      <c r="A40" s="36">
        <v>43587</v>
      </c>
      <c r="B40" s="37" t="s">
        <v>211</v>
      </c>
      <c r="C40" s="37" t="s">
        <v>212</v>
      </c>
      <c r="D40" s="37" t="s">
        <v>216</v>
      </c>
      <c r="E40" s="37" t="s">
        <v>217</v>
      </c>
      <c r="F40" s="37" t="s">
        <v>218</v>
      </c>
      <c r="G40" s="37">
        <v>1</v>
      </c>
      <c r="H40" s="37">
        <v>0</v>
      </c>
      <c r="I40" s="37">
        <v>2.33</v>
      </c>
      <c r="J40" s="37">
        <v>3.04</v>
      </c>
      <c r="K40" s="37">
        <v>2.82</v>
      </c>
      <c r="L40" s="37">
        <v>-0.49</v>
      </c>
      <c r="M40" s="37">
        <v>8</v>
      </c>
      <c r="N40" s="37">
        <v>6</v>
      </c>
      <c r="O40" s="37">
        <v>0</v>
      </c>
      <c r="P40" s="37">
        <v>6</v>
      </c>
      <c r="Q40" s="37">
        <v>1</v>
      </c>
      <c r="R40" s="37">
        <v>0</v>
      </c>
      <c r="S40" s="37">
        <v>0</v>
      </c>
      <c r="T40" s="37">
        <v>0</v>
      </c>
      <c r="U40" s="37">
        <v>62.5</v>
      </c>
      <c r="V40" s="37">
        <v>0</v>
      </c>
      <c r="W40" s="37">
        <v>37.5</v>
      </c>
      <c r="X40" s="37">
        <v>50</v>
      </c>
      <c r="Y40" s="37">
        <v>0</v>
      </c>
      <c r="Z40" s="37">
        <v>50</v>
      </c>
      <c r="AA40" s="37">
        <v>66.67</v>
      </c>
      <c r="AB40" s="37">
        <v>0</v>
      </c>
      <c r="AC40" s="24">
        <f t="shared" si="1"/>
        <v>5</v>
      </c>
      <c r="AD40" s="25">
        <f t="shared" si="2"/>
        <v>-5</v>
      </c>
      <c r="AE40" s="23" t="str">
        <f t="shared" si="3"/>
        <v>Win</v>
      </c>
      <c r="AF40" s="23" t="str">
        <f t="shared" si="4"/>
        <v>Loss</v>
      </c>
      <c r="AG40" s="23" t="str">
        <f t="shared" si="5"/>
        <v>Loss</v>
      </c>
      <c r="AH40" s="23">
        <f t="shared" si="6"/>
        <v>66.5</v>
      </c>
      <c r="AI40" s="23">
        <f t="shared" si="7"/>
        <v>-50</v>
      </c>
      <c r="AJ40" s="23">
        <f t="shared" si="8"/>
        <v>-50</v>
      </c>
    </row>
    <row r="41" spans="1:36" x14ac:dyDescent="0.2">
      <c r="A41" s="36">
        <v>43587</v>
      </c>
      <c r="B41" s="37" t="s">
        <v>211</v>
      </c>
      <c r="C41" s="37" t="s">
        <v>212</v>
      </c>
      <c r="D41" s="37" t="s">
        <v>219</v>
      </c>
      <c r="E41" s="37" t="s">
        <v>220</v>
      </c>
      <c r="F41" s="37" t="s">
        <v>221</v>
      </c>
      <c r="G41" s="37">
        <v>11</v>
      </c>
      <c r="H41" s="37">
        <v>0</v>
      </c>
      <c r="I41" s="37">
        <v>1.04</v>
      </c>
      <c r="J41" s="37">
        <v>9.73</v>
      </c>
      <c r="K41" s="37">
        <v>23.05</v>
      </c>
      <c r="L41" s="37">
        <v>-22.01</v>
      </c>
      <c r="M41" s="37">
        <v>9</v>
      </c>
      <c r="N41" s="37">
        <v>6</v>
      </c>
      <c r="O41" s="37">
        <v>0</v>
      </c>
      <c r="P41" s="37">
        <v>6</v>
      </c>
      <c r="Q41" s="37">
        <v>3</v>
      </c>
      <c r="R41" s="37">
        <v>0</v>
      </c>
      <c r="S41" s="37">
        <v>0</v>
      </c>
      <c r="T41" s="37">
        <v>0</v>
      </c>
      <c r="U41" s="37">
        <v>77.78</v>
      </c>
      <c r="V41" s="37">
        <v>11.11</v>
      </c>
      <c r="W41" s="37">
        <v>11.11</v>
      </c>
      <c r="X41" s="37">
        <v>16.670000000000002</v>
      </c>
      <c r="Y41" s="37">
        <v>0</v>
      </c>
      <c r="Z41" s="37">
        <v>83.33</v>
      </c>
      <c r="AA41" s="37">
        <v>100</v>
      </c>
      <c r="AB41" s="37">
        <v>33.33</v>
      </c>
      <c r="AC41" s="24">
        <f t="shared" si="1"/>
        <v>27.777000000000001</v>
      </c>
      <c r="AD41" s="25">
        <f t="shared" si="2"/>
        <v>-27.777000000000001</v>
      </c>
      <c r="AE41" s="23" t="str">
        <f t="shared" si="3"/>
        <v>Win</v>
      </c>
      <c r="AF41" s="23" t="str">
        <f t="shared" si="4"/>
        <v>Loss</v>
      </c>
      <c r="AG41" s="23" t="str">
        <f t="shared" si="5"/>
        <v>Loss</v>
      </c>
      <c r="AH41" s="23">
        <f t="shared" si="6"/>
        <v>2</v>
      </c>
      <c r="AI41" s="23">
        <f t="shared" si="7"/>
        <v>-50</v>
      </c>
      <c r="AJ41" s="23">
        <f t="shared" si="8"/>
        <v>-50</v>
      </c>
    </row>
    <row r="42" spans="1:36" x14ac:dyDescent="0.2">
      <c r="A42" s="36">
        <v>43587</v>
      </c>
      <c r="B42" s="37" t="s">
        <v>211</v>
      </c>
      <c r="C42" s="37" t="s">
        <v>212</v>
      </c>
      <c r="D42" s="37" t="s">
        <v>222</v>
      </c>
      <c r="E42" s="37" t="s">
        <v>223</v>
      </c>
      <c r="F42" s="37" t="s">
        <v>224</v>
      </c>
      <c r="G42" s="37">
        <v>0</v>
      </c>
      <c r="H42" s="37">
        <v>1</v>
      </c>
      <c r="I42" s="37">
        <v>2.68</v>
      </c>
      <c r="J42" s="37">
        <v>3.03</v>
      </c>
      <c r="K42" s="37">
        <v>2.44</v>
      </c>
      <c r="L42" s="37">
        <v>0.24</v>
      </c>
      <c r="M42" s="37">
        <v>9</v>
      </c>
      <c r="N42" s="37">
        <v>8</v>
      </c>
      <c r="O42" s="37">
        <v>0</v>
      </c>
      <c r="P42" s="37">
        <v>4</v>
      </c>
      <c r="Q42" s="37">
        <v>6</v>
      </c>
      <c r="R42" s="37">
        <v>0</v>
      </c>
      <c r="S42" s="37">
        <v>0</v>
      </c>
      <c r="T42" s="37">
        <v>0</v>
      </c>
      <c r="U42" s="37">
        <v>77.78</v>
      </c>
      <c r="V42" s="37">
        <v>0</v>
      </c>
      <c r="W42" s="37">
        <v>22.22</v>
      </c>
      <c r="X42" s="37">
        <v>62.5</v>
      </c>
      <c r="Y42" s="37">
        <v>0</v>
      </c>
      <c r="Z42" s="37">
        <v>37.5</v>
      </c>
      <c r="AA42" s="37">
        <v>75</v>
      </c>
      <c r="AB42" s="37">
        <v>66.67</v>
      </c>
      <c r="AC42" s="24">
        <f t="shared" si="1"/>
        <v>6.1120000000000019</v>
      </c>
      <c r="AD42" s="25">
        <f t="shared" si="2"/>
        <v>-6.1120000000000019</v>
      </c>
      <c r="AE42" s="23" t="str">
        <f t="shared" si="3"/>
        <v>Loss</v>
      </c>
      <c r="AF42" s="23" t="str">
        <f t="shared" si="4"/>
        <v>Loss</v>
      </c>
      <c r="AG42" s="23" t="str">
        <f t="shared" si="5"/>
        <v>Win</v>
      </c>
      <c r="AH42" s="23">
        <f t="shared" si="6"/>
        <v>-50</v>
      </c>
      <c r="AI42" s="23">
        <f t="shared" si="7"/>
        <v>-50</v>
      </c>
      <c r="AJ42" s="23">
        <f t="shared" si="8"/>
        <v>72</v>
      </c>
    </row>
    <row r="43" spans="1:36" x14ac:dyDescent="0.2">
      <c r="A43" s="36">
        <v>43587</v>
      </c>
      <c r="B43" s="37" t="s">
        <v>211</v>
      </c>
      <c r="C43" s="37" t="s">
        <v>212</v>
      </c>
      <c r="D43" s="37" t="s">
        <v>225</v>
      </c>
      <c r="E43" s="37" t="s">
        <v>226</v>
      </c>
      <c r="F43" s="37" t="s">
        <v>227</v>
      </c>
      <c r="G43" s="37">
        <v>1</v>
      </c>
      <c r="H43" s="37">
        <v>1</v>
      </c>
      <c r="I43" s="37">
        <v>2.95</v>
      </c>
      <c r="J43" s="37">
        <v>3.06</v>
      </c>
      <c r="K43" s="37">
        <v>2.2400000000000002</v>
      </c>
      <c r="L43" s="37">
        <v>0.71</v>
      </c>
      <c r="M43" s="37">
        <v>6</v>
      </c>
      <c r="N43" s="37">
        <v>8</v>
      </c>
      <c r="O43" s="37">
        <v>0</v>
      </c>
      <c r="P43" s="37">
        <v>4</v>
      </c>
      <c r="Q43" s="37">
        <v>5</v>
      </c>
      <c r="R43" s="37">
        <v>0</v>
      </c>
      <c r="S43" s="37">
        <v>0</v>
      </c>
      <c r="T43" s="37">
        <v>0</v>
      </c>
      <c r="U43" s="37">
        <v>33.33</v>
      </c>
      <c r="V43" s="37">
        <v>0</v>
      </c>
      <c r="W43" s="37">
        <v>66.67</v>
      </c>
      <c r="X43" s="37">
        <v>62.5</v>
      </c>
      <c r="Y43" s="37">
        <v>0</v>
      </c>
      <c r="Z43" s="37">
        <v>37.5</v>
      </c>
      <c r="AA43" s="37">
        <v>25</v>
      </c>
      <c r="AB43" s="37">
        <v>60</v>
      </c>
      <c r="AC43" s="24">
        <f t="shared" si="1"/>
        <v>-11.667999999999999</v>
      </c>
      <c r="AD43" s="25">
        <f t="shared" si="2"/>
        <v>11.667999999999999</v>
      </c>
      <c r="AE43" s="23" t="str">
        <f t="shared" si="3"/>
        <v>Loss</v>
      </c>
      <c r="AF43" s="23" t="str">
        <f t="shared" si="4"/>
        <v>Win</v>
      </c>
      <c r="AG43" s="23" t="str">
        <f t="shared" si="5"/>
        <v>Loss</v>
      </c>
      <c r="AH43" s="23">
        <f t="shared" si="6"/>
        <v>-50</v>
      </c>
      <c r="AI43" s="23">
        <f t="shared" si="7"/>
        <v>103</v>
      </c>
      <c r="AJ43" s="23">
        <f t="shared" si="8"/>
        <v>-50</v>
      </c>
    </row>
    <row r="44" spans="1:36" x14ac:dyDescent="0.2">
      <c r="A44" s="36">
        <v>43587</v>
      </c>
      <c r="B44" s="37" t="s">
        <v>228</v>
      </c>
      <c r="C44" s="37" t="s">
        <v>229</v>
      </c>
      <c r="D44" s="37" t="s">
        <v>230</v>
      </c>
      <c r="E44" s="37" t="s">
        <v>231</v>
      </c>
      <c r="F44" s="37" t="s">
        <v>232</v>
      </c>
      <c r="G44" s="37">
        <v>0</v>
      </c>
      <c r="H44" s="37">
        <v>3</v>
      </c>
      <c r="I44" s="37">
        <v>1</v>
      </c>
      <c r="J44" s="37">
        <v>1</v>
      </c>
      <c r="K44" s="37">
        <v>1</v>
      </c>
      <c r="L44" s="37">
        <v>0</v>
      </c>
      <c r="M44" s="37">
        <v>0</v>
      </c>
      <c r="N44" s="37">
        <v>0</v>
      </c>
      <c r="O44" s="37">
        <v>0</v>
      </c>
      <c r="P44" s="37">
        <v>0</v>
      </c>
      <c r="Q44" s="37">
        <v>0</v>
      </c>
      <c r="R44" s="37">
        <v>0</v>
      </c>
      <c r="S44" s="37">
        <v>0</v>
      </c>
      <c r="T44" s="37">
        <v>0</v>
      </c>
      <c r="U44" s="37">
        <v>0</v>
      </c>
      <c r="V44" s="37">
        <v>0</v>
      </c>
      <c r="W44" s="37">
        <v>0</v>
      </c>
      <c r="X44" s="37">
        <v>0</v>
      </c>
      <c r="Y44" s="37">
        <v>0</v>
      </c>
      <c r="Z44" s="37">
        <v>0</v>
      </c>
      <c r="AA44" s="37">
        <v>0</v>
      </c>
      <c r="AB44" s="37">
        <v>0</v>
      </c>
      <c r="AC44" s="24">
        <f t="shared" si="1"/>
        <v>0</v>
      </c>
      <c r="AD44" s="25">
        <f t="shared" si="2"/>
        <v>0</v>
      </c>
      <c r="AE44" s="23" t="str">
        <f t="shared" si="3"/>
        <v>Loss</v>
      </c>
      <c r="AF44" s="23" t="str">
        <f t="shared" si="4"/>
        <v>Loss</v>
      </c>
      <c r="AG44" s="23" t="str">
        <f t="shared" si="5"/>
        <v>Win</v>
      </c>
      <c r="AH44" s="23">
        <f t="shared" si="6"/>
        <v>-50</v>
      </c>
      <c r="AI44" s="23">
        <f t="shared" si="7"/>
        <v>-50</v>
      </c>
      <c r="AJ44" s="23">
        <f t="shared" si="8"/>
        <v>0</v>
      </c>
    </row>
    <row r="45" spans="1:36" x14ac:dyDescent="0.2">
      <c r="A45" s="36">
        <v>43587</v>
      </c>
      <c r="B45" s="37" t="s">
        <v>233</v>
      </c>
      <c r="C45" s="37" t="s">
        <v>234</v>
      </c>
      <c r="D45" s="37" t="s">
        <v>235</v>
      </c>
      <c r="E45" s="37" t="s">
        <v>236</v>
      </c>
      <c r="F45" s="37" t="s">
        <v>237</v>
      </c>
      <c r="G45" s="37">
        <v>4</v>
      </c>
      <c r="H45" s="37">
        <v>0</v>
      </c>
      <c r="I45" s="37">
        <v>1.21</v>
      </c>
      <c r="J45" s="37">
        <v>5.78</v>
      </c>
      <c r="K45" s="37">
        <v>9.66</v>
      </c>
      <c r="L45" s="37">
        <v>-8.4499999999999993</v>
      </c>
      <c r="M45" s="37">
        <v>32</v>
      </c>
      <c r="N45" s="37">
        <v>32</v>
      </c>
      <c r="O45" s="37">
        <v>4</v>
      </c>
      <c r="P45" s="37">
        <v>15</v>
      </c>
      <c r="Q45" s="37">
        <v>17</v>
      </c>
      <c r="R45" s="37">
        <v>75</v>
      </c>
      <c r="S45" s="37">
        <v>25</v>
      </c>
      <c r="T45" s="37">
        <v>0</v>
      </c>
      <c r="U45" s="37">
        <v>46.88</v>
      </c>
      <c r="V45" s="37">
        <v>31.25</v>
      </c>
      <c r="W45" s="37">
        <v>21.88</v>
      </c>
      <c r="X45" s="37">
        <v>9.3800000000000008</v>
      </c>
      <c r="Y45" s="37">
        <v>12.5</v>
      </c>
      <c r="Z45" s="37">
        <v>78.13</v>
      </c>
      <c r="AA45" s="37">
        <v>66.67</v>
      </c>
      <c r="AB45" s="37">
        <v>5.88</v>
      </c>
      <c r="AC45" s="24">
        <f t="shared" si="1"/>
        <v>45.625000000000007</v>
      </c>
      <c r="AD45" s="25">
        <f t="shared" si="2"/>
        <v>-40.625</v>
      </c>
      <c r="AE45" s="23" t="str">
        <f t="shared" si="3"/>
        <v>Win</v>
      </c>
      <c r="AF45" s="23" t="str">
        <f t="shared" si="4"/>
        <v>Loss</v>
      </c>
      <c r="AG45" s="23" t="str">
        <f t="shared" si="5"/>
        <v>Loss</v>
      </c>
      <c r="AH45" s="59">
        <f t="shared" si="6"/>
        <v>10.5</v>
      </c>
      <c r="AI45" s="23">
        <f t="shared" si="7"/>
        <v>-50</v>
      </c>
      <c r="AJ45" s="23">
        <f t="shared" si="8"/>
        <v>-50</v>
      </c>
    </row>
    <row r="46" spans="1:36" x14ac:dyDescent="0.2">
      <c r="A46" s="36">
        <v>43587</v>
      </c>
      <c r="B46" s="37" t="s">
        <v>233</v>
      </c>
      <c r="C46" s="37" t="s">
        <v>234</v>
      </c>
      <c r="D46" s="37" t="s">
        <v>238</v>
      </c>
      <c r="E46" s="37" t="s">
        <v>239</v>
      </c>
      <c r="F46" s="37" t="s">
        <v>240</v>
      </c>
      <c r="G46" s="37">
        <v>0</v>
      </c>
      <c r="H46" s="37">
        <v>2</v>
      </c>
      <c r="I46" s="37">
        <v>5.99</v>
      </c>
      <c r="J46" s="37">
        <v>4.6500000000000004</v>
      </c>
      <c r="K46" s="37">
        <v>1.39</v>
      </c>
      <c r="L46" s="37">
        <v>4.5999999999999996</v>
      </c>
      <c r="M46" s="37">
        <v>31</v>
      </c>
      <c r="N46" s="37">
        <v>33</v>
      </c>
      <c r="O46" s="37">
        <v>4</v>
      </c>
      <c r="P46" s="37">
        <v>17</v>
      </c>
      <c r="Q46" s="37">
        <v>15</v>
      </c>
      <c r="R46" s="37">
        <v>25</v>
      </c>
      <c r="S46" s="37">
        <v>0</v>
      </c>
      <c r="T46" s="37">
        <v>75</v>
      </c>
      <c r="U46" s="37">
        <v>45.16</v>
      </c>
      <c r="V46" s="37">
        <v>22.58</v>
      </c>
      <c r="W46" s="37">
        <v>32.26</v>
      </c>
      <c r="X46" s="37">
        <v>75.760000000000005</v>
      </c>
      <c r="Y46" s="37">
        <v>18.18</v>
      </c>
      <c r="Z46" s="37">
        <v>6.06</v>
      </c>
      <c r="AA46" s="37">
        <v>52.94</v>
      </c>
      <c r="AB46" s="37">
        <v>66.67</v>
      </c>
      <c r="AC46" s="24">
        <f t="shared" si="1"/>
        <v>-25.92</v>
      </c>
      <c r="AD46" s="25">
        <f t="shared" si="2"/>
        <v>25.92</v>
      </c>
      <c r="AE46" s="23" t="str">
        <f t="shared" si="3"/>
        <v>Loss</v>
      </c>
      <c r="AF46" s="23" t="str">
        <f t="shared" si="4"/>
        <v>Loss</v>
      </c>
      <c r="AG46" s="23" t="str">
        <f t="shared" si="5"/>
        <v>Win</v>
      </c>
      <c r="AH46" s="23">
        <f t="shared" si="6"/>
        <v>-50</v>
      </c>
      <c r="AI46" s="23">
        <f t="shared" si="7"/>
        <v>-50</v>
      </c>
      <c r="AJ46" s="23">
        <f t="shared" si="8"/>
        <v>19.5</v>
      </c>
    </row>
    <row r="47" spans="1:36" x14ac:dyDescent="0.2">
      <c r="A47" s="36">
        <v>43587</v>
      </c>
      <c r="B47" s="37" t="s">
        <v>233</v>
      </c>
      <c r="C47" s="37" t="s">
        <v>234</v>
      </c>
      <c r="D47" s="37" t="s">
        <v>241</v>
      </c>
      <c r="E47" s="37" t="s">
        <v>242</v>
      </c>
      <c r="F47" s="37" t="s">
        <v>243</v>
      </c>
      <c r="G47" s="37">
        <v>3</v>
      </c>
      <c r="H47" s="37">
        <v>0</v>
      </c>
      <c r="I47" s="37">
        <v>1.87</v>
      </c>
      <c r="J47" s="37">
        <v>3.59</v>
      </c>
      <c r="K47" s="37">
        <v>3.48</v>
      </c>
      <c r="L47" s="37">
        <v>-1.61</v>
      </c>
      <c r="M47" s="37">
        <v>30</v>
      </c>
      <c r="N47" s="37">
        <v>31</v>
      </c>
      <c r="O47" s="37">
        <v>4</v>
      </c>
      <c r="P47" s="37">
        <v>15</v>
      </c>
      <c r="Q47" s="37">
        <v>15</v>
      </c>
      <c r="R47" s="37">
        <v>75</v>
      </c>
      <c r="S47" s="37">
        <v>0</v>
      </c>
      <c r="T47" s="37">
        <v>25</v>
      </c>
      <c r="U47" s="37">
        <v>50</v>
      </c>
      <c r="V47" s="37">
        <v>13.33</v>
      </c>
      <c r="W47" s="37">
        <v>36.67</v>
      </c>
      <c r="X47" s="37">
        <v>16.13</v>
      </c>
      <c r="Y47" s="37">
        <v>29.03</v>
      </c>
      <c r="Z47" s="37">
        <v>54.84</v>
      </c>
      <c r="AA47" s="37">
        <v>66.67</v>
      </c>
      <c r="AB47" s="37">
        <v>13.33</v>
      </c>
      <c r="AC47" s="24">
        <f t="shared" si="1"/>
        <v>23.838000000000001</v>
      </c>
      <c r="AD47" s="25">
        <f t="shared" si="2"/>
        <v>-23.838000000000001</v>
      </c>
      <c r="AE47" s="23" t="str">
        <f t="shared" si="3"/>
        <v>Win</v>
      </c>
      <c r="AF47" s="23" t="str">
        <f t="shared" si="4"/>
        <v>Loss</v>
      </c>
      <c r="AG47" s="23" t="str">
        <f t="shared" si="5"/>
        <v>Loss</v>
      </c>
      <c r="AH47" s="23">
        <f t="shared" si="6"/>
        <v>43.5</v>
      </c>
      <c r="AI47" s="23">
        <f t="shared" si="7"/>
        <v>-50</v>
      </c>
      <c r="AJ47" s="23">
        <f t="shared" si="8"/>
        <v>-50</v>
      </c>
    </row>
    <row r="48" spans="1:36" x14ac:dyDescent="0.2">
      <c r="A48" s="36">
        <v>43587</v>
      </c>
      <c r="B48" s="37" t="s">
        <v>233</v>
      </c>
      <c r="C48" s="37" t="s">
        <v>234</v>
      </c>
      <c r="D48" s="37" t="s">
        <v>244</v>
      </c>
      <c r="E48" s="37" t="s">
        <v>245</v>
      </c>
      <c r="F48" s="37" t="s">
        <v>246</v>
      </c>
      <c r="G48" s="37">
        <v>0</v>
      </c>
      <c r="H48" s="37">
        <v>2</v>
      </c>
      <c r="I48" s="37">
        <v>1.25</v>
      </c>
      <c r="J48" s="37">
        <v>5.47</v>
      </c>
      <c r="K48" s="37">
        <v>8.08</v>
      </c>
      <c r="L48" s="37">
        <v>-6.83</v>
      </c>
      <c r="M48" s="37">
        <v>35</v>
      </c>
      <c r="N48" s="37">
        <v>32</v>
      </c>
      <c r="O48" s="37">
        <v>4</v>
      </c>
      <c r="P48" s="37">
        <v>16</v>
      </c>
      <c r="Q48" s="37">
        <v>16</v>
      </c>
      <c r="R48" s="37">
        <v>100</v>
      </c>
      <c r="S48" s="37">
        <v>0</v>
      </c>
      <c r="T48" s="37">
        <v>0</v>
      </c>
      <c r="U48" s="37">
        <v>54.29</v>
      </c>
      <c r="V48" s="37">
        <v>20</v>
      </c>
      <c r="W48" s="37">
        <v>25.71</v>
      </c>
      <c r="X48" s="37">
        <v>12.5</v>
      </c>
      <c r="Y48" s="37">
        <v>28.13</v>
      </c>
      <c r="Z48" s="37">
        <v>59.38</v>
      </c>
      <c r="AA48" s="37">
        <v>50</v>
      </c>
      <c r="AB48" s="37">
        <v>12.5</v>
      </c>
      <c r="AC48" s="24">
        <f t="shared" si="1"/>
        <v>44.278999999999996</v>
      </c>
      <c r="AD48" s="25">
        <f t="shared" si="2"/>
        <v>-44.278999999999996</v>
      </c>
      <c r="AE48" s="23" t="str">
        <f t="shared" si="3"/>
        <v>Loss</v>
      </c>
      <c r="AF48" s="23" t="str">
        <f t="shared" si="4"/>
        <v>Loss</v>
      </c>
      <c r="AG48" s="23" t="str">
        <f t="shared" si="5"/>
        <v>Win</v>
      </c>
      <c r="AH48" s="59">
        <f t="shared" si="6"/>
        <v>-50</v>
      </c>
      <c r="AI48" s="23">
        <f t="shared" si="7"/>
        <v>-50</v>
      </c>
      <c r="AJ48" s="23">
        <f t="shared" si="8"/>
        <v>354</v>
      </c>
    </row>
    <row r="49" spans="1:36" x14ac:dyDescent="0.2">
      <c r="A49" s="36">
        <v>43587</v>
      </c>
      <c r="B49" s="37" t="s">
        <v>247</v>
      </c>
      <c r="C49" s="37" t="s">
        <v>248</v>
      </c>
      <c r="D49" s="37" t="s">
        <v>249</v>
      </c>
      <c r="E49" s="37" t="s">
        <v>250</v>
      </c>
      <c r="F49" s="37" t="s">
        <v>251</v>
      </c>
      <c r="G49" s="37">
        <v>0</v>
      </c>
      <c r="H49" s="37">
        <v>1</v>
      </c>
      <c r="I49" s="37">
        <v>2.04</v>
      </c>
      <c r="J49" s="37">
        <v>3.18</v>
      </c>
      <c r="K49" s="37">
        <v>3.28</v>
      </c>
      <c r="L49" s="37">
        <v>-1.24</v>
      </c>
      <c r="M49" s="37">
        <v>28</v>
      </c>
      <c r="N49" s="37">
        <v>28</v>
      </c>
      <c r="O49" s="37">
        <v>1</v>
      </c>
      <c r="P49" s="37">
        <v>14</v>
      </c>
      <c r="Q49" s="37">
        <v>14</v>
      </c>
      <c r="R49" s="37">
        <v>0</v>
      </c>
      <c r="S49" s="37">
        <v>0</v>
      </c>
      <c r="T49" s="37">
        <v>100</v>
      </c>
      <c r="U49" s="37">
        <v>21.43</v>
      </c>
      <c r="V49" s="37">
        <v>28.57</v>
      </c>
      <c r="W49" s="37">
        <v>50</v>
      </c>
      <c r="X49" s="37">
        <v>39.29</v>
      </c>
      <c r="Y49" s="37">
        <v>28.57</v>
      </c>
      <c r="Z49" s="37">
        <v>32.14</v>
      </c>
      <c r="AA49" s="37">
        <v>35.71</v>
      </c>
      <c r="AB49" s="37">
        <v>28.57</v>
      </c>
      <c r="AC49" s="24">
        <f t="shared" si="1"/>
        <v>-37.144000000000005</v>
      </c>
      <c r="AD49" s="25">
        <f t="shared" si="2"/>
        <v>37.144000000000005</v>
      </c>
      <c r="AE49" s="23" t="str">
        <f t="shared" si="3"/>
        <v>Loss</v>
      </c>
      <c r="AF49" s="23" t="str">
        <f t="shared" si="4"/>
        <v>Loss</v>
      </c>
      <c r="AG49" s="23" t="str">
        <f t="shared" si="5"/>
        <v>Win</v>
      </c>
      <c r="AH49" s="23">
        <f t="shared" si="6"/>
        <v>-50</v>
      </c>
      <c r="AI49" s="23">
        <f t="shared" si="7"/>
        <v>-50</v>
      </c>
      <c r="AJ49" s="23">
        <f t="shared" si="8"/>
        <v>114</v>
      </c>
    </row>
    <row r="50" spans="1:36" x14ac:dyDescent="0.2">
      <c r="A50" s="36">
        <v>43587</v>
      </c>
      <c r="B50" s="37" t="s">
        <v>252</v>
      </c>
      <c r="C50" s="37" t="s">
        <v>253</v>
      </c>
      <c r="D50" s="37" t="s">
        <v>254</v>
      </c>
      <c r="E50" s="37" t="s">
        <v>255</v>
      </c>
      <c r="F50" s="37" t="s">
        <v>256</v>
      </c>
      <c r="G50" s="37">
        <v>4</v>
      </c>
      <c r="H50" s="37">
        <v>0</v>
      </c>
      <c r="I50" s="37">
        <v>1.39</v>
      </c>
      <c r="J50" s="37">
        <v>4.6399999999999997</v>
      </c>
      <c r="K50" s="37">
        <v>6.73</v>
      </c>
      <c r="L50" s="37">
        <v>-5.34</v>
      </c>
      <c r="M50" s="37">
        <v>7</v>
      </c>
      <c r="N50" s="37">
        <v>7</v>
      </c>
      <c r="O50" s="37">
        <v>0</v>
      </c>
      <c r="P50" s="37">
        <v>3</v>
      </c>
      <c r="Q50" s="37">
        <v>3</v>
      </c>
      <c r="R50" s="37">
        <v>0</v>
      </c>
      <c r="S50" s="37">
        <v>0</v>
      </c>
      <c r="T50" s="37">
        <v>0</v>
      </c>
      <c r="U50" s="37">
        <v>57.14</v>
      </c>
      <c r="V50" s="37">
        <v>0</v>
      </c>
      <c r="W50" s="37">
        <v>42.86</v>
      </c>
      <c r="X50" s="37">
        <v>85.71</v>
      </c>
      <c r="Y50" s="37">
        <v>14.29</v>
      </c>
      <c r="Z50" s="37">
        <v>0</v>
      </c>
      <c r="AA50" s="37">
        <v>100</v>
      </c>
      <c r="AB50" s="37">
        <v>66.67</v>
      </c>
      <c r="AC50" s="24">
        <f t="shared" si="1"/>
        <v>-15.715</v>
      </c>
      <c r="AD50" s="25">
        <f t="shared" si="2"/>
        <v>15.715</v>
      </c>
      <c r="AE50" s="23" t="str">
        <f t="shared" si="3"/>
        <v>Win</v>
      </c>
      <c r="AF50" s="23" t="str">
        <f t="shared" si="4"/>
        <v>Loss</v>
      </c>
      <c r="AG50" s="23" t="str">
        <f t="shared" si="5"/>
        <v>Loss</v>
      </c>
      <c r="AH50" s="23">
        <f t="shared" si="6"/>
        <v>19.5</v>
      </c>
      <c r="AI50" s="23">
        <f t="shared" si="7"/>
        <v>-50</v>
      </c>
      <c r="AJ50" s="23">
        <f t="shared" si="8"/>
        <v>-50</v>
      </c>
    </row>
    <row r="51" spans="1:36" x14ac:dyDescent="0.2">
      <c r="A51" s="36">
        <v>43587</v>
      </c>
      <c r="B51" s="37" t="s">
        <v>257</v>
      </c>
      <c r="C51" s="37" t="s">
        <v>248</v>
      </c>
      <c r="D51" s="37" t="s">
        <v>258</v>
      </c>
      <c r="E51" s="37" t="s">
        <v>259</v>
      </c>
      <c r="F51" s="37" t="s">
        <v>260</v>
      </c>
      <c r="G51" s="37">
        <v>3</v>
      </c>
      <c r="H51" s="37">
        <v>0</v>
      </c>
      <c r="I51" s="37">
        <v>1.86</v>
      </c>
      <c r="J51" s="37">
        <v>3.07</v>
      </c>
      <c r="K51" s="37">
        <v>4.22</v>
      </c>
      <c r="L51" s="37">
        <v>-2.36</v>
      </c>
      <c r="M51" s="37">
        <v>26</v>
      </c>
      <c r="N51" s="37">
        <v>28</v>
      </c>
      <c r="O51" s="37">
        <v>3</v>
      </c>
      <c r="P51" s="37">
        <v>13</v>
      </c>
      <c r="Q51" s="37">
        <v>14</v>
      </c>
      <c r="R51" s="37">
        <v>66.67</v>
      </c>
      <c r="S51" s="37">
        <v>33.33</v>
      </c>
      <c r="T51" s="37">
        <v>0</v>
      </c>
      <c r="U51" s="37">
        <v>23.08</v>
      </c>
      <c r="V51" s="37">
        <v>53.85</v>
      </c>
      <c r="W51" s="37">
        <v>23.08</v>
      </c>
      <c r="X51" s="37">
        <v>10.71</v>
      </c>
      <c r="Y51" s="37">
        <v>21.43</v>
      </c>
      <c r="Z51" s="37">
        <v>67.86</v>
      </c>
      <c r="AA51" s="37">
        <v>30.77</v>
      </c>
      <c r="AB51" s="37">
        <v>14.29</v>
      </c>
      <c r="AC51" s="24">
        <f t="shared" si="1"/>
        <v>38.006</v>
      </c>
      <c r="AD51" s="25">
        <f t="shared" si="2"/>
        <v>-31.340000000000003</v>
      </c>
      <c r="AE51" s="23" t="str">
        <f t="shared" si="3"/>
        <v>Win</v>
      </c>
      <c r="AF51" s="23" t="str">
        <f t="shared" si="4"/>
        <v>Loss</v>
      </c>
      <c r="AG51" s="23" t="str">
        <f t="shared" si="5"/>
        <v>Loss</v>
      </c>
      <c r="AH51" s="23">
        <f t="shared" si="6"/>
        <v>43</v>
      </c>
      <c r="AI51" s="23">
        <f t="shared" si="7"/>
        <v>-50</v>
      </c>
      <c r="AJ51" s="23">
        <f t="shared" si="8"/>
        <v>-50</v>
      </c>
    </row>
    <row r="52" spans="1:36" x14ac:dyDescent="0.2">
      <c r="A52" s="36">
        <v>43587</v>
      </c>
      <c r="B52" s="37" t="s">
        <v>261</v>
      </c>
      <c r="C52" s="37" t="s">
        <v>248</v>
      </c>
      <c r="D52" s="37" t="s">
        <v>262</v>
      </c>
      <c r="E52" s="37" t="s">
        <v>263</v>
      </c>
      <c r="F52" s="37" t="s">
        <v>264</v>
      </c>
      <c r="G52" s="37">
        <v>1</v>
      </c>
      <c r="H52" s="37">
        <v>0</v>
      </c>
      <c r="I52" s="37">
        <v>1.99</v>
      </c>
      <c r="J52" s="37">
        <v>3.05</v>
      </c>
      <c r="K52" s="37">
        <v>3.65</v>
      </c>
      <c r="L52" s="37">
        <v>-1.66</v>
      </c>
      <c r="M52" s="37">
        <v>24</v>
      </c>
      <c r="N52" s="37">
        <v>27</v>
      </c>
      <c r="O52" s="37">
        <v>1</v>
      </c>
      <c r="P52" s="37">
        <v>11</v>
      </c>
      <c r="Q52" s="37">
        <v>13</v>
      </c>
      <c r="R52" s="37">
        <v>0</v>
      </c>
      <c r="S52" s="37">
        <v>0</v>
      </c>
      <c r="T52" s="37">
        <v>100</v>
      </c>
      <c r="U52" s="37">
        <v>50</v>
      </c>
      <c r="V52" s="37">
        <v>25</v>
      </c>
      <c r="W52" s="37">
        <v>25</v>
      </c>
      <c r="X52" s="37">
        <v>29.63</v>
      </c>
      <c r="Y52" s="37">
        <v>48.15</v>
      </c>
      <c r="Z52" s="37">
        <v>22.22</v>
      </c>
      <c r="AA52" s="37">
        <v>72.73</v>
      </c>
      <c r="AB52" s="37">
        <v>23.08</v>
      </c>
      <c r="AC52" s="24">
        <f t="shared" si="1"/>
        <v>-28.797000000000001</v>
      </c>
      <c r="AD52" s="25">
        <f t="shared" si="2"/>
        <v>28.797000000000001</v>
      </c>
      <c r="AE52" s="23" t="str">
        <f t="shared" si="3"/>
        <v>Win</v>
      </c>
      <c r="AF52" s="23" t="str">
        <f t="shared" si="4"/>
        <v>Loss</v>
      </c>
      <c r="AG52" s="23" t="str">
        <f t="shared" si="5"/>
        <v>Loss</v>
      </c>
      <c r="AH52" s="23">
        <f t="shared" si="6"/>
        <v>49.5</v>
      </c>
      <c r="AI52" s="23">
        <f t="shared" si="7"/>
        <v>-50</v>
      </c>
      <c r="AJ52" s="23">
        <f t="shared" si="8"/>
        <v>-50</v>
      </c>
    </row>
    <row r="53" spans="1:36" x14ac:dyDescent="0.2">
      <c r="A53" s="36">
        <v>43587</v>
      </c>
      <c r="B53" s="37" t="s">
        <v>261</v>
      </c>
      <c r="C53" s="37" t="s">
        <v>248</v>
      </c>
      <c r="D53" s="37" t="s">
        <v>265</v>
      </c>
      <c r="E53" s="37" t="s">
        <v>266</v>
      </c>
      <c r="F53" s="37" t="s">
        <v>267</v>
      </c>
      <c r="G53" s="37">
        <v>3</v>
      </c>
      <c r="H53" s="37">
        <v>3</v>
      </c>
      <c r="I53" s="37">
        <v>1.32</v>
      </c>
      <c r="J53" s="37">
        <v>4.55</v>
      </c>
      <c r="K53" s="37">
        <v>7.93</v>
      </c>
      <c r="L53" s="37">
        <v>-6.61</v>
      </c>
      <c r="M53" s="37">
        <v>23</v>
      </c>
      <c r="N53" s="37">
        <v>25</v>
      </c>
      <c r="O53" s="37">
        <v>1</v>
      </c>
      <c r="P53" s="37">
        <v>12</v>
      </c>
      <c r="Q53" s="37">
        <v>12</v>
      </c>
      <c r="R53" s="37">
        <v>0</v>
      </c>
      <c r="S53" s="37">
        <v>0</v>
      </c>
      <c r="T53" s="37">
        <v>100</v>
      </c>
      <c r="U53" s="37">
        <v>73.91</v>
      </c>
      <c r="V53" s="37">
        <v>17.39</v>
      </c>
      <c r="W53" s="37">
        <v>8.6999999999999993</v>
      </c>
      <c r="X53" s="37">
        <v>28</v>
      </c>
      <c r="Y53" s="37">
        <v>36</v>
      </c>
      <c r="Z53" s="37">
        <v>36</v>
      </c>
      <c r="AA53" s="37">
        <v>83.33</v>
      </c>
      <c r="AB53" s="37">
        <v>33.33</v>
      </c>
      <c r="AC53" s="24">
        <f t="shared" si="1"/>
        <v>-17.219000000000001</v>
      </c>
      <c r="AD53" s="25">
        <f t="shared" si="2"/>
        <v>17.219000000000001</v>
      </c>
      <c r="AE53" s="23" t="str">
        <f t="shared" si="3"/>
        <v>Loss</v>
      </c>
      <c r="AF53" s="23" t="str">
        <f t="shared" si="4"/>
        <v>Win</v>
      </c>
      <c r="AG53" s="23" t="str">
        <f t="shared" si="5"/>
        <v>Loss</v>
      </c>
      <c r="AH53" s="23">
        <f t="shared" si="6"/>
        <v>-50</v>
      </c>
      <c r="AI53" s="23">
        <f t="shared" si="7"/>
        <v>177.5</v>
      </c>
      <c r="AJ53" s="23">
        <f t="shared" si="8"/>
        <v>-50</v>
      </c>
    </row>
    <row r="54" spans="1:36" x14ac:dyDescent="0.2">
      <c r="A54" s="36">
        <v>43587</v>
      </c>
      <c r="B54" s="37" t="s">
        <v>268</v>
      </c>
      <c r="C54" s="37" t="s">
        <v>269</v>
      </c>
      <c r="D54" s="37" t="s">
        <v>270</v>
      </c>
      <c r="E54" s="37" t="s">
        <v>271</v>
      </c>
      <c r="F54" s="37" t="s">
        <v>272</v>
      </c>
      <c r="G54" s="37">
        <v>3</v>
      </c>
      <c r="H54" s="37">
        <v>3</v>
      </c>
      <c r="I54" s="37">
        <v>1.39</v>
      </c>
      <c r="J54" s="37">
        <v>5.14</v>
      </c>
      <c r="K54" s="37">
        <v>5.25</v>
      </c>
      <c r="L54" s="37">
        <v>-3.86</v>
      </c>
      <c r="M54" s="37">
        <v>16</v>
      </c>
      <c r="N54" s="37">
        <v>15</v>
      </c>
      <c r="O54" s="37">
        <v>0</v>
      </c>
      <c r="P54" s="37">
        <v>8</v>
      </c>
      <c r="Q54" s="37">
        <v>8</v>
      </c>
      <c r="R54" s="37">
        <v>0</v>
      </c>
      <c r="S54" s="37">
        <v>0</v>
      </c>
      <c r="T54" s="37">
        <v>0</v>
      </c>
      <c r="U54" s="37">
        <v>50</v>
      </c>
      <c r="V54" s="37">
        <v>12.5</v>
      </c>
      <c r="W54" s="37">
        <v>37.5</v>
      </c>
      <c r="X54" s="37">
        <v>46.67</v>
      </c>
      <c r="Y54" s="37">
        <v>13.33</v>
      </c>
      <c r="Z54" s="37">
        <v>40</v>
      </c>
      <c r="AA54" s="37">
        <v>62.5</v>
      </c>
      <c r="AB54" s="37">
        <v>37.5</v>
      </c>
      <c r="AC54" s="24">
        <f t="shared" si="1"/>
        <v>1.0829999999999984</v>
      </c>
      <c r="AD54" s="25">
        <f t="shared" si="2"/>
        <v>-1.0829999999999984</v>
      </c>
      <c r="AE54" s="23" t="str">
        <f t="shared" si="3"/>
        <v>Loss</v>
      </c>
      <c r="AF54" s="23" t="str">
        <f t="shared" si="4"/>
        <v>Win</v>
      </c>
      <c r="AG54" s="23" t="str">
        <f t="shared" si="5"/>
        <v>Loss</v>
      </c>
      <c r="AH54" s="23">
        <f t="shared" si="6"/>
        <v>-50</v>
      </c>
      <c r="AI54" s="23">
        <f t="shared" si="7"/>
        <v>207</v>
      </c>
      <c r="AJ54" s="23">
        <f t="shared" si="8"/>
        <v>-50</v>
      </c>
    </row>
    <row r="55" spans="1:36" x14ac:dyDescent="0.2">
      <c r="A55" s="36">
        <v>43587</v>
      </c>
      <c r="B55" s="37" t="s">
        <v>273</v>
      </c>
      <c r="C55" s="37" t="s">
        <v>274</v>
      </c>
      <c r="D55" s="37" t="s">
        <v>275</v>
      </c>
      <c r="E55" s="37" t="s">
        <v>276</v>
      </c>
      <c r="F55" s="37" t="s">
        <v>277</v>
      </c>
      <c r="G55" s="37">
        <v>3</v>
      </c>
      <c r="H55" s="37">
        <v>1</v>
      </c>
      <c r="I55" s="37">
        <v>1.53</v>
      </c>
      <c r="J55" s="37">
        <v>3.9</v>
      </c>
      <c r="K55" s="37">
        <v>5</v>
      </c>
      <c r="L55" s="37">
        <v>-3.47</v>
      </c>
      <c r="M55" s="37">
        <v>0</v>
      </c>
      <c r="N55" s="37">
        <v>1</v>
      </c>
      <c r="O55" s="37">
        <v>0</v>
      </c>
      <c r="P55" s="37">
        <v>0</v>
      </c>
      <c r="Q55" s="37">
        <v>0</v>
      </c>
      <c r="R55" s="37">
        <v>0</v>
      </c>
      <c r="S55" s="37">
        <v>0</v>
      </c>
      <c r="T55" s="37">
        <v>0</v>
      </c>
      <c r="U55" s="37">
        <v>0</v>
      </c>
      <c r="V55" s="37">
        <v>0</v>
      </c>
      <c r="W55" s="37">
        <v>0</v>
      </c>
      <c r="X55" s="37">
        <v>0</v>
      </c>
      <c r="Y55" s="37">
        <v>100</v>
      </c>
      <c r="Z55" s="37">
        <v>0</v>
      </c>
      <c r="AA55" s="37">
        <v>0</v>
      </c>
      <c r="AB55" s="37">
        <v>0</v>
      </c>
      <c r="AC55" s="24">
        <f t="shared" si="1"/>
        <v>-10</v>
      </c>
      <c r="AD55" s="25">
        <f t="shared" si="2"/>
        <v>10</v>
      </c>
      <c r="AE55" s="23" t="str">
        <f t="shared" si="3"/>
        <v>Win</v>
      </c>
      <c r="AF55" s="23" t="str">
        <f t="shared" si="4"/>
        <v>Loss</v>
      </c>
      <c r="AG55" s="23" t="str">
        <f t="shared" si="5"/>
        <v>Loss</v>
      </c>
      <c r="AH55" s="23">
        <f t="shared" si="6"/>
        <v>26.5</v>
      </c>
      <c r="AI55" s="23">
        <f t="shared" si="7"/>
        <v>-50</v>
      </c>
      <c r="AJ55" s="23">
        <f t="shared" si="8"/>
        <v>-50</v>
      </c>
    </row>
    <row r="56" spans="1:36" x14ac:dyDescent="0.2">
      <c r="A56" s="36">
        <v>43587</v>
      </c>
      <c r="B56" s="37" t="s">
        <v>278</v>
      </c>
      <c r="C56" s="37" t="s">
        <v>279</v>
      </c>
      <c r="D56" s="37" t="s">
        <v>280</v>
      </c>
      <c r="E56" s="37" t="s">
        <v>281</v>
      </c>
      <c r="F56" s="37" t="s">
        <v>282</v>
      </c>
      <c r="G56" s="37">
        <v>1</v>
      </c>
      <c r="H56" s="37">
        <v>1</v>
      </c>
      <c r="I56" s="37">
        <v>3.05</v>
      </c>
      <c r="J56" s="37">
        <v>3.37</v>
      </c>
      <c r="K56" s="37">
        <v>2.14</v>
      </c>
      <c r="L56" s="37">
        <v>0.91</v>
      </c>
      <c r="M56" s="37">
        <v>31</v>
      </c>
      <c r="N56" s="37">
        <v>33</v>
      </c>
      <c r="O56" s="37">
        <v>3</v>
      </c>
      <c r="P56" s="37">
        <v>14</v>
      </c>
      <c r="Q56" s="37">
        <v>17</v>
      </c>
      <c r="R56" s="37">
        <v>33.33</v>
      </c>
      <c r="S56" s="37">
        <v>33.33</v>
      </c>
      <c r="T56" s="37">
        <v>33.33</v>
      </c>
      <c r="U56" s="37">
        <v>32.26</v>
      </c>
      <c r="V56" s="37">
        <v>12.9</v>
      </c>
      <c r="W56" s="37">
        <v>54.84</v>
      </c>
      <c r="X56" s="37">
        <v>27.27</v>
      </c>
      <c r="Y56" s="37">
        <v>24.24</v>
      </c>
      <c r="Z56" s="37">
        <v>48.48</v>
      </c>
      <c r="AA56" s="37">
        <v>35.71</v>
      </c>
      <c r="AB56" s="37">
        <v>23.53</v>
      </c>
      <c r="AC56" s="24">
        <f t="shared" si="1"/>
        <v>1.9249999999999972</v>
      </c>
      <c r="AD56" s="25">
        <f t="shared" si="2"/>
        <v>4.7410000000000014</v>
      </c>
      <c r="AE56" s="23" t="str">
        <f t="shared" si="3"/>
        <v>Loss</v>
      </c>
      <c r="AF56" s="23" t="str">
        <f t="shared" si="4"/>
        <v>Win</v>
      </c>
      <c r="AG56" s="23" t="str">
        <f t="shared" si="5"/>
        <v>Loss</v>
      </c>
      <c r="AH56" s="23">
        <f t="shared" si="6"/>
        <v>-50</v>
      </c>
      <c r="AI56" s="23">
        <f t="shared" si="7"/>
        <v>118.5</v>
      </c>
      <c r="AJ56" s="23">
        <f t="shared" si="8"/>
        <v>-50</v>
      </c>
    </row>
    <row r="57" spans="1:36" x14ac:dyDescent="0.2">
      <c r="A57" s="36">
        <v>43587</v>
      </c>
      <c r="B57" s="37" t="s">
        <v>228</v>
      </c>
      <c r="C57" s="37" t="s">
        <v>229</v>
      </c>
      <c r="D57" s="37" t="s">
        <v>283</v>
      </c>
      <c r="E57" s="37" t="s">
        <v>284</v>
      </c>
      <c r="F57" s="37" t="s">
        <v>285</v>
      </c>
      <c r="G57" s="37">
        <v>1</v>
      </c>
      <c r="H57" s="37">
        <v>0</v>
      </c>
      <c r="I57" s="37">
        <v>1.69</v>
      </c>
      <c r="J57" s="37">
        <v>3.1</v>
      </c>
      <c r="K57" s="37">
        <v>4.7</v>
      </c>
      <c r="L57" s="37">
        <v>-3.01</v>
      </c>
      <c r="M57" s="37">
        <v>0</v>
      </c>
      <c r="N57" s="37">
        <v>0</v>
      </c>
      <c r="O57" s="37">
        <v>0</v>
      </c>
      <c r="P57" s="37">
        <v>0</v>
      </c>
      <c r="Q57" s="37">
        <v>0</v>
      </c>
      <c r="R57" s="37">
        <v>0</v>
      </c>
      <c r="S57" s="37">
        <v>0</v>
      </c>
      <c r="T57" s="37">
        <v>0</v>
      </c>
      <c r="U57" s="37">
        <v>0</v>
      </c>
      <c r="V57" s="37">
        <v>0</v>
      </c>
      <c r="W57" s="37">
        <v>0</v>
      </c>
      <c r="X57" s="37">
        <v>0</v>
      </c>
      <c r="Y57" s="37">
        <v>0</v>
      </c>
      <c r="Z57" s="37">
        <v>0</v>
      </c>
      <c r="AA57" s="37">
        <v>0</v>
      </c>
      <c r="AB57" s="37">
        <v>0</v>
      </c>
      <c r="AC57" s="24">
        <f t="shared" si="1"/>
        <v>0</v>
      </c>
      <c r="AD57" s="25">
        <f t="shared" si="2"/>
        <v>0</v>
      </c>
      <c r="AE57" s="23" t="str">
        <f t="shared" si="3"/>
        <v>Win</v>
      </c>
      <c r="AF57" s="23" t="str">
        <f t="shared" si="4"/>
        <v>Loss</v>
      </c>
      <c r="AG57" s="23" t="str">
        <f t="shared" si="5"/>
        <v>Loss</v>
      </c>
      <c r="AH57" s="23">
        <f t="shared" si="6"/>
        <v>34.5</v>
      </c>
      <c r="AI57" s="23">
        <f t="shared" si="7"/>
        <v>-50</v>
      </c>
      <c r="AJ57" s="23">
        <f t="shared" si="8"/>
        <v>-50</v>
      </c>
    </row>
    <row r="58" spans="1:36" x14ac:dyDescent="0.2">
      <c r="A58" s="36">
        <v>43587</v>
      </c>
      <c r="B58" s="37" t="s">
        <v>286</v>
      </c>
      <c r="C58" s="37" t="s">
        <v>287</v>
      </c>
      <c r="D58" s="37" t="s">
        <v>288</v>
      </c>
      <c r="E58" s="37" t="s">
        <v>289</v>
      </c>
      <c r="F58" s="37" t="s">
        <v>290</v>
      </c>
      <c r="G58" s="37">
        <v>1</v>
      </c>
      <c r="H58" s="37">
        <v>0</v>
      </c>
      <c r="I58" s="37">
        <v>1.82</v>
      </c>
      <c r="J58" s="37">
        <v>2.95</v>
      </c>
      <c r="K58" s="37">
        <v>4.58</v>
      </c>
      <c r="L58" s="37">
        <v>-2.76</v>
      </c>
      <c r="M58" s="37">
        <v>23</v>
      </c>
      <c r="N58" s="37">
        <v>23</v>
      </c>
      <c r="O58" s="37">
        <v>1</v>
      </c>
      <c r="P58" s="37">
        <v>11</v>
      </c>
      <c r="Q58" s="37">
        <v>12</v>
      </c>
      <c r="R58" s="37">
        <v>0</v>
      </c>
      <c r="S58" s="37">
        <v>0</v>
      </c>
      <c r="T58" s="37">
        <v>100</v>
      </c>
      <c r="U58" s="37">
        <v>30.43</v>
      </c>
      <c r="V58" s="37">
        <v>21.74</v>
      </c>
      <c r="W58" s="37">
        <v>47.83</v>
      </c>
      <c r="X58" s="37">
        <v>34.78</v>
      </c>
      <c r="Y58" s="37">
        <v>13.04</v>
      </c>
      <c r="Z58" s="37">
        <v>52.17</v>
      </c>
      <c r="AA58" s="37">
        <v>63.64</v>
      </c>
      <c r="AB58" s="37">
        <v>16.670000000000002</v>
      </c>
      <c r="AC58" s="24">
        <f t="shared" si="1"/>
        <v>-29.132000000000009</v>
      </c>
      <c r="AD58" s="25">
        <f t="shared" si="2"/>
        <v>29.132000000000009</v>
      </c>
      <c r="AE58" s="23" t="str">
        <f t="shared" si="3"/>
        <v>Win</v>
      </c>
      <c r="AF58" s="23" t="str">
        <f t="shared" si="4"/>
        <v>Loss</v>
      </c>
      <c r="AG58" s="23" t="str">
        <f t="shared" si="5"/>
        <v>Loss</v>
      </c>
      <c r="AH58" s="23">
        <f t="shared" si="6"/>
        <v>41</v>
      </c>
      <c r="AI58" s="23">
        <f t="shared" si="7"/>
        <v>-50</v>
      </c>
      <c r="AJ58" s="23">
        <f t="shared" si="8"/>
        <v>-50</v>
      </c>
    </row>
    <row r="59" spans="1:36" x14ac:dyDescent="0.2">
      <c r="A59" s="36">
        <v>43587</v>
      </c>
      <c r="B59" s="37" t="s">
        <v>286</v>
      </c>
      <c r="C59" s="37" t="s">
        <v>287</v>
      </c>
      <c r="D59" s="37" t="s">
        <v>291</v>
      </c>
      <c r="E59" s="37" t="s">
        <v>292</v>
      </c>
      <c r="F59" s="37" t="s">
        <v>293</v>
      </c>
      <c r="G59" s="37">
        <v>4</v>
      </c>
      <c r="H59" s="37">
        <v>0</v>
      </c>
      <c r="I59" s="37">
        <v>1.36</v>
      </c>
      <c r="J59" s="37">
        <v>3.86</v>
      </c>
      <c r="K59" s="37">
        <v>8.2799999999999994</v>
      </c>
      <c r="L59" s="37">
        <v>-6.92</v>
      </c>
      <c r="M59" s="37">
        <v>23</v>
      </c>
      <c r="N59" s="37">
        <v>23</v>
      </c>
      <c r="O59" s="37">
        <v>1</v>
      </c>
      <c r="P59" s="37">
        <v>12</v>
      </c>
      <c r="Q59" s="37">
        <v>11</v>
      </c>
      <c r="R59" s="37">
        <v>0</v>
      </c>
      <c r="S59" s="37">
        <v>100</v>
      </c>
      <c r="T59" s="37">
        <v>0</v>
      </c>
      <c r="U59" s="37">
        <v>69.569999999999993</v>
      </c>
      <c r="V59" s="37">
        <v>13.04</v>
      </c>
      <c r="W59" s="37">
        <v>17.39</v>
      </c>
      <c r="X59" s="37">
        <v>39.130000000000003</v>
      </c>
      <c r="Y59" s="37">
        <v>17.39</v>
      </c>
      <c r="Z59" s="37">
        <v>43.48</v>
      </c>
      <c r="AA59" s="37">
        <v>83.33</v>
      </c>
      <c r="AB59" s="37">
        <v>36.36</v>
      </c>
      <c r="AC59" s="24">
        <f t="shared" si="1"/>
        <v>20.870999999999995</v>
      </c>
      <c r="AD59" s="25">
        <f t="shared" si="2"/>
        <v>-0.87099999999999955</v>
      </c>
      <c r="AE59" s="23" t="str">
        <f t="shared" si="3"/>
        <v>Win</v>
      </c>
      <c r="AF59" s="23" t="str">
        <f t="shared" si="4"/>
        <v>Loss</v>
      </c>
      <c r="AG59" s="23" t="str">
        <f t="shared" si="5"/>
        <v>Loss</v>
      </c>
      <c r="AH59" s="23">
        <f t="shared" si="6"/>
        <v>18</v>
      </c>
      <c r="AI59" s="23">
        <f t="shared" si="7"/>
        <v>-50</v>
      </c>
      <c r="AJ59" s="23">
        <f t="shared" si="8"/>
        <v>-50</v>
      </c>
    </row>
    <row r="60" spans="1:36" x14ac:dyDescent="0.2">
      <c r="A60" s="36">
        <v>43587</v>
      </c>
      <c r="B60" s="37" t="s">
        <v>294</v>
      </c>
      <c r="C60" s="37" t="s">
        <v>295</v>
      </c>
      <c r="D60" s="37" t="s">
        <v>296</v>
      </c>
      <c r="E60" s="37" t="s">
        <v>297</v>
      </c>
      <c r="F60" s="37" t="s">
        <v>298</v>
      </c>
      <c r="G60" s="37">
        <v>2</v>
      </c>
      <c r="H60" s="37">
        <v>2</v>
      </c>
      <c r="I60" s="37">
        <v>1.17</v>
      </c>
      <c r="J60" s="37">
        <v>6.21</v>
      </c>
      <c r="K60" s="37">
        <v>11.93</v>
      </c>
      <c r="L60" s="37">
        <v>-10.76</v>
      </c>
      <c r="M60" s="37">
        <v>9</v>
      </c>
      <c r="N60" s="37">
        <v>10</v>
      </c>
      <c r="O60" s="37">
        <v>0</v>
      </c>
      <c r="P60" s="37">
        <v>6</v>
      </c>
      <c r="Q60" s="37">
        <v>5</v>
      </c>
      <c r="R60" s="37">
        <v>0</v>
      </c>
      <c r="S60" s="37">
        <v>0</v>
      </c>
      <c r="T60" s="37">
        <v>0</v>
      </c>
      <c r="U60" s="37">
        <v>77.78</v>
      </c>
      <c r="V60" s="37">
        <v>0</v>
      </c>
      <c r="W60" s="37">
        <v>22.22</v>
      </c>
      <c r="X60" s="37">
        <v>40</v>
      </c>
      <c r="Y60" s="37">
        <v>20</v>
      </c>
      <c r="Z60" s="37">
        <v>40</v>
      </c>
      <c r="AA60" s="37">
        <v>100</v>
      </c>
      <c r="AB60" s="37">
        <v>40</v>
      </c>
      <c r="AC60" s="24">
        <f t="shared" si="1"/>
        <v>9.1120000000000019</v>
      </c>
      <c r="AD60" s="25">
        <f t="shared" si="2"/>
        <v>-9.1120000000000019</v>
      </c>
      <c r="AE60" s="23" t="str">
        <f t="shared" si="3"/>
        <v>Loss</v>
      </c>
      <c r="AF60" s="23" t="str">
        <f t="shared" si="4"/>
        <v>Win</v>
      </c>
      <c r="AG60" s="23" t="str">
        <f t="shared" si="5"/>
        <v>Loss</v>
      </c>
      <c r="AH60" s="23">
        <f t="shared" si="6"/>
        <v>-50</v>
      </c>
      <c r="AI60" s="23">
        <f t="shared" si="7"/>
        <v>260.5</v>
      </c>
      <c r="AJ60" s="23">
        <f t="shared" si="8"/>
        <v>-50</v>
      </c>
    </row>
    <row r="61" spans="1:36" x14ac:dyDescent="0.2">
      <c r="A61" s="36">
        <v>43587</v>
      </c>
      <c r="B61" s="37" t="s">
        <v>299</v>
      </c>
      <c r="C61" s="37" t="s">
        <v>300</v>
      </c>
      <c r="D61" s="37" t="s">
        <v>301</v>
      </c>
      <c r="E61" s="37" t="s">
        <v>302</v>
      </c>
      <c r="F61" s="37" t="s">
        <v>303</v>
      </c>
      <c r="G61" s="37">
        <v>2</v>
      </c>
      <c r="H61" s="37">
        <v>2</v>
      </c>
      <c r="I61" s="37">
        <v>4.8600000000000003</v>
      </c>
      <c r="J61" s="37">
        <v>3.5</v>
      </c>
      <c r="K61" s="37">
        <v>1.61</v>
      </c>
      <c r="L61" s="37">
        <v>3.25</v>
      </c>
      <c r="M61" s="37">
        <v>31</v>
      </c>
      <c r="N61" s="37">
        <v>30</v>
      </c>
      <c r="O61" s="37">
        <v>1</v>
      </c>
      <c r="P61" s="37">
        <v>16</v>
      </c>
      <c r="Q61" s="37">
        <v>15</v>
      </c>
      <c r="R61" s="37">
        <v>0</v>
      </c>
      <c r="S61" s="37">
        <v>0</v>
      </c>
      <c r="T61" s="37">
        <v>100</v>
      </c>
      <c r="U61" s="37">
        <v>41.94</v>
      </c>
      <c r="V61" s="37">
        <v>25.81</v>
      </c>
      <c r="W61" s="37">
        <v>32.26</v>
      </c>
      <c r="X61" s="37">
        <v>66.67</v>
      </c>
      <c r="Y61" s="37">
        <v>16.670000000000002</v>
      </c>
      <c r="Z61" s="37">
        <v>16.670000000000002</v>
      </c>
      <c r="AA61" s="37">
        <v>43.75</v>
      </c>
      <c r="AB61" s="37">
        <v>46.67</v>
      </c>
      <c r="AC61" s="24">
        <f t="shared" si="1"/>
        <v>-37.150000000000006</v>
      </c>
      <c r="AD61" s="25">
        <f t="shared" si="2"/>
        <v>37.150000000000006</v>
      </c>
      <c r="AE61" s="23" t="str">
        <f t="shared" si="3"/>
        <v>Loss</v>
      </c>
      <c r="AF61" s="23" t="str">
        <f t="shared" si="4"/>
        <v>Win</v>
      </c>
      <c r="AG61" s="23" t="str">
        <f t="shared" si="5"/>
        <v>Loss</v>
      </c>
      <c r="AH61" s="23">
        <f t="shared" si="6"/>
        <v>-50</v>
      </c>
      <c r="AI61" s="23">
        <f t="shared" si="7"/>
        <v>125</v>
      </c>
      <c r="AJ61" s="23">
        <f t="shared" si="8"/>
        <v>-50</v>
      </c>
    </row>
    <row r="62" spans="1:36" x14ac:dyDescent="0.2">
      <c r="A62" s="36">
        <v>43587</v>
      </c>
      <c r="B62" s="37" t="s">
        <v>304</v>
      </c>
      <c r="C62" s="37" t="s">
        <v>248</v>
      </c>
      <c r="D62" s="37" t="s">
        <v>305</v>
      </c>
      <c r="E62" s="37" t="s">
        <v>306</v>
      </c>
      <c r="F62" s="37" t="s">
        <v>307</v>
      </c>
      <c r="G62" s="37">
        <v>2</v>
      </c>
      <c r="H62" s="37">
        <v>1</v>
      </c>
      <c r="I62" s="37">
        <v>1.55</v>
      </c>
      <c r="J62" s="37">
        <v>4</v>
      </c>
      <c r="K62" s="37">
        <v>4.8899999999999997</v>
      </c>
      <c r="L62" s="37">
        <v>-3.34</v>
      </c>
      <c r="M62" s="37">
        <v>25</v>
      </c>
      <c r="N62" s="37">
        <v>24</v>
      </c>
      <c r="O62" s="37">
        <v>1</v>
      </c>
      <c r="P62" s="37">
        <v>12</v>
      </c>
      <c r="Q62" s="37">
        <v>11</v>
      </c>
      <c r="R62" s="37">
        <v>0</v>
      </c>
      <c r="S62" s="37">
        <v>0</v>
      </c>
      <c r="T62" s="37">
        <v>100</v>
      </c>
      <c r="U62" s="37">
        <v>28</v>
      </c>
      <c r="V62" s="37">
        <v>16</v>
      </c>
      <c r="W62" s="37">
        <v>56</v>
      </c>
      <c r="X62" s="37">
        <v>33.33</v>
      </c>
      <c r="Y62" s="37">
        <v>16.670000000000002</v>
      </c>
      <c r="Z62" s="37">
        <v>50</v>
      </c>
      <c r="AA62" s="37">
        <v>33.33</v>
      </c>
      <c r="AB62" s="37">
        <v>27.27</v>
      </c>
      <c r="AC62" s="24">
        <f t="shared" si="1"/>
        <v>-32.332999999999998</v>
      </c>
      <c r="AD62" s="25">
        <f t="shared" si="2"/>
        <v>32.332999999999998</v>
      </c>
      <c r="AE62" s="23" t="str">
        <f t="shared" si="3"/>
        <v>Win</v>
      </c>
      <c r="AF62" s="23" t="str">
        <f t="shared" si="4"/>
        <v>Loss</v>
      </c>
      <c r="AG62" s="23" t="str">
        <f t="shared" si="5"/>
        <v>Loss</v>
      </c>
      <c r="AH62" s="23">
        <f t="shared" si="6"/>
        <v>27.5</v>
      </c>
      <c r="AI62" s="23">
        <f t="shared" si="7"/>
        <v>-50</v>
      </c>
      <c r="AJ62" s="23">
        <f t="shared" si="8"/>
        <v>-50</v>
      </c>
    </row>
    <row r="63" spans="1:36" x14ac:dyDescent="0.2">
      <c r="A63" s="36">
        <v>43587</v>
      </c>
      <c r="B63" s="37" t="s">
        <v>273</v>
      </c>
      <c r="C63" s="37" t="s">
        <v>308</v>
      </c>
      <c r="D63" s="37" t="s">
        <v>309</v>
      </c>
      <c r="E63" s="37" t="s">
        <v>310</v>
      </c>
      <c r="F63" s="37" t="s">
        <v>311</v>
      </c>
      <c r="G63" s="37">
        <v>0</v>
      </c>
      <c r="H63" s="37">
        <v>1</v>
      </c>
      <c r="I63" s="37">
        <v>2.91</v>
      </c>
      <c r="J63" s="37">
        <v>2.99</v>
      </c>
      <c r="K63" s="37">
        <v>2.48</v>
      </c>
      <c r="L63" s="37">
        <v>0.43</v>
      </c>
      <c r="M63" s="37">
        <v>43</v>
      </c>
      <c r="N63" s="37">
        <v>43</v>
      </c>
      <c r="O63" s="37">
        <v>2</v>
      </c>
      <c r="P63" s="37">
        <v>19</v>
      </c>
      <c r="Q63" s="37">
        <v>24</v>
      </c>
      <c r="R63" s="37">
        <v>0</v>
      </c>
      <c r="S63" s="37">
        <v>0</v>
      </c>
      <c r="T63" s="37">
        <v>100</v>
      </c>
      <c r="U63" s="37">
        <v>46.51</v>
      </c>
      <c r="V63" s="37">
        <v>25.58</v>
      </c>
      <c r="W63" s="37">
        <v>27.91</v>
      </c>
      <c r="X63" s="37">
        <v>53.49</v>
      </c>
      <c r="Y63" s="37">
        <v>23.26</v>
      </c>
      <c r="Z63" s="37">
        <v>23.26</v>
      </c>
      <c r="AA63" s="37">
        <v>42.11</v>
      </c>
      <c r="AB63" s="37">
        <v>50</v>
      </c>
      <c r="AC63" s="24">
        <f t="shared" si="1"/>
        <v>-32.094000000000001</v>
      </c>
      <c r="AD63" s="25">
        <f t="shared" si="2"/>
        <v>32.094000000000001</v>
      </c>
      <c r="AE63" s="23" t="str">
        <f t="shared" si="3"/>
        <v>Loss</v>
      </c>
      <c r="AF63" s="23" t="str">
        <f t="shared" si="4"/>
        <v>Loss</v>
      </c>
      <c r="AG63" s="23" t="str">
        <f t="shared" si="5"/>
        <v>Win</v>
      </c>
      <c r="AH63" s="23">
        <f t="shared" si="6"/>
        <v>-50</v>
      </c>
      <c r="AI63" s="23">
        <f t="shared" si="7"/>
        <v>-50</v>
      </c>
      <c r="AJ63" s="23">
        <f t="shared" si="8"/>
        <v>74</v>
      </c>
    </row>
    <row r="64" spans="1:36" x14ac:dyDescent="0.2">
      <c r="A64" s="36">
        <v>43587</v>
      </c>
      <c r="B64" s="37" t="s">
        <v>228</v>
      </c>
      <c r="C64" s="37" t="s">
        <v>229</v>
      </c>
      <c r="D64" s="37" t="s">
        <v>312</v>
      </c>
      <c r="E64" s="37" t="s">
        <v>313</v>
      </c>
      <c r="F64" s="37" t="s">
        <v>314</v>
      </c>
      <c r="G64" s="37">
        <v>2</v>
      </c>
      <c r="H64" s="37">
        <v>2</v>
      </c>
      <c r="I64" s="37">
        <v>3.45</v>
      </c>
      <c r="J64" s="37">
        <v>2.83</v>
      </c>
      <c r="K64" s="37">
        <v>2.19</v>
      </c>
      <c r="L64" s="37">
        <v>1.26</v>
      </c>
      <c r="M64" s="37">
        <v>0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37">
        <v>0</v>
      </c>
      <c r="Y64" s="37">
        <v>0</v>
      </c>
      <c r="Z64" s="37">
        <v>0</v>
      </c>
      <c r="AA64" s="37">
        <v>0</v>
      </c>
      <c r="AB64" s="37">
        <v>0</v>
      </c>
      <c r="AC64" s="24">
        <f t="shared" si="1"/>
        <v>0</v>
      </c>
      <c r="AD64" s="25">
        <f t="shared" si="2"/>
        <v>0</v>
      </c>
      <c r="AE64" s="23" t="str">
        <f t="shared" si="3"/>
        <v>Loss</v>
      </c>
      <c r="AF64" s="23" t="str">
        <f t="shared" si="4"/>
        <v>Win</v>
      </c>
      <c r="AG64" s="23" t="str">
        <f t="shared" si="5"/>
        <v>Loss</v>
      </c>
      <c r="AH64" s="23">
        <f t="shared" si="6"/>
        <v>-50</v>
      </c>
      <c r="AI64" s="23">
        <f t="shared" si="7"/>
        <v>91.5</v>
      </c>
      <c r="AJ64" s="23">
        <f t="shared" si="8"/>
        <v>-50</v>
      </c>
    </row>
    <row r="65" spans="1:36" x14ac:dyDescent="0.2">
      <c r="A65" s="36">
        <v>43587</v>
      </c>
      <c r="B65" s="37" t="s">
        <v>228</v>
      </c>
      <c r="C65" s="37" t="s">
        <v>229</v>
      </c>
      <c r="D65" s="37" t="s">
        <v>315</v>
      </c>
      <c r="E65" s="37" t="s">
        <v>316</v>
      </c>
      <c r="F65" s="37" t="s">
        <v>317</v>
      </c>
      <c r="G65" s="37">
        <v>1</v>
      </c>
      <c r="H65" s="37">
        <v>0</v>
      </c>
      <c r="I65" s="37">
        <v>2.83</v>
      </c>
      <c r="J65" s="37">
        <v>3.17</v>
      </c>
      <c r="K65" s="37">
        <v>2.35</v>
      </c>
      <c r="L65" s="37">
        <v>0.48</v>
      </c>
      <c r="M65" s="37">
        <v>0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37">
        <v>0</v>
      </c>
      <c r="Y65" s="37">
        <v>0</v>
      </c>
      <c r="Z65" s="37">
        <v>0</v>
      </c>
      <c r="AA65" s="37">
        <v>0</v>
      </c>
      <c r="AB65" s="37">
        <v>0</v>
      </c>
      <c r="AC65" s="24">
        <f t="shared" si="1"/>
        <v>0</v>
      </c>
      <c r="AD65" s="25">
        <f t="shared" si="2"/>
        <v>0</v>
      </c>
      <c r="AE65" s="23" t="str">
        <f t="shared" si="3"/>
        <v>Win</v>
      </c>
      <c r="AF65" s="23" t="str">
        <f t="shared" si="4"/>
        <v>Loss</v>
      </c>
      <c r="AG65" s="23" t="str">
        <f t="shared" si="5"/>
        <v>Loss</v>
      </c>
      <c r="AH65" s="23">
        <f t="shared" si="6"/>
        <v>91.5</v>
      </c>
      <c r="AI65" s="23">
        <f t="shared" si="7"/>
        <v>-50</v>
      </c>
      <c r="AJ65" s="23">
        <f t="shared" si="8"/>
        <v>-50</v>
      </c>
    </row>
    <row r="66" spans="1:36" x14ac:dyDescent="0.2">
      <c r="A66" s="36">
        <v>43587</v>
      </c>
      <c r="B66" s="37" t="s">
        <v>318</v>
      </c>
      <c r="C66" s="37" t="s">
        <v>319</v>
      </c>
      <c r="D66" s="37" t="s">
        <v>320</v>
      </c>
      <c r="E66" s="37" t="s">
        <v>321</v>
      </c>
      <c r="F66" s="37" t="s">
        <v>322</v>
      </c>
      <c r="G66" s="37">
        <v>1</v>
      </c>
      <c r="H66" s="37">
        <v>2</v>
      </c>
      <c r="I66" s="37">
        <v>2.2400000000000002</v>
      </c>
      <c r="J66" s="37">
        <v>3.52</v>
      </c>
      <c r="K66" s="37">
        <v>2.79</v>
      </c>
      <c r="L66" s="37">
        <v>-0.55000000000000004</v>
      </c>
      <c r="M66" s="37">
        <v>34</v>
      </c>
      <c r="N66" s="37">
        <v>32</v>
      </c>
      <c r="O66" s="37">
        <v>2</v>
      </c>
      <c r="P66" s="37">
        <v>16</v>
      </c>
      <c r="Q66" s="37">
        <v>17</v>
      </c>
      <c r="R66" s="37">
        <v>50</v>
      </c>
      <c r="S66" s="37">
        <v>0</v>
      </c>
      <c r="T66" s="37">
        <v>50</v>
      </c>
      <c r="U66" s="37">
        <v>38.24</v>
      </c>
      <c r="V66" s="37">
        <v>26.47</v>
      </c>
      <c r="W66" s="37">
        <v>35.29</v>
      </c>
      <c r="X66" s="37">
        <v>37.5</v>
      </c>
      <c r="Y66" s="37">
        <v>15.63</v>
      </c>
      <c r="Z66" s="37">
        <v>46.88</v>
      </c>
      <c r="AA66" s="37">
        <v>31.25</v>
      </c>
      <c r="AB66" s="37">
        <v>29.41</v>
      </c>
      <c r="AC66" s="24">
        <f t="shared" si="1"/>
        <v>3.5500000000000025</v>
      </c>
      <c r="AD66" s="25">
        <f t="shared" si="2"/>
        <v>-3.5500000000000025</v>
      </c>
      <c r="AE66" s="23" t="str">
        <f t="shared" si="3"/>
        <v>Loss</v>
      </c>
      <c r="AF66" s="23" t="str">
        <f t="shared" si="4"/>
        <v>Loss</v>
      </c>
      <c r="AG66" s="23" t="str">
        <f t="shared" si="5"/>
        <v>Win</v>
      </c>
      <c r="AH66" s="23">
        <f t="shared" si="6"/>
        <v>-50</v>
      </c>
      <c r="AI66" s="23">
        <f t="shared" si="7"/>
        <v>-50</v>
      </c>
      <c r="AJ66" s="23">
        <f t="shared" si="8"/>
        <v>89.5</v>
      </c>
    </row>
    <row r="67" spans="1:36" x14ac:dyDescent="0.2">
      <c r="A67" s="36">
        <v>43587</v>
      </c>
      <c r="B67" s="37" t="s">
        <v>323</v>
      </c>
      <c r="C67" s="37" t="s">
        <v>324</v>
      </c>
      <c r="D67" s="37" t="s">
        <v>325</v>
      </c>
      <c r="E67" s="37" t="s">
        <v>326</v>
      </c>
      <c r="F67" s="37" t="s">
        <v>327</v>
      </c>
      <c r="G67" s="37">
        <v>2</v>
      </c>
      <c r="H67" s="37">
        <v>0</v>
      </c>
      <c r="I67" s="37">
        <v>1.74</v>
      </c>
      <c r="J67" s="37">
        <v>3.45</v>
      </c>
      <c r="K67" s="37">
        <v>4.4400000000000004</v>
      </c>
      <c r="L67" s="37">
        <v>-2.7</v>
      </c>
      <c r="M67" s="37">
        <v>35</v>
      </c>
      <c r="N67" s="37">
        <v>33</v>
      </c>
      <c r="O67" s="37">
        <v>3</v>
      </c>
      <c r="P67" s="37">
        <v>17</v>
      </c>
      <c r="Q67" s="37">
        <v>17</v>
      </c>
      <c r="R67" s="37">
        <v>33.33</v>
      </c>
      <c r="S67" s="37">
        <v>33.33</v>
      </c>
      <c r="T67" s="37">
        <v>33.33</v>
      </c>
      <c r="U67" s="37">
        <v>45.71</v>
      </c>
      <c r="V67" s="37">
        <v>20</v>
      </c>
      <c r="W67" s="37">
        <v>34.29</v>
      </c>
      <c r="X67" s="37">
        <v>33.33</v>
      </c>
      <c r="Y67" s="37">
        <v>12.12</v>
      </c>
      <c r="Z67" s="37">
        <v>54.55</v>
      </c>
      <c r="AA67" s="37">
        <v>58.82</v>
      </c>
      <c r="AB67" s="37">
        <v>29.41</v>
      </c>
      <c r="AC67" s="24">
        <f t="shared" si="1"/>
        <v>10.649000000000001</v>
      </c>
      <c r="AD67" s="25">
        <f t="shared" si="2"/>
        <v>-3.9830000000000005</v>
      </c>
      <c r="AE67" s="23" t="str">
        <f t="shared" si="3"/>
        <v>Win</v>
      </c>
      <c r="AF67" s="23" t="str">
        <f t="shared" si="4"/>
        <v>Loss</v>
      </c>
      <c r="AG67" s="23" t="str">
        <f t="shared" si="5"/>
        <v>Loss</v>
      </c>
      <c r="AH67" s="23">
        <f t="shared" si="6"/>
        <v>37</v>
      </c>
      <c r="AI67" s="23">
        <f t="shared" si="7"/>
        <v>-50</v>
      </c>
      <c r="AJ67" s="23">
        <f t="shared" si="8"/>
        <v>-50</v>
      </c>
    </row>
    <row r="68" spans="1:36" x14ac:dyDescent="0.2">
      <c r="A68" s="36">
        <v>43587</v>
      </c>
      <c r="B68" s="37" t="s">
        <v>328</v>
      </c>
      <c r="C68" s="37" t="s">
        <v>329</v>
      </c>
      <c r="D68" s="37" t="s">
        <v>330</v>
      </c>
      <c r="E68" s="37" t="s">
        <v>331</v>
      </c>
      <c r="F68" s="37" t="s">
        <v>332</v>
      </c>
      <c r="G68" s="37">
        <v>1</v>
      </c>
      <c r="H68" s="37">
        <v>1</v>
      </c>
      <c r="I68" s="37">
        <v>2.2000000000000002</v>
      </c>
      <c r="J68" s="37">
        <v>2.89</v>
      </c>
      <c r="K68" s="37">
        <v>3.4</v>
      </c>
      <c r="L68" s="37">
        <v>-1.2</v>
      </c>
      <c r="M68" s="37">
        <v>28</v>
      </c>
      <c r="N68" s="37">
        <v>27</v>
      </c>
      <c r="O68" s="37">
        <v>1</v>
      </c>
      <c r="P68" s="37">
        <v>13</v>
      </c>
      <c r="Q68" s="37">
        <v>12</v>
      </c>
      <c r="R68" s="37">
        <v>100</v>
      </c>
      <c r="S68" s="37">
        <v>0</v>
      </c>
      <c r="T68" s="37">
        <v>0</v>
      </c>
      <c r="U68" s="37">
        <v>32.14</v>
      </c>
      <c r="V68" s="37">
        <v>32.14</v>
      </c>
      <c r="W68" s="37">
        <v>35.71</v>
      </c>
      <c r="X68" s="37">
        <v>25.93</v>
      </c>
      <c r="Y68" s="37">
        <v>25.93</v>
      </c>
      <c r="Z68" s="37">
        <v>48.15</v>
      </c>
      <c r="AA68" s="37">
        <v>30.77</v>
      </c>
      <c r="AB68" s="37">
        <v>25</v>
      </c>
      <c r="AC68" s="24">
        <f t="shared" si="1"/>
        <v>34.350999999999992</v>
      </c>
      <c r="AD68" s="25">
        <f t="shared" si="2"/>
        <v>-34.350999999999992</v>
      </c>
      <c r="AE68" s="23" t="str">
        <f t="shared" si="3"/>
        <v>Loss</v>
      </c>
      <c r="AF68" s="23" t="str">
        <f t="shared" si="4"/>
        <v>Win</v>
      </c>
      <c r="AG68" s="23" t="str">
        <f t="shared" si="5"/>
        <v>Loss</v>
      </c>
      <c r="AH68" s="23">
        <f t="shared" si="6"/>
        <v>-50</v>
      </c>
      <c r="AI68" s="23">
        <f t="shared" si="7"/>
        <v>94.5</v>
      </c>
      <c r="AJ68" s="23">
        <f t="shared" si="8"/>
        <v>-50</v>
      </c>
    </row>
    <row r="69" spans="1:36" x14ac:dyDescent="0.2">
      <c r="A69" s="36">
        <v>43587</v>
      </c>
      <c r="B69" s="37" t="s">
        <v>278</v>
      </c>
      <c r="C69" s="37" t="s">
        <v>279</v>
      </c>
      <c r="D69" s="37" t="s">
        <v>333</v>
      </c>
      <c r="E69" s="37" t="s">
        <v>334</v>
      </c>
      <c r="F69" s="37" t="s">
        <v>335</v>
      </c>
      <c r="G69" s="37">
        <v>1</v>
      </c>
      <c r="H69" s="37">
        <v>0</v>
      </c>
      <c r="I69" s="37">
        <v>4.01</v>
      </c>
      <c r="J69" s="37">
        <v>3.78</v>
      </c>
      <c r="K69" s="37">
        <v>1.73</v>
      </c>
      <c r="L69" s="37">
        <v>2.2799999999999998</v>
      </c>
      <c r="M69" s="37">
        <v>31</v>
      </c>
      <c r="N69" s="37">
        <v>34</v>
      </c>
      <c r="O69" s="37">
        <v>3</v>
      </c>
      <c r="P69" s="37">
        <v>15</v>
      </c>
      <c r="Q69" s="37">
        <v>16</v>
      </c>
      <c r="R69" s="37">
        <v>0</v>
      </c>
      <c r="S69" s="37">
        <v>33.33</v>
      </c>
      <c r="T69" s="37">
        <v>66.67</v>
      </c>
      <c r="U69" s="37">
        <v>35.479999999999997</v>
      </c>
      <c r="V69" s="37">
        <v>32.26</v>
      </c>
      <c r="W69" s="37">
        <v>32.26</v>
      </c>
      <c r="X69" s="37">
        <v>58.82</v>
      </c>
      <c r="Y69" s="37">
        <v>29.41</v>
      </c>
      <c r="Z69" s="37">
        <v>11.76</v>
      </c>
      <c r="AA69" s="37">
        <v>40</v>
      </c>
      <c r="AB69" s="37">
        <v>68.75</v>
      </c>
      <c r="AC69" s="24">
        <f t="shared" si="1"/>
        <v>-25.150999999999996</v>
      </c>
      <c r="AD69" s="25">
        <f t="shared" si="2"/>
        <v>31.817000000000011</v>
      </c>
      <c r="AE69" s="23" t="str">
        <f t="shared" si="3"/>
        <v>Win</v>
      </c>
      <c r="AF69" s="23" t="str">
        <f t="shared" si="4"/>
        <v>Loss</v>
      </c>
      <c r="AG69" s="23" t="str">
        <f t="shared" si="5"/>
        <v>Loss</v>
      </c>
      <c r="AH69" s="23">
        <f t="shared" si="6"/>
        <v>150.5</v>
      </c>
      <c r="AI69" s="23">
        <f t="shared" si="7"/>
        <v>-50</v>
      </c>
      <c r="AJ69" s="23">
        <f t="shared" si="8"/>
        <v>-50</v>
      </c>
    </row>
    <row r="70" spans="1:36" x14ac:dyDescent="0.2">
      <c r="A70" s="36">
        <v>43587</v>
      </c>
      <c r="B70" s="37" t="s">
        <v>336</v>
      </c>
      <c r="C70" s="37" t="s">
        <v>337</v>
      </c>
      <c r="D70" s="37" t="s">
        <v>338</v>
      </c>
      <c r="E70" s="37" t="s">
        <v>339</v>
      </c>
      <c r="F70" s="37" t="s">
        <v>340</v>
      </c>
      <c r="G70" s="37">
        <v>3</v>
      </c>
      <c r="H70" s="37">
        <v>1</v>
      </c>
      <c r="I70" s="37">
        <v>2.74</v>
      </c>
      <c r="J70" s="37">
        <v>2.85</v>
      </c>
      <c r="K70" s="37">
        <v>2.63</v>
      </c>
      <c r="L70" s="37">
        <v>0.11</v>
      </c>
      <c r="M70" s="37">
        <v>0</v>
      </c>
      <c r="N70" s="37">
        <v>3</v>
      </c>
      <c r="O70" s="37">
        <v>0</v>
      </c>
      <c r="P70" s="37">
        <v>0</v>
      </c>
      <c r="Q70" s="37">
        <v>0</v>
      </c>
      <c r="R70" s="37">
        <v>0</v>
      </c>
      <c r="S70" s="37">
        <v>0</v>
      </c>
      <c r="T70" s="37">
        <v>0</v>
      </c>
      <c r="U70" s="37">
        <v>0</v>
      </c>
      <c r="V70" s="37">
        <v>0</v>
      </c>
      <c r="W70" s="37">
        <v>0</v>
      </c>
      <c r="X70" s="37">
        <v>33.33</v>
      </c>
      <c r="Y70" s="37">
        <v>66.67</v>
      </c>
      <c r="Z70" s="37">
        <v>0</v>
      </c>
      <c r="AA70" s="37">
        <v>0</v>
      </c>
      <c r="AB70" s="37">
        <v>0</v>
      </c>
      <c r="AC70" s="24">
        <f t="shared" si="1"/>
        <v>-13.333000000000002</v>
      </c>
      <c r="AD70" s="25">
        <f t="shared" si="2"/>
        <v>13.333000000000002</v>
      </c>
      <c r="AE70" s="23" t="str">
        <f t="shared" si="3"/>
        <v>Win</v>
      </c>
      <c r="AF70" s="23" t="str">
        <f t="shared" si="4"/>
        <v>Loss</v>
      </c>
      <c r="AG70" s="23" t="str">
        <f t="shared" si="5"/>
        <v>Loss</v>
      </c>
      <c r="AH70" s="23">
        <f t="shared" si="6"/>
        <v>87</v>
      </c>
      <c r="AI70" s="23">
        <f t="shared" si="7"/>
        <v>-50</v>
      </c>
      <c r="AJ70" s="23">
        <f t="shared" si="8"/>
        <v>-50</v>
      </c>
    </row>
    <row r="71" spans="1:36" x14ac:dyDescent="0.2">
      <c r="A71" s="36">
        <v>43587</v>
      </c>
      <c r="B71" s="37" t="s">
        <v>341</v>
      </c>
      <c r="C71" s="37" t="s">
        <v>342</v>
      </c>
      <c r="D71" s="37" t="s">
        <v>343</v>
      </c>
      <c r="E71" s="37" t="s">
        <v>344</v>
      </c>
      <c r="F71" s="37" t="s">
        <v>345</v>
      </c>
      <c r="G71" s="37">
        <v>6</v>
      </c>
      <c r="H71" s="37">
        <v>3</v>
      </c>
      <c r="I71" s="37">
        <v>1.78</v>
      </c>
      <c r="J71" s="37">
        <v>3.61</v>
      </c>
      <c r="K71" s="37">
        <v>4.07</v>
      </c>
      <c r="L71" s="37">
        <v>-2.29</v>
      </c>
      <c r="M71" s="37">
        <v>23</v>
      </c>
      <c r="N71" s="37">
        <v>23</v>
      </c>
      <c r="O71" s="37">
        <v>2</v>
      </c>
      <c r="P71" s="37">
        <v>13</v>
      </c>
      <c r="Q71" s="37">
        <v>11</v>
      </c>
      <c r="R71" s="37">
        <v>0</v>
      </c>
      <c r="S71" s="37">
        <v>100</v>
      </c>
      <c r="T71" s="37">
        <v>0</v>
      </c>
      <c r="U71" s="37">
        <v>43.48</v>
      </c>
      <c r="V71" s="37">
        <v>21.74</v>
      </c>
      <c r="W71" s="37">
        <v>34.78</v>
      </c>
      <c r="X71" s="37">
        <v>17.39</v>
      </c>
      <c r="Y71" s="37">
        <v>34.78</v>
      </c>
      <c r="Z71" s="37">
        <v>47.83</v>
      </c>
      <c r="AA71" s="37">
        <v>53.85</v>
      </c>
      <c r="AB71" s="37">
        <v>9.09</v>
      </c>
      <c r="AC71" s="24">
        <f t="shared" si="1"/>
        <v>16.524000000000001</v>
      </c>
      <c r="AD71" s="25">
        <f t="shared" si="2"/>
        <v>3.4759999999999991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39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43587</v>
      </c>
      <c r="B72" s="37" t="s">
        <v>346</v>
      </c>
      <c r="C72" s="37" t="s">
        <v>248</v>
      </c>
      <c r="D72" s="37" t="s">
        <v>347</v>
      </c>
      <c r="E72" s="37" t="s">
        <v>348</v>
      </c>
      <c r="F72" s="37" t="s">
        <v>349</v>
      </c>
      <c r="G72" s="37">
        <v>3</v>
      </c>
      <c r="H72" s="37">
        <v>1</v>
      </c>
      <c r="I72" s="37">
        <v>1.71</v>
      </c>
      <c r="J72" s="37">
        <v>3.59</v>
      </c>
      <c r="K72" s="37">
        <v>4.2</v>
      </c>
      <c r="L72" s="37">
        <v>-2.4900000000000002</v>
      </c>
      <c r="M72" s="37">
        <v>25</v>
      </c>
      <c r="N72" s="37">
        <v>4</v>
      </c>
      <c r="O72" s="37">
        <v>0</v>
      </c>
      <c r="P72" s="37">
        <v>13</v>
      </c>
      <c r="Q72" s="37">
        <v>1</v>
      </c>
      <c r="R72" s="37">
        <v>0</v>
      </c>
      <c r="S72" s="37">
        <v>0</v>
      </c>
      <c r="T72" s="37">
        <v>0</v>
      </c>
      <c r="U72" s="37">
        <v>32</v>
      </c>
      <c r="V72" s="37">
        <v>28</v>
      </c>
      <c r="W72" s="37">
        <v>40</v>
      </c>
      <c r="X72" s="37">
        <v>0</v>
      </c>
      <c r="Y72" s="37">
        <v>25</v>
      </c>
      <c r="Z72" s="37">
        <v>75</v>
      </c>
      <c r="AA72" s="37">
        <v>38.46</v>
      </c>
      <c r="AB72" s="37">
        <v>0</v>
      </c>
      <c r="AC72" s="24">
        <f t="shared" si="1"/>
        <v>13.700000000000001</v>
      </c>
      <c r="AD72" s="25">
        <f t="shared" si="2"/>
        <v>-13.700000000000001</v>
      </c>
      <c r="AE72" s="23" t="str">
        <f t="shared" si="3"/>
        <v>Win</v>
      </c>
      <c r="AF72" s="23" t="str">
        <f t="shared" si="4"/>
        <v>Loss</v>
      </c>
      <c r="AG72" s="23" t="str">
        <f t="shared" si="5"/>
        <v>Loss</v>
      </c>
      <c r="AH72" s="23">
        <f t="shared" si="6"/>
        <v>35.5</v>
      </c>
      <c r="AI72" s="23">
        <f t="shared" si="7"/>
        <v>-50</v>
      </c>
      <c r="AJ72" s="23">
        <f t="shared" si="8"/>
        <v>-50</v>
      </c>
    </row>
    <row r="73" spans="1:36" x14ac:dyDescent="0.2">
      <c r="A73" s="36">
        <v>43587</v>
      </c>
      <c r="B73" s="37" t="s">
        <v>350</v>
      </c>
      <c r="C73" s="37" t="s">
        <v>351</v>
      </c>
      <c r="D73" s="37" t="s">
        <v>352</v>
      </c>
      <c r="E73" s="37" t="s">
        <v>353</v>
      </c>
      <c r="F73" s="37" t="s">
        <v>354</v>
      </c>
      <c r="G73" s="37">
        <v>2</v>
      </c>
      <c r="H73" s="37">
        <v>3</v>
      </c>
      <c r="I73" s="37">
        <v>9.68</v>
      </c>
      <c r="J73" s="37">
        <v>6.67</v>
      </c>
      <c r="K73" s="37">
        <v>1.17</v>
      </c>
      <c r="L73" s="37">
        <v>8.51</v>
      </c>
      <c r="M73" s="37">
        <v>9</v>
      </c>
      <c r="N73" s="37">
        <v>11</v>
      </c>
      <c r="O73" s="37">
        <v>0</v>
      </c>
      <c r="P73" s="37">
        <v>5</v>
      </c>
      <c r="Q73" s="37">
        <v>6</v>
      </c>
      <c r="R73" s="37">
        <v>0</v>
      </c>
      <c r="S73" s="37">
        <v>0</v>
      </c>
      <c r="T73" s="37">
        <v>0</v>
      </c>
      <c r="U73" s="37">
        <v>66.67</v>
      </c>
      <c r="V73" s="37">
        <v>0</v>
      </c>
      <c r="W73" s="37">
        <v>33.33</v>
      </c>
      <c r="X73" s="37">
        <v>90.91</v>
      </c>
      <c r="Y73" s="37">
        <v>0</v>
      </c>
      <c r="Z73" s="37">
        <v>9.09</v>
      </c>
      <c r="AA73" s="37">
        <v>80</v>
      </c>
      <c r="AB73" s="37">
        <v>83.33</v>
      </c>
      <c r="AC73" s="24">
        <f t="shared" si="1"/>
        <v>-9.695999999999998</v>
      </c>
      <c r="AD73" s="25">
        <f t="shared" si="2"/>
        <v>9.695999999999998</v>
      </c>
      <c r="AE73" s="23" t="str">
        <f t="shared" si="3"/>
        <v>Loss</v>
      </c>
      <c r="AF73" s="23" t="str">
        <f t="shared" si="4"/>
        <v>Loss</v>
      </c>
      <c r="AG73" s="23" t="str">
        <f t="shared" si="5"/>
        <v>Win</v>
      </c>
      <c r="AH73" s="23">
        <f t="shared" si="6"/>
        <v>-50</v>
      </c>
      <c r="AI73" s="23">
        <f t="shared" si="7"/>
        <v>-50</v>
      </c>
      <c r="AJ73" s="23">
        <f t="shared" si="8"/>
        <v>8.5</v>
      </c>
    </row>
    <row r="74" spans="1:36" x14ac:dyDescent="0.2">
      <c r="A74" s="36">
        <v>43587</v>
      </c>
      <c r="B74" s="37" t="s">
        <v>355</v>
      </c>
      <c r="C74" s="37" t="s">
        <v>356</v>
      </c>
      <c r="D74" s="37" t="s">
        <v>357</v>
      </c>
      <c r="E74" s="37" t="s">
        <v>358</v>
      </c>
      <c r="F74" s="37" t="s">
        <v>359</v>
      </c>
      <c r="G74" s="37">
        <v>2</v>
      </c>
      <c r="H74" s="37">
        <v>1</v>
      </c>
      <c r="I74" s="37">
        <v>1.03</v>
      </c>
      <c r="J74" s="37">
        <v>12.13</v>
      </c>
      <c r="K74" s="37">
        <v>19.809999999999999</v>
      </c>
      <c r="L74" s="37">
        <v>-18.78</v>
      </c>
      <c r="M74" s="37">
        <v>12</v>
      </c>
      <c r="N74" s="37">
        <v>9</v>
      </c>
      <c r="O74" s="37">
        <v>2</v>
      </c>
      <c r="P74" s="37">
        <v>6</v>
      </c>
      <c r="Q74" s="37">
        <v>3</v>
      </c>
      <c r="R74" s="37">
        <v>100</v>
      </c>
      <c r="S74" s="37">
        <v>0</v>
      </c>
      <c r="T74" s="37">
        <v>0</v>
      </c>
      <c r="U74" s="37">
        <v>91.67</v>
      </c>
      <c r="V74" s="37">
        <v>0</v>
      </c>
      <c r="W74" s="37">
        <v>8.33</v>
      </c>
      <c r="X74" s="37">
        <v>0</v>
      </c>
      <c r="Y74" s="37">
        <v>22.22</v>
      </c>
      <c r="Z74" s="37">
        <v>77.78</v>
      </c>
      <c r="AA74" s="37">
        <v>83.33</v>
      </c>
      <c r="AB74" s="37">
        <v>0</v>
      </c>
      <c r="AC74" s="24">
        <f t="shared" si="1"/>
        <v>60.00200000000001</v>
      </c>
      <c r="AD74" s="25">
        <f t="shared" si="2"/>
        <v>-60.00200000000001</v>
      </c>
      <c r="AE74" s="23" t="str">
        <f t="shared" si="3"/>
        <v>Win</v>
      </c>
      <c r="AF74" s="23" t="str">
        <f t="shared" si="4"/>
        <v>Loss</v>
      </c>
      <c r="AG74" s="23" t="str">
        <f t="shared" si="5"/>
        <v>Loss</v>
      </c>
      <c r="AH74" s="59">
        <f t="shared" si="6"/>
        <v>1.5</v>
      </c>
      <c r="AI74" s="23">
        <f t="shared" si="7"/>
        <v>-50</v>
      </c>
      <c r="AJ74" s="23">
        <f t="shared" si="8"/>
        <v>-50</v>
      </c>
    </row>
    <row r="75" spans="1:36" x14ac:dyDescent="0.2">
      <c r="A75" s="36">
        <v>43587</v>
      </c>
      <c r="B75" s="37" t="s">
        <v>360</v>
      </c>
      <c r="C75" s="37" t="s">
        <v>361</v>
      </c>
      <c r="D75" s="37" t="s">
        <v>362</v>
      </c>
      <c r="E75" s="37" t="s">
        <v>363</v>
      </c>
      <c r="F75" s="37" t="s">
        <v>364</v>
      </c>
      <c r="G75" s="37">
        <v>2</v>
      </c>
      <c r="H75" s="37">
        <v>3</v>
      </c>
      <c r="I75" s="37">
        <v>8.5299999999999994</v>
      </c>
      <c r="J75" s="37">
        <v>6.66</v>
      </c>
      <c r="K75" s="37">
        <v>1.21</v>
      </c>
      <c r="L75" s="37">
        <v>7.32</v>
      </c>
      <c r="M75" s="37">
        <v>26</v>
      </c>
      <c r="N75" s="37">
        <v>9</v>
      </c>
      <c r="O75" s="37">
        <v>0</v>
      </c>
      <c r="P75" s="37">
        <v>14</v>
      </c>
      <c r="Q75" s="37">
        <v>5</v>
      </c>
      <c r="R75" s="37">
        <v>0</v>
      </c>
      <c r="S75" s="37">
        <v>0</v>
      </c>
      <c r="T75" s="37">
        <v>0</v>
      </c>
      <c r="U75" s="37">
        <v>46.15</v>
      </c>
      <c r="V75" s="37">
        <v>11.54</v>
      </c>
      <c r="W75" s="37">
        <v>42.31</v>
      </c>
      <c r="X75" s="37">
        <v>55.56</v>
      </c>
      <c r="Y75" s="37">
        <v>11.11</v>
      </c>
      <c r="Z75" s="37">
        <v>33.33</v>
      </c>
      <c r="AA75" s="37">
        <v>50</v>
      </c>
      <c r="AB75" s="37">
        <v>60</v>
      </c>
      <c r="AC75" s="24">
        <f t="shared" ref="AC75:AC98" si="9">(+R75*$R$8)+(S75*$S$8)-(T75*$T$8)+(U75*$U$8)+(V75*$V$8)-(W75*$W$8)-(X75*$X$8)-(Y75*$Y$8)+(Z75*$Z$8)</f>
        <v>-3.6350000000000033</v>
      </c>
      <c r="AD75" s="25">
        <f t="shared" ref="AD75:AD98" si="10">(-R75*$R$8)+(S75*$S$8)+(T75*$T$8)-(U75*$U$8)-(V75*$V$8)+(W75*$W$8)+(X75*$X$8)+(Y75*$Y$8)-(Z75*$Z$8)</f>
        <v>3.6350000000000033</v>
      </c>
      <c r="AE75" s="23" t="str">
        <f t="shared" ref="AE75:AE98" si="11">IF(G75&gt;H75,"Win","Loss")</f>
        <v>Loss</v>
      </c>
      <c r="AF75" s="23" t="str">
        <f t="shared" ref="AF75:AF98" si="12">IF(G75=H75,"Win","Loss")</f>
        <v>Loss</v>
      </c>
      <c r="AG75" s="23" t="str">
        <f t="shared" ref="AG75:AG98" si="13">IF(G75&lt;H75,"Win","Loss")</f>
        <v>Win</v>
      </c>
      <c r="AH75" s="23">
        <f t="shared" ref="AH75:AH98" si="14">IF(AE75="Win",(I75*$B$2)-$B$2,-$B$2)</f>
        <v>-50</v>
      </c>
      <c r="AI75" s="23">
        <f t="shared" ref="AI75:AI98" si="15">IF(AF75="Win",(J75*$B$2)-$B$2,-$B$2)</f>
        <v>-50</v>
      </c>
      <c r="AJ75" s="23">
        <f t="shared" ref="AJ75:AJ98" si="16">IF(AG75="Win",(K75*$B$2)-$B$2,-$B$2)</f>
        <v>10.5</v>
      </c>
    </row>
    <row r="76" spans="1:36" x14ac:dyDescent="0.2">
      <c r="A76" s="36">
        <v>43587</v>
      </c>
      <c r="B76" s="37" t="s">
        <v>360</v>
      </c>
      <c r="C76" s="37" t="s">
        <v>361</v>
      </c>
      <c r="D76" s="37" t="s">
        <v>365</v>
      </c>
      <c r="E76" s="37" t="s">
        <v>366</v>
      </c>
      <c r="F76" s="37" t="s">
        <v>367</v>
      </c>
      <c r="G76" s="37">
        <v>2</v>
      </c>
      <c r="H76" s="37">
        <v>7</v>
      </c>
      <c r="I76" s="37">
        <v>30.34</v>
      </c>
      <c r="J76" s="37">
        <v>21.55</v>
      </c>
      <c r="K76" s="37">
        <v>1.01</v>
      </c>
      <c r="L76" s="37">
        <v>29.33</v>
      </c>
      <c r="M76" s="37">
        <v>3</v>
      </c>
      <c r="N76" s="37">
        <v>9</v>
      </c>
      <c r="O76" s="37">
        <v>0</v>
      </c>
      <c r="P76" s="37">
        <v>1</v>
      </c>
      <c r="Q76" s="37">
        <v>6</v>
      </c>
      <c r="R76" s="37">
        <v>0</v>
      </c>
      <c r="S76" s="37">
        <v>0</v>
      </c>
      <c r="T76" s="37">
        <v>0</v>
      </c>
      <c r="U76" s="37">
        <v>0</v>
      </c>
      <c r="V76" s="37">
        <v>0</v>
      </c>
      <c r="W76" s="37">
        <v>100</v>
      </c>
      <c r="X76" s="37">
        <v>66.67</v>
      </c>
      <c r="Y76" s="37">
        <v>11.11</v>
      </c>
      <c r="Z76" s="37">
        <v>22.22</v>
      </c>
      <c r="AA76" s="37">
        <v>0</v>
      </c>
      <c r="AB76" s="37">
        <v>50</v>
      </c>
      <c r="AC76" s="24">
        <f t="shared" si="9"/>
        <v>-30.001000000000001</v>
      </c>
      <c r="AD76" s="25">
        <f t="shared" si="10"/>
        <v>30.001000000000001</v>
      </c>
      <c r="AE76" s="23" t="str">
        <f t="shared" si="11"/>
        <v>Loss</v>
      </c>
      <c r="AF76" s="23" t="str">
        <f t="shared" si="12"/>
        <v>Loss</v>
      </c>
      <c r="AG76" s="23" t="str">
        <f t="shared" si="13"/>
        <v>Win</v>
      </c>
      <c r="AH76" s="23">
        <f t="shared" si="14"/>
        <v>-50</v>
      </c>
      <c r="AI76" s="23">
        <f t="shared" si="15"/>
        <v>-50</v>
      </c>
      <c r="AJ76" s="23">
        <f t="shared" si="16"/>
        <v>0.5</v>
      </c>
    </row>
    <row r="77" spans="1:36" x14ac:dyDescent="0.2">
      <c r="A77" s="36">
        <v>43587</v>
      </c>
      <c r="B77" s="37" t="s">
        <v>360</v>
      </c>
      <c r="C77" s="37" t="s">
        <v>361</v>
      </c>
      <c r="D77" s="37" t="s">
        <v>368</v>
      </c>
      <c r="E77" s="37" t="s">
        <v>369</v>
      </c>
      <c r="F77" s="37" t="s">
        <v>370</v>
      </c>
      <c r="G77" s="37">
        <v>1</v>
      </c>
      <c r="H77" s="37">
        <v>3</v>
      </c>
      <c r="I77" s="37">
        <v>30.86</v>
      </c>
      <c r="J77" s="37">
        <v>18.77</v>
      </c>
      <c r="K77" s="37">
        <v>1.01</v>
      </c>
      <c r="L77" s="37">
        <v>29.85</v>
      </c>
      <c r="M77" s="37">
        <v>0</v>
      </c>
      <c r="N77" s="37">
        <v>7</v>
      </c>
      <c r="O77" s="37">
        <v>0</v>
      </c>
      <c r="P77" s="37">
        <v>0</v>
      </c>
      <c r="Q77" s="37">
        <v>5</v>
      </c>
      <c r="R77" s="37">
        <v>0</v>
      </c>
      <c r="S77" s="37">
        <v>0</v>
      </c>
      <c r="T77" s="37">
        <v>0</v>
      </c>
      <c r="U77" s="37">
        <v>0</v>
      </c>
      <c r="V77" s="37">
        <v>0</v>
      </c>
      <c r="W77" s="37">
        <v>0</v>
      </c>
      <c r="X77" s="37">
        <v>57.14</v>
      </c>
      <c r="Y77" s="37">
        <v>0</v>
      </c>
      <c r="Z77" s="37">
        <v>42.86</v>
      </c>
      <c r="AA77" s="37">
        <v>0</v>
      </c>
      <c r="AB77" s="37">
        <v>40</v>
      </c>
      <c r="AC77" s="24">
        <f t="shared" si="9"/>
        <v>-2.8559999999999999</v>
      </c>
      <c r="AD77" s="25">
        <f t="shared" si="10"/>
        <v>2.8559999999999999</v>
      </c>
      <c r="AE77" s="23" t="str">
        <f t="shared" si="11"/>
        <v>Loss</v>
      </c>
      <c r="AF77" s="23" t="str">
        <f t="shared" si="12"/>
        <v>Loss</v>
      </c>
      <c r="AG77" s="23" t="str">
        <f t="shared" si="13"/>
        <v>Win</v>
      </c>
      <c r="AH77" s="23">
        <f t="shared" si="14"/>
        <v>-50</v>
      </c>
      <c r="AI77" s="23">
        <f t="shared" si="15"/>
        <v>-50</v>
      </c>
      <c r="AJ77" s="23">
        <f t="shared" si="16"/>
        <v>0.5</v>
      </c>
    </row>
    <row r="78" spans="1:36" x14ac:dyDescent="0.2">
      <c r="A78" s="36">
        <v>43587</v>
      </c>
      <c r="B78" s="37" t="s">
        <v>360</v>
      </c>
      <c r="C78" s="37" t="s">
        <v>361</v>
      </c>
      <c r="D78" s="37" t="s">
        <v>371</v>
      </c>
      <c r="E78" s="37" t="s">
        <v>372</v>
      </c>
      <c r="F78" s="37" t="s">
        <v>373</v>
      </c>
      <c r="G78" s="37">
        <v>5</v>
      </c>
      <c r="H78" s="37">
        <v>0</v>
      </c>
      <c r="I78" s="37">
        <v>2.4700000000000002</v>
      </c>
      <c r="J78" s="37">
        <v>3.78</v>
      </c>
      <c r="K78" s="37">
        <v>2.36</v>
      </c>
      <c r="L78" s="37">
        <v>0.11</v>
      </c>
      <c r="M78" s="37">
        <v>23</v>
      </c>
      <c r="N78" s="37">
        <v>24</v>
      </c>
      <c r="O78" s="37">
        <v>1</v>
      </c>
      <c r="P78" s="37">
        <v>12</v>
      </c>
      <c r="Q78" s="37">
        <v>11</v>
      </c>
      <c r="R78" s="37">
        <v>0</v>
      </c>
      <c r="S78" s="37">
        <v>0</v>
      </c>
      <c r="T78" s="37">
        <v>100</v>
      </c>
      <c r="U78" s="37">
        <v>65.22</v>
      </c>
      <c r="V78" s="37">
        <v>13.04</v>
      </c>
      <c r="W78" s="37">
        <v>21.74</v>
      </c>
      <c r="X78" s="37">
        <v>62.5</v>
      </c>
      <c r="Y78" s="37">
        <v>16.670000000000002</v>
      </c>
      <c r="Z78" s="37">
        <v>20.83</v>
      </c>
      <c r="AA78" s="37">
        <v>66.67</v>
      </c>
      <c r="AB78" s="37">
        <v>54.55</v>
      </c>
      <c r="AC78" s="24">
        <f t="shared" si="9"/>
        <v>-30.001000000000001</v>
      </c>
      <c r="AD78" s="25">
        <f t="shared" si="10"/>
        <v>30.001000000000001</v>
      </c>
      <c r="AE78" s="23" t="str">
        <f t="shared" si="11"/>
        <v>Win</v>
      </c>
      <c r="AF78" s="23" t="str">
        <f t="shared" si="12"/>
        <v>Loss</v>
      </c>
      <c r="AG78" s="23" t="str">
        <f t="shared" si="13"/>
        <v>Loss</v>
      </c>
      <c r="AH78" s="23">
        <f t="shared" si="14"/>
        <v>73.500000000000014</v>
      </c>
      <c r="AI78" s="23">
        <f t="shared" si="15"/>
        <v>-50</v>
      </c>
      <c r="AJ78" s="23">
        <f t="shared" si="16"/>
        <v>-50</v>
      </c>
    </row>
    <row r="79" spans="1:36" x14ac:dyDescent="0.2">
      <c r="A79" s="36">
        <v>43587</v>
      </c>
      <c r="B79" s="37" t="s">
        <v>278</v>
      </c>
      <c r="C79" s="37" t="s">
        <v>279</v>
      </c>
      <c r="D79" s="37" t="s">
        <v>374</v>
      </c>
      <c r="E79" s="37" t="s">
        <v>375</v>
      </c>
      <c r="F79" s="37" t="s">
        <v>376</v>
      </c>
      <c r="G79" s="37">
        <v>1</v>
      </c>
      <c r="H79" s="37">
        <v>2</v>
      </c>
      <c r="I79" s="37">
        <v>2.76</v>
      </c>
      <c r="J79" s="37">
        <v>3.23</v>
      </c>
      <c r="K79" s="37">
        <v>2.37</v>
      </c>
      <c r="L79" s="37">
        <v>0.39</v>
      </c>
      <c r="M79" s="37">
        <v>33</v>
      </c>
      <c r="N79" s="37">
        <v>30</v>
      </c>
      <c r="O79" s="37">
        <v>3</v>
      </c>
      <c r="P79" s="37">
        <v>15</v>
      </c>
      <c r="Q79" s="37">
        <v>15</v>
      </c>
      <c r="R79" s="37">
        <v>0</v>
      </c>
      <c r="S79" s="37">
        <v>66.67</v>
      </c>
      <c r="T79" s="37">
        <v>33.33</v>
      </c>
      <c r="U79" s="37">
        <v>18.18</v>
      </c>
      <c r="V79" s="37">
        <v>30.3</v>
      </c>
      <c r="W79" s="37">
        <v>51.52</v>
      </c>
      <c r="X79" s="37">
        <v>26.67</v>
      </c>
      <c r="Y79" s="37">
        <v>16.670000000000002</v>
      </c>
      <c r="Z79" s="37">
        <v>56.67</v>
      </c>
      <c r="AA79" s="37">
        <v>13.33</v>
      </c>
      <c r="AB79" s="37">
        <v>13.33</v>
      </c>
      <c r="AC79" s="24">
        <f t="shared" si="9"/>
        <v>-2.6369999999999987</v>
      </c>
      <c r="AD79" s="25">
        <f t="shared" si="10"/>
        <v>15.971000000000002</v>
      </c>
      <c r="AE79" s="23" t="str">
        <f t="shared" si="11"/>
        <v>Loss</v>
      </c>
      <c r="AF79" s="23" t="str">
        <f t="shared" si="12"/>
        <v>Loss</v>
      </c>
      <c r="AG79" s="23" t="str">
        <f t="shared" si="13"/>
        <v>Win</v>
      </c>
      <c r="AH79" s="23">
        <f t="shared" si="14"/>
        <v>-50</v>
      </c>
      <c r="AI79" s="23">
        <f t="shared" si="15"/>
        <v>-50</v>
      </c>
      <c r="AJ79" s="23">
        <f t="shared" si="16"/>
        <v>68.5</v>
      </c>
    </row>
    <row r="80" spans="1:36" x14ac:dyDescent="0.2">
      <c r="A80" s="36">
        <v>43587</v>
      </c>
      <c r="B80" s="37" t="s">
        <v>323</v>
      </c>
      <c r="C80" s="37" t="s">
        <v>324</v>
      </c>
      <c r="D80" s="37" t="s">
        <v>377</v>
      </c>
      <c r="E80" s="37" t="s">
        <v>378</v>
      </c>
      <c r="F80" s="37" t="s">
        <v>379</v>
      </c>
      <c r="G80" s="37">
        <v>1</v>
      </c>
      <c r="H80" s="37">
        <v>2</v>
      </c>
      <c r="I80" s="37">
        <v>2.71</v>
      </c>
      <c r="J80" s="37">
        <v>3.34</v>
      </c>
      <c r="K80" s="37">
        <v>2.36</v>
      </c>
      <c r="L80" s="37">
        <v>0.35</v>
      </c>
      <c r="M80" s="37">
        <v>36</v>
      </c>
      <c r="N80" s="37">
        <v>36</v>
      </c>
      <c r="O80" s="37">
        <v>5</v>
      </c>
      <c r="P80" s="37">
        <v>16</v>
      </c>
      <c r="Q80" s="37">
        <v>19</v>
      </c>
      <c r="R80" s="37">
        <v>40</v>
      </c>
      <c r="S80" s="37">
        <v>20</v>
      </c>
      <c r="T80" s="37">
        <v>40</v>
      </c>
      <c r="U80" s="37">
        <v>38.89</v>
      </c>
      <c r="V80" s="37">
        <v>25</v>
      </c>
      <c r="W80" s="37">
        <v>36.11</v>
      </c>
      <c r="X80" s="37">
        <v>30.56</v>
      </c>
      <c r="Y80" s="37">
        <v>19.440000000000001</v>
      </c>
      <c r="Z80" s="37">
        <v>50</v>
      </c>
      <c r="AA80" s="37">
        <v>43.75</v>
      </c>
      <c r="AB80" s="37">
        <v>26.32</v>
      </c>
      <c r="AC80" s="24">
        <f t="shared" si="9"/>
        <v>7</v>
      </c>
      <c r="AD80" s="25">
        <f t="shared" si="10"/>
        <v>-3</v>
      </c>
      <c r="AE80" s="23" t="str">
        <f t="shared" si="11"/>
        <v>Loss</v>
      </c>
      <c r="AF80" s="23" t="str">
        <f t="shared" si="12"/>
        <v>Loss</v>
      </c>
      <c r="AG80" s="23" t="str">
        <f t="shared" si="13"/>
        <v>Win</v>
      </c>
      <c r="AH80" s="23">
        <f t="shared" si="14"/>
        <v>-50</v>
      </c>
      <c r="AI80" s="23">
        <f t="shared" si="15"/>
        <v>-50</v>
      </c>
      <c r="AJ80" s="23">
        <f t="shared" si="16"/>
        <v>68</v>
      </c>
    </row>
    <row r="81" spans="1:36" x14ac:dyDescent="0.2">
      <c r="A81" s="36">
        <v>43587</v>
      </c>
      <c r="B81" s="37" t="s">
        <v>304</v>
      </c>
      <c r="C81" s="37" t="s">
        <v>248</v>
      </c>
      <c r="D81" s="37" t="s">
        <v>380</v>
      </c>
      <c r="E81" s="37" t="s">
        <v>381</v>
      </c>
      <c r="F81" s="37" t="s">
        <v>382</v>
      </c>
      <c r="G81" s="37">
        <v>0</v>
      </c>
      <c r="H81" s="37">
        <v>0</v>
      </c>
      <c r="I81" s="37">
        <v>2.31</v>
      </c>
      <c r="J81" s="37">
        <v>3.28</v>
      </c>
      <c r="K81" s="37">
        <v>2.76</v>
      </c>
      <c r="L81" s="37">
        <v>-0.45</v>
      </c>
      <c r="M81" s="37">
        <v>22</v>
      </c>
      <c r="N81" s="37">
        <v>24</v>
      </c>
      <c r="O81" s="37">
        <v>1</v>
      </c>
      <c r="P81" s="37">
        <v>12</v>
      </c>
      <c r="Q81" s="37">
        <v>12</v>
      </c>
      <c r="R81" s="37">
        <v>0</v>
      </c>
      <c r="S81" s="37">
        <v>0</v>
      </c>
      <c r="T81" s="37">
        <v>100</v>
      </c>
      <c r="U81" s="37">
        <v>31.82</v>
      </c>
      <c r="V81" s="37">
        <v>18.18</v>
      </c>
      <c r="W81" s="37">
        <v>50</v>
      </c>
      <c r="X81" s="37">
        <v>37.5</v>
      </c>
      <c r="Y81" s="37">
        <v>25</v>
      </c>
      <c r="Z81" s="37">
        <v>37.5</v>
      </c>
      <c r="AA81" s="37">
        <v>41.67</v>
      </c>
      <c r="AB81" s="37">
        <v>41.67</v>
      </c>
      <c r="AC81" s="24">
        <f t="shared" si="9"/>
        <v>-34.317999999999998</v>
      </c>
      <c r="AD81" s="25">
        <f t="shared" si="10"/>
        <v>34.317999999999998</v>
      </c>
      <c r="AE81" s="23" t="str">
        <f t="shared" si="11"/>
        <v>Loss</v>
      </c>
      <c r="AF81" s="23" t="str">
        <f t="shared" si="12"/>
        <v>Win</v>
      </c>
      <c r="AG81" s="23" t="str">
        <f t="shared" si="13"/>
        <v>Loss</v>
      </c>
      <c r="AH81" s="23">
        <f t="shared" si="14"/>
        <v>-50</v>
      </c>
      <c r="AI81" s="23">
        <f t="shared" si="15"/>
        <v>114</v>
      </c>
      <c r="AJ81" s="23">
        <f t="shared" si="16"/>
        <v>-50</v>
      </c>
    </row>
    <row r="82" spans="1:36" x14ac:dyDescent="0.2">
      <c r="A82" s="36">
        <v>43587</v>
      </c>
      <c r="B82" s="37" t="s">
        <v>360</v>
      </c>
      <c r="C82" s="37" t="s">
        <v>361</v>
      </c>
      <c r="D82" s="37" t="s">
        <v>383</v>
      </c>
      <c r="E82" s="37" t="s">
        <v>384</v>
      </c>
      <c r="F82" s="37" t="s">
        <v>385</v>
      </c>
      <c r="G82" s="37">
        <v>0</v>
      </c>
      <c r="H82" s="37">
        <v>3</v>
      </c>
      <c r="I82" s="37">
        <v>30.62</v>
      </c>
      <c r="J82" s="37">
        <v>18.079999999999998</v>
      </c>
      <c r="K82" s="37">
        <v>1.02</v>
      </c>
      <c r="L82" s="37">
        <v>29.6</v>
      </c>
      <c r="M82" s="37">
        <v>0</v>
      </c>
      <c r="N82" s="37">
        <v>11</v>
      </c>
      <c r="O82" s="37">
        <v>0</v>
      </c>
      <c r="P82" s="37">
        <v>0</v>
      </c>
      <c r="Q82" s="37">
        <v>8</v>
      </c>
      <c r="R82" s="37">
        <v>0</v>
      </c>
      <c r="S82" s="37">
        <v>0</v>
      </c>
      <c r="T82" s="37">
        <v>0</v>
      </c>
      <c r="U82" s="37">
        <v>0</v>
      </c>
      <c r="V82" s="37">
        <v>0</v>
      </c>
      <c r="W82" s="37">
        <v>0</v>
      </c>
      <c r="X82" s="37">
        <v>63.64</v>
      </c>
      <c r="Y82" s="37">
        <v>9.09</v>
      </c>
      <c r="Z82" s="37">
        <v>27.27</v>
      </c>
      <c r="AA82" s="37">
        <v>0</v>
      </c>
      <c r="AB82" s="37">
        <v>50</v>
      </c>
      <c r="AC82" s="24">
        <f t="shared" si="9"/>
        <v>-8.1830000000000016</v>
      </c>
      <c r="AD82" s="25">
        <f t="shared" si="10"/>
        <v>8.1830000000000016</v>
      </c>
      <c r="AE82" s="23" t="str">
        <f t="shared" si="11"/>
        <v>Loss</v>
      </c>
      <c r="AF82" s="23" t="str">
        <f t="shared" si="12"/>
        <v>Loss</v>
      </c>
      <c r="AG82" s="23" t="str">
        <f t="shared" si="13"/>
        <v>Win</v>
      </c>
      <c r="AH82" s="23">
        <f t="shared" si="14"/>
        <v>-50</v>
      </c>
      <c r="AI82" s="23">
        <f t="shared" si="15"/>
        <v>-50</v>
      </c>
      <c r="AJ82" s="23">
        <f t="shared" si="16"/>
        <v>1</v>
      </c>
    </row>
    <row r="83" spans="1:36" x14ac:dyDescent="0.2">
      <c r="A83" s="36">
        <v>43587</v>
      </c>
      <c r="B83" s="37" t="s">
        <v>318</v>
      </c>
      <c r="C83" s="37" t="s">
        <v>319</v>
      </c>
      <c r="D83" s="37" t="s">
        <v>386</v>
      </c>
      <c r="E83" s="37" t="s">
        <v>387</v>
      </c>
      <c r="F83" s="37" t="s">
        <v>388</v>
      </c>
      <c r="G83" s="37">
        <v>1</v>
      </c>
      <c r="H83" s="37">
        <v>3</v>
      </c>
      <c r="I83" s="37">
        <v>2.62</v>
      </c>
      <c r="J83" s="37">
        <v>3.81</v>
      </c>
      <c r="K83" s="37">
        <v>2.25</v>
      </c>
      <c r="L83" s="37">
        <v>0.37</v>
      </c>
      <c r="M83" s="37">
        <v>30</v>
      </c>
      <c r="N83" s="37">
        <v>33</v>
      </c>
      <c r="O83" s="37">
        <v>1</v>
      </c>
      <c r="P83" s="37">
        <v>14</v>
      </c>
      <c r="Q83" s="37">
        <v>16</v>
      </c>
      <c r="R83" s="37">
        <v>100</v>
      </c>
      <c r="S83" s="37">
        <v>0</v>
      </c>
      <c r="T83" s="37">
        <v>0</v>
      </c>
      <c r="U83" s="37">
        <v>50</v>
      </c>
      <c r="V83" s="37">
        <v>20</v>
      </c>
      <c r="W83" s="37">
        <v>30</v>
      </c>
      <c r="X83" s="37">
        <v>57.58</v>
      </c>
      <c r="Y83" s="37">
        <v>15.15</v>
      </c>
      <c r="Z83" s="37">
        <v>27.27</v>
      </c>
      <c r="AA83" s="37">
        <v>50</v>
      </c>
      <c r="AB83" s="37">
        <v>50</v>
      </c>
      <c r="AC83" s="24">
        <f t="shared" si="9"/>
        <v>28.423000000000002</v>
      </c>
      <c r="AD83" s="25">
        <f t="shared" si="10"/>
        <v>-28.423000000000002</v>
      </c>
      <c r="AE83" s="23" t="str">
        <f t="shared" si="11"/>
        <v>Loss</v>
      </c>
      <c r="AF83" s="23" t="str">
        <f t="shared" si="12"/>
        <v>Loss</v>
      </c>
      <c r="AG83" s="23" t="str">
        <f t="shared" si="13"/>
        <v>Win</v>
      </c>
      <c r="AH83" s="23">
        <f t="shared" si="14"/>
        <v>-50</v>
      </c>
      <c r="AI83" s="23">
        <f t="shared" si="15"/>
        <v>-50</v>
      </c>
      <c r="AJ83" s="23">
        <f t="shared" si="16"/>
        <v>62.5</v>
      </c>
    </row>
    <row r="84" spans="1:36" x14ac:dyDescent="0.2">
      <c r="A84" s="36">
        <v>43587</v>
      </c>
      <c r="B84" s="37" t="s">
        <v>389</v>
      </c>
      <c r="C84" s="37" t="s">
        <v>248</v>
      </c>
      <c r="D84" s="37" t="s">
        <v>390</v>
      </c>
      <c r="E84" s="37" t="s">
        <v>391</v>
      </c>
      <c r="F84" s="37" t="s">
        <v>392</v>
      </c>
      <c r="G84" s="37">
        <v>2</v>
      </c>
      <c r="H84" s="37">
        <v>1</v>
      </c>
      <c r="I84" s="37">
        <v>2.29</v>
      </c>
      <c r="J84" s="37">
        <v>2.81</v>
      </c>
      <c r="K84" s="37">
        <v>3.37</v>
      </c>
      <c r="L84" s="37">
        <v>-1.08</v>
      </c>
      <c r="M84" s="37">
        <v>32</v>
      </c>
      <c r="N84" s="37">
        <v>33</v>
      </c>
      <c r="O84" s="37">
        <v>2</v>
      </c>
      <c r="P84" s="37">
        <v>17</v>
      </c>
      <c r="Q84" s="37">
        <v>16</v>
      </c>
      <c r="R84" s="37">
        <v>0</v>
      </c>
      <c r="S84" s="37">
        <v>50</v>
      </c>
      <c r="T84" s="37">
        <v>50</v>
      </c>
      <c r="U84" s="37">
        <v>25</v>
      </c>
      <c r="V84" s="37">
        <v>37.5</v>
      </c>
      <c r="W84" s="37">
        <v>37.5</v>
      </c>
      <c r="X84" s="37">
        <v>33.33</v>
      </c>
      <c r="Y84" s="37">
        <v>30.3</v>
      </c>
      <c r="Z84" s="37">
        <v>36.36</v>
      </c>
      <c r="AA84" s="37">
        <v>29.41</v>
      </c>
      <c r="AB84" s="37">
        <v>25</v>
      </c>
      <c r="AC84" s="24">
        <f t="shared" si="9"/>
        <v>-11.174000000000001</v>
      </c>
      <c r="AD84" s="25">
        <f t="shared" si="10"/>
        <v>21.173999999999999</v>
      </c>
      <c r="AE84" s="23" t="str">
        <f t="shared" si="11"/>
        <v>Win</v>
      </c>
      <c r="AF84" s="23" t="str">
        <f t="shared" si="12"/>
        <v>Loss</v>
      </c>
      <c r="AG84" s="23" t="str">
        <f t="shared" si="13"/>
        <v>Loss</v>
      </c>
      <c r="AH84" s="23">
        <f t="shared" si="14"/>
        <v>64.5</v>
      </c>
      <c r="AI84" s="23">
        <f t="shared" si="15"/>
        <v>-50</v>
      </c>
      <c r="AJ84" s="23">
        <f t="shared" si="16"/>
        <v>-50</v>
      </c>
    </row>
    <row r="85" spans="1:36" x14ac:dyDescent="0.2">
      <c r="A85" s="36">
        <v>43587</v>
      </c>
      <c r="B85" s="37" t="s">
        <v>393</v>
      </c>
      <c r="C85" s="37" t="s">
        <v>394</v>
      </c>
      <c r="D85" s="37" t="s">
        <v>395</v>
      </c>
      <c r="E85" s="37" t="s">
        <v>396</v>
      </c>
      <c r="F85" s="37" t="s">
        <v>397</v>
      </c>
      <c r="G85" s="37">
        <v>1</v>
      </c>
      <c r="H85" s="37">
        <v>1</v>
      </c>
      <c r="I85" s="37">
        <v>3.81</v>
      </c>
      <c r="J85" s="37">
        <v>3.71</v>
      </c>
      <c r="K85" s="37">
        <v>1.75</v>
      </c>
      <c r="L85" s="37">
        <v>2.06</v>
      </c>
      <c r="M85" s="37">
        <v>5</v>
      </c>
      <c r="N85" s="37">
        <v>4</v>
      </c>
      <c r="O85" s="37">
        <v>0</v>
      </c>
      <c r="P85" s="37">
        <v>1</v>
      </c>
      <c r="Q85" s="37">
        <v>2</v>
      </c>
      <c r="R85" s="37">
        <v>0</v>
      </c>
      <c r="S85" s="37">
        <v>0</v>
      </c>
      <c r="T85" s="37">
        <v>0</v>
      </c>
      <c r="U85" s="37">
        <v>20</v>
      </c>
      <c r="V85" s="37">
        <v>40</v>
      </c>
      <c r="W85" s="37">
        <v>40</v>
      </c>
      <c r="X85" s="37">
        <v>50</v>
      </c>
      <c r="Y85" s="37">
        <v>0</v>
      </c>
      <c r="Z85" s="37">
        <v>50</v>
      </c>
      <c r="AA85" s="37">
        <v>0</v>
      </c>
      <c r="AB85" s="37">
        <v>0</v>
      </c>
      <c r="AC85" s="24">
        <f t="shared" si="9"/>
        <v>0</v>
      </c>
      <c r="AD85" s="25">
        <f t="shared" si="10"/>
        <v>0</v>
      </c>
      <c r="AE85" s="23" t="str">
        <f t="shared" si="11"/>
        <v>Loss</v>
      </c>
      <c r="AF85" s="23" t="str">
        <f t="shared" si="12"/>
        <v>Win</v>
      </c>
      <c r="AG85" s="23" t="str">
        <f t="shared" si="13"/>
        <v>Loss</v>
      </c>
      <c r="AH85" s="23">
        <f t="shared" si="14"/>
        <v>-50</v>
      </c>
      <c r="AI85" s="23">
        <f t="shared" si="15"/>
        <v>135.5</v>
      </c>
      <c r="AJ85" s="23">
        <f t="shared" si="16"/>
        <v>-50</v>
      </c>
    </row>
    <row r="86" spans="1:36" x14ac:dyDescent="0.2">
      <c r="A86" s="36">
        <v>43587</v>
      </c>
      <c r="B86" s="37" t="s">
        <v>398</v>
      </c>
      <c r="C86" s="37" t="s">
        <v>399</v>
      </c>
      <c r="D86" s="37" t="s">
        <v>400</v>
      </c>
      <c r="E86" s="37" t="s">
        <v>401</v>
      </c>
      <c r="F86" s="37" t="s">
        <v>402</v>
      </c>
      <c r="G86" s="37">
        <v>0</v>
      </c>
      <c r="H86" s="37">
        <v>4</v>
      </c>
      <c r="I86" s="37">
        <v>1.79</v>
      </c>
      <c r="J86" s="37">
        <v>3.7</v>
      </c>
      <c r="K86" s="37">
        <v>3.54</v>
      </c>
      <c r="L86" s="37">
        <v>-1.75</v>
      </c>
      <c r="M86" s="37">
        <v>26</v>
      </c>
      <c r="N86" s="37">
        <v>25</v>
      </c>
      <c r="O86" s="37">
        <v>1</v>
      </c>
      <c r="P86" s="37">
        <v>13</v>
      </c>
      <c r="Q86" s="37">
        <v>11</v>
      </c>
      <c r="R86" s="37">
        <v>0</v>
      </c>
      <c r="S86" s="37">
        <v>0</v>
      </c>
      <c r="T86" s="37">
        <v>100</v>
      </c>
      <c r="U86" s="37">
        <v>34.619999999999997</v>
      </c>
      <c r="V86" s="37">
        <v>15.38</v>
      </c>
      <c r="W86" s="37">
        <v>50</v>
      </c>
      <c r="X86" s="37">
        <v>44</v>
      </c>
      <c r="Y86" s="37">
        <v>16</v>
      </c>
      <c r="Z86" s="37">
        <v>40</v>
      </c>
      <c r="AA86" s="37">
        <v>38.46</v>
      </c>
      <c r="AB86" s="37">
        <v>36.36</v>
      </c>
      <c r="AC86" s="24">
        <f t="shared" si="9"/>
        <v>-33.938000000000002</v>
      </c>
      <c r="AD86" s="25">
        <f t="shared" si="10"/>
        <v>33.938000000000002</v>
      </c>
      <c r="AE86" s="23" t="str">
        <f t="shared" si="11"/>
        <v>Loss</v>
      </c>
      <c r="AF86" s="23" t="str">
        <f t="shared" si="12"/>
        <v>Loss</v>
      </c>
      <c r="AG86" s="23" t="str">
        <f t="shared" si="13"/>
        <v>Win</v>
      </c>
      <c r="AH86" s="23">
        <f t="shared" si="14"/>
        <v>-50</v>
      </c>
      <c r="AI86" s="23">
        <f t="shared" si="15"/>
        <v>-50</v>
      </c>
      <c r="AJ86" s="23">
        <f t="shared" si="16"/>
        <v>127</v>
      </c>
    </row>
    <row r="87" spans="1:36" x14ac:dyDescent="0.2">
      <c r="A87" s="36">
        <v>43587</v>
      </c>
      <c r="B87" s="37" t="s">
        <v>403</v>
      </c>
      <c r="C87" s="37" t="s">
        <v>404</v>
      </c>
      <c r="D87" s="37" t="s">
        <v>405</v>
      </c>
      <c r="E87" s="37" t="s">
        <v>406</v>
      </c>
      <c r="F87" s="37" t="s">
        <v>407</v>
      </c>
      <c r="G87" s="37">
        <v>2</v>
      </c>
      <c r="H87" s="37">
        <v>1</v>
      </c>
      <c r="I87" s="37">
        <v>2.2799999999999998</v>
      </c>
      <c r="J87" s="37">
        <v>3.56</v>
      </c>
      <c r="K87" s="37">
        <v>2.58</v>
      </c>
      <c r="L87" s="37">
        <v>-0.3</v>
      </c>
      <c r="M87" s="37">
        <v>31</v>
      </c>
      <c r="N87" s="37">
        <v>1</v>
      </c>
      <c r="O87" s="37">
        <v>0</v>
      </c>
      <c r="P87" s="37">
        <v>18</v>
      </c>
      <c r="Q87" s="37">
        <v>1</v>
      </c>
      <c r="R87" s="37">
        <v>0</v>
      </c>
      <c r="S87" s="37">
        <v>0</v>
      </c>
      <c r="T87" s="37">
        <v>0</v>
      </c>
      <c r="U87" s="37">
        <v>58.06</v>
      </c>
      <c r="V87" s="37">
        <v>22.58</v>
      </c>
      <c r="W87" s="37">
        <v>19.350000000000001</v>
      </c>
      <c r="X87" s="37">
        <v>100</v>
      </c>
      <c r="Y87" s="37">
        <v>0</v>
      </c>
      <c r="Z87" s="37">
        <v>0</v>
      </c>
      <c r="AA87" s="37">
        <v>72.22</v>
      </c>
      <c r="AB87" s="37">
        <v>100</v>
      </c>
      <c r="AC87" s="24">
        <f t="shared" si="9"/>
        <v>-10</v>
      </c>
      <c r="AD87" s="25">
        <f t="shared" si="10"/>
        <v>10</v>
      </c>
      <c r="AE87" s="23" t="str">
        <f t="shared" si="11"/>
        <v>Win</v>
      </c>
      <c r="AF87" s="23" t="str">
        <f t="shared" si="12"/>
        <v>Loss</v>
      </c>
      <c r="AG87" s="23" t="str">
        <f t="shared" si="13"/>
        <v>Loss</v>
      </c>
      <c r="AH87" s="23">
        <f t="shared" si="14"/>
        <v>63.999999999999986</v>
      </c>
      <c r="AI87" s="23">
        <f t="shared" si="15"/>
        <v>-50</v>
      </c>
      <c r="AJ87" s="23">
        <f t="shared" si="16"/>
        <v>-50</v>
      </c>
    </row>
    <row r="88" spans="1:36" x14ac:dyDescent="0.2">
      <c r="A88" s="36">
        <v>43587</v>
      </c>
      <c r="B88" s="37" t="s">
        <v>408</v>
      </c>
      <c r="C88" s="37" t="s">
        <v>409</v>
      </c>
      <c r="D88" s="37" t="s">
        <v>410</v>
      </c>
      <c r="E88" s="37" t="s">
        <v>411</v>
      </c>
      <c r="F88" s="37" t="s">
        <v>412</v>
      </c>
      <c r="G88" s="37">
        <v>0</v>
      </c>
      <c r="H88" s="37">
        <v>1</v>
      </c>
      <c r="I88" s="37">
        <v>1.71</v>
      </c>
      <c r="J88" s="37">
        <v>3.43</v>
      </c>
      <c r="K88" s="37">
        <v>4.93</v>
      </c>
      <c r="L88" s="37">
        <v>-3.22</v>
      </c>
      <c r="M88" s="37">
        <v>53</v>
      </c>
      <c r="N88" s="37">
        <v>48</v>
      </c>
      <c r="O88" s="37">
        <v>2</v>
      </c>
      <c r="P88" s="37">
        <v>27</v>
      </c>
      <c r="Q88" s="37">
        <v>24</v>
      </c>
      <c r="R88" s="37">
        <v>100</v>
      </c>
      <c r="S88" s="37">
        <v>0</v>
      </c>
      <c r="T88" s="37">
        <v>0</v>
      </c>
      <c r="U88" s="37">
        <v>52.83</v>
      </c>
      <c r="V88" s="37">
        <v>20.75</v>
      </c>
      <c r="W88" s="37">
        <v>26.42</v>
      </c>
      <c r="X88" s="37">
        <v>45.83</v>
      </c>
      <c r="Y88" s="37">
        <v>16.670000000000002</v>
      </c>
      <c r="Z88" s="37">
        <v>37.5</v>
      </c>
      <c r="AA88" s="37">
        <v>70.37</v>
      </c>
      <c r="AB88" s="37">
        <v>45.83</v>
      </c>
      <c r="AC88" s="24">
        <f t="shared" si="9"/>
        <v>34.024000000000001</v>
      </c>
      <c r="AD88" s="25">
        <f t="shared" si="10"/>
        <v>-34.024000000000001</v>
      </c>
      <c r="AE88" s="23" t="str">
        <f t="shared" si="11"/>
        <v>Loss</v>
      </c>
      <c r="AF88" s="23" t="str">
        <f t="shared" si="12"/>
        <v>Loss</v>
      </c>
      <c r="AG88" s="23" t="str">
        <f t="shared" si="13"/>
        <v>Win</v>
      </c>
      <c r="AH88" s="23">
        <f t="shared" si="14"/>
        <v>-50</v>
      </c>
      <c r="AI88" s="23">
        <f t="shared" si="15"/>
        <v>-50</v>
      </c>
      <c r="AJ88" s="23">
        <f t="shared" si="16"/>
        <v>196.5</v>
      </c>
    </row>
    <row r="89" spans="1:36" x14ac:dyDescent="0.2">
      <c r="A89" s="36">
        <v>43587</v>
      </c>
      <c r="B89" s="37" t="s">
        <v>398</v>
      </c>
      <c r="C89" s="37" t="s">
        <v>413</v>
      </c>
      <c r="D89" s="37" t="s">
        <v>414</v>
      </c>
      <c r="E89" s="37" t="s">
        <v>415</v>
      </c>
      <c r="F89" s="37" t="s">
        <v>416</v>
      </c>
      <c r="G89" s="37">
        <v>2</v>
      </c>
      <c r="H89" s="37">
        <v>0</v>
      </c>
      <c r="I89" s="37">
        <v>1.31</v>
      </c>
      <c r="J89" s="37">
        <v>5.04</v>
      </c>
      <c r="K89" s="37">
        <v>6.59</v>
      </c>
      <c r="L89" s="37">
        <v>-5.28</v>
      </c>
      <c r="M89" s="37">
        <v>21</v>
      </c>
      <c r="N89" s="37">
        <v>21</v>
      </c>
      <c r="O89" s="37">
        <v>1</v>
      </c>
      <c r="P89" s="37">
        <v>11</v>
      </c>
      <c r="Q89" s="37">
        <v>11</v>
      </c>
      <c r="R89" s="37">
        <v>100</v>
      </c>
      <c r="S89" s="37">
        <v>0</v>
      </c>
      <c r="T89" s="37">
        <v>0</v>
      </c>
      <c r="U89" s="37">
        <v>80.95</v>
      </c>
      <c r="V89" s="37">
        <v>9.52</v>
      </c>
      <c r="W89" s="37">
        <v>9.52</v>
      </c>
      <c r="X89" s="37">
        <v>42.86</v>
      </c>
      <c r="Y89" s="37">
        <v>28.57</v>
      </c>
      <c r="Z89" s="37">
        <v>28.57</v>
      </c>
      <c r="AA89" s="37">
        <v>100</v>
      </c>
      <c r="AB89" s="37">
        <v>36.36</v>
      </c>
      <c r="AC89" s="24">
        <f t="shared" si="9"/>
        <v>39.522999999999996</v>
      </c>
      <c r="AD89" s="25">
        <f t="shared" si="10"/>
        <v>-39.522999999999996</v>
      </c>
      <c r="AE89" s="23" t="str">
        <f t="shared" si="11"/>
        <v>Win</v>
      </c>
      <c r="AF89" s="23" t="str">
        <f t="shared" si="12"/>
        <v>Loss</v>
      </c>
      <c r="AG89" s="23" t="str">
        <f t="shared" si="13"/>
        <v>Loss</v>
      </c>
      <c r="AH89" s="23">
        <f t="shared" si="14"/>
        <v>15.5</v>
      </c>
      <c r="AI89" s="23">
        <f t="shared" si="15"/>
        <v>-50</v>
      </c>
      <c r="AJ89" s="23">
        <f t="shared" si="16"/>
        <v>-50</v>
      </c>
    </row>
    <row r="90" spans="1:36" x14ac:dyDescent="0.2">
      <c r="A90" s="36">
        <v>43587</v>
      </c>
      <c r="B90" s="37" t="s">
        <v>355</v>
      </c>
      <c r="C90" s="37" t="s">
        <v>356</v>
      </c>
      <c r="D90" s="37" t="s">
        <v>417</v>
      </c>
      <c r="E90" s="37" t="s">
        <v>418</v>
      </c>
      <c r="F90" s="37" t="s">
        <v>419</v>
      </c>
      <c r="G90" s="37">
        <v>0</v>
      </c>
      <c r="H90" s="37">
        <v>3</v>
      </c>
      <c r="I90" s="37">
        <v>2.58</v>
      </c>
      <c r="J90" s="37">
        <v>3.42</v>
      </c>
      <c r="K90" s="37">
        <v>2.3199999999999998</v>
      </c>
      <c r="L90" s="37">
        <v>0.26</v>
      </c>
      <c r="M90" s="37">
        <v>5</v>
      </c>
      <c r="N90" s="37">
        <v>10</v>
      </c>
      <c r="O90" s="37">
        <v>2</v>
      </c>
      <c r="P90" s="37">
        <v>2</v>
      </c>
      <c r="Q90" s="37">
        <v>4</v>
      </c>
      <c r="R90" s="37">
        <v>50</v>
      </c>
      <c r="S90" s="37">
        <v>50</v>
      </c>
      <c r="T90" s="37">
        <v>0</v>
      </c>
      <c r="U90" s="37">
        <v>40</v>
      </c>
      <c r="V90" s="37">
        <v>20</v>
      </c>
      <c r="W90" s="37">
        <v>40</v>
      </c>
      <c r="X90" s="37">
        <v>50</v>
      </c>
      <c r="Y90" s="37">
        <v>20</v>
      </c>
      <c r="Z90" s="37">
        <v>30</v>
      </c>
      <c r="AA90" s="37">
        <v>0</v>
      </c>
      <c r="AB90" s="37">
        <v>75</v>
      </c>
      <c r="AC90" s="24">
        <f t="shared" si="9"/>
        <v>16</v>
      </c>
      <c r="AD90" s="25">
        <f t="shared" si="10"/>
        <v>-6</v>
      </c>
      <c r="AE90" s="23" t="str">
        <f t="shared" si="11"/>
        <v>Loss</v>
      </c>
      <c r="AF90" s="23" t="str">
        <f t="shared" si="12"/>
        <v>Loss</v>
      </c>
      <c r="AG90" s="23" t="str">
        <f t="shared" si="13"/>
        <v>Win</v>
      </c>
      <c r="AH90" s="23">
        <f t="shared" si="14"/>
        <v>-50</v>
      </c>
      <c r="AI90" s="23">
        <f t="shared" si="15"/>
        <v>-50</v>
      </c>
      <c r="AJ90" s="23">
        <f t="shared" si="16"/>
        <v>65.999999999999986</v>
      </c>
    </row>
    <row r="91" spans="1:36" x14ac:dyDescent="0.2">
      <c r="A91" s="36">
        <v>43587</v>
      </c>
      <c r="B91" s="37" t="s">
        <v>420</v>
      </c>
      <c r="C91" s="37" t="s">
        <v>421</v>
      </c>
      <c r="D91" s="37" t="s">
        <v>422</v>
      </c>
      <c r="E91" s="37" t="s">
        <v>423</v>
      </c>
      <c r="F91" s="37" t="s">
        <v>424</v>
      </c>
      <c r="G91" s="37">
        <v>1</v>
      </c>
      <c r="H91" s="37">
        <v>1</v>
      </c>
      <c r="I91" s="37">
        <v>1.64</v>
      </c>
      <c r="J91" s="37">
        <v>3.51</v>
      </c>
      <c r="K91" s="37">
        <v>4.68</v>
      </c>
      <c r="L91" s="37">
        <v>-3.04</v>
      </c>
      <c r="M91" s="37">
        <v>25</v>
      </c>
      <c r="N91" s="37">
        <v>24</v>
      </c>
      <c r="O91" s="37">
        <v>1</v>
      </c>
      <c r="P91" s="37">
        <v>13</v>
      </c>
      <c r="Q91" s="37">
        <v>12</v>
      </c>
      <c r="R91" s="37">
        <v>0</v>
      </c>
      <c r="S91" s="37">
        <v>0</v>
      </c>
      <c r="T91" s="37">
        <v>100</v>
      </c>
      <c r="U91" s="37">
        <v>36</v>
      </c>
      <c r="V91" s="37">
        <v>24</v>
      </c>
      <c r="W91" s="37">
        <v>40</v>
      </c>
      <c r="X91" s="37">
        <v>20.83</v>
      </c>
      <c r="Y91" s="37">
        <v>41.67</v>
      </c>
      <c r="Z91" s="37">
        <v>37.5</v>
      </c>
      <c r="AA91" s="37">
        <v>38.46</v>
      </c>
      <c r="AB91" s="37">
        <v>33.33</v>
      </c>
      <c r="AC91" s="24">
        <f t="shared" si="9"/>
        <v>-29.232999999999997</v>
      </c>
      <c r="AD91" s="25">
        <f t="shared" si="10"/>
        <v>29.232999999999997</v>
      </c>
      <c r="AE91" s="23" t="str">
        <f t="shared" si="11"/>
        <v>Loss</v>
      </c>
      <c r="AF91" s="23" t="str">
        <f t="shared" si="12"/>
        <v>Win</v>
      </c>
      <c r="AG91" s="23" t="str">
        <f t="shared" si="13"/>
        <v>Loss</v>
      </c>
      <c r="AH91" s="23">
        <f t="shared" si="14"/>
        <v>-50</v>
      </c>
      <c r="AI91" s="23">
        <f t="shared" si="15"/>
        <v>125.5</v>
      </c>
      <c r="AJ91" s="23">
        <f t="shared" si="16"/>
        <v>-50</v>
      </c>
    </row>
    <row r="92" spans="1:36" x14ac:dyDescent="0.2">
      <c r="A92" s="36">
        <v>43587</v>
      </c>
      <c r="B92" s="37" t="s">
        <v>408</v>
      </c>
      <c r="C92" s="37" t="s">
        <v>425</v>
      </c>
      <c r="D92" s="37" t="s">
        <v>426</v>
      </c>
      <c r="E92" s="37" t="s">
        <v>427</v>
      </c>
      <c r="F92" s="37" t="s">
        <v>428</v>
      </c>
      <c r="G92" s="37">
        <v>1</v>
      </c>
      <c r="H92" s="37">
        <v>2</v>
      </c>
      <c r="I92" s="37">
        <v>2.0499999999999998</v>
      </c>
      <c r="J92" s="37">
        <v>3.37</v>
      </c>
      <c r="K92" s="37">
        <v>3.19</v>
      </c>
      <c r="L92" s="37">
        <v>-1.1399999999999999</v>
      </c>
      <c r="M92" s="37">
        <v>49</v>
      </c>
      <c r="N92" s="37">
        <v>45</v>
      </c>
      <c r="O92" s="37">
        <v>2</v>
      </c>
      <c r="P92" s="37">
        <v>26</v>
      </c>
      <c r="Q92" s="37">
        <v>23</v>
      </c>
      <c r="R92" s="37">
        <v>0</v>
      </c>
      <c r="S92" s="37">
        <v>0</v>
      </c>
      <c r="T92" s="37">
        <v>100</v>
      </c>
      <c r="U92" s="37">
        <v>51.02</v>
      </c>
      <c r="V92" s="37">
        <v>20.41</v>
      </c>
      <c r="W92" s="37">
        <v>28.57</v>
      </c>
      <c r="X92" s="37">
        <v>46.67</v>
      </c>
      <c r="Y92" s="37">
        <v>22.22</v>
      </c>
      <c r="Z92" s="37">
        <v>31.11</v>
      </c>
      <c r="AA92" s="37">
        <v>69.23</v>
      </c>
      <c r="AB92" s="37">
        <v>30.43</v>
      </c>
      <c r="AC92" s="24">
        <f t="shared" si="9"/>
        <v>-28.803000000000004</v>
      </c>
      <c r="AD92" s="25">
        <f t="shared" si="10"/>
        <v>28.803000000000004</v>
      </c>
      <c r="AE92" s="23" t="str">
        <f t="shared" si="11"/>
        <v>Loss</v>
      </c>
      <c r="AF92" s="23" t="str">
        <f t="shared" si="12"/>
        <v>Loss</v>
      </c>
      <c r="AG92" s="23" t="str">
        <f t="shared" si="13"/>
        <v>Win</v>
      </c>
      <c r="AH92" s="23">
        <f t="shared" si="14"/>
        <v>-50</v>
      </c>
      <c r="AI92" s="23">
        <f t="shared" si="15"/>
        <v>-50</v>
      </c>
      <c r="AJ92" s="23">
        <f t="shared" si="16"/>
        <v>109.5</v>
      </c>
    </row>
    <row r="93" spans="1:36" x14ac:dyDescent="0.2">
      <c r="A93" s="36">
        <v>43587</v>
      </c>
      <c r="B93" s="37" t="s">
        <v>408</v>
      </c>
      <c r="C93" s="37" t="s">
        <v>425</v>
      </c>
      <c r="D93" s="37" t="s">
        <v>429</v>
      </c>
      <c r="E93" s="37" t="s">
        <v>430</v>
      </c>
      <c r="F93" s="37" t="s">
        <v>431</v>
      </c>
      <c r="G93" s="37">
        <v>1</v>
      </c>
      <c r="H93" s="37">
        <v>2</v>
      </c>
      <c r="I93" s="37">
        <v>2.19</v>
      </c>
      <c r="J93" s="37">
        <v>3.37</v>
      </c>
      <c r="K93" s="37">
        <v>2.89</v>
      </c>
      <c r="L93" s="37">
        <v>-0.7</v>
      </c>
      <c r="M93" s="37">
        <v>46</v>
      </c>
      <c r="N93" s="37">
        <v>46</v>
      </c>
      <c r="O93" s="37">
        <v>2</v>
      </c>
      <c r="P93" s="37">
        <v>25</v>
      </c>
      <c r="Q93" s="37">
        <v>24</v>
      </c>
      <c r="R93" s="37">
        <v>50</v>
      </c>
      <c r="S93" s="37">
        <v>0</v>
      </c>
      <c r="T93" s="37">
        <v>50</v>
      </c>
      <c r="U93" s="37">
        <v>50</v>
      </c>
      <c r="V93" s="37">
        <v>19.57</v>
      </c>
      <c r="W93" s="37">
        <v>30.43</v>
      </c>
      <c r="X93" s="37">
        <v>50</v>
      </c>
      <c r="Y93" s="37">
        <v>15.22</v>
      </c>
      <c r="Z93" s="37">
        <v>34.78</v>
      </c>
      <c r="AA93" s="37">
        <v>60</v>
      </c>
      <c r="AB93" s="37">
        <v>50</v>
      </c>
      <c r="AC93" s="24">
        <f t="shared" si="9"/>
        <v>1.3050000000000006</v>
      </c>
      <c r="AD93" s="25">
        <f t="shared" si="10"/>
        <v>-1.3050000000000006</v>
      </c>
      <c r="AE93" s="23" t="str">
        <f t="shared" si="11"/>
        <v>Loss</v>
      </c>
      <c r="AF93" s="23" t="str">
        <f t="shared" si="12"/>
        <v>Loss</v>
      </c>
      <c r="AG93" s="23" t="str">
        <f t="shared" si="13"/>
        <v>Win</v>
      </c>
      <c r="AH93" s="23">
        <f t="shared" si="14"/>
        <v>-50</v>
      </c>
      <c r="AI93" s="23">
        <f t="shared" si="15"/>
        <v>-50</v>
      </c>
      <c r="AJ93" s="23">
        <f t="shared" si="16"/>
        <v>94.5</v>
      </c>
    </row>
    <row r="94" spans="1:36" x14ac:dyDescent="0.2">
      <c r="A94" s="36">
        <v>43587</v>
      </c>
      <c r="B94" s="37" t="s">
        <v>432</v>
      </c>
      <c r="C94" s="37" t="s">
        <v>433</v>
      </c>
      <c r="D94" s="37" t="s">
        <v>434</v>
      </c>
      <c r="E94" s="37" t="s">
        <v>435</v>
      </c>
      <c r="F94" s="37" t="s">
        <v>436</v>
      </c>
      <c r="G94" s="37">
        <v>1</v>
      </c>
      <c r="H94" s="37">
        <v>1</v>
      </c>
      <c r="I94" s="37">
        <v>2.73</v>
      </c>
      <c r="J94" s="37">
        <v>2.76</v>
      </c>
      <c r="K94" s="37">
        <v>2.74</v>
      </c>
      <c r="L94" s="37">
        <v>-0.01</v>
      </c>
      <c r="M94" s="37">
        <v>34</v>
      </c>
      <c r="N94" s="37">
        <v>32</v>
      </c>
      <c r="O94" s="37">
        <v>1</v>
      </c>
      <c r="P94" s="37">
        <v>17</v>
      </c>
      <c r="Q94" s="37">
        <v>15</v>
      </c>
      <c r="R94" s="37">
        <v>0</v>
      </c>
      <c r="S94" s="37">
        <v>0</v>
      </c>
      <c r="T94" s="37">
        <v>100</v>
      </c>
      <c r="U94" s="37">
        <v>23.53</v>
      </c>
      <c r="V94" s="37">
        <v>38.24</v>
      </c>
      <c r="W94" s="37">
        <v>38.24</v>
      </c>
      <c r="X94" s="37">
        <v>50</v>
      </c>
      <c r="Y94" s="37">
        <v>12.5</v>
      </c>
      <c r="Z94" s="37">
        <v>37.5</v>
      </c>
      <c r="AA94" s="37">
        <v>23.53</v>
      </c>
      <c r="AB94" s="37">
        <v>20</v>
      </c>
      <c r="AC94" s="24">
        <f t="shared" si="9"/>
        <v>-32.867999999999995</v>
      </c>
      <c r="AD94" s="25">
        <f t="shared" si="10"/>
        <v>32.867999999999995</v>
      </c>
      <c r="AE94" s="23" t="str">
        <f t="shared" si="11"/>
        <v>Loss</v>
      </c>
      <c r="AF94" s="23" t="str">
        <f t="shared" si="12"/>
        <v>Win</v>
      </c>
      <c r="AG94" s="23" t="str">
        <f t="shared" si="13"/>
        <v>Loss</v>
      </c>
      <c r="AH94" s="23">
        <f t="shared" si="14"/>
        <v>-50</v>
      </c>
      <c r="AI94" s="23">
        <f t="shared" si="15"/>
        <v>88</v>
      </c>
      <c r="AJ94" s="23">
        <f t="shared" si="16"/>
        <v>-50</v>
      </c>
    </row>
    <row r="95" spans="1:36" x14ac:dyDescent="0.2">
      <c r="A95" s="36">
        <v>43587</v>
      </c>
      <c r="B95" s="37" t="s">
        <v>437</v>
      </c>
      <c r="C95" s="37" t="s">
        <v>438</v>
      </c>
      <c r="D95" s="37" t="s">
        <v>439</v>
      </c>
      <c r="E95" s="37" t="s">
        <v>440</v>
      </c>
      <c r="F95" s="37" t="s">
        <v>441</v>
      </c>
      <c r="G95" s="37">
        <v>0</v>
      </c>
      <c r="H95" s="37">
        <v>5</v>
      </c>
      <c r="I95" s="37">
        <v>2.78</v>
      </c>
      <c r="J95" s="37">
        <v>3.38</v>
      </c>
      <c r="K95" s="37">
        <v>2.2000000000000002</v>
      </c>
      <c r="L95" s="37">
        <v>0.57999999999999996</v>
      </c>
      <c r="M95" s="37">
        <v>3</v>
      </c>
      <c r="N95" s="37">
        <v>5</v>
      </c>
      <c r="O95" s="37">
        <v>1</v>
      </c>
      <c r="P95" s="37">
        <v>0</v>
      </c>
      <c r="Q95" s="37">
        <v>1</v>
      </c>
      <c r="R95" s="37">
        <v>0</v>
      </c>
      <c r="S95" s="37">
        <v>0</v>
      </c>
      <c r="T95" s="37">
        <v>100</v>
      </c>
      <c r="U95" s="37">
        <v>0</v>
      </c>
      <c r="V95" s="37">
        <v>0</v>
      </c>
      <c r="W95" s="37">
        <v>100</v>
      </c>
      <c r="X95" s="37">
        <v>40</v>
      </c>
      <c r="Y95" s="37">
        <v>20</v>
      </c>
      <c r="Z95" s="37">
        <v>40</v>
      </c>
      <c r="AA95" s="37">
        <v>0</v>
      </c>
      <c r="AB95" s="37">
        <v>0</v>
      </c>
      <c r="AC95" s="24">
        <f t="shared" si="9"/>
        <v>-52</v>
      </c>
      <c r="AD95" s="25">
        <f t="shared" si="10"/>
        <v>52</v>
      </c>
      <c r="AE95" s="23" t="str">
        <f t="shared" si="11"/>
        <v>Loss</v>
      </c>
      <c r="AF95" s="23" t="str">
        <f t="shared" si="12"/>
        <v>Loss</v>
      </c>
      <c r="AG95" s="23" t="str">
        <f t="shared" si="13"/>
        <v>Win</v>
      </c>
      <c r="AH95" s="23">
        <f t="shared" si="14"/>
        <v>-50</v>
      </c>
      <c r="AI95" s="23">
        <f t="shared" si="15"/>
        <v>-50</v>
      </c>
      <c r="AJ95" s="59">
        <f t="shared" si="16"/>
        <v>60.000000000000014</v>
      </c>
    </row>
    <row r="96" spans="1:36" x14ac:dyDescent="0.2">
      <c r="A96" s="36">
        <v>43587</v>
      </c>
      <c r="B96" s="37" t="s">
        <v>442</v>
      </c>
      <c r="C96" s="37" t="s">
        <v>443</v>
      </c>
      <c r="D96" s="37" t="s">
        <v>444</v>
      </c>
      <c r="E96" s="37" t="s">
        <v>445</v>
      </c>
      <c r="F96" s="37" t="s">
        <v>446</v>
      </c>
      <c r="G96" s="37">
        <v>3</v>
      </c>
      <c r="H96" s="37">
        <v>1</v>
      </c>
      <c r="I96" s="37">
        <v>2.11</v>
      </c>
      <c r="J96" s="37">
        <v>3.33</v>
      </c>
      <c r="K96" s="37">
        <v>3.73</v>
      </c>
      <c r="L96" s="37">
        <v>-1.62</v>
      </c>
      <c r="M96" s="37">
        <v>14</v>
      </c>
      <c r="N96" s="37">
        <v>13</v>
      </c>
      <c r="O96" s="37">
        <v>0</v>
      </c>
      <c r="P96" s="37">
        <v>8</v>
      </c>
      <c r="Q96" s="37">
        <v>7</v>
      </c>
      <c r="R96" s="37">
        <v>0</v>
      </c>
      <c r="S96" s="37">
        <v>0</v>
      </c>
      <c r="T96" s="37">
        <v>0</v>
      </c>
      <c r="U96" s="37">
        <v>71.430000000000007</v>
      </c>
      <c r="V96" s="37">
        <v>7.14</v>
      </c>
      <c r="W96" s="37">
        <v>21.43</v>
      </c>
      <c r="X96" s="37">
        <v>61.54</v>
      </c>
      <c r="Y96" s="37">
        <v>23.08</v>
      </c>
      <c r="Z96" s="37">
        <v>15.38</v>
      </c>
      <c r="AA96" s="37">
        <v>75</v>
      </c>
      <c r="AB96" s="37">
        <v>42.86</v>
      </c>
      <c r="AC96" s="24">
        <f t="shared" si="9"/>
        <v>-0.82599999999999696</v>
      </c>
      <c r="AD96" s="25">
        <f t="shared" si="10"/>
        <v>0.82599999999999696</v>
      </c>
      <c r="AE96" s="23" t="str">
        <f t="shared" si="11"/>
        <v>Win</v>
      </c>
      <c r="AF96" s="23" t="str">
        <f t="shared" si="12"/>
        <v>Loss</v>
      </c>
      <c r="AG96" s="23" t="str">
        <f t="shared" si="13"/>
        <v>Loss</v>
      </c>
      <c r="AH96" s="23">
        <f t="shared" si="14"/>
        <v>55.5</v>
      </c>
      <c r="AI96" s="23">
        <f t="shared" si="15"/>
        <v>-50</v>
      </c>
      <c r="AJ96" s="23">
        <f t="shared" si="16"/>
        <v>-50</v>
      </c>
    </row>
    <row r="97" spans="1:36" x14ac:dyDescent="0.2">
      <c r="A97" s="36">
        <v>43587</v>
      </c>
      <c r="B97" s="37" t="s">
        <v>442</v>
      </c>
      <c r="C97" s="37" t="s">
        <v>443</v>
      </c>
      <c r="D97" s="37" t="s">
        <v>447</v>
      </c>
      <c r="E97" s="37" t="s">
        <v>448</v>
      </c>
      <c r="F97" s="37" t="s">
        <v>449</v>
      </c>
      <c r="G97" s="37">
        <v>1</v>
      </c>
      <c r="H97" s="37">
        <v>1</v>
      </c>
      <c r="I97" s="37">
        <v>3.22</v>
      </c>
      <c r="J97" s="37">
        <v>3.26</v>
      </c>
      <c r="K97" s="37">
        <v>2.34</v>
      </c>
      <c r="L97" s="37">
        <v>0.88</v>
      </c>
      <c r="M97" s="37">
        <v>13</v>
      </c>
      <c r="N97" s="37">
        <v>14</v>
      </c>
      <c r="O97" s="37">
        <v>1</v>
      </c>
      <c r="P97" s="37">
        <v>7</v>
      </c>
      <c r="Q97" s="37">
        <v>8</v>
      </c>
      <c r="R97" s="37">
        <v>100</v>
      </c>
      <c r="S97" s="37">
        <v>0</v>
      </c>
      <c r="T97" s="37">
        <v>0</v>
      </c>
      <c r="U97" s="37">
        <v>76.92</v>
      </c>
      <c r="V97" s="37">
        <v>15.38</v>
      </c>
      <c r="W97" s="37">
        <v>7.69</v>
      </c>
      <c r="X97" s="37">
        <v>78.569999999999993</v>
      </c>
      <c r="Y97" s="37">
        <v>7.14</v>
      </c>
      <c r="Z97" s="37">
        <v>14.29</v>
      </c>
      <c r="AA97" s="37">
        <v>85.71</v>
      </c>
      <c r="AB97" s="37">
        <v>62.5</v>
      </c>
      <c r="AC97" s="24">
        <f t="shared" si="9"/>
        <v>31.814000000000004</v>
      </c>
      <c r="AD97" s="25">
        <f t="shared" si="10"/>
        <v>-31.814000000000004</v>
      </c>
      <c r="AE97" s="23" t="str">
        <f t="shared" si="11"/>
        <v>Loss</v>
      </c>
      <c r="AF97" s="23" t="str">
        <f t="shared" si="12"/>
        <v>Win</v>
      </c>
      <c r="AG97" s="23" t="str">
        <f t="shared" si="13"/>
        <v>Loss</v>
      </c>
      <c r="AH97" s="23">
        <f t="shared" si="14"/>
        <v>-50</v>
      </c>
      <c r="AI97" s="23">
        <f t="shared" si="15"/>
        <v>113</v>
      </c>
      <c r="AJ97" s="23">
        <f t="shared" si="16"/>
        <v>-50</v>
      </c>
    </row>
    <row r="98" spans="1:36" x14ac:dyDescent="0.2">
      <c r="A98" s="36">
        <v>43587</v>
      </c>
      <c r="B98" s="37" t="s">
        <v>152</v>
      </c>
      <c r="C98" s="37" t="s">
        <v>450</v>
      </c>
      <c r="D98" s="37" t="s">
        <v>451</v>
      </c>
      <c r="E98" s="37" t="s">
        <v>452</v>
      </c>
      <c r="F98" s="37" t="s">
        <v>453</v>
      </c>
      <c r="G98" s="37">
        <v>0</v>
      </c>
      <c r="H98" s="37">
        <v>2</v>
      </c>
      <c r="I98" s="37">
        <v>1.52</v>
      </c>
      <c r="J98" s="37">
        <v>4.29</v>
      </c>
      <c r="K98" s="37">
        <v>4.5999999999999996</v>
      </c>
      <c r="L98" s="37">
        <v>-3.08</v>
      </c>
      <c r="M98" s="37">
        <v>25</v>
      </c>
      <c r="N98" s="37">
        <v>25</v>
      </c>
      <c r="O98" s="37">
        <v>1</v>
      </c>
      <c r="P98" s="37">
        <v>13</v>
      </c>
      <c r="Q98" s="37">
        <v>12</v>
      </c>
      <c r="R98" s="37">
        <v>100</v>
      </c>
      <c r="S98" s="37">
        <v>0</v>
      </c>
      <c r="T98" s="37">
        <v>0</v>
      </c>
      <c r="U98" s="37">
        <v>72</v>
      </c>
      <c r="V98" s="37">
        <v>20</v>
      </c>
      <c r="W98" s="37">
        <v>8</v>
      </c>
      <c r="X98" s="37">
        <v>60</v>
      </c>
      <c r="Y98" s="37">
        <v>16</v>
      </c>
      <c r="Z98" s="37">
        <v>24</v>
      </c>
      <c r="AA98" s="37">
        <v>61.54</v>
      </c>
      <c r="AB98" s="37">
        <v>50</v>
      </c>
      <c r="AC98" s="24">
        <f t="shared" si="9"/>
        <v>36</v>
      </c>
      <c r="AD98" s="25">
        <f t="shared" si="10"/>
        <v>-36</v>
      </c>
      <c r="AE98" s="23" t="str">
        <f t="shared" si="11"/>
        <v>Loss</v>
      </c>
      <c r="AF98" s="23" t="str">
        <f t="shared" si="12"/>
        <v>Loss</v>
      </c>
      <c r="AG98" s="23" t="str">
        <f t="shared" si="13"/>
        <v>Win</v>
      </c>
      <c r="AH98" s="23">
        <f t="shared" si="14"/>
        <v>-50</v>
      </c>
      <c r="AI98" s="23">
        <f t="shared" si="15"/>
        <v>-50</v>
      </c>
      <c r="AJ98" s="23">
        <f t="shared" si="16"/>
        <v>179.99999999999997</v>
      </c>
    </row>
    <row r="99" spans="1:36" x14ac:dyDescent="0.2">
      <c r="A99" s="36"/>
      <c r="AC99" s="24"/>
      <c r="AD99" s="25"/>
    </row>
    <row r="100" spans="1:36" x14ac:dyDescent="0.2">
      <c r="A100" s="36"/>
      <c r="AC100" s="24"/>
      <c r="AD100" s="25"/>
    </row>
    <row r="101" spans="1:36" x14ac:dyDescent="0.2">
      <c r="A101" s="36"/>
      <c r="AC101" s="24"/>
      <c r="AD101" s="25"/>
    </row>
    <row r="102" spans="1:36" x14ac:dyDescent="0.2">
      <c r="A102" s="36"/>
      <c r="AC102" s="24"/>
      <c r="AD102" s="25"/>
    </row>
    <row r="103" spans="1:36" x14ac:dyDescent="0.2">
      <c r="A103" s="36"/>
      <c r="AC103" s="24"/>
      <c r="AD103" s="25"/>
    </row>
    <row r="104" spans="1:36" x14ac:dyDescent="0.2">
      <c r="A104" s="36"/>
      <c r="AC104" s="24"/>
      <c r="AD104" s="25"/>
    </row>
    <row r="105" spans="1:36" x14ac:dyDescent="0.2">
      <c r="A105" s="36"/>
      <c r="AC105" s="24"/>
      <c r="AD105" s="25"/>
    </row>
    <row r="106" spans="1:36" x14ac:dyDescent="0.2">
      <c r="A106" s="36"/>
      <c r="AC106" s="24"/>
      <c r="AD106" s="25"/>
    </row>
    <row r="107" spans="1:36" x14ac:dyDescent="0.2">
      <c r="A107" s="36"/>
      <c r="AC107" s="24"/>
      <c r="AD107" s="25"/>
    </row>
    <row r="108" spans="1:36" x14ac:dyDescent="0.2">
      <c r="A108" s="36"/>
      <c r="AC108" s="24"/>
      <c r="AD108" s="25"/>
    </row>
    <row r="109" spans="1:36" x14ac:dyDescent="0.2">
      <c r="A109" s="36"/>
      <c r="AC109" s="24"/>
      <c r="AD109" s="25"/>
    </row>
    <row r="110" spans="1:36" x14ac:dyDescent="0.2">
      <c r="A110" s="36"/>
      <c r="AC110" s="24"/>
      <c r="AD110" s="25"/>
    </row>
    <row r="111" spans="1:36" x14ac:dyDescent="0.2">
      <c r="A111" s="36"/>
      <c r="AC111" s="24"/>
      <c r="AD111" s="25"/>
    </row>
    <row r="112" spans="1:36" x14ac:dyDescent="0.2">
      <c r="A112" s="36"/>
      <c r="AC112" s="24"/>
      <c r="AD112" s="25"/>
    </row>
    <row r="113" spans="1:30" x14ac:dyDescent="0.2">
      <c r="A113" s="36"/>
      <c r="AC113" s="24"/>
      <c r="AD113" s="25"/>
    </row>
    <row r="114" spans="1:30" x14ac:dyDescent="0.2">
      <c r="A114" s="36"/>
      <c r="AC114" s="24"/>
      <c r="AD114" s="25"/>
    </row>
    <row r="115" spans="1:30" x14ac:dyDescent="0.2">
      <c r="A115" s="36"/>
      <c r="AC115" s="24"/>
      <c r="AD115" s="25"/>
    </row>
    <row r="116" spans="1:30" x14ac:dyDescent="0.2">
      <c r="A116" s="36"/>
      <c r="AC116" s="24"/>
      <c r="AD116" s="25"/>
    </row>
    <row r="117" spans="1:30" x14ac:dyDescent="0.2">
      <c r="A117" s="36"/>
      <c r="AC117" s="24"/>
      <c r="AD117" s="25"/>
    </row>
    <row r="118" spans="1:30" x14ac:dyDescent="0.2">
      <c r="A118" s="36"/>
      <c r="AC118" s="24"/>
      <c r="AD118" s="25"/>
    </row>
    <row r="119" spans="1:30" x14ac:dyDescent="0.2">
      <c r="A119" s="36"/>
      <c r="AC119" s="24"/>
      <c r="AD119" s="25"/>
    </row>
    <row r="120" spans="1:30" x14ac:dyDescent="0.2">
      <c r="A120" s="36"/>
      <c r="AC120" s="24"/>
      <c r="AD120" s="25"/>
    </row>
    <row r="121" spans="1:30" x14ac:dyDescent="0.2">
      <c r="A121" s="36"/>
      <c r="AC121" s="24"/>
      <c r="AD121" s="25"/>
    </row>
    <row r="122" spans="1:30" x14ac:dyDescent="0.2">
      <c r="A122" s="36"/>
      <c r="AC122" s="24"/>
      <c r="AD122" s="25"/>
    </row>
    <row r="123" spans="1:30" x14ac:dyDescent="0.2">
      <c r="A123" s="36"/>
      <c r="AC123" s="24"/>
      <c r="AD123" s="25"/>
    </row>
    <row r="124" spans="1:30" x14ac:dyDescent="0.2">
      <c r="A124" s="36"/>
      <c r="AC124" s="24"/>
      <c r="AD124" s="25"/>
    </row>
    <row r="125" spans="1:30" x14ac:dyDescent="0.2">
      <c r="A125" s="36"/>
      <c r="AC125" s="24"/>
      <c r="AD125" s="25"/>
    </row>
    <row r="126" spans="1:30" x14ac:dyDescent="0.2">
      <c r="A126" s="36"/>
      <c r="AC126" s="24"/>
      <c r="AD126" s="25"/>
    </row>
    <row r="127" spans="1:30" x14ac:dyDescent="0.2">
      <c r="A127" s="36"/>
      <c r="AC127" s="24"/>
      <c r="AD127" s="25"/>
    </row>
    <row r="128" spans="1:30" x14ac:dyDescent="0.2">
      <c r="A128" s="36"/>
      <c r="AC128" s="24"/>
      <c r="AD128" s="25"/>
    </row>
    <row r="129" spans="1:30" x14ac:dyDescent="0.2">
      <c r="A129" s="36"/>
      <c r="AC129" s="24"/>
      <c r="AD129" s="25"/>
    </row>
    <row r="130" spans="1:30" x14ac:dyDescent="0.2">
      <c r="A130" s="36"/>
      <c r="AC130" s="24"/>
      <c r="AD130" s="25"/>
    </row>
    <row r="131" spans="1:30" x14ac:dyDescent="0.2">
      <c r="A131" s="36"/>
      <c r="AC131" s="24"/>
      <c r="AD131" s="25"/>
    </row>
    <row r="132" spans="1:30" x14ac:dyDescent="0.2">
      <c r="A132" s="36"/>
      <c r="AC132" s="24"/>
      <c r="AD132" s="25"/>
    </row>
    <row r="133" spans="1:30" x14ac:dyDescent="0.2">
      <c r="A133" s="36"/>
      <c r="AC133" s="24"/>
      <c r="AD133" s="25"/>
    </row>
    <row r="134" spans="1:30" x14ac:dyDescent="0.2">
      <c r="A134" s="36"/>
      <c r="AC134" s="24"/>
      <c r="AD134" s="25"/>
    </row>
    <row r="135" spans="1:30" x14ac:dyDescent="0.2">
      <c r="A135" s="36"/>
      <c r="AC135" s="24"/>
      <c r="AD135" s="25"/>
    </row>
    <row r="136" spans="1:30" x14ac:dyDescent="0.2">
      <c r="A136" s="36"/>
      <c r="AC136" s="24"/>
      <c r="AD136" s="25"/>
    </row>
    <row r="137" spans="1:30" x14ac:dyDescent="0.2">
      <c r="A137" s="36"/>
      <c r="AC137" s="24"/>
      <c r="AD137" s="25"/>
    </row>
    <row r="138" spans="1:30" x14ac:dyDescent="0.2">
      <c r="A138" s="36"/>
      <c r="AC138" s="24"/>
      <c r="AD138" s="25"/>
    </row>
    <row r="139" spans="1:30" x14ac:dyDescent="0.2">
      <c r="A139" s="36"/>
      <c r="AC139" s="24"/>
      <c r="AD139" s="25"/>
    </row>
    <row r="140" spans="1:30" x14ac:dyDescent="0.2">
      <c r="A140" s="36"/>
      <c r="AC140" s="24"/>
      <c r="AD140" s="25"/>
    </row>
    <row r="141" spans="1:30" x14ac:dyDescent="0.2">
      <c r="A141" s="36"/>
      <c r="AC141" s="24"/>
      <c r="AD141" s="25"/>
    </row>
    <row r="142" spans="1:30" x14ac:dyDescent="0.2">
      <c r="A142" s="36"/>
      <c r="AC142" s="24"/>
      <c r="AD142" s="25"/>
    </row>
    <row r="143" spans="1:30" x14ac:dyDescent="0.2">
      <c r="A143" s="36"/>
      <c r="AC143" s="24"/>
      <c r="AD143" s="25"/>
    </row>
    <row r="144" spans="1:30" x14ac:dyDescent="0.2">
      <c r="A144" s="36"/>
      <c r="AC144" s="24"/>
      <c r="AD144" s="25"/>
    </row>
    <row r="145" spans="1:30" x14ac:dyDescent="0.2">
      <c r="A145" s="36"/>
      <c r="AC145" s="24"/>
      <c r="AD145" s="25"/>
    </row>
    <row r="146" spans="1:30" x14ac:dyDescent="0.2">
      <c r="A146" s="36"/>
      <c r="AC146" s="24"/>
      <c r="AD146" s="25"/>
    </row>
    <row r="147" spans="1:30" x14ac:dyDescent="0.2">
      <c r="A147" s="36"/>
      <c r="AC147" s="24"/>
      <c r="AD147" s="25"/>
    </row>
    <row r="148" spans="1:30" x14ac:dyDescent="0.2">
      <c r="A148" s="36"/>
      <c r="AC148" s="24"/>
      <c r="AD148" s="25"/>
    </row>
    <row r="149" spans="1:30" x14ac:dyDescent="0.2">
      <c r="A149" s="36"/>
      <c r="AC149" s="24"/>
      <c r="AD149" s="25"/>
    </row>
    <row r="150" spans="1:30" x14ac:dyDescent="0.2">
      <c r="A150" s="36"/>
      <c r="AC150" s="24"/>
      <c r="AD150" s="25"/>
    </row>
    <row r="151" spans="1:30" x14ac:dyDescent="0.2">
      <c r="A151" s="36"/>
      <c r="AC151" s="24"/>
      <c r="AD151" s="25"/>
    </row>
    <row r="152" spans="1:30" x14ac:dyDescent="0.2">
      <c r="A152" s="36"/>
      <c r="AC152" s="24"/>
      <c r="AD152" s="25"/>
    </row>
    <row r="153" spans="1:30" x14ac:dyDescent="0.2">
      <c r="A153" s="36"/>
      <c r="AC153" s="24"/>
      <c r="AD153" s="25"/>
    </row>
    <row r="154" spans="1:30" x14ac:dyDescent="0.2">
      <c r="A154" s="36"/>
      <c r="AC154" s="24"/>
      <c r="AD154" s="25"/>
    </row>
    <row r="155" spans="1:30" x14ac:dyDescent="0.2">
      <c r="A155" s="36"/>
      <c r="AC155" s="24"/>
      <c r="AD155" s="25"/>
    </row>
    <row r="156" spans="1:30" x14ac:dyDescent="0.2">
      <c r="A156" s="36"/>
      <c r="AC156" s="24"/>
      <c r="AD156" s="25"/>
    </row>
    <row r="157" spans="1:30" x14ac:dyDescent="0.2">
      <c r="A157" s="36"/>
      <c r="AC157" s="24"/>
      <c r="AD157" s="25"/>
    </row>
    <row r="158" spans="1:30" x14ac:dyDescent="0.2">
      <c r="A158" s="36"/>
      <c r="AC158" s="24"/>
      <c r="AD158" s="25"/>
    </row>
    <row r="159" spans="1:30" x14ac:dyDescent="0.2">
      <c r="A159" s="36"/>
      <c r="AC159" s="24"/>
      <c r="AD159" s="25"/>
    </row>
    <row r="160" spans="1:30" x14ac:dyDescent="0.2">
      <c r="A160" s="36"/>
      <c r="AC160" s="24"/>
      <c r="AD160" s="25"/>
    </row>
    <row r="161" spans="1:30" x14ac:dyDescent="0.2">
      <c r="A161" s="36"/>
      <c r="AC161" s="24"/>
      <c r="AD161" s="25"/>
    </row>
    <row r="162" spans="1:30" x14ac:dyDescent="0.2">
      <c r="A162" s="36"/>
      <c r="AC162" s="24"/>
      <c r="AD162" s="25"/>
    </row>
    <row r="163" spans="1:30" x14ac:dyDescent="0.2">
      <c r="A163" s="36"/>
      <c r="AC163" s="24"/>
      <c r="AD163" s="25"/>
    </row>
    <row r="164" spans="1:30" x14ac:dyDescent="0.2">
      <c r="A164" s="36"/>
      <c r="AC164" s="24"/>
      <c r="AD164" s="25"/>
    </row>
    <row r="165" spans="1:30" x14ac:dyDescent="0.2">
      <c r="A165" s="36"/>
      <c r="AC165" s="24"/>
      <c r="AD165" s="25"/>
    </row>
    <row r="166" spans="1:30" x14ac:dyDescent="0.2">
      <c r="A166" s="36"/>
      <c r="AC166" s="24"/>
      <c r="AD166" s="25"/>
    </row>
    <row r="167" spans="1:30" x14ac:dyDescent="0.2">
      <c r="A167" s="36"/>
      <c r="AC167" s="24"/>
      <c r="AD167" s="25"/>
    </row>
    <row r="168" spans="1:30" x14ac:dyDescent="0.2">
      <c r="A168" s="36"/>
      <c r="AC168" s="24"/>
      <c r="AD168" s="25"/>
    </row>
    <row r="169" spans="1:30" x14ac:dyDescent="0.2">
      <c r="A169" s="36"/>
      <c r="AC169" s="24"/>
      <c r="AD169" s="25"/>
    </row>
    <row r="170" spans="1:30" x14ac:dyDescent="0.2">
      <c r="A170" s="36"/>
      <c r="AC170" s="24"/>
      <c r="AD170" s="25"/>
    </row>
    <row r="171" spans="1:30" x14ac:dyDescent="0.2">
      <c r="A171" s="36"/>
      <c r="AC171" s="24"/>
      <c r="AD171" s="25"/>
    </row>
    <row r="172" spans="1:30" x14ac:dyDescent="0.2">
      <c r="A172" s="36"/>
      <c r="AC172" s="24"/>
      <c r="AD172" s="25"/>
    </row>
    <row r="173" spans="1:30" x14ac:dyDescent="0.2">
      <c r="A173" s="36"/>
      <c r="AC173" s="24"/>
      <c r="AD173" s="25"/>
    </row>
    <row r="174" spans="1:30" x14ac:dyDescent="0.2">
      <c r="A174" s="36"/>
      <c r="AC174" s="24"/>
      <c r="AD174" s="25"/>
    </row>
    <row r="175" spans="1:30" x14ac:dyDescent="0.2">
      <c r="A175" s="36"/>
      <c r="AC175" s="24"/>
      <c r="AD175" s="25"/>
    </row>
    <row r="176" spans="1:30" x14ac:dyDescent="0.2">
      <c r="A176" s="36"/>
      <c r="AC176" s="24"/>
      <c r="AD176" s="25"/>
    </row>
    <row r="177" spans="1:30" x14ac:dyDescent="0.2">
      <c r="A177" s="36"/>
      <c r="AC177" s="24"/>
      <c r="AD177" s="25"/>
    </row>
    <row r="178" spans="1:30" x14ac:dyDescent="0.2">
      <c r="A178" s="36"/>
      <c r="AC178" s="24"/>
      <c r="AD178" s="25"/>
    </row>
    <row r="179" spans="1:30" x14ac:dyDescent="0.2">
      <c r="A179" s="36"/>
      <c r="AC179" s="24"/>
      <c r="AD179" s="25"/>
    </row>
    <row r="180" spans="1:30" x14ac:dyDescent="0.2">
      <c r="A180" s="36"/>
      <c r="AC180" s="24"/>
      <c r="AD180" s="25"/>
    </row>
    <row r="181" spans="1:30" x14ac:dyDescent="0.2">
      <c r="A181" s="36"/>
      <c r="AC181" s="24"/>
      <c r="AD181" s="25"/>
    </row>
    <row r="182" spans="1:30" x14ac:dyDescent="0.2">
      <c r="A182" s="36"/>
      <c r="AC182" s="24"/>
      <c r="AD182" s="25"/>
    </row>
    <row r="183" spans="1:30" x14ac:dyDescent="0.2">
      <c r="A183" s="36"/>
      <c r="AC183" s="24"/>
      <c r="AD183" s="25"/>
    </row>
    <row r="184" spans="1:30" x14ac:dyDescent="0.2">
      <c r="A184" s="36"/>
      <c r="AC184" s="24"/>
      <c r="AD184" s="25"/>
    </row>
    <row r="185" spans="1:30" x14ac:dyDescent="0.2">
      <c r="A185" s="36"/>
      <c r="AC185" s="24"/>
      <c r="AD185" s="25"/>
    </row>
    <row r="186" spans="1:30" x14ac:dyDescent="0.2">
      <c r="A186" s="36"/>
      <c r="AC186" s="24"/>
      <c r="AD186" s="25"/>
    </row>
    <row r="187" spans="1:30" x14ac:dyDescent="0.2">
      <c r="A187" s="36"/>
      <c r="AC187" s="24"/>
      <c r="AD187" s="25"/>
    </row>
    <row r="188" spans="1:30" x14ac:dyDescent="0.2">
      <c r="A188" s="36"/>
      <c r="AC188" s="24"/>
      <c r="AD188" s="25"/>
    </row>
    <row r="189" spans="1:30" x14ac:dyDescent="0.2">
      <c r="A189" s="36"/>
      <c r="AC189" s="24"/>
      <c r="AD189" s="25"/>
    </row>
    <row r="190" spans="1:30" x14ac:dyDescent="0.2">
      <c r="A190" s="36"/>
      <c r="AC190" s="24"/>
      <c r="AD190" s="25"/>
    </row>
    <row r="191" spans="1:30" x14ac:dyDescent="0.2">
      <c r="A191" s="36"/>
      <c r="AC191" s="24"/>
      <c r="AD191" s="25"/>
    </row>
    <row r="192" spans="1:30" x14ac:dyDescent="0.2">
      <c r="A192" s="36"/>
      <c r="AC192" s="24"/>
      <c r="AD192" s="25"/>
    </row>
    <row r="193" spans="1:30" x14ac:dyDescent="0.2">
      <c r="A193" s="36"/>
      <c r="AC193" s="24"/>
      <c r="AD193" s="25"/>
    </row>
    <row r="194" spans="1:30" x14ac:dyDescent="0.2">
      <c r="A194" s="36"/>
      <c r="AC194" s="24"/>
      <c r="AD194" s="25"/>
    </row>
    <row r="195" spans="1:30" x14ac:dyDescent="0.2">
      <c r="A195" s="36"/>
      <c r="AC195" s="24"/>
      <c r="AD195" s="25"/>
    </row>
    <row r="196" spans="1:30" x14ac:dyDescent="0.2">
      <c r="A196" s="36"/>
      <c r="AC196" s="24"/>
      <c r="AD196" s="25"/>
    </row>
    <row r="197" spans="1:30" x14ac:dyDescent="0.2">
      <c r="A197" s="36"/>
      <c r="AC197" s="24"/>
      <c r="AD197" s="25"/>
    </row>
    <row r="198" spans="1:30" x14ac:dyDescent="0.2">
      <c r="A198" s="36"/>
      <c r="AC198" s="24"/>
      <c r="AD198" s="25"/>
    </row>
    <row r="199" spans="1:30" x14ac:dyDescent="0.2">
      <c r="A199" s="36"/>
      <c r="AC199" s="24"/>
      <c r="AD199" s="25"/>
    </row>
    <row r="200" spans="1:30" x14ac:dyDescent="0.2">
      <c r="A200" s="36"/>
      <c r="AC200" s="24"/>
      <c r="AD200" s="25"/>
    </row>
    <row r="201" spans="1:30" x14ac:dyDescent="0.2">
      <c r="A201" s="36"/>
      <c r="AC201" s="24"/>
      <c r="AD201" s="25"/>
    </row>
    <row r="202" spans="1:30" x14ac:dyDescent="0.2">
      <c r="A202" s="36"/>
      <c r="AC202" s="24"/>
      <c r="AD202" s="25"/>
    </row>
    <row r="203" spans="1:30" x14ac:dyDescent="0.2">
      <c r="A203" s="36"/>
      <c r="AC203" s="24"/>
      <c r="AD203" s="25"/>
    </row>
    <row r="204" spans="1:30" x14ac:dyDescent="0.2">
      <c r="A204" s="36"/>
      <c r="AC204" s="24"/>
      <c r="AD204" s="25"/>
    </row>
    <row r="205" spans="1:30" x14ac:dyDescent="0.2">
      <c r="A205" s="36"/>
      <c r="AC205" s="24"/>
      <c r="AD205" s="25"/>
    </row>
    <row r="206" spans="1:30" x14ac:dyDescent="0.2">
      <c r="A206" s="36"/>
      <c r="AC206" s="24"/>
      <c r="AD206" s="25"/>
    </row>
    <row r="207" spans="1:30" x14ac:dyDescent="0.2">
      <c r="A207" s="36"/>
      <c r="AC207" s="24"/>
      <c r="AD207" s="25"/>
    </row>
    <row r="208" spans="1:30" x14ac:dyDescent="0.2">
      <c r="A208" s="36"/>
      <c r="AC208" s="24"/>
      <c r="AD208" s="25"/>
    </row>
    <row r="209" spans="1:30" x14ac:dyDescent="0.2">
      <c r="A209" s="36"/>
      <c r="AC209" s="24"/>
      <c r="AD209" s="25"/>
    </row>
    <row r="210" spans="1:30" x14ac:dyDescent="0.2">
      <c r="A210" s="36"/>
      <c r="AC210" s="24"/>
      <c r="AD210" s="25"/>
    </row>
    <row r="211" spans="1:30" x14ac:dyDescent="0.2">
      <c r="A211" s="36"/>
      <c r="AC211" s="24"/>
      <c r="AD211" s="25"/>
    </row>
    <row r="212" spans="1:30" x14ac:dyDescent="0.2">
      <c r="A212" s="36"/>
      <c r="AC212" s="24"/>
      <c r="AD212" s="25"/>
    </row>
    <row r="213" spans="1:30" x14ac:dyDescent="0.2">
      <c r="A213" s="36"/>
      <c r="AC213" s="24"/>
      <c r="AD213" s="25"/>
    </row>
    <row r="214" spans="1:30" x14ac:dyDescent="0.2">
      <c r="A214" s="36"/>
      <c r="AC214" s="24"/>
      <c r="AD214" s="25"/>
    </row>
    <row r="215" spans="1:30" x14ac:dyDescent="0.2">
      <c r="A215" s="36"/>
      <c r="AC215" s="24"/>
      <c r="AD215" s="25"/>
    </row>
    <row r="216" spans="1:30" x14ac:dyDescent="0.2">
      <c r="A216" s="36"/>
      <c r="AC216" s="24"/>
      <c r="AD216" s="25"/>
    </row>
    <row r="217" spans="1:30" x14ac:dyDescent="0.2">
      <c r="A217" s="36"/>
      <c r="AC217" s="24"/>
      <c r="AD217" s="25"/>
    </row>
    <row r="218" spans="1:30" x14ac:dyDescent="0.2">
      <c r="A218" s="36"/>
      <c r="AC218" s="24"/>
      <c r="AD218" s="25"/>
    </row>
    <row r="219" spans="1:30" x14ac:dyDescent="0.2">
      <c r="A219" s="36"/>
      <c r="AC219" s="24"/>
      <c r="AD219" s="25"/>
    </row>
    <row r="220" spans="1:30" x14ac:dyDescent="0.2">
      <c r="A220" s="36"/>
      <c r="AC220" s="24"/>
      <c r="AD220" s="25"/>
    </row>
    <row r="221" spans="1:30" x14ac:dyDescent="0.2">
      <c r="A221" s="36"/>
      <c r="AC221" s="24"/>
      <c r="AD221" s="25"/>
    </row>
    <row r="222" spans="1:30" x14ac:dyDescent="0.2">
      <c r="A222" s="36"/>
      <c r="AC222" s="24"/>
      <c r="AD222" s="25"/>
    </row>
    <row r="223" spans="1:30" x14ac:dyDescent="0.2">
      <c r="A223" s="36"/>
      <c r="AC223" s="24"/>
      <c r="AD223" s="25"/>
    </row>
    <row r="224" spans="1:30" x14ac:dyDescent="0.2">
      <c r="A224" s="36"/>
      <c r="AC224" s="24"/>
      <c r="AD224" s="25"/>
    </row>
    <row r="225" spans="1:30" x14ac:dyDescent="0.2">
      <c r="A225" s="36"/>
      <c r="AC225" s="24"/>
      <c r="AD225" s="25"/>
    </row>
    <row r="226" spans="1:30" x14ac:dyDescent="0.2">
      <c r="A226" s="36"/>
      <c r="AC226" s="24"/>
      <c r="AD226" s="25"/>
    </row>
    <row r="227" spans="1:30" x14ac:dyDescent="0.2">
      <c r="A227" s="36"/>
      <c r="AC227" s="24"/>
      <c r="AD227" s="25"/>
    </row>
    <row r="228" spans="1:30" x14ac:dyDescent="0.2">
      <c r="A228" s="36"/>
      <c r="AC228" s="24"/>
      <c r="AD228" s="25"/>
    </row>
    <row r="229" spans="1:30" x14ac:dyDescent="0.2">
      <c r="A229" s="36"/>
      <c r="AC229" s="24"/>
      <c r="AD229" s="25"/>
    </row>
    <row r="230" spans="1:30" x14ac:dyDescent="0.2">
      <c r="A230" s="36"/>
      <c r="AC230" s="24"/>
      <c r="AD230" s="25"/>
    </row>
    <row r="231" spans="1:30" x14ac:dyDescent="0.2">
      <c r="A231" s="36"/>
      <c r="AC231" s="24"/>
      <c r="AD231" s="25"/>
    </row>
    <row r="232" spans="1:30" x14ac:dyDescent="0.2">
      <c r="A232" s="36"/>
      <c r="AC232" s="24"/>
      <c r="AD232" s="25"/>
    </row>
    <row r="233" spans="1:30" x14ac:dyDescent="0.2">
      <c r="A233" s="36"/>
      <c r="AC233" s="24"/>
      <c r="AD233" s="25"/>
    </row>
    <row r="234" spans="1:30" x14ac:dyDescent="0.2">
      <c r="A234" s="36"/>
      <c r="AC234" s="24"/>
      <c r="AD234" s="25"/>
    </row>
    <row r="235" spans="1:30" x14ac:dyDescent="0.2">
      <c r="A235" s="36"/>
      <c r="AC235" s="24"/>
      <c r="AD235" s="25"/>
    </row>
    <row r="236" spans="1:30" x14ac:dyDescent="0.2">
      <c r="A236" s="36"/>
      <c r="AC236" s="24"/>
      <c r="AD236" s="25"/>
    </row>
    <row r="237" spans="1:30" x14ac:dyDescent="0.2">
      <c r="A237" s="36"/>
      <c r="AC237" s="24"/>
      <c r="AD237" s="25"/>
    </row>
    <row r="238" spans="1:30" x14ac:dyDescent="0.2">
      <c r="A238" s="36"/>
      <c r="AC238" s="24"/>
      <c r="AD238" s="25"/>
    </row>
    <row r="239" spans="1:30" x14ac:dyDescent="0.2">
      <c r="A239" s="36"/>
      <c r="AC239" s="24"/>
      <c r="AD239" s="25"/>
    </row>
    <row r="240" spans="1:30" x14ac:dyDescent="0.2">
      <c r="A240" s="36"/>
      <c r="AC240" s="24"/>
      <c r="AD240" s="25"/>
    </row>
    <row r="241" spans="1:30" x14ac:dyDescent="0.2">
      <c r="A241" s="36"/>
      <c r="AC241" s="24"/>
      <c r="AD241" s="25"/>
    </row>
    <row r="242" spans="1:30" x14ac:dyDescent="0.2">
      <c r="A242" s="36"/>
      <c r="AC242" s="24"/>
      <c r="AD242" s="25"/>
    </row>
    <row r="243" spans="1:30" x14ac:dyDescent="0.2">
      <c r="A243" s="36"/>
      <c r="AC243" s="24"/>
      <c r="AD243" s="25"/>
    </row>
    <row r="244" spans="1:30" x14ac:dyDescent="0.2">
      <c r="A244" s="36"/>
      <c r="AC244" s="24"/>
      <c r="AD244" s="25"/>
    </row>
    <row r="245" spans="1:30" x14ac:dyDescent="0.2">
      <c r="A245" s="36"/>
      <c r="AC245" s="24"/>
      <c r="AD245" s="25"/>
    </row>
    <row r="246" spans="1:30" x14ac:dyDescent="0.2">
      <c r="A246" s="36"/>
      <c r="AC246" s="24"/>
      <c r="AD246" s="25"/>
    </row>
    <row r="247" spans="1:30" x14ac:dyDescent="0.2">
      <c r="A247" s="36"/>
      <c r="AC247" s="24"/>
      <c r="AD247" s="25"/>
    </row>
    <row r="248" spans="1:30" x14ac:dyDescent="0.2">
      <c r="A248" s="36"/>
      <c r="AC248" s="24"/>
      <c r="AD248" s="25"/>
    </row>
    <row r="249" spans="1:30" x14ac:dyDescent="0.2">
      <c r="A249" s="36"/>
      <c r="AC249" s="24"/>
      <c r="AD249" s="25"/>
    </row>
    <row r="250" spans="1:30" x14ac:dyDescent="0.2">
      <c r="A250" s="36"/>
      <c r="AC250" s="24"/>
      <c r="AD250" s="25"/>
    </row>
    <row r="251" spans="1:30" x14ac:dyDescent="0.2">
      <c r="A251" s="36"/>
      <c r="AC251" s="24"/>
      <c r="AD251" s="25"/>
    </row>
    <row r="252" spans="1:30" x14ac:dyDescent="0.2">
      <c r="A252" s="36"/>
      <c r="AC252" s="24"/>
      <c r="AD252" s="25"/>
    </row>
    <row r="253" spans="1:30" x14ac:dyDescent="0.2">
      <c r="A253" s="36"/>
      <c r="AC253" s="24"/>
      <c r="AD253" s="25"/>
    </row>
    <row r="254" spans="1:30" x14ac:dyDescent="0.2">
      <c r="A254" s="36"/>
      <c r="AC254" s="24"/>
      <c r="AD254" s="25"/>
    </row>
    <row r="255" spans="1:30" x14ac:dyDescent="0.2">
      <c r="A255" s="36"/>
      <c r="AC255" s="24"/>
      <c r="AD255" s="25"/>
    </row>
    <row r="256" spans="1:30" x14ac:dyDescent="0.2">
      <c r="A256" s="36"/>
      <c r="AC256" s="24"/>
      <c r="AD256" s="25"/>
    </row>
    <row r="257" spans="1:30" x14ac:dyDescent="0.2">
      <c r="A257" s="36"/>
      <c r="AC257" s="24"/>
      <c r="AD257" s="25"/>
    </row>
    <row r="258" spans="1:30" x14ac:dyDescent="0.2">
      <c r="A258" s="36"/>
      <c r="AC258" s="24"/>
      <c r="AD258" s="25"/>
    </row>
    <row r="259" spans="1:30" x14ac:dyDescent="0.2">
      <c r="A259" s="36"/>
      <c r="AC259" s="24"/>
      <c r="AD259" s="25"/>
    </row>
    <row r="260" spans="1:30" x14ac:dyDescent="0.2">
      <c r="A260" s="36"/>
      <c r="AC260" s="24"/>
      <c r="AD260" s="25"/>
    </row>
    <row r="261" spans="1:30" x14ac:dyDescent="0.2">
      <c r="A261" s="36"/>
      <c r="AC261" s="24"/>
      <c r="AD261" s="25"/>
    </row>
    <row r="262" spans="1:30" x14ac:dyDescent="0.2">
      <c r="A262" s="36"/>
      <c r="AC262" s="24"/>
      <c r="AD262" s="25"/>
    </row>
    <row r="263" spans="1:30" x14ac:dyDescent="0.2">
      <c r="A263" s="36"/>
      <c r="AC263" s="24"/>
      <c r="AD263" s="25"/>
    </row>
    <row r="264" spans="1:30" x14ac:dyDescent="0.2">
      <c r="A264" s="36"/>
      <c r="AC264" s="24"/>
      <c r="AD264" s="25"/>
    </row>
    <row r="265" spans="1:30" x14ac:dyDescent="0.2">
      <c r="A265" s="36"/>
      <c r="AC265" s="24"/>
      <c r="AD265" s="25"/>
    </row>
    <row r="266" spans="1:30" x14ac:dyDescent="0.2">
      <c r="A266" s="36"/>
      <c r="AC266" s="24"/>
      <c r="AD266" s="25"/>
    </row>
    <row r="267" spans="1:30" x14ac:dyDescent="0.2">
      <c r="A267" s="36"/>
      <c r="AC267" s="24"/>
      <c r="AD267" s="25"/>
    </row>
    <row r="268" spans="1:30" x14ac:dyDescent="0.2">
      <c r="A268" s="36"/>
      <c r="AC268" s="24"/>
      <c r="AD268" s="25"/>
    </row>
    <row r="269" spans="1:30" x14ac:dyDescent="0.2">
      <c r="A269" s="36"/>
      <c r="AC269" s="24"/>
      <c r="AD269" s="25"/>
    </row>
    <row r="270" spans="1:30" x14ac:dyDescent="0.2">
      <c r="A270" s="36"/>
      <c r="AC270" s="24"/>
      <c r="AD270" s="25"/>
    </row>
    <row r="271" spans="1:30" x14ac:dyDescent="0.2">
      <c r="A271" s="36"/>
      <c r="AC271" s="24"/>
      <c r="AD271" s="25"/>
    </row>
    <row r="272" spans="1:30" x14ac:dyDescent="0.2">
      <c r="A272" s="36"/>
      <c r="AC272" s="24"/>
      <c r="AD272" s="25"/>
    </row>
    <row r="273" spans="1:30" x14ac:dyDescent="0.2">
      <c r="A273" s="36"/>
      <c r="AC273" s="24"/>
      <c r="AD273" s="25"/>
    </row>
    <row r="274" spans="1:30" x14ac:dyDescent="0.2">
      <c r="A274" s="36"/>
      <c r="AC274" s="24"/>
      <c r="AD274" s="25"/>
    </row>
    <row r="275" spans="1:30" x14ac:dyDescent="0.2">
      <c r="A275" s="36"/>
      <c r="AC275" s="24"/>
      <c r="AD275" s="25"/>
    </row>
    <row r="276" spans="1:30" x14ac:dyDescent="0.2">
      <c r="A276" s="36"/>
      <c r="AC276" s="24"/>
      <c r="AD276" s="25"/>
    </row>
    <row r="277" spans="1:30" x14ac:dyDescent="0.2">
      <c r="A277" s="36"/>
      <c r="AC277" s="24"/>
      <c r="AD277" s="25"/>
    </row>
    <row r="278" spans="1:30" x14ac:dyDescent="0.2">
      <c r="A278" s="36"/>
      <c r="AC278" s="24"/>
      <c r="AD278" s="25"/>
    </row>
    <row r="279" spans="1:30" x14ac:dyDescent="0.2">
      <c r="A279" s="36"/>
      <c r="AC279" s="24"/>
      <c r="AD279" s="25"/>
    </row>
    <row r="280" spans="1:30" x14ac:dyDescent="0.2">
      <c r="A280" s="36"/>
      <c r="AC280" s="24"/>
      <c r="AD280" s="25"/>
    </row>
    <row r="281" spans="1:30" x14ac:dyDescent="0.2">
      <c r="A281" s="36"/>
      <c r="AC281" s="24"/>
      <c r="AD281" s="25"/>
    </row>
    <row r="282" spans="1:30" x14ac:dyDescent="0.2">
      <c r="A282" s="36"/>
      <c r="AC282" s="24"/>
      <c r="AD282" s="25"/>
    </row>
    <row r="283" spans="1:30" x14ac:dyDescent="0.2">
      <c r="A283" s="36"/>
      <c r="AC283" s="24"/>
      <c r="AD283" s="25"/>
    </row>
    <row r="284" spans="1:30" x14ac:dyDescent="0.2">
      <c r="A284" s="36"/>
      <c r="AC284" s="24"/>
      <c r="AD284" s="25"/>
    </row>
    <row r="285" spans="1:30" x14ac:dyDescent="0.2">
      <c r="A285" s="36"/>
      <c r="AC285" s="24"/>
      <c r="AD285" s="25"/>
    </row>
    <row r="286" spans="1:30" x14ac:dyDescent="0.2">
      <c r="A286" s="36"/>
      <c r="AC286" s="24"/>
      <c r="AD286" s="25"/>
    </row>
    <row r="287" spans="1:30" x14ac:dyDescent="0.2">
      <c r="A287" s="36"/>
      <c r="AC287" s="24"/>
      <c r="AD287" s="25"/>
    </row>
    <row r="288" spans="1:30" x14ac:dyDescent="0.2">
      <c r="A288" s="36"/>
      <c r="AC288" s="24"/>
      <c r="AD288" s="25"/>
    </row>
    <row r="289" spans="1:30" x14ac:dyDescent="0.2">
      <c r="A289" s="36"/>
      <c r="AC289" s="24"/>
      <c r="AD289" s="25"/>
    </row>
    <row r="290" spans="1:30" x14ac:dyDescent="0.2">
      <c r="A290" s="36"/>
      <c r="AC290" s="24"/>
      <c r="AD290" s="25"/>
    </row>
    <row r="291" spans="1:30" x14ac:dyDescent="0.2">
      <c r="A291" s="36"/>
      <c r="AC291" s="24"/>
      <c r="AD291" s="25"/>
    </row>
    <row r="292" spans="1:30" x14ac:dyDescent="0.2">
      <c r="A292" s="36"/>
      <c r="AC292" s="24"/>
      <c r="AD292" s="25"/>
    </row>
    <row r="293" spans="1:30" x14ac:dyDescent="0.2">
      <c r="A293" s="36"/>
      <c r="AC293" s="24"/>
      <c r="AD293" s="25"/>
    </row>
    <row r="294" spans="1:30" x14ac:dyDescent="0.2">
      <c r="A294" s="36"/>
      <c r="AC294" s="24"/>
      <c r="AD294" s="25"/>
    </row>
    <row r="295" spans="1:30" x14ac:dyDescent="0.2">
      <c r="A295" s="36"/>
      <c r="AC295" s="24"/>
      <c r="AD295" s="25"/>
    </row>
    <row r="296" spans="1:30" x14ac:dyDescent="0.2">
      <c r="A296" s="36"/>
      <c r="AC296" s="24"/>
      <c r="AD296" s="25"/>
    </row>
    <row r="297" spans="1:30" x14ac:dyDescent="0.2">
      <c r="A297" s="36"/>
      <c r="AC297" s="24"/>
      <c r="AD297" s="25"/>
    </row>
    <row r="298" spans="1:30" x14ac:dyDescent="0.2">
      <c r="A298" s="36"/>
      <c r="AC298" s="24"/>
      <c r="AD298" s="25"/>
    </row>
    <row r="299" spans="1:30" x14ac:dyDescent="0.2">
      <c r="A299" s="36"/>
      <c r="AC299" s="24"/>
      <c r="AD299" s="25"/>
    </row>
    <row r="300" spans="1:30" x14ac:dyDescent="0.2">
      <c r="A300" s="36"/>
      <c r="AC300" s="24"/>
      <c r="AD300" s="25"/>
    </row>
    <row r="301" spans="1:30" x14ac:dyDescent="0.2">
      <c r="A301" s="36"/>
      <c r="AC301" s="24"/>
      <c r="AD301" s="25"/>
    </row>
    <row r="302" spans="1:30" x14ac:dyDescent="0.2">
      <c r="A302" s="36"/>
      <c r="AC302" s="24"/>
      <c r="AD302" s="25"/>
    </row>
    <row r="303" spans="1:30" x14ac:dyDescent="0.2">
      <c r="A303" s="36"/>
      <c r="AC303" s="24"/>
      <c r="AD303" s="25"/>
    </row>
    <row r="304" spans="1:30" x14ac:dyDescent="0.2">
      <c r="A304" s="36"/>
      <c r="AC304" s="24"/>
      <c r="AD304" s="25"/>
    </row>
    <row r="305" spans="1:30" x14ac:dyDescent="0.2">
      <c r="A305" s="36"/>
      <c r="AC305" s="24"/>
      <c r="AD305" s="25"/>
    </row>
    <row r="306" spans="1:30" x14ac:dyDescent="0.2">
      <c r="A306" s="36"/>
      <c r="AC306" s="24"/>
      <c r="AD306" s="25"/>
    </row>
    <row r="307" spans="1:30" x14ac:dyDescent="0.2">
      <c r="A307" s="36"/>
      <c r="AC307" s="24"/>
      <c r="AD307" s="25"/>
    </row>
    <row r="308" spans="1:30" x14ac:dyDescent="0.2">
      <c r="A308" s="36"/>
      <c r="AC308" s="24"/>
      <c r="AD308" s="25"/>
    </row>
    <row r="309" spans="1:30" x14ac:dyDescent="0.2">
      <c r="A309" s="36"/>
      <c r="AC309" s="24"/>
      <c r="AD309" s="25"/>
    </row>
    <row r="310" spans="1:30" x14ac:dyDescent="0.2">
      <c r="A310" s="36"/>
      <c r="AC310" s="24"/>
      <c r="AD310" s="25"/>
    </row>
    <row r="311" spans="1:30" x14ac:dyDescent="0.2">
      <c r="A311" s="36"/>
      <c r="AC311" s="24"/>
      <c r="AD311" s="25"/>
    </row>
    <row r="312" spans="1:30" x14ac:dyDescent="0.2">
      <c r="A312" s="36"/>
      <c r="AC312" s="24"/>
      <c r="AD312" s="25"/>
    </row>
    <row r="313" spans="1:30" x14ac:dyDescent="0.2">
      <c r="A313" s="36"/>
      <c r="AC313" s="24"/>
      <c r="AD313" s="25"/>
    </row>
    <row r="314" spans="1:30" x14ac:dyDescent="0.2">
      <c r="A314" s="36"/>
      <c r="AC314" s="24"/>
      <c r="AD314" s="25"/>
    </row>
    <row r="315" spans="1:30" x14ac:dyDescent="0.2">
      <c r="A315" s="36"/>
      <c r="AC315" s="24"/>
      <c r="AD315" s="25"/>
    </row>
    <row r="316" spans="1:30" x14ac:dyDescent="0.2">
      <c r="A316" s="36"/>
      <c r="AC316" s="24"/>
      <c r="AD316" s="25"/>
    </row>
    <row r="317" spans="1:30" x14ac:dyDescent="0.2">
      <c r="A317" s="36"/>
      <c r="AC317" s="24"/>
      <c r="AD317" s="25"/>
    </row>
    <row r="318" spans="1:30" x14ac:dyDescent="0.2">
      <c r="A318" s="36"/>
      <c r="AC318" s="24"/>
      <c r="AD318" s="25"/>
    </row>
    <row r="319" spans="1:30" x14ac:dyDescent="0.2">
      <c r="A319" s="36"/>
      <c r="AC319" s="24"/>
      <c r="AD319" s="25"/>
    </row>
    <row r="320" spans="1:30" x14ac:dyDescent="0.2">
      <c r="A320" s="36"/>
      <c r="AC320" s="24"/>
      <c r="AD320" s="25"/>
    </row>
    <row r="321" spans="1:30" x14ac:dyDescent="0.2">
      <c r="A321" s="36"/>
      <c r="AC321" s="24"/>
      <c r="AD321" s="25"/>
    </row>
    <row r="322" spans="1:30" x14ac:dyDescent="0.2">
      <c r="A322" s="36"/>
      <c r="AC322" s="24"/>
      <c r="AD322" s="25"/>
    </row>
    <row r="323" spans="1:30" x14ac:dyDescent="0.2">
      <c r="A323" s="36"/>
      <c r="AC323" s="24"/>
      <c r="AD323" s="25"/>
    </row>
    <row r="324" spans="1:30" x14ac:dyDescent="0.2">
      <c r="A324" s="36"/>
      <c r="AC324" s="24"/>
      <c r="AD324" s="25"/>
    </row>
    <row r="325" spans="1:30" x14ac:dyDescent="0.2">
      <c r="A325" s="36"/>
      <c r="AC325" s="24"/>
      <c r="AD325" s="25"/>
    </row>
    <row r="326" spans="1:30" x14ac:dyDescent="0.2">
      <c r="A326" s="36"/>
      <c r="AC326" s="24"/>
      <c r="AD326" s="25"/>
    </row>
    <row r="327" spans="1:30" x14ac:dyDescent="0.2">
      <c r="A327" s="36"/>
      <c r="AC327" s="24"/>
      <c r="AD327" s="25"/>
    </row>
    <row r="328" spans="1:30" x14ac:dyDescent="0.2">
      <c r="A328" s="36"/>
      <c r="AC328" s="24"/>
      <c r="AD328" s="25"/>
    </row>
    <row r="329" spans="1:30" x14ac:dyDescent="0.2">
      <c r="A329" s="36"/>
      <c r="AC329" s="24"/>
      <c r="AD329" s="25"/>
    </row>
    <row r="330" spans="1:30" x14ac:dyDescent="0.2">
      <c r="A330" s="36"/>
      <c r="AC330" s="24"/>
      <c r="AD330" s="25"/>
    </row>
    <row r="331" spans="1:30" x14ac:dyDescent="0.2">
      <c r="A331" s="36"/>
      <c r="AC331" s="24"/>
      <c r="AD331" s="25"/>
    </row>
    <row r="332" spans="1:30" x14ac:dyDescent="0.2">
      <c r="A332" s="36"/>
      <c r="AC332" s="24"/>
      <c r="AD332" s="25"/>
    </row>
    <row r="333" spans="1:30" x14ac:dyDescent="0.2">
      <c r="A333" s="36"/>
      <c r="AC333" s="24"/>
      <c r="AD333" s="25"/>
    </row>
    <row r="334" spans="1:30" x14ac:dyDescent="0.2">
      <c r="A334" s="36"/>
      <c r="AC334" s="24"/>
      <c r="AD334" s="25"/>
    </row>
    <row r="335" spans="1:30" x14ac:dyDescent="0.2">
      <c r="A335" s="36"/>
      <c r="AC335" s="24"/>
      <c r="AD335" s="25"/>
    </row>
    <row r="336" spans="1:30" x14ac:dyDescent="0.2">
      <c r="A336" s="36"/>
      <c r="AC336" s="24"/>
      <c r="AD336" s="25"/>
    </row>
    <row r="337" spans="1:30" x14ac:dyDescent="0.2">
      <c r="A337" s="36"/>
      <c r="AC337" s="24"/>
      <c r="AD337" s="25"/>
    </row>
    <row r="338" spans="1:30" x14ac:dyDescent="0.2">
      <c r="A338" s="36"/>
      <c r="AC338" s="24"/>
      <c r="AD338" s="25"/>
    </row>
    <row r="339" spans="1:30" x14ac:dyDescent="0.2">
      <c r="A339" s="36"/>
      <c r="AC339" s="24"/>
      <c r="AD339" s="25"/>
    </row>
    <row r="340" spans="1:30" x14ac:dyDescent="0.2">
      <c r="A340" s="36"/>
      <c r="AC340" s="24"/>
      <c r="AD340" s="25"/>
    </row>
    <row r="341" spans="1:30" x14ac:dyDescent="0.2">
      <c r="A341" s="36"/>
      <c r="AC341" s="24"/>
      <c r="AD341" s="25"/>
    </row>
    <row r="342" spans="1:30" x14ac:dyDescent="0.2">
      <c r="A342" s="36"/>
      <c r="AC342" s="24"/>
      <c r="AD342" s="25"/>
    </row>
    <row r="343" spans="1:30" x14ac:dyDescent="0.2">
      <c r="A343" s="36"/>
      <c r="AC343" s="24"/>
      <c r="AD343" s="25"/>
    </row>
    <row r="344" spans="1:30" x14ac:dyDescent="0.2">
      <c r="A344" s="36"/>
      <c r="AC344" s="24"/>
      <c r="AD344" s="25"/>
    </row>
    <row r="345" spans="1:30" x14ac:dyDescent="0.2">
      <c r="A345" s="36"/>
      <c r="AC345" s="24"/>
      <c r="AD345" s="25"/>
    </row>
    <row r="346" spans="1:30" x14ac:dyDescent="0.2">
      <c r="A346" s="36"/>
      <c r="AC346" s="24"/>
      <c r="AD346" s="25"/>
    </row>
    <row r="347" spans="1:30" x14ac:dyDescent="0.2">
      <c r="A347" s="36"/>
      <c r="AC347" s="24"/>
      <c r="AD347" s="25"/>
    </row>
    <row r="348" spans="1:30" x14ac:dyDescent="0.2">
      <c r="A348" s="36"/>
      <c r="AC348" s="24"/>
      <c r="AD348" s="25"/>
    </row>
    <row r="349" spans="1:30" x14ac:dyDescent="0.2">
      <c r="A349" s="36"/>
      <c r="AC349" s="24"/>
      <c r="AD349" s="25"/>
    </row>
    <row r="350" spans="1:30" x14ac:dyDescent="0.2">
      <c r="A350" s="36"/>
      <c r="AC350" s="24"/>
      <c r="AD350" s="25"/>
    </row>
    <row r="351" spans="1:30" x14ac:dyDescent="0.2">
      <c r="A351" s="36"/>
      <c r="AC351" s="24"/>
      <c r="AD351" s="25"/>
    </row>
    <row r="352" spans="1:30" x14ac:dyDescent="0.2">
      <c r="A352" s="36"/>
      <c r="AC352" s="24"/>
      <c r="AD352" s="25"/>
    </row>
    <row r="353" spans="1:30" x14ac:dyDescent="0.2">
      <c r="A353" s="36"/>
      <c r="AC353" s="24"/>
      <c r="AD353" s="25"/>
    </row>
    <row r="354" spans="1:30" x14ac:dyDescent="0.2">
      <c r="A354" s="36"/>
      <c r="AC354" s="24"/>
      <c r="AD354" s="25"/>
    </row>
    <row r="355" spans="1:30" x14ac:dyDescent="0.2">
      <c r="A355" s="36"/>
      <c r="AC355" s="24"/>
      <c r="AD355" s="25"/>
    </row>
    <row r="356" spans="1:30" x14ac:dyDescent="0.2">
      <c r="A356" s="36"/>
      <c r="AC356" s="24"/>
      <c r="AD356" s="25"/>
    </row>
    <row r="357" spans="1:30" x14ac:dyDescent="0.2">
      <c r="A357" s="36"/>
      <c r="AC357" s="24"/>
      <c r="AD357" s="25"/>
    </row>
    <row r="358" spans="1:30" x14ac:dyDescent="0.2">
      <c r="A358" s="36"/>
      <c r="AC358" s="24"/>
      <c r="AD358" s="25"/>
    </row>
    <row r="359" spans="1:30" x14ac:dyDescent="0.2">
      <c r="A359" s="36"/>
      <c r="AC359" s="24"/>
      <c r="AD359" s="25"/>
    </row>
    <row r="360" spans="1:30" x14ac:dyDescent="0.2">
      <c r="A360" s="36"/>
      <c r="AC360" s="24"/>
      <c r="AD360" s="25"/>
    </row>
    <row r="361" spans="1:30" x14ac:dyDescent="0.2">
      <c r="A361" s="36"/>
      <c r="AC361" s="24"/>
      <c r="AD361" s="25"/>
    </row>
    <row r="362" spans="1:30" x14ac:dyDescent="0.2">
      <c r="A362" s="36"/>
      <c r="AC362" s="24"/>
      <c r="AD362" s="25"/>
    </row>
    <row r="363" spans="1:30" x14ac:dyDescent="0.2">
      <c r="A363" s="36"/>
      <c r="AC363" s="24"/>
      <c r="AD363" s="25"/>
    </row>
    <row r="364" spans="1:30" x14ac:dyDescent="0.2">
      <c r="A364" s="36"/>
      <c r="AC364" s="24"/>
      <c r="AD364" s="25"/>
    </row>
    <row r="365" spans="1:30" x14ac:dyDescent="0.2">
      <c r="A365" s="36"/>
      <c r="AC365" s="24"/>
      <c r="AD365" s="25"/>
    </row>
    <row r="366" spans="1:30" x14ac:dyDescent="0.2">
      <c r="A366" s="36"/>
      <c r="AC366" s="24"/>
      <c r="AD366" s="25"/>
    </row>
    <row r="367" spans="1:30" x14ac:dyDescent="0.2">
      <c r="A367" s="36"/>
      <c r="AC367" s="24"/>
      <c r="AD367" s="25"/>
    </row>
    <row r="368" spans="1:30" x14ac:dyDescent="0.2">
      <c r="A368" s="36"/>
      <c r="AC368" s="24"/>
      <c r="AD368" s="25"/>
    </row>
    <row r="369" spans="1:30" x14ac:dyDescent="0.2">
      <c r="A369" s="36"/>
      <c r="AC369" s="24"/>
      <c r="AD369" s="25"/>
    </row>
    <row r="370" spans="1:30" x14ac:dyDescent="0.2">
      <c r="A370" s="36"/>
      <c r="AC370" s="24"/>
      <c r="AD370" s="25"/>
    </row>
    <row r="371" spans="1:30" x14ac:dyDescent="0.2">
      <c r="A371" s="36"/>
      <c r="AC371" s="24"/>
      <c r="AD371" s="25"/>
    </row>
    <row r="372" spans="1:30" x14ac:dyDescent="0.2">
      <c r="A372" s="36"/>
      <c r="AC372" s="24"/>
      <c r="AD372" s="25"/>
    </row>
    <row r="373" spans="1:30" x14ac:dyDescent="0.2">
      <c r="A373" s="36"/>
      <c r="AC373" s="24"/>
      <c r="AD373" s="25"/>
    </row>
    <row r="374" spans="1:30" x14ac:dyDescent="0.2">
      <c r="A374" s="36"/>
      <c r="AC374" s="24"/>
      <c r="AD374" s="25"/>
    </row>
    <row r="375" spans="1:30" x14ac:dyDescent="0.2">
      <c r="A375" s="36"/>
      <c r="AC375" s="24"/>
      <c r="AD375" s="25"/>
    </row>
    <row r="376" spans="1:30" x14ac:dyDescent="0.2">
      <c r="A376" s="36"/>
      <c r="AC376" s="24"/>
      <c r="AD376" s="25"/>
    </row>
    <row r="377" spans="1:30" x14ac:dyDescent="0.2">
      <c r="A377" s="36"/>
      <c r="AC377" s="24"/>
      <c r="AD377" s="25"/>
    </row>
    <row r="378" spans="1:30" x14ac:dyDescent="0.2">
      <c r="A378" s="36"/>
      <c r="AC378" s="24"/>
      <c r="AD378" s="25"/>
    </row>
    <row r="379" spans="1:30" x14ac:dyDescent="0.2">
      <c r="A379" s="36"/>
      <c r="AC379" s="24"/>
      <c r="AD379" s="25"/>
    </row>
    <row r="380" spans="1:30" x14ac:dyDescent="0.2">
      <c r="A380" s="36"/>
      <c r="AC380" s="24"/>
      <c r="AD380" s="25"/>
    </row>
    <row r="381" spans="1:30" x14ac:dyDescent="0.2">
      <c r="A381" s="36"/>
      <c r="AC381" s="24"/>
      <c r="AD381" s="25"/>
    </row>
    <row r="382" spans="1:30" x14ac:dyDescent="0.2">
      <c r="A382" s="36"/>
      <c r="AC382" s="24"/>
      <c r="AD382" s="25"/>
    </row>
    <row r="383" spans="1:30" x14ac:dyDescent="0.2">
      <c r="A383" s="36"/>
      <c r="AC383" s="24"/>
      <c r="AD383" s="25"/>
    </row>
    <row r="384" spans="1:30" x14ac:dyDescent="0.2">
      <c r="A384" s="36"/>
      <c r="AC384" s="24"/>
      <c r="AD384" s="25"/>
    </row>
    <row r="385" spans="1:30" x14ac:dyDescent="0.2">
      <c r="A385" s="36"/>
      <c r="AC385" s="24"/>
      <c r="AD385" s="25"/>
    </row>
    <row r="386" spans="1:30" x14ac:dyDescent="0.2">
      <c r="A386" s="36"/>
      <c r="AC386" s="24"/>
      <c r="AD386" s="25"/>
    </row>
    <row r="387" spans="1:30" x14ac:dyDescent="0.2">
      <c r="A387" s="36"/>
      <c r="AC387" s="24"/>
      <c r="AD387" s="25"/>
    </row>
    <row r="388" spans="1:30" x14ac:dyDescent="0.2">
      <c r="A388" s="36"/>
      <c r="AC388" s="24"/>
      <c r="AD388" s="25"/>
    </row>
    <row r="389" spans="1:30" x14ac:dyDescent="0.2">
      <c r="A389" s="36"/>
      <c r="AC389" s="24"/>
      <c r="AD389" s="25"/>
    </row>
    <row r="390" spans="1:30" x14ac:dyDescent="0.2">
      <c r="A390" s="36"/>
      <c r="AC390" s="24"/>
      <c r="AD390" s="25"/>
    </row>
    <row r="391" spans="1:30" x14ac:dyDescent="0.2">
      <c r="A391" s="36"/>
      <c r="AC391" s="24"/>
      <c r="AD391" s="25"/>
    </row>
    <row r="392" spans="1:30" x14ac:dyDescent="0.2">
      <c r="A392" s="36"/>
      <c r="AC392" s="24"/>
      <c r="AD392" s="25"/>
    </row>
    <row r="393" spans="1:30" x14ac:dyDescent="0.2">
      <c r="A393" s="36"/>
      <c r="AC393" s="24"/>
      <c r="AD393" s="25"/>
    </row>
    <row r="394" spans="1:30" x14ac:dyDescent="0.2">
      <c r="A394" s="36"/>
      <c r="AC394" s="24"/>
      <c r="AD394" s="25"/>
    </row>
    <row r="395" spans="1:30" x14ac:dyDescent="0.2">
      <c r="A395" s="36"/>
      <c r="AC395" s="24"/>
      <c r="AD395" s="25"/>
    </row>
    <row r="396" spans="1:30" x14ac:dyDescent="0.2">
      <c r="A396" s="36"/>
      <c r="AC396" s="24"/>
      <c r="AD396" s="25"/>
    </row>
    <row r="397" spans="1:30" x14ac:dyDescent="0.2">
      <c r="A397" s="36"/>
      <c r="AC397" s="24"/>
      <c r="AD397" s="25"/>
    </row>
    <row r="398" spans="1:30" x14ac:dyDescent="0.2">
      <c r="A398" s="36"/>
      <c r="AC398" s="24"/>
      <c r="AD398" s="25"/>
    </row>
    <row r="399" spans="1:30" x14ac:dyDescent="0.2">
      <c r="A399" s="36"/>
      <c r="AC399" s="24"/>
      <c r="AD399" s="25"/>
    </row>
    <row r="400" spans="1:30" x14ac:dyDescent="0.2">
      <c r="A400" s="36"/>
      <c r="AC400" s="24"/>
      <c r="AD400" s="25"/>
    </row>
    <row r="401" spans="1:30" x14ac:dyDescent="0.2">
      <c r="A401" s="36"/>
      <c r="AC401" s="24"/>
      <c r="AD401" s="25"/>
    </row>
    <row r="402" spans="1:30" x14ac:dyDescent="0.2">
      <c r="A402" s="36"/>
      <c r="AC402" s="24"/>
      <c r="AD402" s="25"/>
    </row>
    <row r="403" spans="1:30" x14ac:dyDescent="0.2">
      <c r="A403" s="36"/>
      <c r="AC403" s="24"/>
      <c r="AD403" s="25"/>
    </row>
    <row r="404" spans="1:30" x14ac:dyDescent="0.2">
      <c r="A404" s="36"/>
      <c r="AC404" s="24"/>
      <c r="AD404" s="25"/>
    </row>
    <row r="405" spans="1:30" x14ac:dyDescent="0.2">
      <c r="A405" s="36"/>
      <c r="AC405" s="24"/>
      <c r="AD405" s="25"/>
    </row>
    <row r="406" spans="1:30" x14ac:dyDescent="0.2">
      <c r="A406" s="36"/>
      <c r="AC406" s="24"/>
      <c r="AD406" s="25"/>
    </row>
    <row r="407" spans="1:30" x14ac:dyDescent="0.2">
      <c r="A407" s="36"/>
      <c r="AC407" s="24"/>
      <c r="AD407" s="25"/>
    </row>
    <row r="408" spans="1:30" x14ac:dyDescent="0.2">
      <c r="A408" s="36"/>
      <c r="AC408" s="24"/>
      <c r="AD408" s="25"/>
    </row>
    <row r="409" spans="1:30" x14ac:dyDescent="0.2">
      <c r="A409" s="36"/>
      <c r="AC409" s="24"/>
      <c r="AD409" s="25"/>
    </row>
    <row r="410" spans="1:30" x14ac:dyDescent="0.2">
      <c r="A410" s="36"/>
      <c r="AC410" s="24"/>
      <c r="AD410" s="25"/>
    </row>
    <row r="411" spans="1:30" x14ac:dyDescent="0.2">
      <c r="A411" s="36"/>
      <c r="AC411" s="24"/>
      <c r="AD411" s="25"/>
    </row>
    <row r="412" spans="1:30" x14ac:dyDescent="0.2">
      <c r="A412" s="36"/>
      <c r="AC412" s="24"/>
      <c r="AD412" s="25"/>
    </row>
    <row r="413" spans="1:30" x14ac:dyDescent="0.2">
      <c r="A413" s="36"/>
      <c r="AC413" s="24"/>
      <c r="AD413" s="25"/>
    </row>
    <row r="414" spans="1:30" x14ac:dyDescent="0.2">
      <c r="A414" s="36"/>
      <c r="AC414" s="24"/>
      <c r="AD414" s="25"/>
    </row>
    <row r="415" spans="1:30" x14ac:dyDescent="0.2">
      <c r="A415" s="36"/>
      <c r="AC415" s="24"/>
      <c r="AD415" s="25"/>
    </row>
    <row r="416" spans="1:30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BetList!betanalysis_2019_05_01T21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2019-05-26T05:31:31Z</dcterms:modified>
</cp:coreProperties>
</file>