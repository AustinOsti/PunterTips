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20T21" localSheetId="1">BetList!$B$11:$AB$79</definedName>
  </definedNames>
  <calcPr calcId="145621"/>
</workbook>
</file>

<file path=xl/calcChain.xml><?xml version="1.0" encoding="utf-8"?>
<calcChain xmlns="http://schemas.openxmlformats.org/spreadsheetml/2006/main">
  <c r="AC22" i="1" l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J5" i="1"/>
  <c r="AH6" i="1"/>
  <c r="AJ6" i="1"/>
  <c r="AH5" i="1"/>
  <c r="AD5" i="1" l="1"/>
  <c r="AD6" i="1"/>
  <c r="AD7" i="1" s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0T21" type="6" refreshedVersion="4" background="1" saveData="1">
    <textPr sourceFile="D:\PunterTips\extracts - Analysis\betanalysis_2019-05-20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<sst xmlns="http://schemas.openxmlformats.org/spreadsheetml/2006/main" count="476" uniqueCount="375">
  <si>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</si>
  <si>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</si>
  <si>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</si>
  <si>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</si>
  <si>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</si>
  <si>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</si>
  <si>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</si>
  <si>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</si>
  <si>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</si>
  <si>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</si>
  <si>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</si>
  <si>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</si>
  <si>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</si>
  <si>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</si>
  <si>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</si>
  <si>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</si>
  <si>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</si>
  <si>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</si>
  <si>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</si>
  <si>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</si>
  <si>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</si>
  <si>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</si>
  <si>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</si>
  <si>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</si>
  <si>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</si>
  <si>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</si>
  <si>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</si>
  <si>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</si>
  <si>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</si>
  <si>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</si>
  <si>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</si>
  <si>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</si>
  <si>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</si>
  <si>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</si>
  <si>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</si>
  <si>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</si>
  <si>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</si>
  <si>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</si>
  <si>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</si>
  <si>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</si>
  <si>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</si>
  <si>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</si>
  <si>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</si>
  <si>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</si>
  <si>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</si>
  <si>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</si>
  <si>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</si>
  <si>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</si>
  <si>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</si>
  <si>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</si>
  <si>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</si>
  <si>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</si>
  <si>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</si>
  <si>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</si>
  <si>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</si>
  <si>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</si>
  <si>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</si>
  <si>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</si>
  <si>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</si>
  <si>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</si>
  <si>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</si>
  <si>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</si>
  <si>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</si>
  <si>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</si>
  <si>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</si>
  <si>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</si>
  <si>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</si>
  <si>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</si>
  <si>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</si>
  <si>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</si>
  <si>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</si>
  <si>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</si>
  <si>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</si>
  <si>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</si>
  <si>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</si>
  <si>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</si>
  <si>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</si>
  <si>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</si>
  <si>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</si>
  <si>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</si>
  <si>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</si>
  <si>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</si>
  <si>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</si>
  <si>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</si>
  <si>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</si>
  <si>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</si>
  <si>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</si>
  <si>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</si>
  <si>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</si>
  <si>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</si>
  <si>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</si>
  <si>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</si>
  <si>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</si>
  <si>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</si>
  <si>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</si>
  <si>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</si>
  <si>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</si>
  <si>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</si>
  <si>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</si>
  <si>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</si>
  <si>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</si>
  <si>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</si>
  <si>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</si>
  <si>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</si>
  <si>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</si>
  <si>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</si>
  <si>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Brazil</t>
  </si>
  <si>
    <t>Serie D</t>
  </si>
  <si>
    <t>URT-Serra</t>
  </si>
  <si>
    <t>URT</t>
  </si>
  <si>
    <t>Serra</t>
  </si>
  <si>
    <t>Paraguay</t>
  </si>
  <si>
    <t>Primera Division</t>
  </si>
  <si>
    <t>Sp. Luqueno-Dep. Capiata</t>
  </si>
  <si>
    <t>Sp. Luqueno</t>
  </si>
  <si>
    <t>Dep. Capiata</t>
  </si>
  <si>
    <t>Serie B</t>
  </si>
  <si>
    <t>CRB-Coritiba</t>
  </si>
  <si>
    <t>CRB</t>
  </si>
  <si>
    <t>Coritiba</t>
  </si>
  <si>
    <t>Serie C</t>
  </si>
  <si>
    <t>Ferroviario-Globo</t>
  </si>
  <si>
    <t>Ferroviario</t>
  </si>
  <si>
    <t>Globo</t>
  </si>
  <si>
    <t>Remo-Ypiranga FC</t>
  </si>
  <si>
    <t>Remo</t>
  </si>
  <si>
    <t>Ypiranga FC</t>
  </si>
  <si>
    <t>Brusque-Gaucho</t>
  </si>
  <si>
    <t>Brusque</t>
  </si>
  <si>
    <t>Gaucho</t>
  </si>
  <si>
    <t>Colombia</t>
  </si>
  <si>
    <t>Torneo Aguila</t>
  </si>
  <si>
    <t>Leones-Cartagena</t>
  </si>
  <si>
    <t>Leones</t>
  </si>
  <si>
    <t>Cartagena</t>
  </si>
  <si>
    <t>Itabaiana-Interporto</t>
  </si>
  <si>
    <t>Itabaiana</t>
  </si>
  <si>
    <t>Interporto</t>
  </si>
  <si>
    <t>Argentina</t>
  </si>
  <si>
    <t>Torneo Federal A</t>
  </si>
  <si>
    <t>Alvarado-Sol de Mayo</t>
  </si>
  <si>
    <t>Alvarado</t>
  </si>
  <si>
    <t>Sol de Mayo</t>
  </si>
  <si>
    <t>USA</t>
  </si>
  <si>
    <t>USL League Two 2019</t>
  </si>
  <si>
    <t>Houston FC-Corpus Christi FC</t>
  </si>
  <si>
    <t>Houston FC</t>
  </si>
  <si>
    <t>Corpus Christi FC</t>
  </si>
  <si>
    <t>Primera B Nacional</t>
  </si>
  <si>
    <t>Central Cordoba-Almagro</t>
  </si>
  <si>
    <t>Central Cordoba</t>
  </si>
  <si>
    <t>Almagro</t>
  </si>
  <si>
    <t>Uniao Rondonopolis-Patrocinense</t>
  </si>
  <si>
    <t>Uniao Rondonopolis</t>
  </si>
  <si>
    <t>Patrocinense</t>
  </si>
  <si>
    <t>Ecuador</t>
  </si>
  <si>
    <t>Liga Pro</t>
  </si>
  <si>
    <t>Guayaquil City-Aucas</t>
  </si>
  <si>
    <t>Guayaquil City</t>
  </si>
  <si>
    <t>Aucas</t>
  </si>
  <si>
    <t>Chico-Quindio</t>
  </si>
  <si>
    <t>Chico</t>
  </si>
  <si>
    <t>Quindio</t>
  </si>
  <si>
    <t>Ukraine</t>
  </si>
  <si>
    <t>Youth League</t>
  </si>
  <si>
    <t>Mariupol U21-Lviv U21</t>
  </si>
  <si>
    <t>Mariupol U21</t>
  </si>
  <si>
    <t>Lviv U21</t>
  </si>
  <si>
    <t>Asia</t>
  </si>
  <si>
    <t>AFC Champions League</t>
  </si>
  <si>
    <t>Urawa (Jpn) -Beijing Guoan (Chn)</t>
  </si>
  <si>
    <t>Urawa (Jpn)</t>
  </si>
  <si>
    <t>Beijing Guoan (Chn)</t>
  </si>
  <si>
    <t>Jeonbuk (Kor) -Buriram (Tha)</t>
  </si>
  <si>
    <t>Jeonbuk (Kor)</t>
  </si>
  <si>
    <t>Buriram (Tha)</t>
  </si>
  <si>
    <t>Sydney FC (Aus) -Kawasaki Frontale (Jpn)</t>
  </si>
  <si>
    <t>Sydney FC (Aus)</t>
  </si>
  <si>
    <t>Kawasaki Frontale (Jpn)</t>
  </si>
  <si>
    <t>Shanghai SIPG (Chn) -Ulsan Hyundai (Kor)</t>
  </si>
  <si>
    <t>Shanghai SIPG (Chn)</t>
  </si>
  <si>
    <t>Ulsan Hyundai (Kor)</t>
  </si>
  <si>
    <t>Bangladesh</t>
  </si>
  <si>
    <t>Premier League</t>
  </si>
  <si>
    <t>BJMC-Abahani Chittagong</t>
  </si>
  <si>
    <t>BJMC</t>
  </si>
  <si>
    <t>Abahani Chittagong</t>
  </si>
  <si>
    <t>Shakhtar Donetsk U21-Dynamo Kiev U21</t>
  </si>
  <si>
    <t>Shakhtar Donetsk U21</t>
  </si>
  <si>
    <t>Dynamo Kiev U21</t>
  </si>
  <si>
    <t>Vorskla Poltava U21-Oleksandriya U21</t>
  </si>
  <si>
    <t>Vorskla Poltava U21</t>
  </si>
  <si>
    <t>Oleksandriya U21</t>
  </si>
  <si>
    <t>World</t>
  </si>
  <si>
    <t>Slovakia Cup</t>
  </si>
  <si>
    <t>Croatia U18-Czech Republic U18</t>
  </si>
  <si>
    <t>Croatia U18</t>
  </si>
  <si>
    <t>Czech Republic U18</t>
  </si>
  <si>
    <t>Ukraine U18-Spain U18</t>
  </si>
  <si>
    <t>Ukraine U18</t>
  </si>
  <si>
    <t>Spain U18</t>
  </si>
  <si>
    <t>Poland</t>
  </si>
  <si>
    <t>Ekstraliga Women</t>
  </si>
  <si>
    <t>UJ Krakow W-AZS Wroclaw W</t>
  </si>
  <si>
    <t>UJ Krakow W</t>
  </si>
  <si>
    <t>AZS Wroclaw W</t>
  </si>
  <si>
    <t>Arsenal Kiev U21-Zorya U21</t>
  </si>
  <si>
    <t>Arsenal Kiev U21</t>
  </si>
  <si>
    <t>Zorya U21</t>
  </si>
  <si>
    <t>Turkey</t>
  </si>
  <si>
    <t>2. Lig Play Offs</t>
  </si>
  <si>
    <t>Karagumruk-Manisa</t>
  </si>
  <si>
    <t>Karagumruk</t>
  </si>
  <si>
    <t>Manisa</t>
  </si>
  <si>
    <t>Sariyer-Sakaryaspor</t>
  </si>
  <si>
    <t>Sariyer</t>
  </si>
  <si>
    <t>Sakaryaspor</t>
  </si>
  <si>
    <t>Indonesia</t>
  </si>
  <si>
    <t>Liga 1</t>
  </si>
  <si>
    <t>Persebaya-Kalteng Putra</t>
  </si>
  <si>
    <t>Persebaya</t>
  </si>
  <si>
    <t>Kalteng Putra</t>
  </si>
  <si>
    <t>Bali United-Bhayangkara Utd</t>
  </si>
  <si>
    <t>Bali United</t>
  </si>
  <si>
    <t>Bhayangkara Utd</t>
  </si>
  <si>
    <t>Lok. Tashkent (Uzb) -Al Rayyan (Qat)</t>
  </si>
  <si>
    <t>Lok. Tashkent (Uzb)</t>
  </si>
  <si>
    <t>Al Rayyan (Qat)</t>
  </si>
  <si>
    <t>Desna-Vorskla Poltava</t>
  </si>
  <si>
    <t>Desna</t>
  </si>
  <si>
    <t>Vorskla Poltava</t>
  </si>
  <si>
    <t>Ch. Odessa-Karpaty</t>
  </si>
  <si>
    <t>Ch. Odessa</t>
  </si>
  <si>
    <t>Karpaty</t>
  </si>
  <si>
    <t>Algeria</t>
  </si>
  <si>
    <t>Ligue 1</t>
  </si>
  <si>
    <t>Mlila-Paradou</t>
  </si>
  <si>
    <t>Mlila</t>
  </si>
  <si>
    <t>Paradou</t>
  </si>
  <si>
    <t>Bulgaria</t>
  </si>
  <si>
    <t>Parva Liga</t>
  </si>
  <si>
    <t>Botev Plovdiv-Ludogorets</t>
  </si>
  <si>
    <t>Botev Plovdiv</t>
  </si>
  <si>
    <t>Ludogorets</t>
  </si>
  <si>
    <t>Levski Sofia-CSKA Sofia</t>
  </si>
  <si>
    <t>Levski Sofia</t>
  </si>
  <si>
    <t>CSKA Sofia</t>
  </si>
  <si>
    <t>Lithuania</t>
  </si>
  <si>
    <t>A Lyga</t>
  </si>
  <si>
    <t>Atlantas-Palanga</t>
  </si>
  <si>
    <t>Atlantas</t>
  </si>
  <si>
    <t>Palanga</t>
  </si>
  <si>
    <t>III Liga - Group IV 2018/2019</t>
  </si>
  <si>
    <t>Wislanie Jaskowice-Hutnik Krakow</t>
  </si>
  <si>
    <t>Wislanie Jaskowice</t>
  </si>
  <si>
    <t>Hutnik Krakow</t>
  </si>
  <si>
    <t>Russia U18-Mexico U18</t>
  </si>
  <si>
    <t>Russia U18</t>
  </si>
  <si>
    <t>Mexico U18</t>
  </si>
  <si>
    <t>Finland</t>
  </si>
  <si>
    <t>Kakkonen Group A</t>
  </si>
  <si>
    <t>Lahden Reipas-MiPK</t>
  </si>
  <si>
    <t>Lahden Reipas</t>
  </si>
  <si>
    <t>MiPK</t>
  </si>
  <si>
    <t>Latvia</t>
  </si>
  <si>
    <t>Optibet Virsliga</t>
  </si>
  <si>
    <t>Metta/LU-FK Liepaja</t>
  </si>
  <si>
    <t>Metta/LU</t>
  </si>
  <si>
    <t>FK Liepaja</t>
  </si>
  <si>
    <t>Jelgava-Spartaks</t>
  </si>
  <si>
    <t>Jelgava</t>
  </si>
  <si>
    <t>Spartaks</t>
  </si>
  <si>
    <t>Romania</t>
  </si>
  <si>
    <t>FC Hermannstadt-FC Botosani</t>
  </si>
  <si>
    <t>FC Hermannstadt</t>
  </si>
  <si>
    <t>FC Botosani</t>
  </si>
  <si>
    <t>Norway</t>
  </si>
  <si>
    <t>NM Cup</t>
  </si>
  <si>
    <t>Elverum-Stabaek</t>
  </si>
  <si>
    <t>Elverum</t>
  </si>
  <si>
    <t>Stabaek</t>
  </si>
  <si>
    <t>Slovakia U18-England U18</t>
  </si>
  <si>
    <t>Slovakia U18</t>
  </si>
  <si>
    <t>England U18</t>
  </si>
  <si>
    <t>Estonia</t>
  </si>
  <si>
    <t>Meistriliiga</t>
  </si>
  <si>
    <t>Levadia-Kalju</t>
  </si>
  <si>
    <t>Levadia</t>
  </si>
  <si>
    <t>Kalju</t>
  </si>
  <si>
    <t>Netherlands</t>
  </si>
  <si>
    <t>Eredivisie</t>
  </si>
  <si>
    <t>Utrecht-Heracles</t>
  </si>
  <si>
    <t>Utrecht</t>
  </si>
  <si>
    <t>Heracles</t>
  </si>
  <si>
    <t>Arsenal Kiev-Olimpik Donetsk</t>
  </si>
  <si>
    <t>Arsenal Kiev</t>
  </si>
  <si>
    <t>Olimpik Donetsk</t>
  </si>
  <si>
    <t>Denmark</t>
  </si>
  <si>
    <t>2nd Division - Relegation Group</t>
  </si>
  <si>
    <t>Skovshoved-BK Frem</t>
  </si>
  <si>
    <t>Skovshoved</t>
  </si>
  <si>
    <t>BK Frem</t>
  </si>
  <si>
    <t>Riteriai-FK Panevezys</t>
  </si>
  <si>
    <t>Riteriai</t>
  </si>
  <si>
    <t>FK Panevezys</t>
  </si>
  <si>
    <t>Sweden</t>
  </si>
  <si>
    <t>Superettan</t>
  </si>
  <si>
    <t>GAIS-Vasteras SK</t>
  </si>
  <si>
    <t>GAIS</t>
  </si>
  <si>
    <t>Vasteras SK</t>
  </si>
  <si>
    <t>Degerfors-Dalkurd</t>
  </si>
  <si>
    <t>Degerfors</t>
  </si>
  <si>
    <t>Dalkurd</t>
  </si>
  <si>
    <t>Svenska Cupen 2019/2020</t>
  </si>
  <si>
    <t>IK Franke-Upsala</t>
  </si>
  <si>
    <t>IK Franke</t>
  </si>
  <si>
    <t>Upsala</t>
  </si>
  <si>
    <t>Bromolla-Lunds</t>
  </si>
  <si>
    <t>Bromolla</t>
  </si>
  <si>
    <t>Lunds</t>
  </si>
  <si>
    <t>Liga 2</t>
  </si>
  <si>
    <t>U. Cluj-Sportul Snagov</t>
  </si>
  <si>
    <t>U. Cluj</t>
  </si>
  <si>
    <t>Sportul Snagov</t>
  </si>
  <si>
    <t>Switzerland</t>
  </si>
  <si>
    <t>1.Liga Classic Group 3</t>
  </si>
  <si>
    <t>St. Gallen II-Linth</t>
  </si>
  <si>
    <t>St. Gallen II</t>
  </si>
  <si>
    <t>Linth</t>
  </si>
  <si>
    <t>Al Wasl (Uae) -Al Zawraa (Irq)</t>
  </si>
  <si>
    <t>Al Wasl (Uae)</t>
  </si>
  <si>
    <t>Al Zawraa (Irq)</t>
  </si>
  <si>
    <t>Cherno More-Beroe</t>
  </si>
  <si>
    <t>Cherno More</t>
  </si>
  <si>
    <t>Beroe</t>
  </si>
  <si>
    <t>France</t>
  </si>
  <si>
    <t>Paris FC-Lens</t>
  </si>
  <si>
    <t>Paris FC</t>
  </si>
  <si>
    <t>Lens</t>
  </si>
  <si>
    <t>Ireland</t>
  </si>
  <si>
    <t>Premier Division</t>
  </si>
  <si>
    <t>St. Patricks-Derry City</t>
  </si>
  <si>
    <t>St. Patricks</t>
  </si>
  <si>
    <t>Derry City</t>
  </si>
  <si>
    <t>Vitesse-Groningen</t>
  </si>
  <si>
    <t>Vitesse</t>
  </si>
  <si>
    <t>Groningen</t>
  </si>
  <si>
    <t>Al Ittihad FC (Sau) -Al Wahda (Uae)</t>
  </si>
  <si>
    <t>Al Ittihad FC (Sau)</t>
  </si>
  <si>
    <t>Al Wahda (Uae)</t>
  </si>
  <si>
    <t>Italy</t>
  </si>
  <si>
    <t>Cittadella-Benevento</t>
  </si>
  <si>
    <t>Cittadella</t>
  </si>
  <si>
    <t>Benevento</t>
  </si>
  <si>
    <t>Bolivia</t>
  </si>
  <si>
    <t>Division Profesional</t>
  </si>
  <si>
    <t>Guabira-San Jose</t>
  </si>
  <si>
    <t>Guabira</t>
  </si>
  <si>
    <t>San Jose</t>
  </si>
  <si>
    <t>Egypt</t>
  </si>
  <si>
    <t>El Masry-El Entag El-Harby</t>
  </si>
  <si>
    <t>El Masry</t>
  </si>
  <si>
    <t>El Entag El-Harby</t>
  </si>
  <si>
    <t>Smouha-Petrojet</t>
  </si>
  <si>
    <t>Smouha</t>
  </si>
  <si>
    <t>Petrojet</t>
  </si>
  <si>
    <t>El Gaish-Al Ittihad</t>
  </si>
  <si>
    <t>El Gaish</t>
  </si>
  <si>
    <t>Al Ittihad</t>
  </si>
  <si>
    <t>Wadi Degla-Haras El Hodood</t>
  </si>
  <si>
    <t>Wadi Degla</t>
  </si>
  <si>
    <t>Haras El Hodood</t>
  </si>
  <si>
    <t>Enppi-Misr Elmaqasah</t>
  </si>
  <si>
    <t>Enppi</t>
  </si>
  <si>
    <t>Misr Elmaqasah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</si>
</sst>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  <xf numFmtId="43" fontId="2" fillId="0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20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AD7" sqref="AD7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69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69</v>
      </c>
      <c r="AF2" s="11">
        <f>SUBTOTAL(2,AI11:AI30387)</f>
        <v>69</v>
      </c>
      <c r="AG2" s="11">
        <f>SUBTOTAL(2,AJ11:AJ30387)</f>
        <v>69</v>
      </c>
      <c r="AH2" s="12">
        <f>SUBTOTAL(2,AH11:AH30387)*$B$2</f>
        <v>3450</v>
      </c>
      <c r="AI2" s="12">
        <f>SUBTOTAL(2,AI11:AI30387)*$B$2</f>
        <v>3450</v>
      </c>
      <c r="AJ2" s="12">
        <f>SUBTOTAL(2,AJ11:AJ30387)*$B$2</f>
        <v>3450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31</v>
      </c>
      <c r="AF3" s="11">
        <f ca="1">SUMPRODUCT(SUBTOTAL(3,OFFSET(AF11:AF30387,ROW(AF11:AF30387)-MIN(ROW(AF11:AF30387)),,1)), --(AF11:AF30387=$AD$3))</f>
        <v>20</v>
      </c>
      <c r="AG3" s="11">
        <f ca="1">SUMPRODUCT(SUBTOTAL(3,OFFSET(AG11:AG30387,ROW(AG11:AG30387)-MIN(ROW(AG11:AG30387)),,1)), --(AG11:AG30387=$AD$3))</f>
        <v>18</v>
      </c>
      <c r="AH3" s="12">
        <f>SUBTOTAL(9,AH11:AH30387)</f>
        <v>-282</v>
      </c>
      <c r="AI3" s="12">
        <f>SUBTOTAL(9,AI11:AI30387)</f>
        <v>147.99999999999997</v>
      </c>
      <c r="AJ3" s="12">
        <f>SUBTOTAL(9,AJ11:AJ30387)</f>
        <v>-1399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0.44927536231884058</v>
      </c>
      <c r="AF4" s="14">
        <f t="shared" ca="1" si="0"/>
        <v>0.28985507246376813</v>
      </c>
      <c r="AG4" s="14">
        <f t="shared" ca="1" si="0"/>
        <v>0.2608695652173913</v>
      </c>
      <c r="AH4" s="14">
        <f t="shared" si="0"/>
        <v>-8.1739130434782606E-2</v>
      </c>
      <c r="AI4" s="14">
        <f t="shared" si="0"/>
        <v>4.289855072463767E-2</v>
      </c>
      <c r="AJ4" s="14">
        <f t="shared" si="0"/>
        <v>-0.40550724637681157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150</v>
      </c>
      <c r="AH5" s="12">
        <f ca="1">[1]!COUNTBYCELLCOLOR(AH11:AH30387,$AD$5)*$B$2</f>
        <v>50</v>
      </c>
      <c r="AJ5" s="12">
        <f ca="1">[1]!COUNTBYCELLCOLOR(AJ11:AJ30387,$AD$5)*$B$2</f>
        <v>100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30.999999999999993</v>
      </c>
      <c r="AH6" s="12">
        <f ca="1">[1]!SUMBYCELLCOLOR(AH11:AH30387,$AD$6)</f>
        <v>7.9999999999999929</v>
      </c>
      <c r="AJ6" s="12">
        <f ca="1">[1]!SUMBYCELLCOLOR(AJ11:AJ30387,$AD$6)</f>
        <v>23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60">
        <f ca="1">+AD6/AD5</f>
        <v>0.20666666666666661</v>
      </c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43606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0</v>
      </c>
      <c r="H11" s="37">
        <v>0</v>
      </c>
      <c r="I11" s="37">
        <v>1.52</v>
      </c>
      <c r="J11" s="37">
        <v>3.6</v>
      </c>
      <c r="K11" s="37">
        <v>5.97</v>
      </c>
      <c r="L11" s="37">
        <v>-4.45</v>
      </c>
      <c r="M11" s="37">
        <v>22</v>
      </c>
      <c r="N11" s="37">
        <v>7</v>
      </c>
      <c r="O11" s="37">
        <v>0</v>
      </c>
      <c r="P11" s="37">
        <v>12</v>
      </c>
      <c r="Q11" s="37">
        <v>2</v>
      </c>
      <c r="R11" s="37">
        <v>0</v>
      </c>
      <c r="S11" s="37">
        <v>0</v>
      </c>
      <c r="T11" s="37">
        <v>0</v>
      </c>
      <c r="U11" s="37">
        <v>27.27</v>
      </c>
      <c r="V11" s="37">
        <v>27.27</v>
      </c>
      <c r="W11" s="37">
        <v>45.45</v>
      </c>
      <c r="X11" s="37">
        <v>28.57</v>
      </c>
      <c r="Y11" s="37">
        <v>0</v>
      </c>
      <c r="Z11" s="37">
        <v>71.430000000000007</v>
      </c>
      <c r="AA11" s="37">
        <v>41.67</v>
      </c>
      <c r="AB11" s="37">
        <v>0</v>
      </c>
      <c r="AC11" s="24">
        <f t="shared" ref="AC11:AC74" si="1">(+R11*$R$8)+(S11*$S$8)-(T11*$T$8)+(U11*$U$8)+(V11*$V$8)-(W11*$W$8)-(X11*$X$8)-(Y11*$Y$8)+(Z11*$Z$8)</f>
        <v>7.6630000000000003</v>
      </c>
      <c r="AD11" s="25">
        <f t="shared" ref="AD11:AD74" si="2">(-R11*$R$8)+(S11*$S$8)+(T11*$T$8)-(U11*$U$8)-(V11*$V$8)+(W11*$W$8)+(X11*$X$8)+(Y11*$Y$8)-(Z11*$Z$8)</f>
        <v>-7.6630000000000003</v>
      </c>
      <c r="AE11" s="23" t="str">
        <f t="shared" ref="AE11:AE74" si="3">IF(G11&gt;H11,"Win","Loss")</f>
        <v>Loss</v>
      </c>
      <c r="AF11" s="23" t="str">
        <f t="shared" ref="AF11:AF74" si="4">IF(G11=H11,"Win","Loss")</f>
        <v>Win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130</v>
      </c>
      <c r="AJ11" s="23">
        <f t="shared" ref="AJ11:AJ74" si="8">IF(AG11="Win",(K11*$B$2)-$B$2,-$B$2)</f>
        <v>-50</v>
      </c>
    </row>
    <row r="12" spans="1:39" x14ac:dyDescent="0.2">
      <c r="A12" s="36">
        <v>43606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1</v>
      </c>
      <c r="H12" s="37">
        <v>1</v>
      </c>
      <c r="I12" s="37">
        <v>2.2200000000000002</v>
      </c>
      <c r="J12" s="37">
        <v>3.32</v>
      </c>
      <c r="K12" s="37">
        <v>3.05</v>
      </c>
      <c r="L12" s="37">
        <v>-0.83</v>
      </c>
      <c r="M12" s="37">
        <v>22</v>
      </c>
      <c r="N12" s="37">
        <v>21</v>
      </c>
      <c r="O12" s="37">
        <v>1</v>
      </c>
      <c r="P12" s="37">
        <v>11</v>
      </c>
      <c r="Q12" s="37">
        <v>10</v>
      </c>
      <c r="R12" s="37">
        <v>100</v>
      </c>
      <c r="S12" s="37">
        <v>0</v>
      </c>
      <c r="T12" s="37">
        <v>0</v>
      </c>
      <c r="U12" s="37">
        <v>36.36</v>
      </c>
      <c r="V12" s="37">
        <v>31.82</v>
      </c>
      <c r="W12" s="37">
        <v>31.82</v>
      </c>
      <c r="X12" s="37">
        <v>28.57</v>
      </c>
      <c r="Y12" s="37">
        <v>33.33</v>
      </c>
      <c r="Z12" s="37">
        <v>38.1</v>
      </c>
      <c r="AA12" s="37">
        <v>27.27</v>
      </c>
      <c r="AB12" s="37">
        <v>20</v>
      </c>
      <c r="AC12" s="24">
        <f t="shared" si="1"/>
        <v>32.663000000000011</v>
      </c>
      <c r="AD12" s="25">
        <f t="shared" si="2"/>
        <v>-32.663000000000011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116</v>
      </c>
      <c r="AJ12" s="23">
        <f t="shared" si="8"/>
        <v>-50</v>
      </c>
    </row>
    <row r="13" spans="1:39" x14ac:dyDescent="0.2">
      <c r="A13" s="36">
        <v>43606</v>
      </c>
      <c r="B13" s="37" t="s">
        <v>106</v>
      </c>
      <c r="C13" s="37" t="s">
        <v>116</v>
      </c>
      <c r="D13" s="37" t="s">
        <v>117</v>
      </c>
      <c r="E13" s="37" t="s">
        <v>118</v>
      </c>
      <c r="F13" s="37" t="s">
        <v>119</v>
      </c>
      <c r="G13" s="37">
        <v>1</v>
      </c>
      <c r="H13" s="37">
        <v>0</v>
      </c>
      <c r="I13" s="37">
        <v>2.7</v>
      </c>
      <c r="J13" s="37">
        <v>2.81</v>
      </c>
      <c r="K13" s="37">
        <v>2.86</v>
      </c>
      <c r="L13" s="37">
        <v>-0.16</v>
      </c>
      <c r="M13" s="37">
        <v>65</v>
      </c>
      <c r="N13" s="37">
        <v>56</v>
      </c>
      <c r="O13" s="37">
        <v>2</v>
      </c>
      <c r="P13" s="37">
        <v>32</v>
      </c>
      <c r="Q13" s="37">
        <v>27</v>
      </c>
      <c r="R13" s="37">
        <v>0</v>
      </c>
      <c r="S13" s="37">
        <v>50</v>
      </c>
      <c r="T13" s="37">
        <v>50</v>
      </c>
      <c r="U13" s="37">
        <v>33.85</v>
      </c>
      <c r="V13" s="37">
        <v>33.85</v>
      </c>
      <c r="W13" s="37">
        <v>32.31</v>
      </c>
      <c r="X13" s="37">
        <v>37.5</v>
      </c>
      <c r="Y13" s="37">
        <v>33.93</v>
      </c>
      <c r="Z13" s="37">
        <v>28.57</v>
      </c>
      <c r="AA13" s="37">
        <v>46.88</v>
      </c>
      <c r="AB13" s="37">
        <v>22.22</v>
      </c>
      <c r="AC13" s="24">
        <f t="shared" si="1"/>
        <v>-11.485999999999999</v>
      </c>
      <c r="AD13" s="25">
        <f t="shared" si="2"/>
        <v>21.486000000000004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85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43606</v>
      </c>
      <c r="B14" s="37" t="s">
        <v>106</v>
      </c>
      <c r="C14" s="37" t="s">
        <v>120</v>
      </c>
      <c r="D14" s="37" t="s">
        <v>121</v>
      </c>
      <c r="E14" s="37" t="s">
        <v>122</v>
      </c>
      <c r="F14" s="37" t="s">
        <v>123</v>
      </c>
      <c r="G14" s="37">
        <v>1</v>
      </c>
      <c r="H14" s="37">
        <v>0</v>
      </c>
      <c r="I14" s="37">
        <v>1.57</v>
      </c>
      <c r="J14" s="37">
        <v>3.59</v>
      </c>
      <c r="K14" s="37">
        <v>5.69</v>
      </c>
      <c r="L14" s="37">
        <v>-4.12</v>
      </c>
      <c r="M14" s="37">
        <v>32</v>
      </c>
      <c r="N14" s="37">
        <v>34</v>
      </c>
      <c r="O14" s="37">
        <v>0</v>
      </c>
      <c r="P14" s="37">
        <v>18</v>
      </c>
      <c r="Q14" s="37">
        <v>17</v>
      </c>
      <c r="R14" s="37">
        <v>0</v>
      </c>
      <c r="S14" s="37">
        <v>0</v>
      </c>
      <c r="T14" s="37">
        <v>0</v>
      </c>
      <c r="U14" s="37">
        <v>43.75</v>
      </c>
      <c r="V14" s="37">
        <v>34.380000000000003</v>
      </c>
      <c r="W14" s="37">
        <v>21.88</v>
      </c>
      <c r="X14" s="37">
        <v>32.35</v>
      </c>
      <c r="Y14" s="37">
        <v>44.12</v>
      </c>
      <c r="Z14" s="37">
        <v>23.53</v>
      </c>
      <c r="AA14" s="37">
        <v>50</v>
      </c>
      <c r="AB14" s="37">
        <v>23.53</v>
      </c>
      <c r="AC14" s="24">
        <f t="shared" si="1"/>
        <v>1.6360000000000001</v>
      </c>
      <c r="AD14" s="25">
        <f t="shared" si="2"/>
        <v>-1.6360000000000001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28.5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43606</v>
      </c>
      <c r="B15" s="37" t="s">
        <v>106</v>
      </c>
      <c r="C15" s="37" t="s">
        <v>120</v>
      </c>
      <c r="D15" s="37" t="s">
        <v>124</v>
      </c>
      <c r="E15" s="37" t="s">
        <v>125</v>
      </c>
      <c r="F15" s="37" t="s">
        <v>126</v>
      </c>
      <c r="G15" s="37">
        <v>0</v>
      </c>
      <c r="H15" s="37">
        <v>0</v>
      </c>
      <c r="I15" s="37">
        <v>1.69</v>
      </c>
      <c r="J15" s="37">
        <v>3.33</v>
      </c>
      <c r="K15" s="37">
        <v>5.15</v>
      </c>
      <c r="L15" s="37">
        <v>-3.46</v>
      </c>
      <c r="M15" s="37">
        <v>31</v>
      </c>
      <c r="N15" s="37">
        <v>23</v>
      </c>
      <c r="O15" s="37">
        <v>0</v>
      </c>
      <c r="P15" s="37">
        <v>16</v>
      </c>
      <c r="Q15" s="37">
        <v>12</v>
      </c>
      <c r="R15" s="37">
        <v>0</v>
      </c>
      <c r="S15" s="37">
        <v>0</v>
      </c>
      <c r="T15" s="37">
        <v>0</v>
      </c>
      <c r="U15" s="37">
        <v>41.94</v>
      </c>
      <c r="V15" s="37">
        <v>25.81</v>
      </c>
      <c r="W15" s="37">
        <v>32.26</v>
      </c>
      <c r="X15" s="37">
        <v>34.78</v>
      </c>
      <c r="Y15" s="37">
        <v>21.74</v>
      </c>
      <c r="Z15" s="37">
        <v>43.48</v>
      </c>
      <c r="AA15" s="37">
        <v>43.75</v>
      </c>
      <c r="AB15" s="37">
        <v>16.670000000000002</v>
      </c>
      <c r="AC15" s="24">
        <f t="shared" si="1"/>
        <v>4.0829999999999984</v>
      </c>
      <c r="AD15" s="25">
        <f t="shared" si="2"/>
        <v>-4.0829999999999984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116.5</v>
      </c>
      <c r="AJ15" s="23">
        <f t="shared" si="8"/>
        <v>-50</v>
      </c>
    </row>
    <row r="16" spans="1:39" x14ac:dyDescent="0.2">
      <c r="A16" s="36">
        <v>43606</v>
      </c>
      <c r="B16" s="37" t="s">
        <v>106</v>
      </c>
      <c r="C16" s="37" t="s">
        <v>107</v>
      </c>
      <c r="D16" s="37" t="s">
        <v>127</v>
      </c>
      <c r="E16" s="37" t="s">
        <v>128</v>
      </c>
      <c r="F16" s="37" t="s">
        <v>129</v>
      </c>
      <c r="G16" s="37">
        <v>3</v>
      </c>
      <c r="H16" s="37">
        <v>2</v>
      </c>
      <c r="I16" s="37">
        <v>1.4</v>
      </c>
      <c r="J16" s="37">
        <v>4.07</v>
      </c>
      <c r="K16" s="37">
        <v>7</v>
      </c>
      <c r="L16" s="37">
        <v>-5.6</v>
      </c>
      <c r="M16" s="37">
        <v>29</v>
      </c>
      <c r="N16" s="37">
        <v>2</v>
      </c>
      <c r="O16" s="37">
        <v>0</v>
      </c>
      <c r="P16" s="37">
        <v>15</v>
      </c>
      <c r="Q16" s="37">
        <v>1</v>
      </c>
      <c r="R16" s="37">
        <v>0</v>
      </c>
      <c r="S16" s="37">
        <v>0</v>
      </c>
      <c r="T16" s="37">
        <v>0</v>
      </c>
      <c r="U16" s="37">
        <v>37.93</v>
      </c>
      <c r="V16" s="37">
        <v>20.69</v>
      </c>
      <c r="W16" s="37">
        <v>41.38</v>
      </c>
      <c r="X16" s="37">
        <v>50</v>
      </c>
      <c r="Y16" s="37">
        <v>0</v>
      </c>
      <c r="Z16" s="37">
        <v>50</v>
      </c>
      <c r="AA16" s="37">
        <v>53.33</v>
      </c>
      <c r="AB16" s="37">
        <v>0</v>
      </c>
      <c r="AC16" s="24">
        <f t="shared" si="1"/>
        <v>1.3789999999999996</v>
      </c>
      <c r="AD16" s="25">
        <f t="shared" si="2"/>
        <v>-1.3789999999999996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20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43606</v>
      </c>
      <c r="B17" s="37" t="s">
        <v>130</v>
      </c>
      <c r="C17" s="37" t="s">
        <v>131</v>
      </c>
      <c r="D17" s="37" t="s">
        <v>132</v>
      </c>
      <c r="E17" s="37" t="s">
        <v>133</v>
      </c>
      <c r="F17" s="37" t="s">
        <v>134</v>
      </c>
      <c r="G17" s="37">
        <v>1</v>
      </c>
      <c r="H17" s="37">
        <v>1</v>
      </c>
      <c r="I17" s="37">
        <v>2.4900000000000002</v>
      </c>
      <c r="J17" s="37">
        <v>2.98</v>
      </c>
      <c r="K17" s="37">
        <v>2.79</v>
      </c>
      <c r="L17" s="37">
        <v>-0.3</v>
      </c>
      <c r="M17" s="37">
        <v>23</v>
      </c>
      <c r="N17" s="37">
        <v>25</v>
      </c>
      <c r="O17" s="37">
        <v>1</v>
      </c>
      <c r="P17" s="37">
        <v>12</v>
      </c>
      <c r="Q17" s="37">
        <v>12</v>
      </c>
      <c r="R17" s="37">
        <v>0</v>
      </c>
      <c r="S17" s="37">
        <v>100</v>
      </c>
      <c r="T17" s="37">
        <v>0</v>
      </c>
      <c r="U17" s="37">
        <v>39.130000000000003</v>
      </c>
      <c r="V17" s="37">
        <v>34.78</v>
      </c>
      <c r="W17" s="37">
        <v>26.09</v>
      </c>
      <c r="X17" s="37">
        <v>44</v>
      </c>
      <c r="Y17" s="37">
        <v>32</v>
      </c>
      <c r="Z17" s="37">
        <v>24</v>
      </c>
      <c r="AA17" s="37">
        <v>50</v>
      </c>
      <c r="AB17" s="37">
        <v>16.670000000000002</v>
      </c>
      <c r="AC17" s="24">
        <f t="shared" si="1"/>
        <v>8.8860000000000028</v>
      </c>
      <c r="AD17" s="25">
        <f t="shared" si="2"/>
        <v>11.114000000000001</v>
      </c>
      <c r="AE17" s="23" t="str">
        <f t="shared" si="3"/>
        <v>Loss</v>
      </c>
      <c r="AF17" s="23" t="str">
        <f t="shared" si="4"/>
        <v>Win</v>
      </c>
      <c r="AG17" s="23" t="str">
        <f t="shared" si="5"/>
        <v>Loss</v>
      </c>
      <c r="AH17" s="23">
        <f t="shared" si="6"/>
        <v>-50</v>
      </c>
      <c r="AI17" s="23">
        <f t="shared" si="7"/>
        <v>99</v>
      </c>
      <c r="AJ17" s="23">
        <f t="shared" si="8"/>
        <v>-50</v>
      </c>
    </row>
    <row r="18" spans="1:36" x14ac:dyDescent="0.2">
      <c r="A18" s="36">
        <v>43606</v>
      </c>
      <c r="B18" s="37" t="s">
        <v>106</v>
      </c>
      <c r="C18" s="37" t="s">
        <v>107</v>
      </c>
      <c r="D18" s="37" t="s">
        <v>135</v>
      </c>
      <c r="E18" s="37" t="s">
        <v>136</v>
      </c>
      <c r="F18" s="37" t="s">
        <v>137</v>
      </c>
      <c r="G18" s="37">
        <v>3</v>
      </c>
      <c r="H18" s="37">
        <v>0</v>
      </c>
      <c r="I18" s="37">
        <v>1.3</v>
      </c>
      <c r="J18" s="37">
        <v>4.59</v>
      </c>
      <c r="K18" s="37">
        <v>8.8000000000000007</v>
      </c>
      <c r="L18" s="37">
        <v>-7.5</v>
      </c>
      <c r="M18" s="37">
        <v>24</v>
      </c>
      <c r="N18" s="37">
        <v>9</v>
      </c>
      <c r="O18" s="37">
        <v>0</v>
      </c>
      <c r="P18" s="37">
        <v>13</v>
      </c>
      <c r="Q18" s="37">
        <v>4</v>
      </c>
      <c r="R18" s="37">
        <v>0</v>
      </c>
      <c r="S18" s="37">
        <v>0</v>
      </c>
      <c r="T18" s="37">
        <v>0</v>
      </c>
      <c r="U18" s="37">
        <v>33.33</v>
      </c>
      <c r="V18" s="37">
        <v>29.17</v>
      </c>
      <c r="W18" s="37">
        <v>37.5</v>
      </c>
      <c r="X18" s="37">
        <v>11.11</v>
      </c>
      <c r="Y18" s="37">
        <v>44.44</v>
      </c>
      <c r="Z18" s="37">
        <v>44.44</v>
      </c>
      <c r="AA18" s="37">
        <v>38.46</v>
      </c>
      <c r="AB18" s="37">
        <v>0</v>
      </c>
      <c r="AC18" s="24">
        <f t="shared" si="1"/>
        <v>4.3049999999999997</v>
      </c>
      <c r="AD18" s="25">
        <f t="shared" si="2"/>
        <v>-4.3049999999999997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15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43606</v>
      </c>
      <c r="B19" s="37" t="s">
        <v>138</v>
      </c>
      <c r="C19" s="37" t="s">
        <v>139</v>
      </c>
      <c r="D19" s="37" t="s">
        <v>140</v>
      </c>
      <c r="E19" s="37" t="s">
        <v>141</v>
      </c>
      <c r="F19" s="37" t="s">
        <v>142</v>
      </c>
      <c r="G19" s="37">
        <v>1</v>
      </c>
      <c r="H19" s="37">
        <v>0</v>
      </c>
      <c r="I19" s="37">
        <v>1.73</v>
      </c>
      <c r="J19" s="37">
        <v>3.2</v>
      </c>
      <c r="K19" s="37">
        <v>4.9000000000000004</v>
      </c>
      <c r="L19" s="37">
        <v>-3.17</v>
      </c>
      <c r="M19" s="37">
        <v>24</v>
      </c>
      <c r="N19" s="37">
        <v>16</v>
      </c>
      <c r="O19" s="37">
        <v>2</v>
      </c>
      <c r="P19" s="37">
        <v>13</v>
      </c>
      <c r="Q19" s="37">
        <v>13</v>
      </c>
      <c r="R19" s="37">
        <v>50</v>
      </c>
      <c r="S19" s="37">
        <v>50</v>
      </c>
      <c r="T19" s="37">
        <v>0</v>
      </c>
      <c r="U19" s="37">
        <v>41.67</v>
      </c>
      <c r="V19" s="37">
        <v>41.67</v>
      </c>
      <c r="W19" s="37">
        <v>16.670000000000002</v>
      </c>
      <c r="X19" s="37">
        <v>31.25</v>
      </c>
      <c r="Y19" s="37">
        <v>25</v>
      </c>
      <c r="Z19" s="37">
        <v>43.75</v>
      </c>
      <c r="AA19" s="37">
        <v>53.85</v>
      </c>
      <c r="AB19" s="37">
        <v>23.08</v>
      </c>
      <c r="AC19" s="24">
        <f t="shared" si="1"/>
        <v>29.167000000000005</v>
      </c>
      <c r="AD19" s="25">
        <f t="shared" si="2"/>
        <v>-19.167000000000005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36.5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43606</v>
      </c>
      <c r="B20" s="37" t="s">
        <v>143</v>
      </c>
      <c r="C20" s="37" t="s">
        <v>144</v>
      </c>
      <c r="D20" s="37" t="s">
        <v>145</v>
      </c>
      <c r="E20" s="37" t="s">
        <v>146</v>
      </c>
      <c r="F20" s="37" t="s">
        <v>147</v>
      </c>
      <c r="G20" s="37">
        <v>1</v>
      </c>
      <c r="H20" s="37">
        <v>5</v>
      </c>
      <c r="I20" s="37">
        <v>3.35</v>
      </c>
      <c r="J20" s="37">
        <v>3.58</v>
      </c>
      <c r="K20" s="37">
        <v>1.91</v>
      </c>
      <c r="L20" s="37">
        <v>1.44</v>
      </c>
      <c r="M20" s="37">
        <v>1</v>
      </c>
      <c r="N20" s="37">
        <v>0</v>
      </c>
      <c r="O20" s="37">
        <v>0</v>
      </c>
      <c r="P20" s="37">
        <v>1</v>
      </c>
      <c r="Q20" s="37">
        <v>0</v>
      </c>
      <c r="R20" s="37">
        <v>0</v>
      </c>
      <c r="S20" s="37">
        <v>0</v>
      </c>
      <c r="T20" s="37">
        <v>0</v>
      </c>
      <c r="U20" s="37">
        <v>0</v>
      </c>
      <c r="V20" s="37">
        <v>100</v>
      </c>
      <c r="W20" s="37">
        <v>0</v>
      </c>
      <c r="X20" s="37">
        <v>0</v>
      </c>
      <c r="Y20" s="37">
        <v>0</v>
      </c>
      <c r="Z20" s="37">
        <v>0</v>
      </c>
      <c r="AA20" s="37">
        <v>0</v>
      </c>
      <c r="AB20" s="37">
        <v>0</v>
      </c>
      <c r="AC20" s="24">
        <f t="shared" si="1"/>
        <v>10</v>
      </c>
      <c r="AD20" s="25">
        <f t="shared" si="2"/>
        <v>-10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45.5</v>
      </c>
    </row>
    <row r="21" spans="1:36" x14ac:dyDescent="0.2">
      <c r="A21" s="36">
        <v>43606</v>
      </c>
      <c r="B21" s="37" t="s">
        <v>138</v>
      </c>
      <c r="C21" s="37" t="s">
        <v>148</v>
      </c>
      <c r="D21" s="37" t="s">
        <v>149</v>
      </c>
      <c r="E21" s="37" t="s">
        <v>150</v>
      </c>
      <c r="F21" s="37" t="s">
        <v>151</v>
      </c>
      <c r="G21" s="37">
        <v>2</v>
      </c>
      <c r="H21" s="37">
        <v>1</v>
      </c>
      <c r="I21" s="37">
        <v>2.16</v>
      </c>
      <c r="J21" s="37">
        <v>2.76</v>
      </c>
      <c r="K21" s="37">
        <v>3.9</v>
      </c>
      <c r="L21" s="37">
        <v>-1.74</v>
      </c>
      <c r="M21" s="37">
        <v>65</v>
      </c>
      <c r="N21" s="37">
        <v>27</v>
      </c>
      <c r="O21" s="37">
        <v>1</v>
      </c>
      <c r="P21" s="37">
        <v>32</v>
      </c>
      <c r="Q21" s="37">
        <v>13</v>
      </c>
      <c r="R21" s="37">
        <v>100</v>
      </c>
      <c r="S21" s="37">
        <v>0</v>
      </c>
      <c r="T21" s="37">
        <v>0</v>
      </c>
      <c r="U21" s="37">
        <v>30.77</v>
      </c>
      <c r="V21" s="37">
        <v>41.54</v>
      </c>
      <c r="W21" s="37">
        <v>27.69</v>
      </c>
      <c r="X21" s="37">
        <v>44.44</v>
      </c>
      <c r="Y21" s="37">
        <v>33.33</v>
      </c>
      <c r="Z21" s="37">
        <v>22.22</v>
      </c>
      <c r="AA21" s="37">
        <v>34.380000000000003</v>
      </c>
      <c r="AB21" s="37">
        <v>38.46</v>
      </c>
      <c r="AC21" s="24">
        <f t="shared" si="1"/>
        <v>26.992999999999999</v>
      </c>
      <c r="AD21" s="25">
        <f t="shared" si="2"/>
        <v>-26.992999999999999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58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43606</v>
      </c>
      <c r="B22" s="37" t="s">
        <v>106</v>
      </c>
      <c r="C22" s="37" t="s">
        <v>107</v>
      </c>
      <c r="D22" s="37" t="s">
        <v>152</v>
      </c>
      <c r="E22" s="37" t="s">
        <v>153</v>
      </c>
      <c r="F22" s="37" t="s">
        <v>154</v>
      </c>
      <c r="G22" s="37">
        <v>3</v>
      </c>
      <c r="H22" s="37">
        <v>2</v>
      </c>
      <c r="I22" s="37">
        <v>2.2999999999999998</v>
      </c>
      <c r="J22" s="37">
        <v>3.19</v>
      </c>
      <c r="K22" s="37">
        <v>2.79</v>
      </c>
      <c r="L22" s="37">
        <v>-0.49</v>
      </c>
      <c r="M22" s="37">
        <v>9</v>
      </c>
      <c r="N22" s="37">
        <v>14</v>
      </c>
      <c r="O22" s="37">
        <v>0</v>
      </c>
      <c r="P22" s="37">
        <v>4</v>
      </c>
      <c r="Q22" s="37">
        <v>7</v>
      </c>
      <c r="R22" s="37">
        <v>0</v>
      </c>
      <c r="S22" s="37">
        <v>0</v>
      </c>
      <c r="T22" s="37">
        <v>0</v>
      </c>
      <c r="U22" s="37">
        <v>55.56</v>
      </c>
      <c r="V22" s="37">
        <v>22.22</v>
      </c>
      <c r="W22" s="37">
        <v>22.22</v>
      </c>
      <c r="X22" s="37">
        <v>28.57</v>
      </c>
      <c r="Y22" s="37">
        <v>28.57</v>
      </c>
      <c r="Z22" s="37">
        <v>42.86</v>
      </c>
      <c r="AA22" s="37">
        <v>50</v>
      </c>
      <c r="AB22" s="37">
        <v>28.57</v>
      </c>
      <c r="AC22" s="24">
        <f t="shared" si="1"/>
        <v>8.8910000000000018</v>
      </c>
      <c r="AD22" s="25">
        <f t="shared" si="2"/>
        <v>-8.8910000000000018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64.999999999999986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43606</v>
      </c>
      <c r="B23" s="37" t="s">
        <v>155</v>
      </c>
      <c r="C23" s="37" t="s">
        <v>156</v>
      </c>
      <c r="D23" s="37" t="s">
        <v>157</v>
      </c>
      <c r="E23" s="37" t="s">
        <v>158</v>
      </c>
      <c r="F23" s="37" t="s">
        <v>159</v>
      </c>
      <c r="G23" s="37">
        <v>1</v>
      </c>
      <c r="H23" s="37">
        <v>1</v>
      </c>
      <c r="I23" s="37">
        <v>2.79</v>
      </c>
      <c r="J23" s="37">
        <v>3.14</v>
      </c>
      <c r="K23" s="37">
        <v>2.5</v>
      </c>
      <c r="L23" s="37">
        <v>0.28999999999999998</v>
      </c>
      <c r="M23" s="37">
        <v>13</v>
      </c>
      <c r="N23" s="37">
        <v>13</v>
      </c>
      <c r="O23" s="37">
        <v>0</v>
      </c>
      <c r="P23" s="37">
        <v>6</v>
      </c>
      <c r="Q23" s="37">
        <v>6</v>
      </c>
      <c r="R23" s="37">
        <v>0</v>
      </c>
      <c r="S23" s="37">
        <v>0</v>
      </c>
      <c r="T23" s="37">
        <v>0</v>
      </c>
      <c r="U23" s="37">
        <v>23.08</v>
      </c>
      <c r="V23" s="37">
        <v>30.77</v>
      </c>
      <c r="W23" s="37">
        <v>46.15</v>
      </c>
      <c r="X23" s="37">
        <v>46.15</v>
      </c>
      <c r="Y23" s="37">
        <v>15.38</v>
      </c>
      <c r="Z23" s="37">
        <v>38.46</v>
      </c>
      <c r="AA23" s="37">
        <v>33.33</v>
      </c>
      <c r="AB23" s="37">
        <v>33.33</v>
      </c>
      <c r="AC23" s="24">
        <f t="shared" si="1"/>
        <v>-4.6130000000000013</v>
      </c>
      <c r="AD23" s="25">
        <f t="shared" si="2"/>
        <v>4.6130000000000013</v>
      </c>
      <c r="AE23" s="23" t="str">
        <f t="shared" si="3"/>
        <v>Loss</v>
      </c>
      <c r="AF23" s="23" t="str">
        <f t="shared" si="4"/>
        <v>Win</v>
      </c>
      <c r="AG23" s="23" t="str">
        <f t="shared" si="5"/>
        <v>Loss</v>
      </c>
      <c r="AH23" s="23">
        <f t="shared" si="6"/>
        <v>-50</v>
      </c>
      <c r="AI23" s="23">
        <f t="shared" si="7"/>
        <v>107</v>
      </c>
      <c r="AJ23" s="23">
        <f t="shared" si="8"/>
        <v>-50</v>
      </c>
    </row>
    <row r="24" spans="1:36" x14ac:dyDescent="0.2">
      <c r="A24" s="36">
        <v>43606</v>
      </c>
      <c r="B24" s="37" t="s">
        <v>130</v>
      </c>
      <c r="C24" s="37" t="s">
        <v>131</v>
      </c>
      <c r="D24" s="37" t="s">
        <v>160</v>
      </c>
      <c r="E24" s="37" t="s">
        <v>161</v>
      </c>
      <c r="F24" s="37" t="s">
        <v>162</v>
      </c>
      <c r="G24" s="37">
        <v>1</v>
      </c>
      <c r="H24" s="37">
        <v>0</v>
      </c>
      <c r="I24" s="37">
        <v>2.19</v>
      </c>
      <c r="J24" s="37">
        <v>3.08</v>
      </c>
      <c r="K24" s="37">
        <v>3.22</v>
      </c>
      <c r="L24" s="37">
        <v>-1.03</v>
      </c>
      <c r="M24" s="37">
        <v>24</v>
      </c>
      <c r="N24" s="37">
        <v>24</v>
      </c>
      <c r="O24" s="37">
        <v>1</v>
      </c>
      <c r="P24" s="37">
        <v>13</v>
      </c>
      <c r="Q24" s="37">
        <v>13</v>
      </c>
      <c r="R24" s="37">
        <v>0</v>
      </c>
      <c r="S24" s="37">
        <v>100</v>
      </c>
      <c r="T24" s="37">
        <v>0</v>
      </c>
      <c r="U24" s="37">
        <v>37.5</v>
      </c>
      <c r="V24" s="37">
        <v>45.83</v>
      </c>
      <c r="W24" s="37">
        <v>16.670000000000002</v>
      </c>
      <c r="X24" s="37">
        <v>45.83</v>
      </c>
      <c r="Y24" s="37">
        <v>25</v>
      </c>
      <c r="Z24" s="37">
        <v>29.17</v>
      </c>
      <c r="AA24" s="37">
        <v>38.46</v>
      </c>
      <c r="AB24" s="37">
        <v>46.15</v>
      </c>
      <c r="AC24" s="24">
        <f t="shared" si="1"/>
        <v>12.916999999999998</v>
      </c>
      <c r="AD24" s="25">
        <f t="shared" si="2"/>
        <v>7.0830000000000011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59.5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43606</v>
      </c>
      <c r="B25" s="37" t="s">
        <v>163</v>
      </c>
      <c r="C25" s="37" t="s">
        <v>164</v>
      </c>
      <c r="D25" s="37" t="s">
        <v>165</v>
      </c>
      <c r="E25" s="37" t="s">
        <v>166</v>
      </c>
      <c r="F25" s="37" t="s">
        <v>167</v>
      </c>
      <c r="G25" s="37">
        <v>3</v>
      </c>
      <c r="H25" s="37">
        <v>0</v>
      </c>
      <c r="I25" s="37">
        <v>1.1599999999999999</v>
      </c>
      <c r="J25" s="37">
        <v>6.67</v>
      </c>
      <c r="K25" s="37">
        <v>10.46</v>
      </c>
      <c r="L25" s="37">
        <v>-9.3000000000000007</v>
      </c>
      <c r="M25" s="37">
        <v>13</v>
      </c>
      <c r="N25" s="37">
        <v>16</v>
      </c>
      <c r="O25" s="37">
        <v>2</v>
      </c>
      <c r="P25" s="37">
        <v>4</v>
      </c>
      <c r="Q25" s="37">
        <v>7</v>
      </c>
      <c r="R25" s="37">
        <v>100</v>
      </c>
      <c r="S25" s="37">
        <v>0</v>
      </c>
      <c r="T25" s="37">
        <v>0</v>
      </c>
      <c r="U25" s="37">
        <v>38.46</v>
      </c>
      <c r="V25" s="37">
        <v>15.38</v>
      </c>
      <c r="W25" s="37">
        <v>46.15</v>
      </c>
      <c r="X25" s="37">
        <v>12.5</v>
      </c>
      <c r="Y25" s="37">
        <v>12.5</v>
      </c>
      <c r="Z25" s="37">
        <v>75</v>
      </c>
      <c r="AA25" s="37">
        <v>25</v>
      </c>
      <c r="AB25" s="37">
        <v>14.29</v>
      </c>
      <c r="AC25" s="24">
        <f t="shared" si="1"/>
        <v>41.25</v>
      </c>
      <c r="AD25" s="25">
        <f t="shared" si="2"/>
        <v>-41.25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59">
        <f t="shared" si="6"/>
        <v>7.9999999999999929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43606</v>
      </c>
      <c r="B26" s="37" t="s">
        <v>168</v>
      </c>
      <c r="C26" s="37" t="s">
        <v>169</v>
      </c>
      <c r="D26" s="37" t="s">
        <v>170</v>
      </c>
      <c r="E26" s="37" t="s">
        <v>171</v>
      </c>
      <c r="F26" s="37" t="s">
        <v>172</v>
      </c>
      <c r="G26" s="37">
        <v>3</v>
      </c>
      <c r="H26" s="37">
        <v>0</v>
      </c>
      <c r="I26" s="37">
        <v>2.87</v>
      </c>
      <c r="J26" s="37">
        <v>3.25</v>
      </c>
      <c r="K26" s="37">
        <v>2.4300000000000002</v>
      </c>
      <c r="L26" s="37">
        <v>0.44</v>
      </c>
      <c r="M26" s="37">
        <v>5</v>
      </c>
      <c r="N26" s="37">
        <v>5</v>
      </c>
      <c r="O26" s="37">
        <v>1</v>
      </c>
      <c r="P26" s="37">
        <v>2</v>
      </c>
      <c r="Q26" s="37">
        <v>2</v>
      </c>
      <c r="R26" s="37">
        <v>0</v>
      </c>
      <c r="S26" s="37">
        <v>100</v>
      </c>
      <c r="T26" s="37">
        <v>0</v>
      </c>
      <c r="U26" s="37">
        <v>40</v>
      </c>
      <c r="V26" s="37">
        <v>20</v>
      </c>
      <c r="W26" s="37">
        <v>40</v>
      </c>
      <c r="X26" s="37">
        <v>40</v>
      </c>
      <c r="Y26" s="37">
        <v>20</v>
      </c>
      <c r="Z26" s="37">
        <v>40</v>
      </c>
      <c r="AA26" s="37">
        <v>50</v>
      </c>
      <c r="AB26" s="37">
        <v>50</v>
      </c>
      <c r="AC26" s="24">
        <f t="shared" si="1"/>
        <v>10</v>
      </c>
      <c r="AD26" s="25">
        <f t="shared" si="2"/>
        <v>10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93.5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43606</v>
      </c>
      <c r="B27" s="37" t="s">
        <v>168</v>
      </c>
      <c r="C27" s="37" t="s">
        <v>169</v>
      </c>
      <c r="D27" s="37" t="s">
        <v>173</v>
      </c>
      <c r="E27" s="37" t="s">
        <v>174</v>
      </c>
      <c r="F27" s="37" t="s">
        <v>175</v>
      </c>
      <c r="G27" s="37">
        <v>0</v>
      </c>
      <c r="H27" s="37">
        <v>0</v>
      </c>
      <c r="I27" s="37">
        <v>1.22</v>
      </c>
      <c r="J27" s="37">
        <v>6.13</v>
      </c>
      <c r="K27" s="37">
        <v>12.01</v>
      </c>
      <c r="L27" s="37">
        <v>-10.79</v>
      </c>
      <c r="M27" s="37">
        <v>5</v>
      </c>
      <c r="N27" s="37">
        <v>5</v>
      </c>
      <c r="O27" s="37">
        <v>1</v>
      </c>
      <c r="P27" s="37">
        <v>2</v>
      </c>
      <c r="Q27" s="37">
        <v>2</v>
      </c>
      <c r="R27" s="37">
        <v>0</v>
      </c>
      <c r="S27" s="37">
        <v>0</v>
      </c>
      <c r="T27" s="37">
        <v>100</v>
      </c>
      <c r="U27" s="37">
        <v>80</v>
      </c>
      <c r="V27" s="37">
        <v>0</v>
      </c>
      <c r="W27" s="37">
        <v>20</v>
      </c>
      <c r="X27" s="37">
        <v>20</v>
      </c>
      <c r="Y27" s="37">
        <v>0</v>
      </c>
      <c r="Z27" s="37">
        <v>80</v>
      </c>
      <c r="AA27" s="37">
        <v>100</v>
      </c>
      <c r="AB27" s="37">
        <v>0</v>
      </c>
      <c r="AC27" s="24">
        <f t="shared" si="1"/>
        <v>-6</v>
      </c>
      <c r="AD27" s="25">
        <f t="shared" si="2"/>
        <v>6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256.5</v>
      </c>
      <c r="AJ27" s="23">
        <f t="shared" si="8"/>
        <v>-50</v>
      </c>
    </row>
    <row r="28" spans="1:36" x14ac:dyDescent="0.2">
      <c r="A28" s="36">
        <v>43606</v>
      </c>
      <c r="B28" s="37" t="s">
        <v>168</v>
      </c>
      <c r="C28" s="37" t="s">
        <v>169</v>
      </c>
      <c r="D28" s="37" t="s">
        <v>176</v>
      </c>
      <c r="E28" s="37" t="s">
        <v>177</v>
      </c>
      <c r="F28" s="37" t="s">
        <v>178</v>
      </c>
      <c r="G28" s="37">
        <v>0</v>
      </c>
      <c r="H28" s="37">
        <v>4</v>
      </c>
      <c r="I28" s="37">
        <v>9.15</v>
      </c>
      <c r="J28" s="37">
        <v>5.45</v>
      </c>
      <c r="K28" s="37">
        <v>1.29</v>
      </c>
      <c r="L28" s="37">
        <v>7.86</v>
      </c>
      <c r="M28" s="37">
        <v>5</v>
      </c>
      <c r="N28" s="37">
        <v>5</v>
      </c>
      <c r="O28" s="37">
        <v>1</v>
      </c>
      <c r="P28" s="37">
        <v>2</v>
      </c>
      <c r="Q28" s="37">
        <v>2</v>
      </c>
      <c r="R28" s="37">
        <v>0</v>
      </c>
      <c r="S28" s="37">
        <v>0</v>
      </c>
      <c r="T28" s="37">
        <v>100</v>
      </c>
      <c r="U28" s="37">
        <v>0</v>
      </c>
      <c r="V28" s="37">
        <v>60</v>
      </c>
      <c r="W28" s="37">
        <v>40</v>
      </c>
      <c r="X28" s="37">
        <v>20</v>
      </c>
      <c r="Y28" s="37">
        <v>40</v>
      </c>
      <c r="Z28" s="37">
        <v>40</v>
      </c>
      <c r="AA28" s="37">
        <v>0</v>
      </c>
      <c r="AB28" s="37">
        <v>0</v>
      </c>
      <c r="AC28" s="24">
        <f t="shared" si="1"/>
        <v>-32</v>
      </c>
      <c r="AD28" s="25">
        <f t="shared" si="2"/>
        <v>32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14.5</v>
      </c>
    </row>
    <row r="29" spans="1:36" x14ac:dyDescent="0.2">
      <c r="A29" s="36">
        <v>43606</v>
      </c>
      <c r="B29" s="37" t="s">
        <v>168</v>
      </c>
      <c r="C29" s="37" t="s">
        <v>169</v>
      </c>
      <c r="D29" s="37" t="s">
        <v>179</v>
      </c>
      <c r="E29" s="37" t="s">
        <v>180</v>
      </c>
      <c r="F29" s="37" t="s">
        <v>181</v>
      </c>
      <c r="G29" s="37">
        <v>5</v>
      </c>
      <c r="H29" s="37">
        <v>0</v>
      </c>
      <c r="I29" s="37">
        <v>1.46</v>
      </c>
      <c r="J29" s="37">
        <v>4.3099999999999996</v>
      </c>
      <c r="K29" s="37">
        <v>6.53</v>
      </c>
      <c r="L29" s="37">
        <v>-5.07</v>
      </c>
      <c r="M29" s="37">
        <v>5</v>
      </c>
      <c r="N29" s="37">
        <v>6</v>
      </c>
      <c r="O29" s="37">
        <v>1</v>
      </c>
      <c r="P29" s="37">
        <v>2</v>
      </c>
      <c r="Q29" s="37">
        <v>2</v>
      </c>
      <c r="R29" s="37">
        <v>0</v>
      </c>
      <c r="S29" s="37">
        <v>0</v>
      </c>
      <c r="T29" s="37">
        <v>100</v>
      </c>
      <c r="U29" s="37">
        <v>20</v>
      </c>
      <c r="V29" s="37">
        <v>60</v>
      </c>
      <c r="W29" s="37">
        <v>20</v>
      </c>
      <c r="X29" s="37">
        <v>66.67</v>
      </c>
      <c r="Y29" s="37">
        <v>33.33</v>
      </c>
      <c r="Z29" s="37">
        <v>0</v>
      </c>
      <c r="AA29" s="37">
        <v>50</v>
      </c>
      <c r="AB29" s="37">
        <v>0</v>
      </c>
      <c r="AC29" s="24">
        <f t="shared" si="1"/>
        <v>-40.667000000000002</v>
      </c>
      <c r="AD29" s="25">
        <f t="shared" si="2"/>
        <v>40.667000000000002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23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43606</v>
      </c>
      <c r="B30" s="37" t="s">
        <v>182</v>
      </c>
      <c r="C30" s="37" t="s">
        <v>183</v>
      </c>
      <c r="D30" s="37" t="s">
        <v>184</v>
      </c>
      <c r="E30" s="37" t="s">
        <v>185</v>
      </c>
      <c r="F30" s="37" t="s">
        <v>186</v>
      </c>
      <c r="G30" s="37">
        <v>1</v>
      </c>
      <c r="H30" s="37">
        <v>1</v>
      </c>
      <c r="I30" s="37">
        <v>6.3</v>
      </c>
      <c r="J30" s="37">
        <v>3.45</v>
      </c>
      <c r="K30" s="37">
        <v>1.54</v>
      </c>
      <c r="L30" s="37">
        <v>4.76</v>
      </c>
      <c r="M30" s="37">
        <v>12</v>
      </c>
      <c r="N30" s="37">
        <v>12</v>
      </c>
      <c r="O30" s="37">
        <v>1</v>
      </c>
      <c r="P30" s="37">
        <v>6</v>
      </c>
      <c r="Q30" s="37">
        <v>6</v>
      </c>
      <c r="R30" s="37">
        <v>0</v>
      </c>
      <c r="S30" s="37">
        <v>100</v>
      </c>
      <c r="T30" s="37">
        <v>0</v>
      </c>
      <c r="U30" s="37">
        <v>0</v>
      </c>
      <c r="V30" s="37">
        <v>33.33</v>
      </c>
      <c r="W30" s="37">
        <v>66.67</v>
      </c>
      <c r="X30" s="37">
        <v>25</v>
      </c>
      <c r="Y30" s="37">
        <v>41.67</v>
      </c>
      <c r="Z30" s="37">
        <v>33.33</v>
      </c>
      <c r="AA30" s="37">
        <v>0</v>
      </c>
      <c r="AB30" s="37">
        <v>16.670000000000002</v>
      </c>
      <c r="AC30" s="24">
        <f t="shared" si="1"/>
        <v>-2.5020000000000024</v>
      </c>
      <c r="AD30" s="25">
        <f t="shared" si="2"/>
        <v>22.502000000000002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23">
        <f t="shared" si="6"/>
        <v>-50</v>
      </c>
      <c r="AI30" s="23">
        <f t="shared" si="7"/>
        <v>122.5</v>
      </c>
      <c r="AJ30" s="23">
        <f t="shared" si="8"/>
        <v>-50</v>
      </c>
    </row>
    <row r="31" spans="1:36" x14ac:dyDescent="0.2">
      <c r="A31" s="36">
        <v>43606</v>
      </c>
      <c r="B31" s="37" t="s">
        <v>163</v>
      </c>
      <c r="C31" s="37" t="s">
        <v>164</v>
      </c>
      <c r="D31" s="37" t="s">
        <v>187</v>
      </c>
      <c r="E31" s="37" t="s">
        <v>188</v>
      </c>
      <c r="F31" s="37" t="s">
        <v>189</v>
      </c>
      <c r="G31" s="37">
        <v>1</v>
      </c>
      <c r="H31" s="37">
        <v>1</v>
      </c>
      <c r="I31" s="37">
        <v>2.64</v>
      </c>
      <c r="J31" s="37">
        <v>3.43</v>
      </c>
      <c r="K31" s="37">
        <v>2.41</v>
      </c>
      <c r="L31" s="37">
        <v>0.23</v>
      </c>
      <c r="M31" s="37">
        <v>19</v>
      </c>
      <c r="N31" s="37">
        <v>15</v>
      </c>
      <c r="O31" s="37">
        <v>3</v>
      </c>
      <c r="P31" s="37">
        <v>9</v>
      </c>
      <c r="Q31" s="37">
        <v>5</v>
      </c>
      <c r="R31" s="37">
        <v>0</v>
      </c>
      <c r="S31" s="37">
        <v>0</v>
      </c>
      <c r="T31" s="37">
        <v>100</v>
      </c>
      <c r="U31" s="37">
        <v>42.11</v>
      </c>
      <c r="V31" s="37">
        <v>21.05</v>
      </c>
      <c r="W31" s="37">
        <v>36.840000000000003</v>
      </c>
      <c r="X31" s="37">
        <v>73.33</v>
      </c>
      <c r="Y31" s="37">
        <v>13.33</v>
      </c>
      <c r="Z31" s="37">
        <v>13.33</v>
      </c>
      <c r="AA31" s="37">
        <v>55.56</v>
      </c>
      <c r="AB31" s="37">
        <v>80</v>
      </c>
      <c r="AC31" s="24">
        <f t="shared" si="1"/>
        <v>-40.174000000000007</v>
      </c>
      <c r="AD31" s="25">
        <f t="shared" si="2"/>
        <v>40.174000000000007</v>
      </c>
      <c r="AE31" s="23" t="str">
        <f t="shared" si="3"/>
        <v>Loss</v>
      </c>
      <c r="AF31" s="23" t="str">
        <f t="shared" si="4"/>
        <v>Win</v>
      </c>
      <c r="AG31" s="23" t="str">
        <f t="shared" si="5"/>
        <v>Loss</v>
      </c>
      <c r="AH31" s="23">
        <f t="shared" si="6"/>
        <v>-50</v>
      </c>
      <c r="AI31" s="23">
        <f t="shared" si="7"/>
        <v>121.5</v>
      </c>
      <c r="AJ31" s="23">
        <f t="shared" si="8"/>
        <v>-50</v>
      </c>
    </row>
    <row r="32" spans="1:36" x14ac:dyDescent="0.2">
      <c r="A32" s="36">
        <v>43606</v>
      </c>
      <c r="B32" s="37" t="s">
        <v>163</v>
      </c>
      <c r="C32" s="37" t="s">
        <v>164</v>
      </c>
      <c r="D32" s="37" t="s">
        <v>190</v>
      </c>
      <c r="E32" s="37" t="s">
        <v>191</v>
      </c>
      <c r="F32" s="37" t="s">
        <v>192</v>
      </c>
      <c r="G32" s="37">
        <v>2</v>
      </c>
      <c r="H32" s="37">
        <v>0</v>
      </c>
      <c r="I32" s="37">
        <v>3.09</v>
      </c>
      <c r="J32" s="37">
        <v>3.71</v>
      </c>
      <c r="K32" s="37">
        <v>2.02</v>
      </c>
      <c r="L32" s="37">
        <v>1.07</v>
      </c>
      <c r="M32" s="37">
        <v>18</v>
      </c>
      <c r="N32" s="37">
        <v>17</v>
      </c>
      <c r="O32" s="37">
        <v>2</v>
      </c>
      <c r="P32" s="37">
        <v>8</v>
      </c>
      <c r="Q32" s="37">
        <v>9</v>
      </c>
      <c r="R32" s="37">
        <v>0</v>
      </c>
      <c r="S32" s="37">
        <v>0</v>
      </c>
      <c r="T32" s="37">
        <v>100</v>
      </c>
      <c r="U32" s="37">
        <v>38.89</v>
      </c>
      <c r="V32" s="37">
        <v>16.670000000000002</v>
      </c>
      <c r="W32" s="37">
        <v>44.44</v>
      </c>
      <c r="X32" s="37">
        <v>76.47</v>
      </c>
      <c r="Y32" s="37">
        <v>17.649999999999999</v>
      </c>
      <c r="Z32" s="37">
        <v>5.88</v>
      </c>
      <c r="AA32" s="37">
        <v>50</v>
      </c>
      <c r="AB32" s="37">
        <v>66.67</v>
      </c>
      <c r="AC32" s="24">
        <f t="shared" si="1"/>
        <v>-45.325999999999993</v>
      </c>
      <c r="AD32" s="25">
        <f t="shared" si="2"/>
        <v>45.325999999999993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104.5</v>
      </c>
      <c r="AI32" s="23">
        <f t="shared" si="7"/>
        <v>-50</v>
      </c>
      <c r="AJ32" s="59">
        <f t="shared" si="8"/>
        <v>-50</v>
      </c>
    </row>
    <row r="33" spans="1:36" x14ac:dyDescent="0.2">
      <c r="A33" s="36">
        <v>43606</v>
      </c>
      <c r="B33" s="37" t="s">
        <v>193</v>
      </c>
      <c r="C33" s="37" t="s">
        <v>194</v>
      </c>
      <c r="D33" s="37" t="s">
        <v>195</v>
      </c>
      <c r="E33" s="37" t="s">
        <v>196</v>
      </c>
      <c r="F33" s="37" t="s">
        <v>197</v>
      </c>
      <c r="G33" s="37">
        <v>1</v>
      </c>
      <c r="H33" s="37">
        <v>1</v>
      </c>
      <c r="I33" s="37">
        <v>4.74</v>
      </c>
      <c r="J33" s="37">
        <v>3.19</v>
      </c>
      <c r="K33" s="37">
        <v>1.75</v>
      </c>
      <c r="L33" s="37">
        <v>2.99</v>
      </c>
      <c r="M33" s="37">
        <v>1</v>
      </c>
      <c r="N33" s="37">
        <v>4</v>
      </c>
      <c r="O33" s="37">
        <v>0</v>
      </c>
      <c r="P33" s="37">
        <v>1</v>
      </c>
      <c r="Q33" s="37">
        <v>2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100</v>
      </c>
      <c r="X33" s="37">
        <v>50</v>
      </c>
      <c r="Y33" s="37">
        <v>0</v>
      </c>
      <c r="Z33" s="37">
        <v>50</v>
      </c>
      <c r="AA33" s="37">
        <v>0</v>
      </c>
      <c r="AB33" s="37">
        <v>50</v>
      </c>
      <c r="AC33" s="24">
        <f t="shared" si="1"/>
        <v>-20</v>
      </c>
      <c r="AD33" s="25">
        <f t="shared" si="2"/>
        <v>20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109.5</v>
      </c>
      <c r="AJ33" s="23">
        <f t="shared" si="8"/>
        <v>-50</v>
      </c>
    </row>
    <row r="34" spans="1:36" x14ac:dyDescent="0.2">
      <c r="A34" s="36">
        <v>43606</v>
      </c>
      <c r="B34" s="37" t="s">
        <v>193</v>
      </c>
      <c r="C34" s="37" t="s">
        <v>194</v>
      </c>
      <c r="D34" s="37" t="s">
        <v>198</v>
      </c>
      <c r="E34" s="37" t="s">
        <v>199</v>
      </c>
      <c r="F34" s="37" t="s">
        <v>200</v>
      </c>
      <c r="G34" s="37">
        <v>1</v>
      </c>
      <c r="H34" s="37">
        <v>2</v>
      </c>
      <c r="I34" s="37">
        <v>9.67</v>
      </c>
      <c r="J34" s="37">
        <v>5.4</v>
      </c>
      <c r="K34" s="37">
        <v>1.24</v>
      </c>
      <c r="L34" s="37">
        <v>8.43</v>
      </c>
      <c r="M34" s="37">
        <v>5</v>
      </c>
      <c r="N34" s="37">
        <v>5</v>
      </c>
      <c r="O34" s="37">
        <v>0</v>
      </c>
      <c r="P34" s="37">
        <v>1</v>
      </c>
      <c r="Q34" s="37">
        <v>3</v>
      </c>
      <c r="R34" s="37">
        <v>0</v>
      </c>
      <c r="S34" s="37">
        <v>0</v>
      </c>
      <c r="T34" s="37">
        <v>0</v>
      </c>
      <c r="U34" s="37">
        <v>60</v>
      </c>
      <c r="V34" s="37">
        <v>0</v>
      </c>
      <c r="W34" s="37">
        <v>40</v>
      </c>
      <c r="X34" s="37">
        <v>100</v>
      </c>
      <c r="Y34" s="37">
        <v>0</v>
      </c>
      <c r="Z34" s="37">
        <v>0</v>
      </c>
      <c r="AA34" s="37">
        <v>0</v>
      </c>
      <c r="AB34" s="37">
        <v>100</v>
      </c>
      <c r="AC34" s="24">
        <f t="shared" si="1"/>
        <v>-16</v>
      </c>
      <c r="AD34" s="25">
        <f t="shared" si="2"/>
        <v>16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12</v>
      </c>
    </row>
    <row r="35" spans="1:36" x14ac:dyDescent="0.2">
      <c r="A35" s="36">
        <v>43606</v>
      </c>
      <c r="B35" s="37" t="s">
        <v>201</v>
      </c>
      <c r="C35" s="37" t="s">
        <v>202</v>
      </c>
      <c r="D35" s="37" t="s">
        <v>203</v>
      </c>
      <c r="E35" s="37" t="s">
        <v>204</v>
      </c>
      <c r="F35" s="37" t="s">
        <v>205</v>
      </c>
      <c r="G35" s="37">
        <v>4</v>
      </c>
      <c r="H35" s="37">
        <v>1</v>
      </c>
      <c r="I35" s="37">
        <v>1.21</v>
      </c>
      <c r="J35" s="37">
        <v>6.24</v>
      </c>
      <c r="K35" s="37">
        <v>8.67</v>
      </c>
      <c r="L35" s="37">
        <v>-7.46</v>
      </c>
      <c r="M35" s="37">
        <v>21</v>
      </c>
      <c r="N35" s="37">
        <v>21</v>
      </c>
      <c r="O35" s="37">
        <v>2</v>
      </c>
      <c r="P35" s="37">
        <v>11</v>
      </c>
      <c r="Q35" s="37">
        <v>10</v>
      </c>
      <c r="R35" s="37">
        <v>100</v>
      </c>
      <c r="S35" s="37">
        <v>0</v>
      </c>
      <c r="T35" s="37">
        <v>0</v>
      </c>
      <c r="U35" s="37">
        <v>47.62</v>
      </c>
      <c r="V35" s="37">
        <v>9.52</v>
      </c>
      <c r="W35" s="37">
        <v>42.86</v>
      </c>
      <c r="X35" s="37">
        <v>19.05</v>
      </c>
      <c r="Y35" s="37">
        <v>19.05</v>
      </c>
      <c r="Z35" s="37">
        <v>61.9</v>
      </c>
      <c r="AA35" s="37">
        <v>45.45</v>
      </c>
      <c r="AB35" s="37">
        <v>20</v>
      </c>
      <c r="AC35" s="24">
        <f t="shared" si="1"/>
        <v>38.568999999999996</v>
      </c>
      <c r="AD35" s="25">
        <f t="shared" si="2"/>
        <v>-38.568999999999996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10.5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43606</v>
      </c>
      <c r="B36" s="37" t="s">
        <v>163</v>
      </c>
      <c r="C36" s="37" t="s">
        <v>164</v>
      </c>
      <c r="D36" s="37" t="s">
        <v>206</v>
      </c>
      <c r="E36" s="37" t="s">
        <v>207</v>
      </c>
      <c r="F36" s="37" t="s">
        <v>208</v>
      </c>
      <c r="G36" s="37">
        <v>3</v>
      </c>
      <c r="H36" s="37">
        <v>4</v>
      </c>
      <c r="I36" s="37">
        <v>2.35</v>
      </c>
      <c r="J36" s="37">
        <v>3.74</v>
      </c>
      <c r="K36" s="37">
        <v>2.5099999999999998</v>
      </c>
      <c r="L36" s="37">
        <v>-0.16</v>
      </c>
      <c r="M36" s="37">
        <v>15</v>
      </c>
      <c r="N36" s="37">
        <v>13</v>
      </c>
      <c r="O36" s="37">
        <v>0</v>
      </c>
      <c r="P36" s="37">
        <v>8</v>
      </c>
      <c r="Q36" s="37">
        <v>7</v>
      </c>
      <c r="R36" s="37">
        <v>0</v>
      </c>
      <c r="S36" s="37">
        <v>0</v>
      </c>
      <c r="T36" s="37">
        <v>0</v>
      </c>
      <c r="U36" s="37">
        <v>20</v>
      </c>
      <c r="V36" s="37">
        <v>13.33</v>
      </c>
      <c r="W36" s="37">
        <v>66.67</v>
      </c>
      <c r="X36" s="37">
        <v>46.15</v>
      </c>
      <c r="Y36" s="37">
        <v>0</v>
      </c>
      <c r="Z36" s="37">
        <v>53.85</v>
      </c>
      <c r="AA36" s="37">
        <v>25</v>
      </c>
      <c r="AB36" s="37">
        <v>14.29</v>
      </c>
      <c r="AC36" s="24">
        <f t="shared" si="1"/>
        <v>-6.4610000000000003</v>
      </c>
      <c r="AD36" s="25">
        <f t="shared" si="2"/>
        <v>6.4610000000000003</v>
      </c>
      <c r="AE36" s="23" t="str">
        <f t="shared" si="3"/>
        <v>Loss</v>
      </c>
      <c r="AF36" s="23" t="str">
        <f t="shared" si="4"/>
        <v>Loss</v>
      </c>
      <c r="AG36" s="23" t="str">
        <f t="shared" si="5"/>
        <v>Win</v>
      </c>
      <c r="AH36" s="23">
        <f t="shared" si="6"/>
        <v>-50</v>
      </c>
      <c r="AI36" s="23">
        <f t="shared" si="7"/>
        <v>-50</v>
      </c>
      <c r="AJ36" s="23">
        <f t="shared" si="8"/>
        <v>75.499999999999986</v>
      </c>
    </row>
    <row r="37" spans="1:36" x14ac:dyDescent="0.2">
      <c r="A37" s="36">
        <v>43606</v>
      </c>
      <c r="B37" s="37" t="s">
        <v>209</v>
      </c>
      <c r="C37" s="37" t="s">
        <v>210</v>
      </c>
      <c r="D37" s="37" t="s">
        <v>211</v>
      </c>
      <c r="E37" s="37" t="s">
        <v>212</v>
      </c>
      <c r="F37" s="37" t="s">
        <v>213</v>
      </c>
      <c r="G37" s="37">
        <v>2</v>
      </c>
      <c r="H37" s="37">
        <v>0</v>
      </c>
      <c r="I37" s="37">
        <v>1.74</v>
      </c>
      <c r="J37" s="37">
        <v>3.36</v>
      </c>
      <c r="K37" s="37">
        <v>4.1900000000000004</v>
      </c>
      <c r="L37" s="37">
        <v>-2.4500000000000002</v>
      </c>
      <c r="M37" s="37">
        <v>32</v>
      </c>
      <c r="N37" s="37">
        <v>31</v>
      </c>
      <c r="O37" s="37">
        <v>3</v>
      </c>
      <c r="P37" s="37">
        <v>16</v>
      </c>
      <c r="Q37" s="37">
        <v>14</v>
      </c>
      <c r="R37" s="37">
        <v>0</v>
      </c>
      <c r="S37" s="37">
        <v>0</v>
      </c>
      <c r="T37" s="37">
        <v>100</v>
      </c>
      <c r="U37" s="37">
        <v>59.38</v>
      </c>
      <c r="V37" s="37">
        <v>9.3800000000000008</v>
      </c>
      <c r="W37" s="37">
        <v>31.25</v>
      </c>
      <c r="X37" s="37">
        <v>48.39</v>
      </c>
      <c r="Y37" s="37">
        <v>29.03</v>
      </c>
      <c r="Z37" s="37">
        <v>22.58</v>
      </c>
      <c r="AA37" s="37">
        <v>75</v>
      </c>
      <c r="AB37" s="37">
        <v>28.57</v>
      </c>
      <c r="AC37" s="24">
        <f t="shared" si="1"/>
        <v>-31.501000000000005</v>
      </c>
      <c r="AD37" s="25">
        <f t="shared" si="2"/>
        <v>31.501000000000005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37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43606</v>
      </c>
      <c r="B38" s="37" t="s">
        <v>209</v>
      </c>
      <c r="C38" s="37" t="s">
        <v>210</v>
      </c>
      <c r="D38" s="37" t="s">
        <v>214</v>
      </c>
      <c r="E38" s="37" t="s">
        <v>215</v>
      </c>
      <c r="F38" s="37" t="s">
        <v>216</v>
      </c>
      <c r="G38" s="37">
        <v>0</v>
      </c>
      <c r="H38" s="37">
        <v>0</v>
      </c>
      <c r="I38" s="37">
        <v>2.19</v>
      </c>
      <c r="J38" s="37">
        <v>3.18</v>
      </c>
      <c r="K38" s="37">
        <v>2.98</v>
      </c>
      <c r="L38" s="37">
        <v>-0.79</v>
      </c>
      <c r="M38" s="37">
        <v>43</v>
      </c>
      <c r="N38" s="37">
        <v>50</v>
      </c>
      <c r="O38" s="37">
        <v>3</v>
      </c>
      <c r="P38" s="37">
        <v>23</v>
      </c>
      <c r="Q38" s="37">
        <v>22</v>
      </c>
      <c r="R38" s="37">
        <v>33.33</v>
      </c>
      <c r="S38" s="37">
        <v>33.33</v>
      </c>
      <c r="T38" s="37">
        <v>33.33</v>
      </c>
      <c r="U38" s="37">
        <v>44.19</v>
      </c>
      <c r="V38" s="37">
        <v>27.91</v>
      </c>
      <c r="W38" s="37">
        <v>27.91</v>
      </c>
      <c r="X38" s="37">
        <v>48</v>
      </c>
      <c r="Y38" s="37">
        <v>28</v>
      </c>
      <c r="Z38" s="37">
        <v>24</v>
      </c>
      <c r="AA38" s="37">
        <v>43.48</v>
      </c>
      <c r="AB38" s="37">
        <v>36.36</v>
      </c>
      <c r="AC38" s="24">
        <f t="shared" si="1"/>
        <v>1.779999999999998</v>
      </c>
      <c r="AD38" s="25">
        <f t="shared" si="2"/>
        <v>4.8860000000000028</v>
      </c>
      <c r="AE38" s="23" t="str">
        <f t="shared" si="3"/>
        <v>Loss</v>
      </c>
      <c r="AF38" s="23" t="str">
        <f t="shared" si="4"/>
        <v>Win</v>
      </c>
      <c r="AG38" s="23" t="str">
        <f t="shared" si="5"/>
        <v>Loss</v>
      </c>
      <c r="AH38" s="23">
        <f t="shared" si="6"/>
        <v>-50</v>
      </c>
      <c r="AI38" s="23">
        <f t="shared" si="7"/>
        <v>109</v>
      </c>
      <c r="AJ38" s="23">
        <f t="shared" si="8"/>
        <v>-50</v>
      </c>
    </row>
    <row r="39" spans="1:36" x14ac:dyDescent="0.2">
      <c r="A39" s="36">
        <v>43606</v>
      </c>
      <c r="B39" s="37" t="s">
        <v>217</v>
      </c>
      <c r="C39" s="37" t="s">
        <v>218</v>
      </c>
      <c r="D39" s="37" t="s">
        <v>219</v>
      </c>
      <c r="E39" s="37" t="s">
        <v>220</v>
      </c>
      <c r="F39" s="37" t="s">
        <v>221</v>
      </c>
      <c r="G39" s="37">
        <v>1</v>
      </c>
      <c r="H39" s="37">
        <v>1</v>
      </c>
      <c r="I39" s="37">
        <v>1.38</v>
      </c>
      <c r="J39" s="37">
        <v>4.5599999999999996</v>
      </c>
      <c r="K39" s="37">
        <v>6.6</v>
      </c>
      <c r="L39" s="37">
        <v>-5.22</v>
      </c>
      <c r="M39" s="37">
        <v>50</v>
      </c>
      <c r="N39" s="37">
        <v>32</v>
      </c>
      <c r="O39" s="37">
        <v>0</v>
      </c>
      <c r="P39" s="37">
        <v>25</v>
      </c>
      <c r="Q39" s="37">
        <v>20</v>
      </c>
      <c r="R39" s="37">
        <v>0</v>
      </c>
      <c r="S39" s="37">
        <v>0</v>
      </c>
      <c r="T39" s="37">
        <v>0</v>
      </c>
      <c r="U39" s="37">
        <v>42</v>
      </c>
      <c r="V39" s="37">
        <v>24</v>
      </c>
      <c r="W39" s="37">
        <v>34</v>
      </c>
      <c r="X39" s="37">
        <v>46.88</v>
      </c>
      <c r="Y39" s="37">
        <v>15.63</v>
      </c>
      <c r="Z39" s="37">
        <v>37.5</v>
      </c>
      <c r="AA39" s="37">
        <v>64</v>
      </c>
      <c r="AB39" s="37">
        <v>30</v>
      </c>
      <c r="AC39" s="24">
        <f t="shared" si="1"/>
        <v>0.56099999999999817</v>
      </c>
      <c r="AD39" s="25">
        <f t="shared" si="2"/>
        <v>-0.56099999999999817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177.99999999999997</v>
      </c>
      <c r="AJ39" s="23">
        <f t="shared" si="8"/>
        <v>-50</v>
      </c>
    </row>
    <row r="40" spans="1:36" x14ac:dyDescent="0.2">
      <c r="A40" s="36">
        <v>43606</v>
      </c>
      <c r="B40" s="37" t="s">
        <v>217</v>
      </c>
      <c r="C40" s="37" t="s">
        <v>218</v>
      </c>
      <c r="D40" s="37" t="s">
        <v>222</v>
      </c>
      <c r="E40" s="37" t="s">
        <v>223</v>
      </c>
      <c r="F40" s="37" t="s">
        <v>224</v>
      </c>
      <c r="G40" s="37">
        <v>1</v>
      </c>
      <c r="H40" s="37">
        <v>0</v>
      </c>
      <c r="I40" s="37">
        <v>1.57</v>
      </c>
      <c r="J40" s="37">
        <v>4</v>
      </c>
      <c r="K40" s="37">
        <v>4.83</v>
      </c>
      <c r="L40" s="37">
        <v>-3.26</v>
      </c>
      <c r="M40" s="37">
        <v>44</v>
      </c>
      <c r="N40" s="37">
        <v>45</v>
      </c>
      <c r="O40" s="37">
        <v>3</v>
      </c>
      <c r="P40" s="37">
        <v>22</v>
      </c>
      <c r="Q40" s="37">
        <v>22</v>
      </c>
      <c r="R40" s="37">
        <v>0</v>
      </c>
      <c r="S40" s="37">
        <v>0</v>
      </c>
      <c r="T40" s="37">
        <v>100</v>
      </c>
      <c r="U40" s="37">
        <v>45.45</v>
      </c>
      <c r="V40" s="37">
        <v>20.45</v>
      </c>
      <c r="W40" s="37">
        <v>34.090000000000003</v>
      </c>
      <c r="X40" s="37">
        <v>48.89</v>
      </c>
      <c r="Y40" s="37">
        <v>22.22</v>
      </c>
      <c r="Z40" s="37">
        <v>28.89</v>
      </c>
      <c r="AA40" s="37">
        <v>63.64</v>
      </c>
      <c r="AB40" s="37">
        <v>45.45</v>
      </c>
      <c r="AC40" s="24">
        <f t="shared" si="1"/>
        <v>-31.905000000000001</v>
      </c>
      <c r="AD40" s="25">
        <f t="shared" si="2"/>
        <v>31.905000000000001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28.5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43606</v>
      </c>
      <c r="B41" s="37" t="s">
        <v>168</v>
      </c>
      <c r="C41" s="37" t="s">
        <v>169</v>
      </c>
      <c r="D41" s="37" t="s">
        <v>225</v>
      </c>
      <c r="E41" s="37" t="s">
        <v>226</v>
      </c>
      <c r="F41" s="37" t="s">
        <v>227</v>
      </c>
      <c r="G41" s="37">
        <v>3</v>
      </c>
      <c r="H41" s="37">
        <v>2</v>
      </c>
      <c r="I41" s="37">
        <v>1.59</v>
      </c>
      <c r="J41" s="37">
        <v>4.25</v>
      </c>
      <c r="K41" s="37">
        <v>5.05</v>
      </c>
      <c r="L41" s="37">
        <v>-3.46</v>
      </c>
      <c r="M41" s="37">
        <v>5</v>
      </c>
      <c r="N41" s="37">
        <v>6</v>
      </c>
      <c r="O41" s="37">
        <v>1</v>
      </c>
      <c r="P41" s="37">
        <v>2</v>
      </c>
      <c r="Q41" s="37">
        <v>2</v>
      </c>
      <c r="R41" s="37">
        <v>0</v>
      </c>
      <c r="S41" s="37">
        <v>0</v>
      </c>
      <c r="T41" s="37">
        <v>100</v>
      </c>
      <c r="U41" s="37">
        <v>20</v>
      </c>
      <c r="V41" s="37">
        <v>20</v>
      </c>
      <c r="W41" s="37">
        <v>60</v>
      </c>
      <c r="X41" s="37">
        <v>33.33</v>
      </c>
      <c r="Y41" s="37">
        <v>0</v>
      </c>
      <c r="Z41" s="37">
        <v>66.67</v>
      </c>
      <c r="AA41" s="37">
        <v>50</v>
      </c>
      <c r="AB41" s="37">
        <v>0</v>
      </c>
      <c r="AC41" s="24">
        <f t="shared" si="1"/>
        <v>-29.331999999999994</v>
      </c>
      <c r="AD41" s="25">
        <f t="shared" si="2"/>
        <v>29.331999999999994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29.5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43606</v>
      </c>
      <c r="B42" s="37" t="s">
        <v>163</v>
      </c>
      <c r="C42" s="37" t="s">
        <v>183</v>
      </c>
      <c r="D42" s="37" t="s">
        <v>228</v>
      </c>
      <c r="E42" s="37" t="s">
        <v>229</v>
      </c>
      <c r="F42" s="37" t="s">
        <v>230</v>
      </c>
      <c r="G42" s="37">
        <v>0</v>
      </c>
      <c r="H42" s="37">
        <v>1</v>
      </c>
      <c r="I42" s="37">
        <v>2.46</v>
      </c>
      <c r="J42" s="37">
        <v>2.94</v>
      </c>
      <c r="K42" s="37">
        <v>3.02</v>
      </c>
      <c r="L42" s="37">
        <v>-0.56000000000000005</v>
      </c>
      <c r="M42" s="37">
        <v>31</v>
      </c>
      <c r="N42" s="37">
        <v>31</v>
      </c>
      <c r="O42" s="37">
        <v>3</v>
      </c>
      <c r="P42" s="37">
        <v>15</v>
      </c>
      <c r="Q42" s="37">
        <v>17</v>
      </c>
      <c r="R42" s="37">
        <v>0</v>
      </c>
      <c r="S42" s="37">
        <v>66.67</v>
      </c>
      <c r="T42" s="37">
        <v>33.33</v>
      </c>
      <c r="U42" s="37">
        <v>38.71</v>
      </c>
      <c r="V42" s="37">
        <v>16.13</v>
      </c>
      <c r="W42" s="37">
        <v>45.16</v>
      </c>
      <c r="X42" s="37">
        <v>38.71</v>
      </c>
      <c r="Y42" s="37">
        <v>16.13</v>
      </c>
      <c r="Z42" s="37">
        <v>45.16</v>
      </c>
      <c r="AA42" s="37">
        <v>33.33</v>
      </c>
      <c r="AB42" s="37">
        <v>35.29</v>
      </c>
      <c r="AC42" s="24">
        <f t="shared" si="1"/>
        <v>-3.3319999999999972</v>
      </c>
      <c r="AD42" s="25">
        <f t="shared" si="2"/>
        <v>16.666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101</v>
      </c>
    </row>
    <row r="43" spans="1:36" x14ac:dyDescent="0.2">
      <c r="A43" s="36">
        <v>43606</v>
      </c>
      <c r="B43" s="37" t="s">
        <v>163</v>
      </c>
      <c r="C43" s="37" t="s">
        <v>183</v>
      </c>
      <c r="D43" s="37" t="s">
        <v>231</v>
      </c>
      <c r="E43" s="37" t="s">
        <v>232</v>
      </c>
      <c r="F43" s="37" t="s">
        <v>233</v>
      </c>
      <c r="G43" s="37">
        <v>3</v>
      </c>
      <c r="H43" s="37">
        <v>1</v>
      </c>
      <c r="I43" s="37">
        <v>2.97</v>
      </c>
      <c r="J43" s="37">
        <v>3.18</v>
      </c>
      <c r="K43" s="37">
        <v>2.36</v>
      </c>
      <c r="L43" s="37">
        <v>0.61</v>
      </c>
      <c r="M43" s="37">
        <v>31</v>
      </c>
      <c r="N43" s="37">
        <v>32</v>
      </c>
      <c r="O43" s="37">
        <v>3</v>
      </c>
      <c r="P43" s="37">
        <v>16</v>
      </c>
      <c r="Q43" s="37">
        <v>17</v>
      </c>
      <c r="R43" s="37">
        <v>0</v>
      </c>
      <c r="S43" s="37">
        <v>33.33</v>
      </c>
      <c r="T43" s="37">
        <v>66.67</v>
      </c>
      <c r="U43" s="37">
        <v>19.350000000000001</v>
      </c>
      <c r="V43" s="37">
        <v>22.58</v>
      </c>
      <c r="W43" s="37">
        <v>58.06</v>
      </c>
      <c r="X43" s="37">
        <v>28.13</v>
      </c>
      <c r="Y43" s="37">
        <v>28.13</v>
      </c>
      <c r="Z43" s="37">
        <v>43.75</v>
      </c>
      <c r="AA43" s="37">
        <v>25</v>
      </c>
      <c r="AB43" s="37">
        <v>35.29</v>
      </c>
      <c r="AC43" s="24">
        <f t="shared" si="1"/>
        <v>-21.841000000000001</v>
      </c>
      <c r="AD43" s="25">
        <f t="shared" si="2"/>
        <v>28.507000000000005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98.5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43606</v>
      </c>
      <c r="B44" s="37" t="s">
        <v>234</v>
      </c>
      <c r="C44" s="37" t="s">
        <v>235</v>
      </c>
      <c r="D44" s="37" t="s">
        <v>236</v>
      </c>
      <c r="E44" s="37" t="s">
        <v>237</v>
      </c>
      <c r="F44" s="37" t="s">
        <v>238</v>
      </c>
      <c r="G44" s="37">
        <v>1</v>
      </c>
      <c r="H44" s="37">
        <v>0</v>
      </c>
      <c r="I44" s="37">
        <v>2.31</v>
      </c>
      <c r="J44" s="37">
        <v>2.86</v>
      </c>
      <c r="K44" s="37">
        <v>3.09</v>
      </c>
      <c r="L44" s="37">
        <v>-0.78</v>
      </c>
      <c r="M44" s="37">
        <v>28</v>
      </c>
      <c r="N44" s="37">
        <v>33</v>
      </c>
      <c r="O44" s="37">
        <v>1</v>
      </c>
      <c r="P44" s="37">
        <v>15</v>
      </c>
      <c r="Q44" s="37">
        <v>17</v>
      </c>
      <c r="R44" s="37">
        <v>0</v>
      </c>
      <c r="S44" s="37">
        <v>0</v>
      </c>
      <c r="T44" s="37">
        <v>100</v>
      </c>
      <c r="U44" s="37">
        <v>17.86</v>
      </c>
      <c r="V44" s="37">
        <v>53.57</v>
      </c>
      <c r="W44" s="37">
        <v>28.57</v>
      </c>
      <c r="X44" s="37">
        <v>48.48</v>
      </c>
      <c r="Y44" s="37">
        <v>24.24</v>
      </c>
      <c r="Z44" s="37">
        <v>27.27</v>
      </c>
      <c r="AA44" s="37">
        <v>33.33</v>
      </c>
      <c r="AB44" s="37">
        <v>29.41</v>
      </c>
      <c r="AC44" s="24">
        <f t="shared" si="1"/>
        <v>-33.451000000000001</v>
      </c>
      <c r="AD44" s="25">
        <f t="shared" si="2"/>
        <v>33.451000000000001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65.5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43606</v>
      </c>
      <c r="B45" s="37" t="s">
        <v>239</v>
      </c>
      <c r="C45" s="37" t="s">
        <v>240</v>
      </c>
      <c r="D45" s="37" t="s">
        <v>241</v>
      </c>
      <c r="E45" s="37" t="s">
        <v>242</v>
      </c>
      <c r="F45" s="37" t="s">
        <v>243</v>
      </c>
      <c r="G45" s="37">
        <v>0</v>
      </c>
      <c r="H45" s="37">
        <v>2</v>
      </c>
      <c r="I45" s="37">
        <v>6.29</v>
      </c>
      <c r="J45" s="37">
        <v>4.17</v>
      </c>
      <c r="K45" s="37">
        <v>1.46</v>
      </c>
      <c r="L45" s="37">
        <v>4.83</v>
      </c>
      <c r="M45" s="37">
        <v>41</v>
      </c>
      <c r="N45" s="37">
        <v>38</v>
      </c>
      <c r="O45" s="37">
        <v>3</v>
      </c>
      <c r="P45" s="37">
        <v>21</v>
      </c>
      <c r="Q45" s="37">
        <v>18</v>
      </c>
      <c r="R45" s="37">
        <v>0</v>
      </c>
      <c r="S45" s="37">
        <v>33.33</v>
      </c>
      <c r="T45" s="37">
        <v>66.67</v>
      </c>
      <c r="U45" s="37">
        <v>46.34</v>
      </c>
      <c r="V45" s="37">
        <v>21.95</v>
      </c>
      <c r="W45" s="37">
        <v>31.71</v>
      </c>
      <c r="X45" s="37">
        <v>63.16</v>
      </c>
      <c r="Y45" s="37">
        <v>26.32</v>
      </c>
      <c r="Z45" s="37">
        <v>10.53</v>
      </c>
      <c r="AA45" s="37">
        <v>57.14</v>
      </c>
      <c r="AB45" s="37">
        <v>55.56</v>
      </c>
      <c r="AC45" s="24">
        <f t="shared" si="1"/>
        <v>-24.704999999999998</v>
      </c>
      <c r="AD45" s="25">
        <f t="shared" si="2"/>
        <v>31.370999999999995</v>
      </c>
      <c r="AE45" s="23" t="str">
        <f t="shared" si="3"/>
        <v>Loss</v>
      </c>
      <c r="AF45" s="23" t="str">
        <f t="shared" si="4"/>
        <v>Loss</v>
      </c>
      <c r="AG45" s="23" t="str">
        <f t="shared" si="5"/>
        <v>Win</v>
      </c>
      <c r="AH45" s="23">
        <f t="shared" si="6"/>
        <v>-50</v>
      </c>
      <c r="AI45" s="23">
        <f t="shared" si="7"/>
        <v>-50</v>
      </c>
      <c r="AJ45" s="23">
        <f t="shared" si="8"/>
        <v>23</v>
      </c>
    </row>
    <row r="46" spans="1:36" x14ac:dyDescent="0.2">
      <c r="A46" s="36">
        <v>43606</v>
      </c>
      <c r="B46" s="37" t="s">
        <v>239</v>
      </c>
      <c r="C46" s="37" t="s">
        <v>240</v>
      </c>
      <c r="D46" s="37" t="s">
        <v>244</v>
      </c>
      <c r="E46" s="37" t="s">
        <v>245</v>
      </c>
      <c r="F46" s="37" t="s">
        <v>246</v>
      </c>
      <c r="G46" s="37">
        <v>0</v>
      </c>
      <c r="H46" s="37">
        <v>2</v>
      </c>
      <c r="I46" s="37">
        <v>3.27</v>
      </c>
      <c r="J46" s="37">
        <v>2.99</v>
      </c>
      <c r="K46" s="37">
        <v>2.2400000000000002</v>
      </c>
      <c r="L46" s="37">
        <v>1.03</v>
      </c>
      <c r="M46" s="37">
        <v>32</v>
      </c>
      <c r="N46" s="37">
        <v>39</v>
      </c>
      <c r="O46" s="37">
        <v>3</v>
      </c>
      <c r="P46" s="37">
        <v>15</v>
      </c>
      <c r="Q46" s="37">
        <v>20</v>
      </c>
      <c r="R46" s="37">
        <v>66.67</v>
      </c>
      <c r="S46" s="37">
        <v>33.33</v>
      </c>
      <c r="T46" s="37">
        <v>0</v>
      </c>
      <c r="U46" s="37">
        <v>59.38</v>
      </c>
      <c r="V46" s="37">
        <v>15.63</v>
      </c>
      <c r="W46" s="37">
        <v>25</v>
      </c>
      <c r="X46" s="37">
        <v>64.099999999999994</v>
      </c>
      <c r="Y46" s="37">
        <v>17.95</v>
      </c>
      <c r="Z46" s="37">
        <v>17.95</v>
      </c>
      <c r="AA46" s="37">
        <v>66.67</v>
      </c>
      <c r="AB46" s="37">
        <v>55</v>
      </c>
      <c r="AC46" s="24">
        <f t="shared" si="1"/>
        <v>20.748000000000008</v>
      </c>
      <c r="AD46" s="25">
        <f t="shared" si="2"/>
        <v>-14.081999999999999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62.000000000000014</v>
      </c>
    </row>
    <row r="47" spans="1:36" x14ac:dyDescent="0.2">
      <c r="A47" s="36">
        <v>43606</v>
      </c>
      <c r="B47" s="37" t="s">
        <v>247</v>
      </c>
      <c r="C47" s="37" t="s">
        <v>248</v>
      </c>
      <c r="D47" s="37" t="s">
        <v>249</v>
      </c>
      <c r="E47" s="37" t="s">
        <v>250</v>
      </c>
      <c r="F47" s="37" t="s">
        <v>251</v>
      </c>
      <c r="G47" s="37">
        <v>2</v>
      </c>
      <c r="H47" s="37">
        <v>1</v>
      </c>
      <c r="I47" s="37">
        <v>1.65</v>
      </c>
      <c r="J47" s="37">
        <v>4.18</v>
      </c>
      <c r="K47" s="37">
        <v>4.08</v>
      </c>
      <c r="L47" s="37">
        <v>-2.4300000000000002</v>
      </c>
      <c r="M47" s="37">
        <v>13</v>
      </c>
      <c r="N47" s="37">
        <v>14</v>
      </c>
      <c r="O47" s="37">
        <v>1</v>
      </c>
      <c r="P47" s="37">
        <v>6</v>
      </c>
      <c r="Q47" s="37">
        <v>8</v>
      </c>
      <c r="R47" s="37">
        <v>0</v>
      </c>
      <c r="S47" s="37">
        <v>0</v>
      </c>
      <c r="T47" s="37">
        <v>100</v>
      </c>
      <c r="U47" s="37">
        <v>23.08</v>
      </c>
      <c r="V47" s="37">
        <v>15.38</v>
      </c>
      <c r="W47" s="37">
        <v>61.54</v>
      </c>
      <c r="X47" s="37">
        <v>28.57</v>
      </c>
      <c r="Y47" s="37">
        <v>7.14</v>
      </c>
      <c r="Z47" s="37">
        <v>64.290000000000006</v>
      </c>
      <c r="AA47" s="37">
        <v>33.33</v>
      </c>
      <c r="AB47" s="37">
        <v>25</v>
      </c>
      <c r="AC47" s="24">
        <f t="shared" si="1"/>
        <v>-29.72399999999999</v>
      </c>
      <c r="AD47" s="25">
        <f t="shared" si="2"/>
        <v>29.72399999999999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32.5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43606</v>
      </c>
      <c r="B48" s="37" t="s">
        <v>201</v>
      </c>
      <c r="C48" s="37" t="s">
        <v>252</v>
      </c>
      <c r="D48" s="37" t="s">
        <v>253</v>
      </c>
      <c r="E48" s="37" t="s">
        <v>254</v>
      </c>
      <c r="F48" s="37" t="s">
        <v>255</v>
      </c>
      <c r="G48" s="37">
        <v>2</v>
      </c>
      <c r="H48" s="37">
        <v>0</v>
      </c>
      <c r="I48" s="37">
        <v>1.4</v>
      </c>
      <c r="J48" s="37">
        <v>4.45</v>
      </c>
      <c r="K48" s="37">
        <v>5.79</v>
      </c>
      <c r="L48" s="37">
        <v>-4.3899999999999997</v>
      </c>
      <c r="M48" s="37">
        <v>27</v>
      </c>
      <c r="N48" s="37">
        <v>12</v>
      </c>
      <c r="O48" s="37">
        <v>0</v>
      </c>
      <c r="P48" s="37">
        <v>13</v>
      </c>
      <c r="Q48" s="37">
        <v>6</v>
      </c>
      <c r="R48" s="37">
        <v>0</v>
      </c>
      <c r="S48" s="37">
        <v>0</v>
      </c>
      <c r="T48" s="37">
        <v>0</v>
      </c>
      <c r="U48" s="37">
        <v>22.22</v>
      </c>
      <c r="V48" s="37">
        <v>25.93</v>
      </c>
      <c r="W48" s="37">
        <v>51.85</v>
      </c>
      <c r="X48" s="37">
        <v>33.33</v>
      </c>
      <c r="Y48" s="37">
        <v>16.670000000000002</v>
      </c>
      <c r="Z48" s="37">
        <v>50</v>
      </c>
      <c r="AA48" s="37">
        <v>38.46</v>
      </c>
      <c r="AB48" s="37">
        <v>33.33</v>
      </c>
      <c r="AC48" s="24">
        <f t="shared" si="1"/>
        <v>-1.6660000000000021</v>
      </c>
      <c r="AD48" s="25">
        <f t="shared" si="2"/>
        <v>1.6660000000000021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20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43606</v>
      </c>
      <c r="B49" s="37" t="s">
        <v>193</v>
      </c>
      <c r="C49" s="37" t="s">
        <v>194</v>
      </c>
      <c r="D49" s="37" t="s">
        <v>256</v>
      </c>
      <c r="E49" s="37" t="s">
        <v>257</v>
      </c>
      <c r="F49" s="37" t="s">
        <v>258</v>
      </c>
      <c r="G49" s="37">
        <v>2</v>
      </c>
      <c r="H49" s="37">
        <v>0</v>
      </c>
      <c r="I49" s="37">
        <v>3.1</v>
      </c>
      <c r="J49" s="37">
        <v>3.03</v>
      </c>
      <c r="K49" s="37">
        <v>2.29</v>
      </c>
      <c r="L49" s="37">
        <v>0.81</v>
      </c>
      <c r="M49" s="37">
        <v>4</v>
      </c>
      <c r="N49" s="37">
        <v>1</v>
      </c>
      <c r="O49" s="37">
        <v>0</v>
      </c>
      <c r="P49" s="37">
        <v>1</v>
      </c>
      <c r="Q49" s="37">
        <v>1</v>
      </c>
      <c r="R49" s="37">
        <v>0</v>
      </c>
      <c r="S49" s="37">
        <v>0</v>
      </c>
      <c r="T49" s="37">
        <v>0</v>
      </c>
      <c r="U49" s="37">
        <v>50</v>
      </c>
      <c r="V49" s="37">
        <v>0</v>
      </c>
      <c r="W49" s="37">
        <v>50</v>
      </c>
      <c r="X49" s="37">
        <v>0</v>
      </c>
      <c r="Y49" s="37">
        <v>0</v>
      </c>
      <c r="Z49" s="37">
        <v>100</v>
      </c>
      <c r="AA49" s="37">
        <v>100</v>
      </c>
      <c r="AB49" s="37">
        <v>0</v>
      </c>
      <c r="AC49" s="24">
        <f t="shared" si="1"/>
        <v>20</v>
      </c>
      <c r="AD49" s="25">
        <f t="shared" si="2"/>
        <v>-20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105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43606</v>
      </c>
      <c r="B50" s="37" t="s">
        <v>259</v>
      </c>
      <c r="C50" s="37" t="s">
        <v>260</v>
      </c>
      <c r="D50" s="37" t="s">
        <v>261</v>
      </c>
      <c r="E50" s="37" t="s">
        <v>262</v>
      </c>
      <c r="F50" s="37" t="s">
        <v>263</v>
      </c>
      <c r="G50" s="37">
        <v>2</v>
      </c>
      <c r="H50" s="37">
        <v>1</v>
      </c>
      <c r="I50" s="37">
        <v>2.25</v>
      </c>
      <c r="J50" s="37">
        <v>3.54</v>
      </c>
      <c r="K50" s="37">
        <v>2.7</v>
      </c>
      <c r="L50" s="37">
        <v>-0.45</v>
      </c>
      <c r="M50" s="37">
        <v>2</v>
      </c>
      <c r="N50" s="37">
        <v>23</v>
      </c>
      <c r="O50" s="37">
        <v>0</v>
      </c>
      <c r="P50" s="37">
        <v>1</v>
      </c>
      <c r="Q50" s="37">
        <v>11</v>
      </c>
      <c r="R50" s="37">
        <v>0</v>
      </c>
      <c r="S50" s="37">
        <v>0</v>
      </c>
      <c r="T50" s="37">
        <v>0</v>
      </c>
      <c r="U50" s="37">
        <v>50</v>
      </c>
      <c r="V50" s="37">
        <v>50</v>
      </c>
      <c r="W50" s="37">
        <v>0</v>
      </c>
      <c r="X50" s="37">
        <v>47.83</v>
      </c>
      <c r="Y50" s="37">
        <v>21.74</v>
      </c>
      <c r="Z50" s="37">
        <v>30.43</v>
      </c>
      <c r="AA50" s="37">
        <v>100</v>
      </c>
      <c r="AB50" s="37">
        <v>45.45</v>
      </c>
      <c r="AC50" s="24">
        <f t="shared" si="1"/>
        <v>9.3460000000000001</v>
      </c>
      <c r="AD50" s="25">
        <f t="shared" si="2"/>
        <v>-9.3460000000000001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62.5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43606</v>
      </c>
      <c r="B51" s="37" t="s">
        <v>264</v>
      </c>
      <c r="C51" s="37" t="s">
        <v>265</v>
      </c>
      <c r="D51" s="37" t="s">
        <v>266</v>
      </c>
      <c r="E51" s="37" t="s">
        <v>267</v>
      </c>
      <c r="F51" s="37" t="s">
        <v>268</v>
      </c>
      <c r="G51" s="37">
        <v>1</v>
      </c>
      <c r="H51" s="37">
        <v>2</v>
      </c>
      <c r="I51" s="37">
        <v>4.78</v>
      </c>
      <c r="J51" s="37">
        <v>3.74</v>
      </c>
      <c r="K51" s="37">
        <v>1.63</v>
      </c>
      <c r="L51" s="37">
        <v>3.15</v>
      </c>
      <c r="M51" s="37">
        <v>19</v>
      </c>
      <c r="N51" s="37">
        <v>15</v>
      </c>
      <c r="O51" s="37">
        <v>1</v>
      </c>
      <c r="P51" s="37">
        <v>11</v>
      </c>
      <c r="Q51" s="37">
        <v>8</v>
      </c>
      <c r="R51" s="37">
        <v>0</v>
      </c>
      <c r="S51" s="37">
        <v>0</v>
      </c>
      <c r="T51" s="37">
        <v>100</v>
      </c>
      <c r="U51" s="37">
        <v>42.11</v>
      </c>
      <c r="V51" s="37">
        <v>5.26</v>
      </c>
      <c r="W51" s="37">
        <v>52.63</v>
      </c>
      <c r="X51" s="37">
        <v>33.33</v>
      </c>
      <c r="Y51" s="37">
        <v>13.33</v>
      </c>
      <c r="Z51" s="37">
        <v>53.33</v>
      </c>
      <c r="AA51" s="37">
        <v>45.45</v>
      </c>
      <c r="AB51" s="37">
        <v>37.5</v>
      </c>
      <c r="AC51" s="24">
        <f t="shared" si="1"/>
        <v>-28.910999999999998</v>
      </c>
      <c r="AD51" s="25">
        <f t="shared" si="2"/>
        <v>28.910999999999998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31.5</v>
      </c>
    </row>
    <row r="52" spans="1:36" x14ac:dyDescent="0.2">
      <c r="A52" s="36">
        <v>43606</v>
      </c>
      <c r="B52" s="37" t="s">
        <v>264</v>
      </c>
      <c r="C52" s="37" t="s">
        <v>265</v>
      </c>
      <c r="D52" s="37" t="s">
        <v>269</v>
      </c>
      <c r="E52" s="37" t="s">
        <v>270</v>
      </c>
      <c r="F52" s="37" t="s">
        <v>271</v>
      </c>
      <c r="G52" s="37">
        <v>0</v>
      </c>
      <c r="H52" s="37">
        <v>3</v>
      </c>
      <c r="I52" s="37">
        <v>2.74</v>
      </c>
      <c r="J52" s="37">
        <v>3.22</v>
      </c>
      <c r="K52" s="37">
        <v>2.4300000000000002</v>
      </c>
      <c r="L52" s="37">
        <v>0.31</v>
      </c>
      <c r="M52" s="37">
        <v>15</v>
      </c>
      <c r="N52" s="37">
        <v>15</v>
      </c>
      <c r="O52" s="37">
        <v>1</v>
      </c>
      <c r="P52" s="37">
        <v>6</v>
      </c>
      <c r="Q52" s="37">
        <v>8</v>
      </c>
      <c r="R52" s="37">
        <v>100</v>
      </c>
      <c r="S52" s="37">
        <v>0</v>
      </c>
      <c r="T52" s="37">
        <v>0</v>
      </c>
      <c r="U52" s="37">
        <v>20</v>
      </c>
      <c r="V52" s="37">
        <v>26.67</v>
      </c>
      <c r="W52" s="37">
        <v>53.33</v>
      </c>
      <c r="X52" s="37">
        <v>40</v>
      </c>
      <c r="Y52" s="37">
        <v>6.67</v>
      </c>
      <c r="Z52" s="37">
        <v>53.33</v>
      </c>
      <c r="AA52" s="37">
        <v>33.33</v>
      </c>
      <c r="AB52" s="37">
        <v>37.5</v>
      </c>
      <c r="AC52" s="24">
        <f t="shared" si="1"/>
        <v>28</v>
      </c>
      <c r="AD52" s="25">
        <f t="shared" si="2"/>
        <v>-28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71.500000000000014</v>
      </c>
    </row>
    <row r="53" spans="1:36" x14ac:dyDescent="0.2">
      <c r="A53" s="36">
        <v>43606</v>
      </c>
      <c r="B53" s="37" t="s">
        <v>272</v>
      </c>
      <c r="C53" s="37" t="s">
        <v>218</v>
      </c>
      <c r="D53" s="37" t="s">
        <v>273</v>
      </c>
      <c r="E53" s="37" t="s">
        <v>274</v>
      </c>
      <c r="F53" s="37" t="s">
        <v>275</v>
      </c>
      <c r="G53" s="37">
        <v>0</v>
      </c>
      <c r="H53" s="37">
        <v>2</v>
      </c>
      <c r="I53" s="37">
        <v>1.81</v>
      </c>
      <c r="J53" s="37">
        <v>3.3</v>
      </c>
      <c r="K53" s="37">
        <v>4.59</v>
      </c>
      <c r="L53" s="37">
        <v>-2.78</v>
      </c>
      <c r="M53" s="37">
        <v>40</v>
      </c>
      <c r="N53" s="37">
        <v>40</v>
      </c>
      <c r="O53" s="37">
        <v>3</v>
      </c>
      <c r="P53" s="37">
        <v>20</v>
      </c>
      <c r="Q53" s="37">
        <v>19</v>
      </c>
      <c r="R53" s="37">
        <v>0</v>
      </c>
      <c r="S53" s="37">
        <v>33.33</v>
      </c>
      <c r="T53" s="37">
        <v>66.67</v>
      </c>
      <c r="U53" s="37">
        <v>30</v>
      </c>
      <c r="V53" s="37">
        <v>25</v>
      </c>
      <c r="W53" s="37">
        <v>45</v>
      </c>
      <c r="X53" s="37">
        <v>37.5</v>
      </c>
      <c r="Y53" s="37">
        <v>27.5</v>
      </c>
      <c r="Z53" s="37">
        <v>35</v>
      </c>
      <c r="AA53" s="37">
        <v>35</v>
      </c>
      <c r="AB53" s="37">
        <v>26.32</v>
      </c>
      <c r="AC53" s="24">
        <f t="shared" si="1"/>
        <v>-20.417999999999999</v>
      </c>
      <c r="AD53" s="25">
        <f t="shared" si="2"/>
        <v>27.084000000000003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179.5</v>
      </c>
    </row>
    <row r="54" spans="1:36" x14ac:dyDescent="0.2">
      <c r="A54" s="36">
        <v>43606</v>
      </c>
      <c r="B54" s="37" t="s">
        <v>276</v>
      </c>
      <c r="C54" s="37" t="s">
        <v>277</v>
      </c>
      <c r="D54" s="37" t="s">
        <v>278</v>
      </c>
      <c r="E54" s="37" t="s">
        <v>279</v>
      </c>
      <c r="F54" s="37" t="s">
        <v>280</v>
      </c>
      <c r="G54" s="37">
        <v>1</v>
      </c>
      <c r="H54" s="37">
        <v>6</v>
      </c>
      <c r="I54" s="37">
        <v>4.82</v>
      </c>
      <c r="J54" s="37">
        <v>3.96</v>
      </c>
      <c r="K54" s="37">
        <v>1.62</v>
      </c>
      <c r="L54" s="37">
        <v>3.2</v>
      </c>
      <c r="M54" s="37">
        <v>30</v>
      </c>
      <c r="N54" s="37">
        <v>12</v>
      </c>
      <c r="O54" s="37">
        <v>0</v>
      </c>
      <c r="P54" s="37">
        <v>13</v>
      </c>
      <c r="Q54" s="37">
        <v>8</v>
      </c>
      <c r="R54" s="37">
        <v>0</v>
      </c>
      <c r="S54" s="37">
        <v>0</v>
      </c>
      <c r="T54" s="37">
        <v>0</v>
      </c>
      <c r="U54" s="37">
        <v>43.33</v>
      </c>
      <c r="V54" s="37">
        <v>20</v>
      </c>
      <c r="W54" s="37">
        <v>36.67</v>
      </c>
      <c r="X54" s="37">
        <v>41.67</v>
      </c>
      <c r="Y54" s="37">
        <v>8.33</v>
      </c>
      <c r="Z54" s="37">
        <v>50</v>
      </c>
      <c r="AA54" s="37">
        <v>38.46</v>
      </c>
      <c r="AB54" s="37">
        <v>37.5</v>
      </c>
      <c r="AC54" s="24">
        <f t="shared" si="1"/>
        <v>4.1649999999999983</v>
      </c>
      <c r="AD54" s="25">
        <f t="shared" si="2"/>
        <v>-4.1649999999999983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31</v>
      </c>
    </row>
    <row r="55" spans="1:36" x14ac:dyDescent="0.2">
      <c r="A55" s="36">
        <v>43606</v>
      </c>
      <c r="B55" s="37" t="s">
        <v>193</v>
      </c>
      <c r="C55" s="37" t="s">
        <v>194</v>
      </c>
      <c r="D55" s="37" t="s">
        <v>281</v>
      </c>
      <c r="E55" s="37" t="s">
        <v>282</v>
      </c>
      <c r="F55" s="37" t="s">
        <v>283</v>
      </c>
      <c r="G55" s="37">
        <v>2</v>
      </c>
      <c r="H55" s="37">
        <v>2</v>
      </c>
      <c r="I55" s="37">
        <v>6.35</v>
      </c>
      <c r="J55" s="37">
        <v>4.25</v>
      </c>
      <c r="K55" s="37">
        <v>1.43</v>
      </c>
      <c r="L55" s="37">
        <v>4.92</v>
      </c>
      <c r="M55" s="37">
        <v>5</v>
      </c>
      <c r="N55" s="37">
        <v>1</v>
      </c>
      <c r="O55" s="37">
        <v>0</v>
      </c>
      <c r="P55" s="37">
        <v>4</v>
      </c>
      <c r="Q55" s="37">
        <v>0</v>
      </c>
      <c r="R55" s="37">
        <v>0</v>
      </c>
      <c r="S55" s="37">
        <v>0</v>
      </c>
      <c r="T55" s="37">
        <v>0</v>
      </c>
      <c r="U55" s="37">
        <v>80</v>
      </c>
      <c r="V55" s="37">
        <v>20</v>
      </c>
      <c r="W55" s="37">
        <v>0</v>
      </c>
      <c r="X55" s="37">
        <v>100</v>
      </c>
      <c r="Y55" s="37">
        <v>0</v>
      </c>
      <c r="Z55" s="37">
        <v>0</v>
      </c>
      <c r="AA55" s="37">
        <v>75</v>
      </c>
      <c r="AB55" s="37">
        <v>0</v>
      </c>
      <c r="AC55" s="24">
        <f t="shared" si="1"/>
        <v>-2</v>
      </c>
      <c r="AD55" s="25">
        <f t="shared" si="2"/>
        <v>2</v>
      </c>
      <c r="AE55" s="23" t="str">
        <f t="shared" si="3"/>
        <v>Loss</v>
      </c>
      <c r="AF55" s="23" t="str">
        <f t="shared" si="4"/>
        <v>Win</v>
      </c>
      <c r="AG55" s="23" t="str">
        <f t="shared" si="5"/>
        <v>Loss</v>
      </c>
      <c r="AH55" s="23">
        <f t="shared" si="6"/>
        <v>-50</v>
      </c>
      <c r="AI55" s="23">
        <f t="shared" si="7"/>
        <v>162.5</v>
      </c>
      <c r="AJ55" s="23">
        <f t="shared" si="8"/>
        <v>-50</v>
      </c>
    </row>
    <row r="56" spans="1:36" x14ac:dyDescent="0.2">
      <c r="A56" s="36">
        <v>43606</v>
      </c>
      <c r="B56" s="37" t="s">
        <v>284</v>
      </c>
      <c r="C56" s="37" t="s">
        <v>285</v>
      </c>
      <c r="D56" s="37" t="s">
        <v>286</v>
      </c>
      <c r="E56" s="37" t="s">
        <v>287</v>
      </c>
      <c r="F56" s="37" t="s">
        <v>288</v>
      </c>
      <c r="G56" s="37">
        <v>0</v>
      </c>
      <c r="H56" s="37">
        <v>0</v>
      </c>
      <c r="I56" s="37">
        <v>2.04</v>
      </c>
      <c r="J56" s="37">
        <v>3.42</v>
      </c>
      <c r="K56" s="37">
        <v>3.34</v>
      </c>
      <c r="L56" s="37">
        <v>-1.3</v>
      </c>
      <c r="M56" s="37">
        <v>18</v>
      </c>
      <c r="N56" s="37">
        <v>16</v>
      </c>
      <c r="O56" s="37">
        <v>3</v>
      </c>
      <c r="P56" s="37">
        <v>7</v>
      </c>
      <c r="Q56" s="37">
        <v>6</v>
      </c>
      <c r="R56" s="37">
        <v>0</v>
      </c>
      <c r="S56" s="37">
        <v>0</v>
      </c>
      <c r="T56" s="37">
        <v>100</v>
      </c>
      <c r="U56" s="37">
        <v>77.78</v>
      </c>
      <c r="V56" s="37">
        <v>0</v>
      </c>
      <c r="W56" s="37">
        <v>22.22</v>
      </c>
      <c r="X56" s="37">
        <v>68.75</v>
      </c>
      <c r="Y56" s="37">
        <v>18.75</v>
      </c>
      <c r="Z56" s="37">
        <v>12.5</v>
      </c>
      <c r="AA56" s="37">
        <v>85.71</v>
      </c>
      <c r="AB56" s="37">
        <v>66.67</v>
      </c>
      <c r="AC56" s="24">
        <f t="shared" si="1"/>
        <v>-32.012999999999998</v>
      </c>
      <c r="AD56" s="25">
        <f t="shared" si="2"/>
        <v>32.012999999999998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121</v>
      </c>
      <c r="AJ56" s="23">
        <f t="shared" si="8"/>
        <v>-50</v>
      </c>
    </row>
    <row r="57" spans="1:36" x14ac:dyDescent="0.2">
      <c r="A57" s="36">
        <v>43606</v>
      </c>
      <c r="B57" s="37" t="s">
        <v>289</v>
      </c>
      <c r="C57" s="37" t="s">
        <v>290</v>
      </c>
      <c r="D57" s="37" t="s">
        <v>291</v>
      </c>
      <c r="E57" s="37" t="s">
        <v>292</v>
      </c>
      <c r="F57" s="37" t="s">
        <v>293</v>
      </c>
      <c r="G57" s="37">
        <v>3</v>
      </c>
      <c r="H57" s="37">
        <v>0</v>
      </c>
      <c r="I57" s="37">
        <v>1.69</v>
      </c>
      <c r="J57" s="37">
        <v>4.1500000000000004</v>
      </c>
      <c r="K57" s="37">
        <v>4.5199999999999996</v>
      </c>
      <c r="L57" s="37">
        <v>-2.83</v>
      </c>
      <c r="M57" s="37">
        <v>38</v>
      </c>
      <c r="N57" s="37">
        <v>37</v>
      </c>
      <c r="O57" s="37">
        <v>3</v>
      </c>
      <c r="P57" s="37">
        <v>19</v>
      </c>
      <c r="Q57" s="37">
        <v>18</v>
      </c>
      <c r="R57" s="37">
        <v>100</v>
      </c>
      <c r="S57" s="37">
        <v>0</v>
      </c>
      <c r="T57" s="37">
        <v>0</v>
      </c>
      <c r="U57" s="37">
        <v>47.37</v>
      </c>
      <c r="V57" s="37">
        <v>21.05</v>
      </c>
      <c r="W57" s="37">
        <v>31.58</v>
      </c>
      <c r="X57" s="37">
        <v>43.24</v>
      </c>
      <c r="Y57" s="37">
        <v>8.11</v>
      </c>
      <c r="Z57" s="37">
        <v>48.65</v>
      </c>
      <c r="AA57" s="37">
        <v>57.89</v>
      </c>
      <c r="AB57" s="37">
        <v>27.78</v>
      </c>
      <c r="AC57" s="24">
        <f t="shared" si="1"/>
        <v>35.533999999999992</v>
      </c>
      <c r="AD57" s="25">
        <f t="shared" si="2"/>
        <v>-35.533999999999992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34.5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43606</v>
      </c>
      <c r="B58" s="37" t="s">
        <v>163</v>
      </c>
      <c r="C58" s="37" t="s">
        <v>183</v>
      </c>
      <c r="D58" s="37" t="s">
        <v>294</v>
      </c>
      <c r="E58" s="37" t="s">
        <v>295</v>
      </c>
      <c r="F58" s="37" t="s">
        <v>296</v>
      </c>
      <c r="G58" s="37">
        <v>1</v>
      </c>
      <c r="H58" s="37">
        <v>1</v>
      </c>
      <c r="I58" s="37">
        <v>2.77</v>
      </c>
      <c r="J58" s="37">
        <v>3.1</v>
      </c>
      <c r="K58" s="37">
        <v>2.54</v>
      </c>
      <c r="L58" s="37">
        <v>0.23</v>
      </c>
      <c r="M58" s="37">
        <v>30</v>
      </c>
      <c r="N58" s="37">
        <v>31</v>
      </c>
      <c r="O58" s="37">
        <v>3</v>
      </c>
      <c r="P58" s="37">
        <v>14</v>
      </c>
      <c r="Q58" s="37">
        <v>15</v>
      </c>
      <c r="R58" s="37">
        <v>33.33</v>
      </c>
      <c r="S58" s="37">
        <v>0</v>
      </c>
      <c r="T58" s="37">
        <v>66.67</v>
      </c>
      <c r="U58" s="37">
        <v>23.33</v>
      </c>
      <c r="V58" s="37">
        <v>13.33</v>
      </c>
      <c r="W58" s="37">
        <v>63.33</v>
      </c>
      <c r="X58" s="37">
        <v>25.81</v>
      </c>
      <c r="Y58" s="37">
        <v>32.26</v>
      </c>
      <c r="Z58" s="37">
        <v>41.94</v>
      </c>
      <c r="AA58" s="37">
        <v>14.29</v>
      </c>
      <c r="AB58" s="37">
        <v>20</v>
      </c>
      <c r="AC58" s="24">
        <f t="shared" si="1"/>
        <v>-16.669000000000004</v>
      </c>
      <c r="AD58" s="25">
        <f t="shared" si="2"/>
        <v>16.669000000000004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23">
        <f t="shared" si="6"/>
        <v>-50</v>
      </c>
      <c r="AI58" s="23">
        <f t="shared" si="7"/>
        <v>105</v>
      </c>
      <c r="AJ58" s="23">
        <f t="shared" si="8"/>
        <v>-50</v>
      </c>
    </row>
    <row r="59" spans="1:36" x14ac:dyDescent="0.2">
      <c r="A59" s="36">
        <v>43606</v>
      </c>
      <c r="B59" s="37" t="s">
        <v>297</v>
      </c>
      <c r="C59" s="37" t="s">
        <v>298</v>
      </c>
      <c r="D59" s="37" t="s">
        <v>299</v>
      </c>
      <c r="E59" s="37" t="s">
        <v>300</v>
      </c>
      <c r="F59" s="37" t="s">
        <v>301</v>
      </c>
      <c r="G59" s="37">
        <v>1</v>
      </c>
      <c r="H59" s="37">
        <v>2</v>
      </c>
      <c r="I59" s="37">
        <v>3.96</v>
      </c>
      <c r="J59" s="37">
        <v>3.73</v>
      </c>
      <c r="K59" s="37">
        <v>1.74</v>
      </c>
      <c r="L59" s="37">
        <v>2.2200000000000002</v>
      </c>
      <c r="M59" s="37">
        <v>40</v>
      </c>
      <c r="N59" s="37">
        <v>75</v>
      </c>
      <c r="O59" s="37">
        <v>3</v>
      </c>
      <c r="P59" s="37">
        <v>19</v>
      </c>
      <c r="Q59" s="37">
        <v>37</v>
      </c>
      <c r="R59" s="37">
        <v>33.33</v>
      </c>
      <c r="S59" s="37">
        <v>33.33</v>
      </c>
      <c r="T59" s="37">
        <v>33.33</v>
      </c>
      <c r="U59" s="37">
        <v>35</v>
      </c>
      <c r="V59" s="37">
        <v>15</v>
      </c>
      <c r="W59" s="37">
        <v>50</v>
      </c>
      <c r="X59" s="37">
        <v>48</v>
      </c>
      <c r="Y59" s="37">
        <v>22.67</v>
      </c>
      <c r="Z59" s="37">
        <v>29.33</v>
      </c>
      <c r="AA59" s="37">
        <v>36.840000000000003</v>
      </c>
      <c r="AB59" s="37">
        <v>35.14</v>
      </c>
      <c r="AC59" s="24">
        <f t="shared" si="1"/>
        <v>-4.1680000000000028</v>
      </c>
      <c r="AD59" s="25">
        <f t="shared" si="2"/>
        <v>10.834000000000003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37</v>
      </c>
    </row>
    <row r="60" spans="1:36" x14ac:dyDescent="0.2">
      <c r="A60" s="36">
        <v>43606</v>
      </c>
      <c r="B60" s="37" t="s">
        <v>247</v>
      </c>
      <c r="C60" s="37" t="s">
        <v>248</v>
      </c>
      <c r="D60" s="37" t="s">
        <v>302</v>
      </c>
      <c r="E60" s="37" t="s">
        <v>303</v>
      </c>
      <c r="F60" s="37" t="s">
        <v>304</v>
      </c>
      <c r="G60" s="37">
        <v>1</v>
      </c>
      <c r="H60" s="37">
        <v>1</v>
      </c>
      <c r="I60" s="37">
        <v>1.59</v>
      </c>
      <c r="J60" s="37">
        <v>3.96</v>
      </c>
      <c r="K60" s="37">
        <v>4.83</v>
      </c>
      <c r="L60" s="37">
        <v>-3.24</v>
      </c>
      <c r="M60" s="37">
        <v>5</v>
      </c>
      <c r="N60" s="37">
        <v>12</v>
      </c>
      <c r="O60" s="37">
        <v>0</v>
      </c>
      <c r="P60" s="37">
        <v>3</v>
      </c>
      <c r="Q60" s="37">
        <v>5</v>
      </c>
      <c r="R60" s="37">
        <v>0</v>
      </c>
      <c r="S60" s="37">
        <v>0</v>
      </c>
      <c r="T60" s="37">
        <v>0</v>
      </c>
      <c r="U60" s="37">
        <v>80</v>
      </c>
      <c r="V60" s="37">
        <v>0</v>
      </c>
      <c r="W60" s="37">
        <v>20</v>
      </c>
      <c r="X60" s="37">
        <v>8.33</v>
      </c>
      <c r="Y60" s="37">
        <v>25</v>
      </c>
      <c r="Z60" s="37">
        <v>66.67</v>
      </c>
      <c r="AA60" s="37">
        <v>66.67</v>
      </c>
      <c r="AB60" s="37">
        <v>0</v>
      </c>
      <c r="AC60" s="24">
        <f t="shared" si="1"/>
        <v>21.167999999999999</v>
      </c>
      <c r="AD60" s="25">
        <f t="shared" si="2"/>
        <v>-21.167999999999999</v>
      </c>
      <c r="AE60" s="23" t="str">
        <f t="shared" si="3"/>
        <v>Loss</v>
      </c>
      <c r="AF60" s="23" t="str">
        <f t="shared" si="4"/>
        <v>Win</v>
      </c>
      <c r="AG60" s="23" t="str">
        <f t="shared" si="5"/>
        <v>Loss</v>
      </c>
      <c r="AH60" s="23">
        <f t="shared" si="6"/>
        <v>-50</v>
      </c>
      <c r="AI60" s="23">
        <f t="shared" si="7"/>
        <v>148</v>
      </c>
      <c r="AJ60" s="23">
        <f t="shared" si="8"/>
        <v>-50</v>
      </c>
    </row>
    <row r="61" spans="1:36" x14ac:dyDescent="0.2">
      <c r="A61" s="36">
        <v>43606</v>
      </c>
      <c r="B61" s="37" t="s">
        <v>305</v>
      </c>
      <c r="C61" s="37" t="s">
        <v>306</v>
      </c>
      <c r="D61" s="37" t="s">
        <v>307</v>
      </c>
      <c r="E61" s="37" t="s">
        <v>308</v>
      </c>
      <c r="F61" s="37" t="s">
        <v>309</v>
      </c>
      <c r="G61" s="37">
        <v>1</v>
      </c>
      <c r="H61" s="37">
        <v>1</v>
      </c>
      <c r="I61" s="37">
        <v>1.82</v>
      </c>
      <c r="J61" s="37">
        <v>3.45</v>
      </c>
      <c r="K61" s="37">
        <v>4.42</v>
      </c>
      <c r="L61" s="37">
        <v>-2.6</v>
      </c>
      <c r="M61" s="37">
        <v>12</v>
      </c>
      <c r="N61" s="37">
        <v>40</v>
      </c>
      <c r="O61" s="37">
        <v>0</v>
      </c>
      <c r="P61" s="37">
        <v>5</v>
      </c>
      <c r="Q61" s="37">
        <v>20</v>
      </c>
      <c r="R61" s="37">
        <v>0</v>
      </c>
      <c r="S61" s="37">
        <v>0</v>
      </c>
      <c r="T61" s="37">
        <v>0</v>
      </c>
      <c r="U61" s="37">
        <v>41.67</v>
      </c>
      <c r="V61" s="37">
        <v>25</v>
      </c>
      <c r="W61" s="37">
        <v>33.33</v>
      </c>
      <c r="X61" s="37">
        <v>62.5</v>
      </c>
      <c r="Y61" s="37">
        <v>15</v>
      </c>
      <c r="Z61" s="37">
        <v>22.5</v>
      </c>
      <c r="AA61" s="37">
        <v>40</v>
      </c>
      <c r="AB61" s="37">
        <v>65</v>
      </c>
      <c r="AC61" s="24">
        <f t="shared" si="1"/>
        <v>-5.331999999999999</v>
      </c>
      <c r="AD61" s="25">
        <f t="shared" si="2"/>
        <v>5.331999999999999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122.5</v>
      </c>
      <c r="AJ61" s="23">
        <f t="shared" si="8"/>
        <v>-50</v>
      </c>
    </row>
    <row r="62" spans="1:36" x14ac:dyDescent="0.2">
      <c r="A62" s="36">
        <v>43606</v>
      </c>
      <c r="B62" s="37" t="s">
        <v>305</v>
      </c>
      <c r="C62" s="37" t="s">
        <v>306</v>
      </c>
      <c r="D62" s="37" t="s">
        <v>310</v>
      </c>
      <c r="E62" s="37" t="s">
        <v>311</v>
      </c>
      <c r="F62" s="37" t="s">
        <v>312</v>
      </c>
      <c r="G62" s="37">
        <v>1</v>
      </c>
      <c r="H62" s="37">
        <v>2</v>
      </c>
      <c r="I62" s="37">
        <v>1.95</v>
      </c>
      <c r="J62" s="37">
        <v>3.46</v>
      </c>
      <c r="K62" s="37">
        <v>3.77</v>
      </c>
      <c r="L62" s="37">
        <v>-1.82</v>
      </c>
      <c r="M62" s="37">
        <v>12</v>
      </c>
      <c r="N62" s="37">
        <v>12</v>
      </c>
      <c r="O62" s="37">
        <v>0</v>
      </c>
      <c r="P62" s="37">
        <v>5</v>
      </c>
      <c r="Q62" s="37">
        <v>7</v>
      </c>
      <c r="R62" s="37">
        <v>0</v>
      </c>
      <c r="S62" s="37">
        <v>0</v>
      </c>
      <c r="T62" s="37">
        <v>0</v>
      </c>
      <c r="U62" s="37">
        <v>41.67</v>
      </c>
      <c r="V62" s="37">
        <v>16.670000000000002</v>
      </c>
      <c r="W62" s="37">
        <v>41.67</v>
      </c>
      <c r="X62" s="37">
        <v>41.67</v>
      </c>
      <c r="Y62" s="37">
        <v>8.33</v>
      </c>
      <c r="Z62" s="37">
        <v>50</v>
      </c>
      <c r="AA62" s="37">
        <v>40</v>
      </c>
      <c r="AB62" s="37">
        <v>28.57</v>
      </c>
      <c r="AC62" s="24">
        <f t="shared" si="1"/>
        <v>2.4999999999999982</v>
      </c>
      <c r="AD62" s="25">
        <f t="shared" si="2"/>
        <v>-2.4999999999999982</v>
      </c>
      <c r="AE62" s="23" t="str">
        <f t="shared" si="3"/>
        <v>Loss</v>
      </c>
      <c r="AF62" s="23" t="str">
        <f t="shared" si="4"/>
        <v>Loss</v>
      </c>
      <c r="AG62" s="23" t="str">
        <f t="shared" si="5"/>
        <v>Win</v>
      </c>
      <c r="AH62" s="23">
        <f t="shared" si="6"/>
        <v>-50</v>
      </c>
      <c r="AI62" s="23">
        <f t="shared" si="7"/>
        <v>-50</v>
      </c>
      <c r="AJ62" s="23">
        <f t="shared" si="8"/>
        <v>138.5</v>
      </c>
    </row>
    <row r="63" spans="1:36" x14ac:dyDescent="0.2">
      <c r="A63" s="36">
        <v>43606</v>
      </c>
      <c r="B63" s="37" t="s">
        <v>305</v>
      </c>
      <c r="C63" s="37" t="s">
        <v>313</v>
      </c>
      <c r="D63" s="37" t="s">
        <v>314</v>
      </c>
      <c r="E63" s="37" t="s">
        <v>315</v>
      </c>
      <c r="F63" s="37" t="s">
        <v>316</v>
      </c>
      <c r="G63" s="37">
        <v>0</v>
      </c>
      <c r="H63" s="37">
        <v>2</v>
      </c>
      <c r="I63" s="37">
        <v>2.83</v>
      </c>
      <c r="J63" s="37">
        <v>3.65</v>
      </c>
      <c r="K63" s="37">
        <v>2.1</v>
      </c>
      <c r="L63" s="37">
        <v>0.73</v>
      </c>
      <c r="M63" s="37">
        <v>0</v>
      </c>
      <c r="N63" s="37">
        <v>33</v>
      </c>
      <c r="O63" s="37">
        <v>0</v>
      </c>
      <c r="P63" s="37">
        <v>0</v>
      </c>
      <c r="Q63" s="37">
        <v>15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37">
        <v>27.27</v>
      </c>
      <c r="Y63" s="37">
        <v>24.24</v>
      </c>
      <c r="Z63" s="37">
        <v>48.48</v>
      </c>
      <c r="AA63" s="37">
        <v>0</v>
      </c>
      <c r="AB63" s="37">
        <v>20</v>
      </c>
      <c r="AC63" s="24">
        <f t="shared" si="1"/>
        <v>1.8179999999999996</v>
      </c>
      <c r="AD63" s="25">
        <f t="shared" si="2"/>
        <v>-1.8179999999999996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23">
        <f t="shared" si="8"/>
        <v>55</v>
      </c>
    </row>
    <row r="64" spans="1:36" x14ac:dyDescent="0.2">
      <c r="A64" s="36">
        <v>43606</v>
      </c>
      <c r="B64" s="37" t="s">
        <v>305</v>
      </c>
      <c r="C64" s="37" t="s">
        <v>313</v>
      </c>
      <c r="D64" s="37" t="s">
        <v>317</v>
      </c>
      <c r="E64" s="37" t="s">
        <v>318</v>
      </c>
      <c r="F64" s="37" t="s">
        <v>319</v>
      </c>
      <c r="G64" s="37">
        <v>0</v>
      </c>
      <c r="H64" s="37">
        <v>4</v>
      </c>
      <c r="I64" s="37">
        <v>5.36</v>
      </c>
      <c r="J64" s="37">
        <v>4.18</v>
      </c>
      <c r="K64" s="37">
        <v>1.48</v>
      </c>
      <c r="L64" s="37">
        <v>3.88</v>
      </c>
      <c r="M64" s="37">
        <v>33</v>
      </c>
      <c r="N64" s="37">
        <v>63</v>
      </c>
      <c r="O64" s="37">
        <v>0</v>
      </c>
      <c r="P64" s="37">
        <v>16</v>
      </c>
      <c r="Q64" s="37">
        <v>30</v>
      </c>
      <c r="R64" s="37">
        <v>0</v>
      </c>
      <c r="S64" s="37">
        <v>0</v>
      </c>
      <c r="T64" s="37">
        <v>0</v>
      </c>
      <c r="U64" s="37">
        <v>39.39</v>
      </c>
      <c r="V64" s="37">
        <v>36.36</v>
      </c>
      <c r="W64" s="37">
        <v>24.24</v>
      </c>
      <c r="X64" s="37">
        <v>38.1</v>
      </c>
      <c r="Y64" s="37">
        <v>25.4</v>
      </c>
      <c r="Z64" s="37">
        <v>36.51</v>
      </c>
      <c r="AA64" s="37">
        <v>56.25</v>
      </c>
      <c r="AB64" s="37">
        <v>26.67</v>
      </c>
      <c r="AC64" s="24">
        <f t="shared" si="1"/>
        <v>3.8079999999999981</v>
      </c>
      <c r="AD64" s="25">
        <f t="shared" si="2"/>
        <v>-3.8079999999999981</v>
      </c>
      <c r="AE64" s="23" t="str">
        <f t="shared" si="3"/>
        <v>Loss</v>
      </c>
      <c r="AF64" s="23" t="str">
        <f t="shared" si="4"/>
        <v>Loss</v>
      </c>
      <c r="AG64" s="23" t="str">
        <f t="shared" si="5"/>
        <v>Win</v>
      </c>
      <c r="AH64" s="23">
        <f t="shared" si="6"/>
        <v>-50</v>
      </c>
      <c r="AI64" s="23">
        <f t="shared" si="7"/>
        <v>-50</v>
      </c>
      <c r="AJ64" s="23">
        <f t="shared" si="8"/>
        <v>24</v>
      </c>
    </row>
    <row r="65" spans="1:36" x14ac:dyDescent="0.2">
      <c r="A65" s="36">
        <v>43606</v>
      </c>
      <c r="B65" s="37" t="s">
        <v>272</v>
      </c>
      <c r="C65" s="37" t="s">
        <v>320</v>
      </c>
      <c r="D65" s="37" t="s">
        <v>321</v>
      </c>
      <c r="E65" s="37" t="s">
        <v>322</v>
      </c>
      <c r="F65" s="37" t="s">
        <v>323</v>
      </c>
      <c r="G65" s="37">
        <v>1</v>
      </c>
      <c r="H65" s="37">
        <v>0</v>
      </c>
      <c r="I65" s="37">
        <v>1.43</v>
      </c>
      <c r="J65" s="37">
        <v>4.2699999999999996</v>
      </c>
      <c r="K65" s="37">
        <v>5.86</v>
      </c>
      <c r="L65" s="37">
        <v>-4.43</v>
      </c>
      <c r="M65" s="37">
        <v>68</v>
      </c>
      <c r="N65" s="37">
        <v>54</v>
      </c>
      <c r="O65" s="37">
        <v>3</v>
      </c>
      <c r="P65" s="37">
        <v>33</v>
      </c>
      <c r="Q65" s="37">
        <v>27</v>
      </c>
      <c r="R65" s="37">
        <v>66.67</v>
      </c>
      <c r="S65" s="37">
        <v>33.33</v>
      </c>
      <c r="T65" s="37">
        <v>0</v>
      </c>
      <c r="U65" s="37">
        <v>52.94</v>
      </c>
      <c r="V65" s="37">
        <v>22.06</v>
      </c>
      <c r="W65" s="37">
        <v>25</v>
      </c>
      <c r="X65" s="37">
        <v>38.89</v>
      </c>
      <c r="Y65" s="37">
        <v>14.81</v>
      </c>
      <c r="Z65" s="37">
        <v>46.3</v>
      </c>
      <c r="AA65" s="37">
        <v>51.52</v>
      </c>
      <c r="AB65" s="37">
        <v>37.04</v>
      </c>
      <c r="AC65" s="24">
        <f t="shared" si="1"/>
        <v>31.129000000000005</v>
      </c>
      <c r="AD65" s="25">
        <f t="shared" si="2"/>
        <v>-24.462999999999997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21.5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43606</v>
      </c>
      <c r="B66" s="37" t="s">
        <v>324</v>
      </c>
      <c r="C66" s="37" t="s">
        <v>325</v>
      </c>
      <c r="D66" s="37" t="s">
        <v>326</v>
      </c>
      <c r="E66" s="37" t="s">
        <v>327</v>
      </c>
      <c r="F66" s="37" t="s">
        <v>328</v>
      </c>
      <c r="G66" s="37">
        <v>3</v>
      </c>
      <c r="H66" s="37">
        <v>1</v>
      </c>
      <c r="I66" s="37">
        <v>2.21</v>
      </c>
      <c r="J66" s="37">
        <v>3.7</v>
      </c>
      <c r="K66" s="37">
        <v>2.6</v>
      </c>
      <c r="L66" s="37">
        <v>-0.39</v>
      </c>
      <c r="M66" s="37">
        <v>1</v>
      </c>
      <c r="N66" s="37">
        <v>0</v>
      </c>
      <c r="O66" s="37">
        <v>0</v>
      </c>
      <c r="P66" s="37">
        <v>1</v>
      </c>
      <c r="Q66" s="37">
        <v>0</v>
      </c>
      <c r="R66" s="37">
        <v>0</v>
      </c>
      <c r="S66" s="37">
        <v>0</v>
      </c>
      <c r="T66" s="37">
        <v>0</v>
      </c>
      <c r="U66" s="37">
        <v>0</v>
      </c>
      <c r="V66" s="37">
        <v>0</v>
      </c>
      <c r="W66" s="37">
        <v>100</v>
      </c>
      <c r="X66" s="37">
        <v>0</v>
      </c>
      <c r="Y66" s="37">
        <v>0</v>
      </c>
      <c r="Z66" s="37">
        <v>0</v>
      </c>
      <c r="AA66" s="37">
        <v>0</v>
      </c>
      <c r="AB66" s="37">
        <v>0</v>
      </c>
      <c r="AC66" s="24">
        <f t="shared" si="1"/>
        <v>-20</v>
      </c>
      <c r="AD66" s="25">
        <f t="shared" si="2"/>
        <v>20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60.5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43606</v>
      </c>
      <c r="B67" s="37" t="s">
        <v>168</v>
      </c>
      <c r="C67" s="37" t="s">
        <v>169</v>
      </c>
      <c r="D67" s="37" t="s">
        <v>329</v>
      </c>
      <c r="E67" s="37" t="s">
        <v>330</v>
      </c>
      <c r="F67" s="37" t="s">
        <v>331</v>
      </c>
      <c r="G67" s="37">
        <v>1</v>
      </c>
      <c r="H67" s="37">
        <v>5</v>
      </c>
      <c r="I67" s="37">
        <v>2.82</v>
      </c>
      <c r="J67" s="37">
        <v>3.24</v>
      </c>
      <c r="K67" s="37">
        <v>2.46</v>
      </c>
      <c r="L67" s="37">
        <v>0.36</v>
      </c>
      <c r="M67" s="37">
        <v>5</v>
      </c>
      <c r="N67" s="37">
        <v>5</v>
      </c>
      <c r="O67" s="37">
        <v>1</v>
      </c>
      <c r="P67" s="37">
        <v>2</v>
      </c>
      <c r="Q67" s="37">
        <v>2</v>
      </c>
      <c r="R67" s="37">
        <v>0</v>
      </c>
      <c r="S67" s="37">
        <v>0</v>
      </c>
      <c r="T67" s="37">
        <v>100</v>
      </c>
      <c r="U67" s="37">
        <v>20</v>
      </c>
      <c r="V67" s="37">
        <v>0</v>
      </c>
      <c r="W67" s="37">
        <v>80</v>
      </c>
      <c r="X67" s="37">
        <v>20</v>
      </c>
      <c r="Y67" s="37">
        <v>40</v>
      </c>
      <c r="Z67" s="37">
        <v>40</v>
      </c>
      <c r="AA67" s="37">
        <v>50</v>
      </c>
      <c r="AB67" s="37">
        <v>0</v>
      </c>
      <c r="AC67" s="24">
        <f t="shared" si="1"/>
        <v>-42</v>
      </c>
      <c r="AD67" s="25">
        <f t="shared" si="2"/>
        <v>42</v>
      </c>
      <c r="AE67" s="23" t="str">
        <f t="shared" si="3"/>
        <v>Loss</v>
      </c>
      <c r="AF67" s="23" t="str">
        <f t="shared" si="4"/>
        <v>Loss</v>
      </c>
      <c r="AG67" s="23" t="str">
        <f t="shared" si="5"/>
        <v>Win</v>
      </c>
      <c r="AH67" s="23">
        <f t="shared" si="6"/>
        <v>-50</v>
      </c>
      <c r="AI67" s="23">
        <f t="shared" si="7"/>
        <v>-50</v>
      </c>
      <c r="AJ67" s="59">
        <f t="shared" si="8"/>
        <v>73</v>
      </c>
    </row>
    <row r="68" spans="1:36" x14ac:dyDescent="0.2">
      <c r="A68" s="36">
        <v>43606</v>
      </c>
      <c r="B68" s="37" t="s">
        <v>239</v>
      </c>
      <c r="C68" s="37" t="s">
        <v>240</v>
      </c>
      <c r="D68" s="37" t="s">
        <v>332</v>
      </c>
      <c r="E68" s="37" t="s">
        <v>333</v>
      </c>
      <c r="F68" s="37" t="s">
        <v>334</v>
      </c>
      <c r="G68" s="37">
        <v>0</v>
      </c>
      <c r="H68" s="37">
        <v>0</v>
      </c>
      <c r="I68" s="37">
        <v>2.08</v>
      </c>
      <c r="J68" s="37">
        <v>3.14</v>
      </c>
      <c r="K68" s="37">
        <v>3.56</v>
      </c>
      <c r="L68" s="37">
        <v>-1.48</v>
      </c>
      <c r="M68" s="37">
        <v>37</v>
      </c>
      <c r="N68" s="37">
        <v>36</v>
      </c>
      <c r="O68" s="37">
        <v>3</v>
      </c>
      <c r="P68" s="37">
        <v>18</v>
      </c>
      <c r="Q68" s="37">
        <v>18</v>
      </c>
      <c r="R68" s="37">
        <v>33.33</v>
      </c>
      <c r="S68" s="37">
        <v>33.33</v>
      </c>
      <c r="T68" s="37">
        <v>33.33</v>
      </c>
      <c r="U68" s="37">
        <v>45.95</v>
      </c>
      <c r="V68" s="37">
        <v>16.22</v>
      </c>
      <c r="W68" s="37">
        <v>37.840000000000003</v>
      </c>
      <c r="X68" s="37">
        <v>44.44</v>
      </c>
      <c r="Y68" s="37">
        <v>25</v>
      </c>
      <c r="Z68" s="37">
        <v>30.56</v>
      </c>
      <c r="AA68" s="37">
        <v>66.67</v>
      </c>
      <c r="AB68" s="37">
        <v>33.33</v>
      </c>
      <c r="AC68" s="24">
        <f t="shared" si="1"/>
        <v>1.3010000000000002</v>
      </c>
      <c r="AD68" s="25">
        <f t="shared" si="2"/>
        <v>5.3650000000000002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107</v>
      </c>
      <c r="AJ68" s="23">
        <f t="shared" si="8"/>
        <v>-50</v>
      </c>
    </row>
    <row r="69" spans="1:36" x14ac:dyDescent="0.2">
      <c r="A69" s="36">
        <v>43606</v>
      </c>
      <c r="B69" s="37" t="s">
        <v>335</v>
      </c>
      <c r="C69" s="37" t="s">
        <v>235</v>
      </c>
      <c r="D69" s="37" t="s">
        <v>336</v>
      </c>
      <c r="E69" s="37" t="s">
        <v>337</v>
      </c>
      <c r="F69" s="37" t="s">
        <v>338</v>
      </c>
      <c r="G69" s="37">
        <v>1</v>
      </c>
      <c r="H69" s="37">
        <v>2</v>
      </c>
      <c r="I69" s="37">
        <v>2.98</v>
      </c>
      <c r="J69" s="37">
        <v>2.75</v>
      </c>
      <c r="K69" s="37">
        <v>2.74</v>
      </c>
      <c r="L69" s="37">
        <v>0.24</v>
      </c>
      <c r="M69" s="37">
        <v>40</v>
      </c>
      <c r="N69" s="37">
        <v>43</v>
      </c>
      <c r="O69" s="37">
        <v>2</v>
      </c>
      <c r="P69" s="37">
        <v>20</v>
      </c>
      <c r="Q69" s="37">
        <v>23</v>
      </c>
      <c r="R69" s="37">
        <v>50</v>
      </c>
      <c r="S69" s="37">
        <v>50</v>
      </c>
      <c r="T69" s="37">
        <v>0</v>
      </c>
      <c r="U69" s="37">
        <v>42.5</v>
      </c>
      <c r="V69" s="37">
        <v>35</v>
      </c>
      <c r="W69" s="37">
        <v>22.5</v>
      </c>
      <c r="X69" s="37">
        <v>48.84</v>
      </c>
      <c r="Y69" s="37">
        <v>20.93</v>
      </c>
      <c r="Z69" s="37">
        <v>30.23</v>
      </c>
      <c r="AA69" s="37">
        <v>50</v>
      </c>
      <c r="AB69" s="37">
        <v>43.48</v>
      </c>
      <c r="AC69" s="24">
        <f t="shared" si="1"/>
        <v>21.684999999999999</v>
      </c>
      <c r="AD69" s="25">
        <f t="shared" si="2"/>
        <v>-11.684999999999999</v>
      </c>
      <c r="AE69" s="23" t="str">
        <f t="shared" si="3"/>
        <v>Loss</v>
      </c>
      <c r="AF69" s="23" t="str">
        <f t="shared" si="4"/>
        <v>Loss</v>
      </c>
      <c r="AG69" s="23" t="str">
        <f t="shared" si="5"/>
        <v>Win</v>
      </c>
      <c r="AH69" s="23">
        <f t="shared" si="6"/>
        <v>-50</v>
      </c>
      <c r="AI69" s="23">
        <f t="shared" si="7"/>
        <v>-50</v>
      </c>
      <c r="AJ69" s="23">
        <f t="shared" si="8"/>
        <v>87</v>
      </c>
    </row>
    <row r="70" spans="1:36" x14ac:dyDescent="0.2">
      <c r="A70" s="36">
        <v>43606</v>
      </c>
      <c r="B70" s="37" t="s">
        <v>339</v>
      </c>
      <c r="C70" s="37" t="s">
        <v>340</v>
      </c>
      <c r="D70" s="37" t="s">
        <v>341</v>
      </c>
      <c r="E70" s="37" t="s">
        <v>342</v>
      </c>
      <c r="F70" s="37" t="s">
        <v>343</v>
      </c>
      <c r="G70" s="37">
        <v>1</v>
      </c>
      <c r="H70" s="37">
        <v>0</v>
      </c>
      <c r="I70" s="37">
        <v>2.5</v>
      </c>
      <c r="J70" s="37">
        <v>3.06</v>
      </c>
      <c r="K70" s="37">
        <v>2.95</v>
      </c>
      <c r="L70" s="37">
        <v>-0.45</v>
      </c>
      <c r="M70" s="37">
        <v>20</v>
      </c>
      <c r="N70" s="37">
        <v>21</v>
      </c>
      <c r="O70" s="37">
        <v>3</v>
      </c>
      <c r="P70" s="37">
        <v>10</v>
      </c>
      <c r="Q70" s="37">
        <v>10</v>
      </c>
      <c r="R70" s="37">
        <v>0</v>
      </c>
      <c r="S70" s="37">
        <v>33.33</v>
      </c>
      <c r="T70" s="37">
        <v>66.67</v>
      </c>
      <c r="U70" s="37">
        <v>35</v>
      </c>
      <c r="V70" s="37">
        <v>25</v>
      </c>
      <c r="W70" s="37">
        <v>40</v>
      </c>
      <c r="X70" s="37">
        <v>47.62</v>
      </c>
      <c r="Y70" s="37">
        <v>28.57</v>
      </c>
      <c r="Z70" s="37">
        <v>23.81</v>
      </c>
      <c r="AA70" s="37">
        <v>40</v>
      </c>
      <c r="AB70" s="37">
        <v>40</v>
      </c>
      <c r="AC70" s="24">
        <f t="shared" si="1"/>
        <v>-22.786999999999999</v>
      </c>
      <c r="AD70" s="25">
        <f t="shared" si="2"/>
        <v>29.453000000000003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75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43606</v>
      </c>
      <c r="B71" s="37" t="s">
        <v>289</v>
      </c>
      <c r="C71" s="37" t="s">
        <v>290</v>
      </c>
      <c r="D71" s="37" t="s">
        <v>344</v>
      </c>
      <c r="E71" s="37" t="s">
        <v>345</v>
      </c>
      <c r="F71" s="37" t="s">
        <v>346</v>
      </c>
      <c r="G71" s="37">
        <v>3</v>
      </c>
      <c r="H71" s="37">
        <v>1</v>
      </c>
      <c r="I71" s="37">
        <v>1.68</v>
      </c>
      <c r="J71" s="37">
        <v>4.0999999999999996</v>
      </c>
      <c r="K71" s="37">
        <v>4.7</v>
      </c>
      <c r="L71" s="37">
        <v>-3.02</v>
      </c>
      <c r="M71" s="37">
        <v>39</v>
      </c>
      <c r="N71" s="37">
        <v>36</v>
      </c>
      <c r="O71" s="37">
        <v>3</v>
      </c>
      <c r="P71" s="37">
        <v>17</v>
      </c>
      <c r="Q71" s="37">
        <v>17</v>
      </c>
      <c r="R71" s="37">
        <v>33.33</v>
      </c>
      <c r="S71" s="37">
        <v>0</v>
      </c>
      <c r="T71" s="37">
        <v>66.67</v>
      </c>
      <c r="U71" s="37">
        <v>43.59</v>
      </c>
      <c r="V71" s="37">
        <v>28.21</v>
      </c>
      <c r="W71" s="37">
        <v>28.21</v>
      </c>
      <c r="X71" s="37">
        <v>38.89</v>
      </c>
      <c r="Y71" s="37">
        <v>16.670000000000002</v>
      </c>
      <c r="Z71" s="37">
        <v>44.44</v>
      </c>
      <c r="AA71" s="37">
        <v>58.82</v>
      </c>
      <c r="AB71" s="37">
        <v>17.649999999999999</v>
      </c>
      <c r="AC71" s="24">
        <f t="shared" si="1"/>
        <v>-4.6620000000000008</v>
      </c>
      <c r="AD71" s="25">
        <f t="shared" si="2"/>
        <v>4.6620000000000008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34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43606</v>
      </c>
      <c r="B72" s="37" t="s">
        <v>168</v>
      </c>
      <c r="C72" s="37" t="s">
        <v>169</v>
      </c>
      <c r="D72" s="37" t="s">
        <v>347</v>
      </c>
      <c r="E72" s="37" t="s">
        <v>348</v>
      </c>
      <c r="F72" s="37" t="s">
        <v>349</v>
      </c>
      <c r="G72" s="37">
        <v>1</v>
      </c>
      <c r="H72" s="37">
        <v>1</v>
      </c>
      <c r="I72" s="37">
        <v>1.49</v>
      </c>
      <c r="J72" s="37">
        <v>4.3499999999999996</v>
      </c>
      <c r="K72" s="37">
        <v>6.03</v>
      </c>
      <c r="L72" s="37">
        <v>-4.54</v>
      </c>
      <c r="M72" s="37">
        <v>5</v>
      </c>
      <c r="N72" s="37">
        <v>5</v>
      </c>
      <c r="O72" s="37">
        <v>1</v>
      </c>
      <c r="P72" s="37">
        <v>2</v>
      </c>
      <c r="Q72" s="37">
        <v>2</v>
      </c>
      <c r="R72" s="37">
        <v>0</v>
      </c>
      <c r="S72" s="37">
        <v>0</v>
      </c>
      <c r="T72" s="37">
        <v>100</v>
      </c>
      <c r="U72" s="37">
        <v>60</v>
      </c>
      <c r="V72" s="37">
        <v>20</v>
      </c>
      <c r="W72" s="37">
        <v>20</v>
      </c>
      <c r="X72" s="37">
        <v>80</v>
      </c>
      <c r="Y72" s="37">
        <v>0</v>
      </c>
      <c r="Z72" s="37">
        <v>20</v>
      </c>
      <c r="AA72" s="37">
        <v>100</v>
      </c>
      <c r="AB72" s="37">
        <v>50</v>
      </c>
      <c r="AC72" s="24">
        <f t="shared" si="1"/>
        <v>-32</v>
      </c>
      <c r="AD72" s="25">
        <f t="shared" si="2"/>
        <v>32</v>
      </c>
      <c r="AE72" s="23" t="str">
        <f t="shared" si="3"/>
        <v>Loss</v>
      </c>
      <c r="AF72" s="23" t="str">
        <f t="shared" si="4"/>
        <v>Win</v>
      </c>
      <c r="AG72" s="23" t="str">
        <f t="shared" si="5"/>
        <v>Loss</v>
      </c>
      <c r="AH72" s="23">
        <f t="shared" si="6"/>
        <v>-50</v>
      </c>
      <c r="AI72" s="23">
        <f t="shared" si="7"/>
        <v>167.49999999999997</v>
      </c>
      <c r="AJ72" s="23">
        <f t="shared" si="8"/>
        <v>-50</v>
      </c>
    </row>
    <row r="73" spans="1:36" x14ac:dyDescent="0.2">
      <c r="A73" s="36">
        <v>43606</v>
      </c>
      <c r="B73" s="37" t="s">
        <v>350</v>
      </c>
      <c r="C73" s="37" t="s">
        <v>116</v>
      </c>
      <c r="D73" s="37" t="s">
        <v>351</v>
      </c>
      <c r="E73" s="37" t="s">
        <v>352</v>
      </c>
      <c r="F73" s="37" t="s">
        <v>353</v>
      </c>
      <c r="G73" s="37">
        <v>1</v>
      </c>
      <c r="H73" s="37">
        <v>2</v>
      </c>
      <c r="I73" s="37">
        <v>2.68</v>
      </c>
      <c r="J73" s="37">
        <v>3.02</v>
      </c>
      <c r="K73" s="37">
        <v>2.79</v>
      </c>
      <c r="L73" s="37">
        <v>-0.11</v>
      </c>
      <c r="M73" s="37">
        <v>40</v>
      </c>
      <c r="N73" s="37">
        <v>74</v>
      </c>
      <c r="O73" s="37">
        <v>3</v>
      </c>
      <c r="P73" s="37">
        <v>19</v>
      </c>
      <c r="Q73" s="37">
        <v>37</v>
      </c>
      <c r="R73" s="37">
        <v>0</v>
      </c>
      <c r="S73" s="37">
        <v>0</v>
      </c>
      <c r="T73" s="37">
        <v>100</v>
      </c>
      <c r="U73" s="37">
        <v>37.5</v>
      </c>
      <c r="V73" s="37">
        <v>37.5</v>
      </c>
      <c r="W73" s="37">
        <v>25</v>
      </c>
      <c r="X73" s="37">
        <v>44.59</v>
      </c>
      <c r="Y73" s="37">
        <v>29.73</v>
      </c>
      <c r="Z73" s="37">
        <v>25.68</v>
      </c>
      <c r="AA73" s="37">
        <v>52.63</v>
      </c>
      <c r="AB73" s="37">
        <v>29.73</v>
      </c>
      <c r="AC73" s="24">
        <f t="shared" si="1"/>
        <v>-30.504999999999999</v>
      </c>
      <c r="AD73" s="25">
        <f t="shared" si="2"/>
        <v>30.504999999999999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89.5</v>
      </c>
    </row>
    <row r="74" spans="1:36" x14ac:dyDescent="0.2">
      <c r="A74" s="36">
        <v>43606</v>
      </c>
      <c r="B74" s="37" t="s">
        <v>354</v>
      </c>
      <c r="C74" s="37" t="s">
        <v>355</v>
      </c>
      <c r="D74" s="37" t="s">
        <v>356</v>
      </c>
      <c r="E74" s="37" t="s">
        <v>357</v>
      </c>
      <c r="F74" s="37" t="s">
        <v>358</v>
      </c>
      <c r="G74" s="37">
        <v>2</v>
      </c>
      <c r="H74" s="37">
        <v>1</v>
      </c>
      <c r="I74" s="37">
        <v>2.2000000000000002</v>
      </c>
      <c r="J74" s="37">
        <v>3.63</v>
      </c>
      <c r="K74" s="37">
        <v>2.81</v>
      </c>
      <c r="L74" s="37">
        <v>-0.61</v>
      </c>
      <c r="M74" s="37">
        <v>25</v>
      </c>
      <c r="N74" s="37">
        <v>25</v>
      </c>
      <c r="O74" s="37">
        <v>1</v>
      </c>
      <c r="P74" s="37">
        <v>12</v>
      </c>
      <c r="Q74" s="37">
        <v>12</v>
      </c>
      <c r="R74" s="37">
        <v>0</v>
      </c>
      <c r="S74" s="37">
        <v>0</v>
      </c>
      <c r="T74" s="37">
        <v>100</v>
      </c>
      <c r="U74" s="37">
        <v>28</v>
      </c>
      <c r="V74" s="37">
        <v>28</v>
      </c>
      <c r="W74" s="37">
        <v>44</v>
      </c>
      <c r="X74" s="37">
        <v>48</v>
      </c>
      <c r="Y74" s="37">
        <v>28</v>
      </c>
      <c r="Z74" s="37">
        <v>24</v>
      </c>
      <c r="AA74" s="37">
        <v>41.67</v>
      </c>
      <c r="AB74" s="37">
        <v>33.33</v>
      </c>
      <c r="AC74" s="24">
        <f t="shared" si="1"/>
        <v>-38</v>
      </c>
      <c r="AD74" s="25">
        <f t="shared" si="2"/>
        <v>38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23">
        <f t="shared" si="6"/>
        <v>60.000000000000014</v>
      </c>
      <c r="AI74" s="23">
        <f t="shared" si="7"/>
        <v>-50</v>
      </c>
      <c r="AJ74" s="23">
        <f t="shared" si="8"/>
        <v>-50</v>
      </c>
    </row>
    <row r="75" spans="1:36" x14ac:dyDescent="0.2">
      <c r="A75" s="36">
        <v>43606</v>
      </c>
      <c r="B75" s="37" t="s">
        <v>359</v>
      </c>
      <c r="C75" s="37" t="s">
        <v>183</v>
      </c>
      <c r="D75" s="37" t="s">
        <v>360</v>
      </c>
      <c r="E75" s="37" t="s">
        <v>361</v>
      </c>
      <c r="F75" s="37" t="s">
        <v>362</v>
      </c>
      <c r="G75" s="37">
        <v>2</v>
      </c>
      <c r="H75" s="37">
        <v>2</v>
      </c>
      <c r="I75" s="37">
        <v>2.11</v>
      </c>
      <c r="J75" s="37">
        <v>3.1</v>
      </c>
      <c r="K75" s="37">
        <v>3.58</v>
      </c>
      <c r="L75" s="37">
        <v>-1.47</v>
      </c>
      <c r="M75" s="37">
        <v>33</v>
      </c>
      <c r="N75" s="37">
        <v>2</v>
      </c>
      <c r="O75" s="37">
        <v>0</v>
      </c>
      <c r="P75" s="37">
        <v>18</v>
      </c>
      <c r="Q75" s="37">
        <v>2</v>
      </c>
      <c r="R75" s="37">
        <v>0</v>
      </c>
      <c r="S75" s="37">
        <v>0</v>
      </c>
      <c r="T75" s="37">
        <v>0</v>
      </c>
      <c r="U75" s="37">
        <v>33.33</v>
      </c>
      <c r="V75" s="37">
        <v>45.45</v>
      </c>
      <c r="W75" s="37">
        <v>21.21</v>
      </c>
      <c r="X75" s="37">
        <v>0</v>
      </c>
      <c r="Y75" s="37">
        <v>0</v>
      </c>
      <c r="Z75" s="37">
        <v>100</v>
      </c>
      <c r="AA75" s="37">
        <v>38.89</v>
      </c>
      <c r="AB75" s="37">
        <v>0</v>
      </c>
      <c r="AC75" s="24">
        <f t="shared" ref="AC75:AC79" si="9">(+R75*$R$8)+(S75*$S$8)-(T75*$T$8)+(U75*$U$8)+(V75*$V$8)-(W75*$W$8)-(X75*$X$8)-(Y75*$Y$8)+(Z75*$Z$8)</f>
        <v>26.969000000000001</v>
      </c>
      <c r="AD75" s="25">
        <f t="shared" ref="AD75:AD79" si="10">(-R75*$R$8)+(S75*$S$8)+(T75*$T$8)-(U75*$U$8)-(V75*$V$8)+(W75*$W$8)+(X75*$X$8)+(Y75*$Y$8)-(Z75*$Z$8)</f>
        <v>-26.969000000000001</v>
      </c>
      <c r="AE75" s="23" t="str">
        <f t="shared" ref="AE75:AE79" si="11">IF(G75&gt;H75,"Win","Loss")</f>
        <v>Loss</v>
      </c>
      <c r="AF75" s="23" t="str">
        <f t="shared" ref="AF75:AF79" si="12">IF(G75=H75,"Win","Loss")</f>
        <v>Win</v>
      </c>
      <c r="AG75" s="23" t="str">
        <f t="shared" ref="AG75:AG79" si="13">IF(G75&lt;H75,"Win","Loss")</f>
        <v>Loss</v>
      </c>
      <c r="AH75" s="23">
        <f t="shared" ref="AH75:AH79" si="14">IF(AE75="Win",(I75*$B$2)-$B$2,-$B$2)</f>
        <v>-50</v>
      </c>
      <c r="AI75" s="23">
        <f t="shared" ref="AI75:AI79" si="15">IF(AF75="Win",(J75*$B$2)-$B$2,-$B$2)</f>
        <v>105</v>
      </c>
      <c r="AJ75" s="23">
        <f t="shared" ref="AJ75:AJ79" si="16">IF(AG75="Win",(K75*$B$2)-$B$2,-$B$2)</f>
        <v>-50</v>
      </c>
    </row>
    <row r="76" spans="1:36" x14ac:dyDescent="0.2">
      <c r="A76" s="36">
        <v>43606</v>
      </c>
      <c r="B76" s="37" t="s">
        <v>359</v>
      </c>
      <c r="C76" s="37" t="s">
        <v>183</v>
      </c>
      <c r="D76" s="37" t="s">
        <v>363</v>
      </c>
      <c r="E76" s="37" t="s">
        <v>364</v>
      </c>
      <c r="F76" s="37" t="s">
        <v>365</v>
      </c>
      <c r="G76" s="37">
        <v>2</v>
      </c>
      <c r="H76" s="37">
        <v>0</v>
      </c>
      <c r="I76" s="37">
        <v>2.5299999999999998</v>
      </c>
      <c r="J76" s="37">
        <v>2.86</v>
      </c>
      <c r="K76" s="37">
        <v>3.06</v>
      </c>
      <c r="L76" s="37">
        <v>-0.53</v>
      </c>
      <c r="M76" s="37">
        <v>34</v>
      </c>
      <c r="N76" s="37">
        <v>35</v>
      </c>
      <c r="O76" s="37">
        <v>1</v>
      </c>
      <c r="P76" s="37">
        <v>18</v>
      </c>
      <c r="Q76" s="37">
        <v>17</v>
      </c>
      <c r="R76" s="37">
        <v>0</v>
      </c>
      <c r="S76" s="37">
        <v>0</v>
      </c>
      <c r="T76" s="37">
        <v>100</v>
      </c>
      <c r="U76" s="37">
        <v>23.53</v>
      </c>
      <c r="V76" s="37">
        <v>41.18</v>
      </c>
      <c r="W76" s="37">
        <v>35.29</v>
      </c>
      <c r="X76" s="37">
        <v>31.43</v>
      </c>
      <c r="Y76" s="37">
        <v>28.57</v>
      </c>
      <c r="Z76" s="37">
        <v>40</v>
      </c>
      <c r="AA76" s="37">
        <v>11.11</v>
      </c>
      <c r="AB76" s="37">
        <v>23.53</v>
      </c>
      <c r="AC76" s="24">
        <f t="shared" si="9"/>
        <v>-29.377000000000002</v>
      </c>
      <c r="AD76" s="25">
        <f t="shared" si="10"/>
        <v>29.377000000000002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76.499999999999986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43606</v>
      </c>
      <c r="B77" s="37" t="s">
        <v>359</v>
      </c>
      <c r="C77" s="37" t="s">
        <v>183</v>
      </c>
      <c r="D77" s="37" t="s">
        <v>366</v>
      </c>
      <c r="E77" s="37" t="s">
        <v>367</v>
      </c>
      <c r="F77" s="37" t="s">
        <v>368</v>
      </c>
      <c r="G77" s="37">
        <v>4</v>
      </c>
      <c r="H77" s="37">
        <v>0</v>
      </c>
      <c r="I77" s="37">
        <v>3.27</v>
      </c>
      <c r="J77" s="37">
        <v>2.4300000000000002</v>
      </c>
      <c r="K77" s="37">
        <v>2.83</v>
      </c>
      <c r="L77" s="37">
        <v>0.44</v>
      </c>
      <c r="M77" s="37">
        <v>34</v>
      </c>
      <c r="N77" s="37">
        <v>34</v>
      </c>
      <c r="O77" s="37">
        <v>1</v>
      </c>
      <c r="P77" s="37">
        <v>18</v>
      </c>
      <c r="Q77" s="37">
        <v>18</v>
      </c>
      <c r="R77" s="37">
        <v>0</v>
      </c>
      <c r="S77" s="37">
        <v>100</v>
      </c>
      <c r="T77" s="37">
        <v>0</v>
      </c>
      <c r="U77" s="37">
        <v>29.41</v>
      </c>
      <c r="V77" s="37">
        <v>29.41</v>
      </c>
      <c r="W77" s="37">
        <v>41.18</v>
      </c>
      <c r="X77" s="37">
        <v>29.41</v>
      </c>
      <c r="Y77" s="37">
        <v>35.29</v>
      </c>
      <c r="Z77" s="37">
        <v>35.29</v>
      </c>
      <c r="AA77" s="37">
        <v>44.44</v>
      </c>
      <c r="AB77" s="37">
        <v>44.44</v>
      </c>
      <c r="AC77" s="24">
        <f t="shared" si="9"/>
        <v>8.2339999999999982</v>
      </c>
      <c r="AD77" s="25">
        <f t="shared" si="10"/>
        <v>11.766000000000002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113.5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43606</v>
      </c>
      <c r="B78" s="37" t="s">
        <v>359</v>
      </c>
      <c r="C78" s="37" t="s">
        <v>183</v>
      </c>
      <c r="D78" s="37" t="s">
        <v>369</v>
      </c>
      <c r="E78" s="37" t="s">
        <v>370</v>
      </c>
      <c r="F78" s="37" t="s">
        <v>371</v>
      </c>
      <c r="G78" s="37">
        <v>1</v>
      </c>
      <c r="H78" s="37">
        <v>1</v>
      </c>
      <c r="I78" s="37">
        <v>2.2799999999999998</v>
      </c>
      <c r="J78" s="37">
        <v>2.88</v>
      </c>
      <c r="K78" s="37">
        <v>3.47</v>
      </c>
      <c r="L78" s="37">
        <v>-1.19</v>
      </c>
      <c r="M78" s="37">
        <v>34</v>
      </c>
      <c r="N78" s="37">
        <v>33</v>
      </c>
      <c r="O78" s="37">
        <v>1</v>
      </c>
      <c r="P78" s="37">
        <v>17</v>
      </c>
      <c r="Q78" s="37">
        <v>18</v>
      </c>
      <c r="R78" s="37">
        <v>0</v>
      </c>
      <c r="S78" s="37">
        <v>0</v>
      </c>
      <c r="T78" s="37">
        <v>100</v>
      </c>
      <c r="U78" s="37">
        <v>29.41</v>
      </c>
      <c r="V78" s="37">
        <v>26.47</v>
      </c>
      <c r="W78" s="37">
        <v>44.12</v>
      </c>
      <c r="X78" s="37">
        <v>30.3</v>
      </c>
      <c r="Y78" s="37">
        <v>33.33</v>
      </c>
      <c r="Z78" s="37">
        <v>36.36</v>
      </c>
      <c r="AA78" s="37">
        <v>17.649999999999999</v>
      </c>
      <c r="AB78" s="37">
        <v>27.78</v>
      </c>
      <c r="AC78" s="24">
        <f t="shared" si="9"/>
        <v>-32.415999999999997</v>
      </c>
      <c r="AD78" s="25">
        <f t="shared" si="10"/>
        <v>32.415999999999997</v>
      </c>
      <c r="AE78" s="23" t="str">
        <f t="shared" si="11"/>
        <v>Loss</v>
      </c>
      <c r="AF78" s="23" t="str">
        <f t="shared" si="12"/>
        <v>Win</v>
      </c>
      <c r="AG78" s="23" t="str">
        <f t="shared" si="13"/>
        <v>Loss</v>
      </c>
      <c r="AH78" s="23">
        <f t="shared" si="14"/>
        <v>-50</v>
      </c>
      <c r="AI78" s="23">
        <f t="shared" si="15"/>
        <v>94</v>
      </c>
      <c r="AJ78" s="23">
        <f t="shared" si="16"/>
        <v>-50</v>
      </c>
    </row>
    <row r="79" spans="1:36" x14ac:dyDescent="0.2">
      <c r="A79" s="36">
        <v>43606</v>
      </c>
      <c r="B79" s="37" t="s">
        <v>359</v>
      </c>
      <c r="C79" s="37" t="s">
        <v>183</v>
      </c>
      <c r="D79" s="37" t="s">
        <v>372</v>
      </c>
      <c r="E79" s="37" t="s">
        <v>373</v>
      </c>
      <c r="F79" s="37" t="s">
        <v>374</v>
      </c>
      <c r="G79" s="37">
        <v>2</v>
      </c>
      <c r="H79" s="37">
        <v>1</v>
      </c>
      <c r="I79" s="37">
        <v>2.13</v>
      </c>
      <c r="J79" s="37">
        <v>3.03</v>
      </c>
      <c r="K79" s="37">
        <v>3.62</v>
      </c>
      <c r="L79" s="37">
        <v>-1.49</v>
      </c>
      <c r="M79" s="37">
        <v>35</v>
      </c>
      <c r="N79" s="37">
        <v>34</v>
      </c>
      <c r="O79" s="37">
        <v>1</v>
      </c>
      <c r="P79" s="37">
        <v>18</v>
      </c>
      <c r="Q79" s="37">
        <v>16</v>
      </c>
      <c r="R79" s="37">
        <v>0</v>
      </c>
      <c r="S79" s="37">
        <v>0</v>
      </c>
      <c r="T79" s="37">
        <v>100</v>
      </c>
      <c r="U79" s="37">
        <v>28.57</v>
      </c>
      <c r="V79" s="37">
        <v>34.29</v>
      </c>
      <c r="W79" s="37">
        <v>37.14</v>
      </c>
      <c r="X79" s="37">
        <v>41.18</v>
      </c>
      <c r="Y79" s="37">
        <v>26.47</v>
      </c>
      <c r="Z79" s="37">
        <v>32.35</v>
      </c>
      <c r="AA79" s="37">
        <v>33.33</v>
      </c>
      <c r="AB79" s="37">
        <v>31.25</v>
      </c>
      <c r="AC79" s="24">
        <f t="shared" si="9"/>
        <v>-32.698</v>
      </c>
      <c r="AD79" s="25">
        <f t="shared" si="10"/>
        <v>32.698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56.5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/>
      <c r="AC80" s="24"/>
      <c r="AD80" s="25"/>
    </row>
    <row r="81" spans="1:30" x14ac:dyDescent="0.2">
      <c r="A81" s="36"/>
      <c r="AC81" s="24"/>
      <c r="AD81" s="25"/>
    </row>
    <row r="82" spans="1:30" x14ac:dyDescent="0.2">
      <c r="A82" s="36"/>
      <c r="AC82" s="24"/>
      <c r="AD82" s="25"/>
    </row>
    <row r="83" spans="1:30" x14ac:dyDescent="0.2">
      <c r="A83" s="36"/>
      <c r="AC83" s="24"/>
      <c r="AD83" s="25"/>
    </row>
    <row r="84" spans="1:30" x14ac:dyDescent="0.2">
      <c r="A84" s="36"/>
      <c r="AC84" s="24"/>
      <c r="AD84" s="25"/>
    </row>
    <row r="85" spans="1:30" x14ac:dyDescent="0.2">
      <c r="A85" s="36"/>
      <c r="AC85" s="24"/>
      <c r="AD85" s="25"/>
    </row>
    <row r="86" spans="1:30" x14ac:dyDescent="0.2">
      <c r="A86" s="36"/>
      <c r="AC86" s="24"/>
      <c r="AD86" s="25"/>
    </row>
    <row r="87" spans="1:30" x14ac:dyDescent="0.2">
      <c r="A87" s="36"/>
      <c r="AC87" s="24"/>
      <c r="AD87" s="25"/>
    </row>
    <row r="88" spans="1:30" x14ac:dyDescent="0.2">
      <c r="A88" s="36"/>
      <c r="AC88" s="24"/>
      <c r="AD88" s="25"/>
    </row>
    <row r="89" spans="1:30" x14ac:dyDescent="0.2">
      <c r="A89" s="36"/>
      <c r="AC89" s="24"/>
      <c r="AD89" s="25"/>
    </row>
    <row r="90" spans="1:30" x14ac:dyDescent="0.2">
      <c r="A90" s="36"/>
      <c r="AC90" s="24"/>
      <c r="AD90" s="25"/>
    </row>
    <row r="91" spans="1:30" x14ac:dyDescent="0.2">
      <c r="A91" s="36"/>
      <c r="AC91" s="24"/>
      <c r="AD91" s="25"/>
    </row>
    <row r="92" spans="1:30" x14ac:dyDescent="0.2">
      <c r="A92" s="36"/>
      <c r="AC92" s="24"/>
      <c r="AD92" s="25"/>
    </row>
    <row r="93" spans="1:30" x14ac:dyDescent="0.2">
      <c r="A93" s="36"/>
      <c r="AC93" s="24"/>
      <c r="AD93" s="25"/>
    </row>
    <row r="94" spans="1:30" x14ac:dyDescent="0.2">
      <c r="A94" s="36"/>
      <c r="AC94" s="24"/>
      <c r="AD94" s="25"/>
    </row>
    <row r="95" spans="1:30" x14ac:dyDescent="0.2">
      <c r="A95" s="36"/>
      <c r="AC95" s="24"/>
      <c r="AD95" s="25"/>
    </row>
    <row r="96" spans="1:30" x14ac:dyDescent="0.2">
      <c r="A96" s="36"/>
      <c r="AC96" s="24"/>
      <c r="AD96" s="25"/>
    </row>
    <row r="97" spans="1:30" x14ac:dyDescent="0.2">
      <c r="A97" s="36"/>
      <c r="AC97" s="24"/>
      <c r="AD97" s="25"/>
    </row>
    <row r="98" spans="1:30" x14ac:dyDescent="0.2">
      <c r="A98" s="36"/>
      <c r="AC98" s="24"/>
      <c r="AD98" s="25"/>
    </row>
    <row r="99" spans="1:30" x14ac:dyDescent="0.2">
      <c r="A99" s="36"/>
      <c r="AC99" s="24"/>
      <c r="AD99" s="25"/>
    </row>
    <row r="100" spans="1:30" x14ac:dyDescent="0.2">
      <c r="A100" s="36"/>
      <c r="AC100" s="24"/>
      <c r="AD100" s="25"/>
    </row>
    <row r="101" spans="1:30" x14ac:dyDescent="0.2">
      <c r="A101" s="36"/>
      <c r="AC101" s="24"/>
      <c r="AD101" s="25"/>
    </row>
    <row r="102" spans="1:30" x14ac:dyDescent="0.2">
      <c r="A102" s="36"/>
      <c r="AC102" s="24"/>
      <c r="AD102" s="25"/>
    </row>
    <row r="103" spans="1:30" x14ac:dyDescent="0.2">
      <c r="A103" s="36"/>
      <c r="AC103" s="24"/>
      <c r="AD103" s="25"/>
    </row>
    <row r="104" spans="1:30" x14ac:dyDescent="0.2">
      <c r="A104" s="36"/>
      <c r="AC104" s="24"/>
      <c r="AD104" s="25"/>
    </row>
    <row r="105" spans="1:30" x14ac:dyDescent="0.2">
      <c r="A105" s="36"/>
      <c r="AC105" s="24"/>
      <c r="AD105" s="25"/>
    </row>
    <row r="106" spans="1:30" x14ac:dyDescent="0.2">
      <c r="A106" s="36"/>
      <c r="AC106" s="24"/>
      <c r="AD106" s="25"/>
    </row>
    <row r="107" spans="1:30" x14ac:dyDescent="0.2">
      <c r="A107" s="36"/>
      <c r="AC107" s="24"/>
      <c r="AD107" s="25"/>
    </row>
    <row r="108" spans="1:30" x14ac:dyDescent="0.2">
      <c r="A108" s="36"/>
      <c r="AC108" s="24"/>
      <c r="AD108" s="25"/>
    </row>
    <row r="109" spans="1:30" x14ac:dyDescent="0.2">
      <c r="A109" s="36"/>
      <c r="AC109" s="24"/>
      <c r="AD109" s="25"/>
    </row>
    <row r="110" spans="1:30" x14ac:dyDescent="0.2">
      <c r="A110" s="36"/>
      <c r="AC110" s="24"/>
      <c r="AD110" s="25"/>
    </row>
    <row r="111" spans="1:30" x14ac:dyDescent="0.2">
      <c r="A111" s="36"/>
      <c r="AC111" s="24"/>
      <c r="AD111" s="25"/>
    </row>
    <row r="112" spans="1:30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BetList!betanalysis_2019_05_20T21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2019-05-22T05:03:09Z</dcterms:modified>
</cp:coreProperties>
</file>