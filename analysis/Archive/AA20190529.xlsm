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definedNames>
    <definedName name="_xlnm._FilterDatabase" localSheetId="1" hidden="1">BetList!$A$10:$AJ$1082</definedName>
    <definedName name="betanalysis_2019_05_28T21" localSheetId="1">BetList!$B$11:$AB$170</definedName>
  </definedNames>
  <calcPr calcId="145621"/>
</workbook>
</file>

<file path=xl/calcChain.xml><?xml version="1.0" encoding="utf-8"?>
<calcChain xmlns="http://schemas.openxmlformats.org/spreadsheetml/2006/main">
  <c r="AG170" i="1" l="1"/>
  <c r="AJ170" i="1" s="1"/>
  <c r="AF170" i="1"/>
  <c r="AI170" i="1" s="1"/>
  <c r="AE170" i="1"/>
  <c r="AH170" i="1" s="1"/>
  <c r="AD170" i="1"/>
  <c r="AC170" i="1"/>
  <c r="AG169" i="1"/>
  <c r="AJ169" i="1" s="1"/>
  <c r="AF169" i="1"/>
  <c r="AI169" i="1" s="1"/>
  <c r="AE169" i="1"/>
  <c r="AH169" i="1" s="1"/>
  <c r="AD169" i="1"/>
  <c r="AC169" i="1"/>
  <c r="AG168" i="1"/>
  <c r="AJ168" i="1" s="1"/>
  <c r="AF168" i="1"/>
  <c r="AI168" i="1" s="1"/>
  <c r="AE168" i="1"/>
  <c r="AH168" i="1" s="1"/>
  <c r="AD168" i="1"/>
  <c r="AC168" i="1"/>
  <c r="AG167" i="1"/>
  <c r="AJ167" i="1" s="1"/>
  <c r="AF167" i="1"/>
  <c r="AI167" i="1" s="1"/>
  <c r="AE167" i="1"/>
  <c r="AH167" i="1" s="1"/>
  <c r="AD167" i="1"/>
  <c r="AC167" i="1"/>
  <c r="AG166" i="1"/>
  <c r="AJ166" i="1" s="1"/>
  <c r="AF166" i="1"/>
  <c r="AI166" i="1" s="1"/>
  <c r="AE166" i="1"/>
  <c r="AH166" i="1" s="1"/>
  <c r="AD166" i="1"/>
  <c r="AC166" i="1"/>
  <c r="AG165" i="1"/>
  <c r="AJ165" i="1" s="1"/>
  <c r="AF165" i="1"/>
  <c r="AI165" i="1" s="1"/>
  <c r="AE165" i="1"/>
  <c r="AH165" i="1" s="1"/>
  <c r="AD165" i="1"/>
  <c r="AC165" i="1"/>
  <c r="AG164" i="1"/>
  <c r="AJ164" i="1" s="1"/>
  <c r="AF164" i="1"/>
  <c r="AI164" i="1" s="1"/>
  <c r="AE164" i="1"/>
  <c r="AH164" i="1" s="1"/>
  <c r="AD164" i="1"/>
  <c r="AC164" i="1"/>
  <c r="AG163" i="1"/>
  <c r="AJ163" i="1" s="1"/>
  <c r="AF163" i="1"/>
  <c r="AI163" i="1" s="1"/>
  <c r="AE163" i="1"/>
  <c r="AH163" i="1" s="1"/>
  <c r="AD163" i="1"/>
  <c r="AC163" i="1"/>
  <c r="AG162" i="1"/>
  <c r="AJ162" i="1" s="1"/>
  <c r="AF162" i="1"/>
  <c r="AI162" i="1" s="1"/>
  <c r="AE162" i="1"/>
  <c r="AH162" i="1" s="1"/>
  <c r="AD162" i="1"/>
  <c r="AC162" i="1"/>
  <c r="AG161" i="1"/>
  <c r="AJ161" i="1" s="1"/>
  <c r="AF161" i="1"/>
  <c r="AI161" i="1" s="1"/>
  <c r="AE161" i="1"/>
  <c r="AH161" i="1" s="1"/>
  <c r="AD161" i="1"/>
  <c r="AC161" i="1"/>
  <c r="AG160" i="1"/>
  <c r="AJ160" i="1" s="1"/>
  <c r="AF160" i="1"/>
  <c r="AI160" i="1" s="1"/>
  <c r="AE160" i="1"/>
  <c r="AH160" i="1" s="1"/>
  <c r="AD160" i="1"/>
  <c r="AC160" i="1"/>
  <c r="AG159" i="1"/>
  <c r="AJ159" i="1" s="1"/>
  <c r="AF159" i="1"/>
  <c r="AI159" i="1" s="1"/>
  <c r="AE159" i="1"/>
  <c r="AH159" i="1" s="1"/>
  <c r="AD159" i="1"/>
  <c r="AC159" i="1"/>
  <c r="AG158" i="1"/>
  <c r="AJ158" i="1" s="1"/>
  <c r="AF158" i="1"/>
  <c r="AI158" i="1" s="1"/>
  <c r="AE158" i="1"/>
  <c r="AH158" i="1" s="1"/>
  <c r="AD158" i="1"/>
  <c r="AC158" i="1"/>
  <c r="AG157" i="1"/>
  <c r="AJ157" i="1" s="1"/>
  <c r="AF157" i="1"/>
  <c r="AI157" i="1" s="1"/>
  <c r="AE157" i="1"/>
  <c r="AH157" i="1" s="1"/>
  <c r="AD157" i="1"/>
  <c r="AC157" i="1"/>
  <c r="AG156" i="1"/>
  <c r="AJ156" i="1" s="1"/>
  <c r="AF156" i="1"/>
  <c r="AI156" i="1" s="1"/>
  <c r="AE156" i="1"/>
  <c r="AH156" i="1" s="1"/>
  <c r="AD156" i="1"/>
  <c r="AC156" i="1"/>
  <c r="AG155" i="1"/>
  <c r="AJ155" i="1" s="1"/>
  <c r="AF155" i="1"/>
  <c r="AI155" i="1" s="1"/>
  <c r="AE155" i="1"/>
  <c r="AH155" i="1" s="1"/>
  <c r="AD155" i="1"/>
  <c r="AC155" i="1"/>
  <c r="AG154" i="1"/>
  <c r="AJ154" i="1" s="1"/>
  <c r="AF154" i="1"/>
  <c r="AI154" i="1" s="1"/>
  <c r="AE154" i="1"/>
  <c r="AH154" i="1" s="1"/>
  <c r="AD154" i="1"/>
  <c r="AC154" i="1"/>
  <c r="AG153" i="1"/>
  <c r="AJ153" i="1" s="1"/>
  <c r="AF153" i="1"/>
  <c r="AI153" i="1" s="1"/>
  <c r="AE153" i="1"/>
  <c r="AH153" i="1" s="1"/>
  <c r="AD153" i="1"/>
  <c r="AC153" i="1"/>
  <c r="AG152" i="1"/>
  <c r="AJ152" i="1" s="1"/>
  <c r="AF152" i="1"/>
  <c r="AI152" i="1" s="1"/>
  <c r="AE152" i="1"/>
  <c r="AH152" i="1" s="1"/>
  <c r="AD152" i="1"/>
  <c r="AC152" i="1"/>
  <c r="AG151" i="1"/>
  <c r="AJ151" i="1" s="1"/>
  <c r="AF151" i="1"/>
  <c r="AI151" i="1" s="1"/>
  <c r="AE151" i="1"/>
  <c r="AH151" i="1" s="1"/>
  <c r="AD151" i="1"/>
  <c r="AC151" i="1"/>
  <c r="AG150" i="1"/>
  <c r="AJ150" i="1" s="1"/>
  <c r="AF150" i="1"/>
  <c r="AI150" i="1" s="1"/>
  <c r="AE150" i="1"/>
  <c r="AH150" i="1" s="1"/>
  <c r="AD150" i="1"/>
  <c r="AC150" i="1"/>
  <c r="AG149" i="1"/>
  <c r="AJ149" i="1" s="1"/>
  <c r="AF149" i="1"/>
  <c r="AI149" i="1" s="1"/>
  <c r="AE149" i="1"/>
  <c r="AH149" i="1" s="1"/>
  <c r="AD149" i="1"/>
  <c r="AC149" i="1"/>
  <c r="AG148" i="1"/>
  <c r="AJ148" i="1" s="1"/>
  <c r="AF148" i="1"/>
  <c r="AI148" i="1" s="1"/>
  <c r="AE148" i="1"/>
  <c r="AH148" i="1" s="1"/>
  <c r="AD148" i="1"/>
  <c r="AC148" i="1"/>
  <c r="AG147" i="1"/>
  <c r="AJ147" i="1" s="1"/>
  <c r="AF147" i="1"/>
  <c r="AI147" i="1" s="1"/>
  <c r="AE147" i="1"/>
  <c r="AH147" i="1" s="1"/>
  <c r="AD147" i="1"/>
  <c r="AC147" i="1"/>
  <c r="AG146" i="1"/>
  <c r="AJ146" i="1" s="1"/>
  <c r="AF146" i="1"/>
  <c r="AI146" i="1" s="1"/>
  <c r="AE146" i="1"/>
  <c r="AH146" i="1" s="1"/>
  <c r="AD146" i="1"/>
  <c r="AC146" i="1"/>
  <c r="AG145" i="1"/>
  <c r="AJ145" i="1" s="1"/>
  <c r="AF145" i="1"/>
  <c r="AI145" i="1" s="1"/>
  <c r="AE145" i="1"/>
  <c r="AH145" i="1" s="1"/>
  <c r="AD145" i="1"/>
  <c r="AC145" i="1"/>
  <c r="AG144" i="1"/>
  <c r="AJ144" i="1" s="1"/>
  <c r="AF144" i="1"/>
  <c r="AI144" i="1" s="1"/>
  <c r="AE144" i="1"/>
  <c r="AH144" i="1" s="1"/>
  <c r="AD144" i="1"/>
  <c r="AC144" i="1"/>
  <c r="AG143" i="1"/>
  <c r="AJ143" i="1" s="1"/>
  <c r="AF143" i="1"/>
  <c r="AI143" i="1" s="1"/>
  <c r="AE143" i="1"/>
  <c r="AH143" i="1" s="1"/>
  <c r="AD143" i="1"/>
  <c r="AC143" i="1"/>
  <c r="AG142" i="1"/>
  <c r="AJ142" i="1" s="1"/>
  <c r="AF142" i="1"/>
  <c r="AI142" i="1" s="1"/>
  <c r="AE142" i="1"/>
  <c r="AH142" i="1" s="1"/>
  <c r="AD142" i="1"/>
  <c r="AC142" i="1"/>
  <c r="AG141" i="1"/>
  <c r="AJ141" i="1" s="1"/>
  <c r="AF141" i="1"/>
  <c r="AI141" i="1" s="1"/>
  <c r="AE141" i="1"/>
  <c r="AH141" i="1" s="1"/>
  <c r="AD141" i="1"/>
  <c r="AC141" i="1"/>
  <c r="AG140" i="1"/>
  <c r="AJ140" i="1" s="1"/>
  <c r="AF140" i="1"/>
  <c r="AI140" i="1" s="1"/>
  <c r="AE140" i="1"/>
  <c r="AH140" i="1" s="1"/>
  <c r="AD140" i="1"/>
  <c r="AC140" i="1"/>
  <c r="AG139" i="1"/>
  <c r="AJ139" i="1" s="1"/>
  <c r="AF139" i="1"/>
  <c r="AI139" i="1" s="1"/>
  <c r="AE139" i="1"/>
  <c r="AH139" i="1" s="1"/>
  <c r="AD139" i="1"/>
  <c r="AC139" i="1"/>
  <c r="AG138" i="1"/>
  <c r="AJ138" i="1" s="1"/>
  <c r="AF138" i="1"/>
  <c r="AI138" i="1" s="1"/>
  <c r="AE138" i="1"/>
  <c r="AH138" i="1" s="1"/>
  <c r="AD138" i="1"/>
  <c r="AC138" i="1"/>
  <c r="AG137" i="1"/>
  <c r="AJ137" i="1" s="1"/>
  <c r="AF137" i="1"/>
  <c r="AI137" i="1" s="1"/>
  <c r="AE137" i="1"/>
  <c r="AH137" i="1" s="1"/>
  <c r="AD137" i="1"/>
  <c r="AC137" i="1"/>
  <c r="AG136" i="1"/>
  <c r="AJ136" i="1" s="1"/>
  <c r="AF136" i="1"/>
  <c r="AI136" i="1" s="1"/>
  <c r="AE136" i="1"/>
  <c r="AH136" i="1" s="1"/>
  <c r="AD136" i="1"/>
  <c r="AC136" i="1"/>
  <c r="AG135" i="1"/>
  <c r="AJ135" i="1" s="1"/>
  <c r="AF135" i="1"/>
  <c r="AI135" i="1" s="1"/>
  <c r="AE135" i="1"/>
  <c r="AH135" i="1" s="1"/>
  <c r="AD135" i="1"/>
  <c r="AC135" i="1"/>
  <c r="AG134" i="1"/>
  <c r="AJ134" i="1" s="1"/>
  <c r="AF134" i="1"/>
  <c r="AI134" i="1" s="1"/>
  <c r="AE134" i="1"/>
  <c r="AH134" i="1" s="1"/>
  <c r="AD134" i="1"/>
  <c r="AC134" i="1"/>
  <c r="AG133" i="1"/>
  <c r="AJ133" i="1" s="1"/>
  <c r="AF133" i="1"/>
  <c r="AI133" i="1" s="1"/>
  <c r="AE133" i="1"/>
  <c r="AH133" i="1" s="1"/>
  <c r="AD133" i="1"/>
  <c r="AC133" i="1"/>
  <c r="AG132" i="1"/>
  <c r="AJ132" i="1" s="1"/>
  <c r="AF132" i="1"/>
  <c r="AI132" i="1" s="1"/>
  <c r="AE132" i="1"/>
  <c r="AH132" i="1" s="1"/>
  <c r="AD132" i="1"/>
  <c r="AC132" i="1"/>
  <c r="AG131" i="1"/>
  <c r="AJ131" i="1" s="1"/>
  <c r="AF131" i="1"/>
  <c r="AI131" i="1" s="1"/>
  <c r="AE131" i="1"/>
  <c r="AH131" i="1" s="1"/>
  <c r="AD131" i="1"/>
  <c r="AC131" i="1"/>
  <c r="AG130" i="1"/>
  <c r="AJ130" i="1" s="1"/>
  <c r="AF130" i="1"/>
  <c r="AI130" i="1" s="1"/>
  <c r="AE130" i="1"/>
  <c r="AH130" i="1" s="1"/>
  <c r="AD130" i="1"/>
  <c r="AC130" i="1"/>
  <c r="AG129" i="1"/>
  <c r="AJ129" i="1" s="1"/>
  <c r="AF129" i="1"/>
  <c r="AI129" i="1" s="1"/>
  <c r="AE129" i="1"/>
  <c r="AH129" i="1" s="1"/>
  <c r="AD129" i="1"/>
  <c r="AC129" i="1"/>
  <c r="AG128" i="1"/>
  <c r="AJ128" i="1" s="1"/>
  <c r="AF128" i="1"/>
  <c r="AI128" i="1" s="1"/>
  <c r="AE128" i="1"/>
  <c r="AH128" i="1" s="1"/>
  <c r="AD128" i="1"/>
  <c r="AC128" i="1"/>
  <c r="AG127" i="1"/>
  <c r="AJ127" i="1" s="1"/>
  <c r="AF127" i="1"/>
  <c r="AI127" i="1" s="1"/>
  <c r="AE127" i="1"/>
  <c r="AH127" i="1" s="1"/>
  <c r="AD127" i="1"/>
  <c r="AC127" i="1"/>
  <c r="AG126" i="1"/>
  <c r="AJ126" i="1" s="1"/>
  <c r="AF126" i="1"/>
  <c r="AI126" i="1" s="1"/>
  <c r="AE126" i="1"/>
  <c r="AH126" i="1" s="1"/>
  <c r="AD126" i="1"/>
  <c r="AC126" i="1"/>
  <c r="AG125" i="1"/>
  <c r="AJ125" i="1" s="1"/>
  <c r="AF125" i="1"/>
  <c r="AI125" i="1" s="1"/>
  <c r="AE125" i="1"/>
  <c r="AH125" i="1" s="1"/>
  <c r="AD125" i="1"/>
  <c r="AC125" i="1"/>
  <c r="AG124" i="1"/>
  <c r="AJ124" i="1" s="1"/>
  <c r="AF124" i="1"/>
  <c r="AI124" i="1" s="1"/>
  <c r="AE124" i="1"/>
  <c r="AH124" i="1" s="1"/>
  <c r="AD124" i="1"/>
  <c r="AC124" i="1"/>
  <c r="AG123" i="1"/>
  <c r="AJ123" i="1" s="1"/>
  <c r="AF123" i="1"/>
  <c r="AI123" i="1" s="1"/>
  <c r="AE123" i="1"/>
  <c r="AH123" i="1" s="1"/>
  <c r="AD123" i="1"/>
  <c r="AC123" i="1"/>
  <c r="AG122" i="1"/>
  <c r="AJ122" i="1" s="1"/>
  <c r="AF122" i="1"/>
  <c r="AI122" i="1" s="1"/>
  <c r="AE122" i="1"/>
  <c r="AH122" i="1" s="1"/>
  <c r="AD122" i="1"/>
  <c r="AC122" i="1"/>
  <c r="AG121" i="1"/>
  <c r="AJ121" i="1" s="1"/>
  <c r="AF121" i="1"/>
  <c r="AI121" i="1" s="1"/>
  <c r="AE121" i="1"/>
  <c r="AH121" i="1" s="1"/>
  <c r="AD121" i="1"/>
  <c r="AC121" i="1"/>
  <c r="AG120" i="1"/>
  <c r="AJ120" i="1" s="1"/>
  <c r="AF120" i="1"/>
  <c r="AI120" i="1" s="1"/>
  <c r="AE120" i="1"/>
  <c r="AH120" i="1" s="1"/>
  <c r="AD120" i="1"/>
  <c r="AC120" i="1"/>
  <c r="AG119" i="1"/>
  <c r="AJ119" i="1" s="1"/>
  <c r="AF119" i="1"/>
  <c r="AI119" i="1" s="1"/>
  <c r="AE119" i="1"/>
  <c r="AH119" i="1" s="1"/>
  <c r="AD119" i="1"/>
  <c r="AC119" i="1"/>
  <c r="AG118" i="1"/>
  <c r="AJ118" i="1" s="1"/>
  <c r="AF118" i="1"/>
  <c r="AI118" i="1" s="1"/>
  <c r="AE118" i="1"/>
  <c r="AH118" i="1" s="1"/>
  <c r="AD118" i="1"/>
  <c r="AC118" i="1"/>
  <c r="AG117" i="1"/>
  <c r="AJ117" i="1" s="1"/>
  <c r="AF117" i="1"/>
  <c r="AI117" i="1" s="1"/>
  <c r="AE117" i="1"/>
  <c r="AH117" i="1" s="1"/>
  <c r="AD117" i="1"/>
  <c r="AC117" i="1"/>
  <c r="AG116" i="1"/>
  <c r="AJ116" i="1" s="1"/>
  <c r="AF116" i="1"/>
  <c r="AI116" i="1" s="1"/>
  <c r="AE116" i="1"/>
  <c r="AH116" i="1" s="1"/>
  <c r="AD116" i="1"/>
  <c r="AC116" i="1"/>
  <c r="AG115" i="1"/>
  <c r="AJ115" i="1" s="1"/>
  <c r="AF115" i="1"/>
  <c r="AI115" i="1" s="1"/>
  <c r="AE115" i="1"/>
  <c r="AH115" i="1" s="1"/>
  <c r="AD115" i="1"/>
  <c r="AC115" i="1"/>
  <c r="AG114" i="1"/>
  <c r="AJ114" i="1" s="1"/>
  <c r="AF114" i="1"/>
  <c r="AI114" i="1" s="1"/>
  <c r="AE114" i="1"/>
  <c r="AH114" i="1" s="1"/>
  <c r="AD114" i="1"/>
  <c r="AC114" i="1"/>
  <c r="AG113" i="1"/>
  <c r="AJ113" i="1" s="1"/>
  <c r="AF113" i="1"/>
  <c r="AI113" i="1" s="1"/>
  <c r="AE113" i="1"/>
  <c r="AH113" i="1" s="1"/>
  <c r="AD113" i="1"/>
  <c r="AC113" i="1"/>
  <c r="AG112" i="1"/>
  <c r="AJ112" i="1" s="1"/>
  <c r="AF112" i="1"/>
  <c r="AI112" i="1" s="1"/>
  <c r="AE112" i="1"/>
  <c r="AH112" i="1" s="1"/>
  <c r="AD112" i="1"/>
  <c r="AC112" i="1"/>
  <c r="AG111" i="1"/>
  <c r="AJ111" i="1" s="1"/>
  <c r="AF111" i="1"/>
  <c r="AI111" i="1" s="1"/>
  <c r="AE111" i="1"/>
  <c r="AH111" i="1" s="1"/>
  <c r="AD111" i="1"/>
  <c r="AC111" i="1"/>
  <c r="AG110" i="1"/>
  <c r="AJ110" i="1" s="1"/>
  <c r="AF110" i="1"/>
  <c r="AI110" i="1" s="1"/>
  <c r="AE110" i="1"/>
  <c r="AH110" i="1" s="1"/>
  <c r="AD110" i="1"/>
  <c r="AC110" i="1"/>
  <c r="AG109" i="1"/>
  <c r="AJ109" i="1" s="1"/>
  <c r="AF109" i="1"/>
  <c r="AI109" i="1" s="1"/>
  <c r="AE109" i="1"/>
  <c r="AH109" i="1" s="1"/>
  <c r="AD109" i="1"/>
  <c r="AC109" i="1"/>
  <c r="AG108" i="1"/>
  <c r="AJ108" i="1" s="1"/>
  <c r="AF108" i="1"/>
  <c r="AI108" i="1" s="1"/>
  <c r="AE108" i="1"/>
  <c r="AH108" i="1" s="1"/>
  <c r="AD108" i="1"/>
  <c r="AC108" i="1"/>
  <c r="AG107" i="1"/>
  <c r="AJ107" i="1" s="1"/>
  <c r="AF107" i="1"/>
  <c r="AI107" i="1" s="1"/>
  <c r="AE107" i="1"/>
  <c r="AH107" i="1" s="1"/>
  <c r="AD107" i="1"/>
  <c r="AC107" i="1"/>
  <c r="AG106" i="1"/>
  <c r="AJ106" i="1" s="1"/>
  <c r="AF106" i="1"/>
  <c r="AI106" i="1" s="1"/>
  <c r="AE106" i="1"/>
  <c r="AH106" i="1" s="1"/>
  <c r="AD106" i="1"/>
  <c r="AC106" i="1"/>
  <c r="AG105" i="1"/>
  <c r="AJ105" i="1" s="1"/>
  <c r="AF105" i="1"/>
  <c r="AI105" i="1" s="1"/>
  <c r="AE105" i="1"/>
  <c r="AH105" i="1" s="1"/>
  <c r="AD105" i="1"/>
  <c r="AC105" i="1"/>
  <c r="AG104" i="1"/>
  <c r="AJ104" i="1" s="1"/>
  <c r="AF104" i="1"/>
  <c r="AI104" i="1" s="1"/>
  <c r="AE104" i="1"/>
  <c r="AH104" i="1" s="1"/>
  <c r="AD104" i="1"/>
  <c r="AC104" i="1"/>
  <c r="AG103" i="1"/>
  <c r="AJ103" i="1" s="1"/>
  <c r="AF103" i="1"/>
  <c r="AI103" i="1" s="1"/>
  <c r="AE103" i="1"/>
  <c r="AH103" i="1" s="1"/>
  <c r="AD103" i="1"/>
  <c r="AC103" i="1"/>
  <c r="AG102" i="1"/>
  <c r="AJ102" i="1" s="1"/>
  <c r="AF102" i="1"/>
  <c r="AI102" i="1" s="1"/>
  <c r="AE102" i="1"/>
  <c r="AH102" i="1" s="1"/>
  <c r="AD102" i="1"/>
  <c r="AC102" i="1"/>
  <c r="AG101" i="1"/>
  <c r="AJ101" i="1" s="1"/>
  <c r="AF101" i="1"/>
  <c r="AI101" i="1" s="1"/>
  <c r="AE101" i="1"/>
  <c r="AH101" i="1" s="1"/>
  <c r="AD101" i="1"/>
  <c r="AC101" i="1"/>
  <c r="AG100" i="1"/>
  <c r="AJ100" i="1" s="1"/>
  <c r="AF100" i="1"/>
  <c r="AI100" i="1" s="1"/>
  <c r="AE100" i="1"/>
  <c r="AH100" i="1" s="1"/>
  <c r="AD100" i="1"/>
  <c r="AC100" i="1"/>
  <c r="AG99" i="1"/>
  <c r="AJ99" i="1" s="1"/>
  <c r="AF99" i="1"/>
  <c r="AI99" i="1" s="1"/>
  <c r="AE99" i="1"/>
  <c r="AH99" i="1" s="1"/>
  <c r="AD99" i="1"/>
  <c r="AC99" i="1"/>
  <c r="AG98" i="1"/>
  <c r="AJ98" i="1" s="1"/>
  <c r="AF98" i="1"/>
  <c r="AI98" i="1" s="1"/>
  <c r="AE98" i="1"/>
  <c r="AH98" i="1" s="1"/>
  <c r="AD98" i="1"/>
  <c r="AC98" i="1"/>
  <c r="AH97" i="1"/>
  <c r="AG97" i="1"/>
  <c r="AJ97" i="1" s="1"/>
  <c r="AF97" i="1"/>
  <c r="AI97" i="1" s="1"/>
  <c r="AE97" i="1"/>
  <c r="AD97" i="1"/>
  <c r="AC97" i="1"/>
  <c r="AG96" i="1"/>
  <c r="AJ96" i="1" s="1"/>
  <c r="AF96" i="1"/>
  <c r="AI96" i="1" s="1"/>
  <c r="AE96" i="1"/>
  <c r="AH96" i="1" s="1"/>
  <c r="AD96" i="1"/>
  <c r="AC96" i="1"/>
  <c r="AG95" i="1"/>
  <c r="AJ95" i="1" s="1"/>
  <c r="AF95" i="1"/>
  <c r="AI95" i="1" s="1"/>
  <c r="AE95" i="1"/>
  <c r="AH95" i="1" s="1"/>
  <c r="AD95" i="1"/>
  <c r="AC95" i="1"/>
  <c r="AG94" i="1"/>
  <c r="AJ94" i="1" s="1"/>
  <c r="AF94" i="1"/>
  <c r="AI94" i="1" s="1"/>
  <c r="AE94" i="1"/>
  <c r="AH94" i="1" s="1"/>
  <c r="AD94" i="1"/>
  <c r="AC94" i="1"/>
  <c r="AG93" i="1"/>
  <c r="AJ93" i="1" s="1"/>
  <c r="AF93" i="1"/>
  <c r="AI93" i="1" s="1"/>
  <c r="AE93" i="1"/>
  <c r="AH93" i="1" s="1"/>
  <c r="AD93" i="1"/>
  <c r="AC93" i="1"/>
  <c r="AG92" i="1"/>
  <c r="AJ92" i="1" s="1"/>
  <c r="AF92" i="1"/>
  <c r="AI92" i="1" s="1"/>
  <c r="AE92" i="1"/>
  <c r="AH92" i="1" s="1"/>
  <c r="AD92" i="1"/>
  <c r="AC92" i="1"/>
  <c r="AG91" i="1"/>
  <c r="AJ91" i="1" s="1"/>
  <c r="AF91" i="1"/>
  <c r="AI91" i="1" s="1"/>
  <c r="AE91" i="1"/>
  <c r="AH91" i="1" s="1"/>
  <c r="AD91" i="1"/>
  <c r="AC91" i="1"/>
  <c r="AG90" i="1"/>
  <c r="AJ90" i="1" s="1"/>
  <c r="AF90" i="1"/>
  <c r="AI90" i="1" s="1"/>
  <c r="AE90" i="1"/>
  <c r="AH90" i="1" s="1"/>
  <c r="AD90" i="1"/>
  <c r="AC90" i="1"/>
  <c r="AG89" i="1"/>
  <c r="AJ89" i="1" s="1"/>
  <c r="AF89" i="1"/>
  <c r="AI89" i="1" s="1"/>
  <c r="AE89" i="1"/>
  <c r="AH89" i="1" s="1"/>
  <c r="AD89" i="1"/>
  <c r="AC89" i="1"/>
  <c r="AG88" i="1"/>
  <c r="AJ88" i="1" s="1"/>
  <c r="AF88" i="1"/>
  <c r="AI88" i="1" s="1"/>
  <c r="AE88" i="1"/>
  <c r="AH88" i="1" s="1"/>
  <c r="AD88" i="1"/>
  <c r="AC88" i="1"/>
  <c r="AG87" i="1"/>
  <c r="AJ87" i="1" s="1"/>
  <c r="AF87" i="1"/>
  <c r="AI87" i="1" s="1"/>
  <c r="AE87" i="1"/>
  <c r="AH87" i="1" s="1"/>
  <c r="AD87" i="1"/>
  <c r="AC87" i="1"/>
  <c r="AG86" i="1"/>
  <c r="AJ86" i="1" s="1"/>
  <c r="AF86" i="1"/>
  <c r="AI86" i="1" s="1"/>
  <c r="AE86" i="1"/>
  <c r="AH86" i="1" s="1"/>
  <c r="AD86" i="1"/>
  <c r="AC86" i="1"/>
  <c r="AG85" i="1"/>
  <c r="AJ85" i="1" s="1"/>
  <c r="AF85" i="1"/>
  <c r="AI85" i="1" s="1"/>
  <c r="AE85" i="1"/>
  <c r="AH85" i="1" s="1"/>
  <c r="AD85" i="1"/>
  <c r="AC85" i="1"/>
  <c r="AG84" i="1"/>
  <c r="AJ84" i="1" s="1"/>
  <c r="AF84" i="1"/>
  <c r="AI84" i="1" s="1"/>
  <c r="AE84" i="1"/>
  <c r="AH84" i="1" s="1"/>
  <c r="AD84" i="1"/>
  <c r="AC84" i="1"/>
  <c r="AG83" i="1"/>
  <c r="AJ83" i="1" s="1"/>
  <c r="AF83" i="1"/>
  <c r="AI83" i="1" s="1"/>
  <c r="AE83" i="1"/>
  <c r="AH83" i="1" s="1"/>
  <c r="AD83" i="1"/>
  <c r="AC83" i="1"/>
  <c r="AG82" i="1"/>
  <c r="AJ82" i="1" s="1"/>
  <c r="AF82" i="1"/>
  <c r="AI82" i="1" s="1"/>
  <c r="AE82" i="1"/>
  <c r="AH82" i="1" s="1"/>
  <c r="AD82" i="1"/>
  <c r="AC82" i="1"/>
  <c r="AG81" i="1"/>
  <c r="AJ81" i="1" s="1"/>
  <c r="AF81" i="1"/>
  <c r="AI81" i="1" s="1"/>
  <c r="AE81" i="1"/>
  <c r="AH81" i="1" s="1"/>
  <c r="AD81" i="1"/>
  <c r="AC81" i="1"/>
  <c r="AG80" i="1"/>
  <c r="AJ80" i="1" s="1"/>
  <c r="AF80" i="1"/>
  <c r="AI80" i="1" s="1"/>
  <c r="AE80" i="1"/>
  <c r="AH80" i="1" s="1"/>
  <c r="AD80" i="1"/>
  <c r="AC80" i="1"/>
  <c r="AG79" i="1"/>
  <c r="AJ79" i="1" s="1"/>
  <c r="AF79" i="1"/>
  <c r="AI79" i="1" s="1"/>
  <c r="AE79" i="1"/>
  <c r="AH79" i="1" s="1"/>
  <c r="AD79" i="1"/>
  <c r="AC79" i="1"/>
  <c r="AG78" i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G74" i="1"/>
  <c r="AJ74" i="1" s="1"/>
  <c r="AF74" i="1"/>
  <c r="AI74" i="1" s="1"/>
  <c r="AE74" i="1"/>
  <c r="AH74" i="1" s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H58" i="1"/>
  <c r="AG58" i="1"/>
  <c r="AJ58" i="1" s="1"/>
  <c r="AF58" i="1"/>
  <c r="AI58" i="1" s="1"/>
  <c r="AE58" i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B1" i="1" l="1"/>
  <c r="AI9" i="1" l="1"/>
  <c r="AG9" i="1"/>
  <c r="AJ9" i="1" s="1"/>
  <c r="AF9" i="1"/>
  <c r="AE9" i="1"/>
  <c r="AH9" i="1" s="1"/>
  <c r="AD9" i="1"/>
  <c r="AC9" i="1"/>
  <c r="AF3" i="1"/>
  <c r="AE3" i="1"/>
  <c r="AD5" i="1" l="1"/>
  <c r="AD6" i="1"/>
  <c r="AC6" i="1" s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H4" i="1" l="1"/>
  <c r="AG4" i="1"/>
  <c r="AI4" i="1"/>
  <c r="AJ4" i="1"/>
</calcChain>
</file>

<file path=xl/connections.xml><?xml version="1.0" encoding="utf-8"?>
<connections xmlns="http://schemas.openxmlformats.org/spreadsheetml/2006/main">
  <connection id="1" name="betanalysis_2019-05-28T21" type="6" refreshedVersion="4" background="1" saveData="1">
    <textPr sourceFile="D:\PunterTips\extracts - Analysis\betanalysis_2019-05-28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<sst xmlns="http://schemas.openxmlformats.org/spreadsheetml/2006/main" count="931" uniqueCount="682">
  <si>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</si>
  <si>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</si>
  <si>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</si>
  <si>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</si>
  <si>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</si>
  <si>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</si>
  <si>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</si>
  <si>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</si>
  <si>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</si>
  <si>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</si>
  <si>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</si>
  <si>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</si>
  <si>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</si>
  <si>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</si>
  <si>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</si>
  <si>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</si>
  <si>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</si>
  <si>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</si>
  <si>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</si>
  <si>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</si>
  <si>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</si>
  <si>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</si>
  <si>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</si>
  <si>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</si>
  <si>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</si>
  <si>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</si>
  <si>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</si>
  <si>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</si>
  <si>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</si>
  <si>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</si>
  <si>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</si>
  <si>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</si>
  <si>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</si>
  <si>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</si>
  <si>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</si>
  <si>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</si>
  <si>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</si>
  <si>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</si>
  <si>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</si>
  <si>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</si>
  <si>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</si>
  <si>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</si>
  <si>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</si>
  <si>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</si>
  <si>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</si>
  <si>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</si>
  <si>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</si>
  <si>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</si>
  <si>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</si>
  <si>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</si>
  <si>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</si>
  <si>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</si>
  <si>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</si>
  <si>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</si>
  <si>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</si>
  <si>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</si>
  <si>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</si>
  <si>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</si>
  <si>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</si>
  <si>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</si>
  <si>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</si>
  <si>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</si>
  <si>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</si>
  <si>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</si>
  <si>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</si>
  <si>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</si>
  <si>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</si>
  <si>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</si>
  <si>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</si>
  <si>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</si>
  <si>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</si>
  <si>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</si>
  <si>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</si>
  <si>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</si>
  <si>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</si>
  <si>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</si>
  <si>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</si>
  <si>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</si>
  <si>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</si>
  <si>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</si>
  <si>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</si>
  <si>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</si>
  <si>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</si>
  <si>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</si>
  <si>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</si>
  <si>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</si>
  <si>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</si>
  <si>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</si>
  <si>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</si>
  <si>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</si>
  <si>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</si>
  <si>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</si>
  <si>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</si>
  <si>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</si>
  <si>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</si>
  <si>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</si>
  <si>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</si>
  <si>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</si>
  <si>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</si>
  <si>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</si>
  <si>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</si>
  <si>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</si>
  <si>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</si>
  <si>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</si>
  <si>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</si>
  <si>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</si>
  <si>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USA</t>
  </si>
  <si>
    <t>USL League Two 2019</t>
  </si>
  <si>
    <t>St. Louis Lions-WSA Winnipeg</t>
  </si>
  <si>
    <t>St. Louis Lions</t>
  </si>
  <si>
    <t>WSA Winnipeg</t>
  </si>
  <si>
    <t>Brazil</t>
  </si>
  <si>
    <t>Serie B</t>
  </si>
  <si>
    <t>Operario-Sport Recife</t>
  </si>
  <si>
    <t>Operario</t>
  </si>
  <si>
    <t>Sport Recife</t>
  </si>
  <si>
    <t>South America</t>
  </si>
  <si>
    <t>Copa Sudamericana</t>
  </si>
  <si>
    <t>Colon Santa FE (Arg) -River Plate (Uru)</t>
  </si>
  <si>
    <t>Colon Santa FE (Arg)</t>
  </si>
  <si>
    <t>River Plate (Uru)</t>
  </si>
  <si>
    <t>Independiente (Arg) -Aguilas (Col)</t>
  </si>
  <si>
    <t>Independiente (Arg)</t>
  </si>
  <si>
    <t>Aguilas (Col)</t>
  </si>
  <si>
    <t>FBC Melgar (Per) -U. Catolica (Ecu)</t>
  </si>
  <si>
    <t>FBC Melgar (Per)</t>
  </si>
  <si>
    <t>U. Catolica (Ecu)</t>
  </si>
  <si>
    <t>North Carolina II-Carolina Dynamo</t>
  </si>
  <si>
    <t>North Carolina II</t>
  </si>
  <si>
    <t>Carolina Dynamo</t>
  </si>
  <si>
    <t>Bantams-Discoveries</t>
  </si>
  <si>
    <t>Bantams</t>
  </si>
  <si>
    <t>Discoveries</t>
  </si>
  <si>
    <t>Cedar-Reading</t>
  </si>
  <si>
    <t>Cedar</t>
  </si>
  <si>
    <t>Reading</t>
  </si>
  <si>
    <t>Chicago United-Flint City</t>
  </si>
  <si>
    <t>Chicago United</t>
  </si>
  <si>
    <t>Flint City</t>
  </si>
  <si>
    <t>Argentina</t>
  </si>
  <si>
    <t>Primera B Metropolitana</t>
  </si>
  <si>
    <t>All Boys-Acassuso</t>
  </si>
  <si>
    <t>All Boys</t>
  </si>
  <si>
    <t>Acassuso</t>
  </si>
  <si>
    <t>Guarani-Brasil de Pelotas</t>
  </si>
  <si>
    <t>Guarani</t>
  </si>
  <si>
    <t>Brasil de Pelotas</t>
  </si>
  <si>
    <t>Sporting Cristal (Per) -U. Espanola (Chi)</t>
  </si>
  <si>
    <t>Sporting Cristal (Per)</t>
  </si>
  <si>
    <t>U. Espanola (Chi)</t>
  </si>
  <si>
    <t>Atletico MG (Bra) -Union La Calera (Chi)</t>
  </si>
  <si>
    <t>Atletico MG (Bra)</t>
  </si>
  <si>
    <t>Union La Calera (Chi)</t>
  </si>
  <si>
    <t>US Open Cup</t>
  </si>
  <si>
    <t>Oklahoma City Energy-Tampa Bay</t>
  </si>
  <si>
    <t>Oklahoma City Energy</t>
  </si>
  <si>
    <t>Tampa Bay</t>
  </si>
  <si>
    <t>Philippines</t>
  </si>
  <si>
    <t>PFL</t>
  </si>
  <si>
    <t>Stallion-Kaya</t>
  </si>
  <si>
    <t>Stallion</t>
  </si>
  <si>
    <t>Kaya</t>
  </si>
  <si>
    <t>Philippine Air Force-Ceres</t>
  </si>
  <si>
    <t>Philippine Air Force</t>
  </si>
  <si>
    <t>Ceres</t>
  </si>
  <si>
    <t>Russia</t>
  </si>
  <si>
    <t>PFL - Ural-Povolzhye</t>
  </si>
  <si>
    <t>Ural 2-Lada Togliatti</t>
  </si>
  <si>
    <t>Ural 2</t>
  </si>
  <si>
    <t>Lada Togliatti</t>
  </si>
  <si>
    <t>Ukraine</t>
  </si>
  <si>
    <t>Youth League</t>
  </si>
  <si>
    <t>Vorskla Poltava U21-Zorya U21</t>
  </si>
  <si>
    <t>Vorskla Poltava U21</t>
  </si>
  <si>
    <t>Zorya U21</t>
  </si>
  <si>
    <t>Arsenal Kiev U21-Shakhtar Donetsk U21</t>
  </si>
  <si>
    <t>Arsenal Kiev U21</t>
  </si>
  <si>
    <t>Shakhtar Donetsk U21</t>
  </si>
  <si>
    <t>Australia</t>
  </si>
  <si>
    <t>NPL Queensland</t>
  </si>
  <si>
    <t>Gold Coast-Eastern Suburbs</t>
  </si>
  <si>
    <t>Gold Coast</t>
  </si>
  <si>
    <t>Eastern Suburbs</t>
  </si>
  <si>
    <t>Brisbane City-Peninsula</t>
  </si>
  <si>
    <t>Brisbane City</t>
  </si>
  <si>
    <t>Peninsula</t>
  </si>
  <si>
    <t>Brisbane U21-Redlands</t>
  </si>
  <si>
    <t>Brisbane U21</t>
  </si>
  <si>
    <t>Redlands</t>
  </si>
  <si>
    <t>Moreton Bay Utd-Queensland Lions</t>
  </si>
  <si>
    <t>Moreton Bay Utd</t>
  </si>
  <si>
    <t>Queensland Lions</t>
  </si>
  <si>
    <t>China</t>
  </si>
  <si>
    <t>FA Cup</t>
  </si>
  <si>
    <t>Shanghai SIPG-Jilin Baijia</t>
  </si>
  <si>
    <t>Shanghai SIPG</t>
  </si>
  <si>
    <t>Jilin Baijia</t>
  </si>
  <si>
    <t>South Korea</t>
  </si>
  <si>
    <t>K League 1</t>
  </si>
  <si>
    <t>Gangwon-Jeonbuk</t>
  </si>
  <si>
    <t>Gangwon</t>
  </si>
  <si>
    <t>Jeonbuk</t>
  </si>
  <si>
    <t>Sangju Sangmu-Gyeongnam</t>
  </si>
  <si>
    <t>Sangju Sangmu</t>
  </si>
  <si>
    <t>Gyeongnam</t>
  </si>
  <si>
    <t>Persha Liga</t>
  </si>
  <si>
    <t>Sumy-Cherkashchyna Ak.</t>
  </si>
  <si>
    <t>Sumy</t>
  </si>
  <si>
    <t>Cherkashchyna Ak.</t>
  </si>
  <si>
    <t>Mariupol U21-Karpaty U21</t>
  </si>
  <si>
    <t>Mariupol U21</t>
  </si>
  <si>
    <t>Karpaty U21</t>
  </si>
  <si>
    <t>Ulsan Hyundai-Daegu</t>
  </si>
  <si>
    <t>Ulsan Hyundai</t>
  </si>
  <si>
    <t>Daegu</t>
  </si>
  <si>
    <t>Suwon Bluewings-Pohang</t>
  </si>
  <si>
    <t>Suwon Bluewings</t>
  </si>
  <si>
    <t>Pohang</t>
  </si>
  <si>
    <t>Thailand</t>
  </si>
  <si>
    <t>Thai Premier League</t>
  </si>
  <si>
    <t>Muang Thong Utd-Sukhothai</t>
  </si>
  <si>
    <t>Muang Thong Utd</t>
  </si>
  <si>
    <t>Sukhothai</t>
  </si>
  <si>
    <t>Ratchaburi-Suphanburi</t>
  </si>
  <si>
    <t>Ratchaburi</t>
  </si>
  <si>
    <t>Suphanburi</t>
  </si>
  <si>
    <t>Czech Republic</t>
  </si>
  <si>
    <t>U19 League</t>
  </si>
  <si>
    <t>Slavia Prague U19-Brno U19</t>
  </si>
  <si>
    <t>Slavia Prague U19</t>
  </si>
  <si>
    <t>Brno U19</t>
  </si>
  <si>
    <t>Kenya</t>
  </si>
  <si>
    <t>Premier League</t>
  </si>
  <si>
    <t>Western Stima-Leopards</t>
  </si>
  <si>
    <t>Western Stima</t>
  </si>
  <si>
    <t>Leopards</t>
  </si>
  <si>
    <t>Nzoia Sugar-Bandari</t>
  </si>
  <si>
    <t>Nzoia Sugar</t>
  </si>
  <si>
    <t>Bandari</t>
  </si>
  <si>
    <t>Sofapaka-Kakamega Homeboyz</t>
  </si>
  <si>
    <t>Sofapaka</t>
  </si>
  <si>
    <t>Kakamega Homeboyz</t>
  </si>
  <si>
    <t>Gor Mahia-Mathare Utd.</t>
  </si>
  <si>
    <t>Gor Mahia</t>
  </si>
  <si>
    <t>Mathare Utd.</t>
  </si>
  <si>
    <t>Tusker-Posta Rangers</t>
  </si>
  <si>
    <t>Tusker</t>
  </si>
  <si>
    <t>Posta Rangers</t>
  </si>
  <si>
    <t>Chemelil-Sony Sugar</t>
  </si>
  <si>
    <t>Chemelil</t>
  </si>
  <si>
    <t>Sony Sugar</t>
  </si>
  <si>
    <t>Kariobangi Sharks-Vihiga United</t>
  </si>
  <si>
    <t>Kariobangi Sharks</t>
  </si>
  <si>
    <t>Vihiga United</t>
  </si>
  <si>
    <t>Kenya CB-Zoo</t>
  </si>
  <si>
    <t>Kenya CB</t>
  </si>
  <si>
    <t>Zoo</t>
  </si>
  <si>
    <t>Green Archers-United Makati</t>
  </si>
  <si>
    <t>Green Archers</t>
  </si>
  <si>
    <t>United Makati</t>
  </si>
  <si>
    <t>Chainat-Buriram</t>
  </si>
  <si>
    <t>Chainat</t>
  </si>
  <si>
    <t>Buriram</t>
  </si>
  <si>
    <t>Oleksandriya U21-Dynamo Kiev U21</t>
  </si>
  <si>
    <t>Oleksandriya U21</t>
  </si>
  <si>
    <t>Dynamo Kiev U21</t>
  </si>
  <si>
    <t>Dalian Yifang F.C.-Shanghai Jiading City Development</t>
  </si>
  <si>
    <t>Dalian Yifang F.C.</t>
  </si>
  <si>
    <t>Shanghai Jiading City Development</t>
  </si>
  <si>
    <t>Jiangsu Suning-Shandong Luneng</t>
  </si>
  <si>
    <t>Jiangsu Suning</t>
  </si>
  <si>
    <t>Shandong Luneng</t>
  </si>
  <si>
    <t>Guangzhou Evergrande-Beijing Renhe</t>
  </si>
  <si>
    <t>Guangzhou Evergrande</t>
  </si>
  <si>
    <t>Beijing Renhe</t>
  </si>
  <si>
    <t>Beijing Guoan-Changchun Yatai</t>
  </si>
  <si>
    <t>Beijing Guoan</t>
  </si>
  <si>
    <t>Changchun Yatai</t>
  </si>
  <si>
    <t>Shanghai Shenhua-Chongqing Lifan</t>
  </si>
  <si>
    <t>Shanghai Shenhua</t>
  </si>
  <si>
    <t>Chongqing Lifan</t>
  </si>
  <si>
    <t>Chiangrai Utd-Bangkok Utd</t>
  </si>
  <si>
    <t>Chiangrai Utd</t>
  </si>
  <si>
    <t>Bangkok Utd</t>
  </si>
  <si>
    <t>Prachuap-Trat FC</t>
  </si>
  <si>
    <t>Prachuap</t>
  </si>
  <si>
    <t>Trat FC</t>
  </si>
  <si>
    <t>Samut Prakan City-Nakhon Ratchasima</t>
  </si>
  <si>
    <t>Samut Prakan City</t>
  </si>
  <si>
    <t>Nakhon Ratchasima</t>
  </si>
  <si>
    <t>Singapore</t>
  </si>
  <si>
    <t>Tampines-Young Lions</t>
  </si>
  <si>
    <t>Tampines</t>
  </si>
  <si>
    <t>Young Lions</t>
  </si>
  <si>
    <t>Nosta-FC Zvezda Perm</t>
  </si>
  <si>
    <t>Nosta</t>
  </si>
  <si>
    <t>FC Zvezda Perm</t>
  </si>
  <si>
    <t>South Africa</t>
  </si>
  <si>
    <t>Royal Eagles-Maritzburg Utd</t>
  </si>
  <si>
    <t>Royal Eagles</t>
  </si>
  <si>
    <t>Maritzburg Utd</t>
  </si>
  <si>
    <t>Port MTI FC-Chiangmai FC</t>
  </si>
  <si>
    <t>Port MTI FC</t>
  </si>
  <si>
    <t>Chiangmai FC</t>
  </si>
  <si>
    <t>PTT Rayong-Chonburi</t>
  </si>
  <si>
    <t>PTT Rayong</t>
  </si>
  <si>
    <t>Chonburi</t>
  </si>
  <si>
    <t>Indonesia</t>
  </si>
  <si>
    <t>Liga 1</t>
  </si>
  <si>
    <t>TIRA Persikabo-PSM Makassar</t>
  </si>
  <si>
    <t>TIRA Persikabo</t>
  </si>
  <si>
    <t>PSM Makassar</t>
  </si>
  <si>
    <t>Semen Padang-Persib Bandung</t>
  </si>
  <si>
    <t>Semen Padang</t>
  </si>
  <si>
    <t>Persib Bandung</t>
  </si>
  <si>
    <t>Poland</t>
  </si>
  <si>
    <t>III Liga - Group II 2018/2019</t>
  </si>
  <si>
    <t>Chemik Bydgoszcz-Jarocin</t>
  </si>
  <si>
    <t>Chemik Bydgoszcz</t>
  </si>
  <si>
    <t>Jarocin</t>
  </si>
  <si>
    <t>Pogon Szczecin II-Gornik Konin</t>
  </si>
  <si>
    <t>Pogon Szczecin II</t>
  </si>
  <si>
    <t>Gornik Konin</t>
  </si>
  <si>
    <t>Zenit Izhevsk-Chelyabinsk</t>
  </si>
  <si>
    <t>Zenit Izhevsk</t>
  </si>
  <si>
    <t>Chelyabinsk</t>
  </si>
  <si>
    <t>Arsenal Kiev-Karpaty</t>
  </si>
  <si>
    <t>Arsenal Kiev</t>
  </si>
  <si>
    <t>Karpaty</t>
  </si>
  <si>
    <t>Vorskla Poltava-Olimpik Donetsk</t>
  </si>
  <si>
    <t>Vorskla Poltava</t>
  </si>
  <si>
    <t>Olimpik Donetsk</t>
  </si>
  <si>
    <t>Ch. Odessa-Desna</t>
  </si>
  <si>
    <t>Ch. Odessa</t>
  </si>
  <si>
    <t>Desna</t>
  </si>
  <si>
    <t>Georgia</t>
  </si>
  <si>
    <t>Crystalbet Erovnuli Liga</t>
  </si>
  <si>
    <t>Lokomotiv Tbilisi-Chikhura</t>
  </si>
  <si>
    <t>Lokomotiv Tbilisi</t>
  </si>
  <si>
    <t>Chikhura</t>
  </si>
  <si>
    <t>CFL</t>
  </si>
  <si>
    <t>Usti nad Orlici-Dobrovice</t>
  </si>
  <si>
    <t>Usti nad Orlici</t>
  </si>
  <si>
    <t>Dobrovice</t>
  </si>
  <si>
    <t>Zapy-Zivanice</t>
  </si>
  <si>
    <t>Zapy</t>
  </si>
  <si>
    <t>Zivanice</t>
  </si>
  <si>
    <t>Domazlice-Pisek</t>
  </si>
  <si>
    <t>Domazlice</t>
  </si>
  <si>
    <t>Pisek</t>
  </si>
  <si>
    <t>Olympia Radotin-Litomericko</t>
  </si>
  <si>
    <t>Olympia Radotin</t>
  </si>
  <si>
    <t>Litomericko</t>
  </si>
  <si>
    <t>Vltavin-Vysehrad</t>
  </si>
  <si>
    <t>Vltavin</t>
  </si>
  <si>
    <t>Vysehrad</t>
  </si>
  <si>
    <t>Benesov-Brozany</t>
  </si>
  <si>
    <t>Benesov</t>
  </si>
  <si>
    <t>Brozany</t>
  </si>
  <si>
    <t>Kraluv Dvur-Stechovice</t>
  </si>
  <si>
    <t>Kraluv Dvur</t>
  </si>
  <si>
    <t>Stechovice</t>
  </si>
  <si>
    <t>Division C</t>
  </si>
  <si>
    <t>Vysoke Myto-Slatinany</t>
  </si>
  <si>
    <t>Vysoke Myto</t>
  </si>
  <si>
    <t>Slatinany</t>
  </si>
  <si>
    <t>Gwardia Koszalin-Wierzyca</t>
  </si>
  <si>
    <t>Gwardia Koszalin</t>
  </si>
  <si>
    <t>Wierzyca</t>
  </si>
  <si>
    <t>Sroda-Swit Skolwin</t>
  </si>
  <si>
    <t>Sroda</t>
  </si>
  <si>
    <t>Swit Skolwin</t>
  </si>
  <si>
    <t>Kleczew-Stezyca</t>
  </si>
  <si>
    <t>Kleczew</t>
  </si>
  <si>
    <t>Stezyca</t>
  </si>
  <si>
    <t>Mieszko-Koszalin</t>
  </si>
  <si>
    <t>Mieszko</t>
  </si>
  <si>
    <t>Koszalin</t>
  </si>
  <si>
    <t>III Liga - Group III 2018/2019</t>
  </si>
  <si>
    <t>Kluczbork-Bielsko Biala</t>
  </si>
  <si>
    <t>Kluczbork</t>
  </si>
  <si>
    <t>Bielsko Biala</t>
  </si>
  <si>
    <t>Gornik Z. 2-Lechia Dzierzoniow</t>
  </si>
  <si>
    <t>Gornik Z. 2</t>
  </si>
  <si>
    <t>Lechia Dzierzoniow</t>
  </si>
  <si>
    <t>KS Polkowice-Ruch Zdzieszowice</t>
  </si>
  <si>
    <t>KS Polkowice</t>
  </si>
  <si>
    <t>Ruch Zdzieszowice</t>
  </si>
  <si>
    <t>LZS Agroplon Gluszyna-Brzeg</t>
  </si>
  <si>
    <t>LZS Agroplon Gluszyna</t>
  </si>
  <si>
    <t>Brzeg</t>
  </si>
  <si>
    <t>Piast Zmigrod-Zaglebie 2</t>
  </si>
  <si>
    <t>Piast Zmigrod</t>
  </si>
  <si>
    <t>Zaglebie 2</t>
  </si>
  <si>
    <t>Warta Gorzow-Legnica 2</t>
  </si>
  <si>
    <t>Warta Gorzow</t>
  </si>
  <si>
    <t>Legnica 2</t>
  </si>
  <si>
    <t>Foto Higiena Gac-Gwarek Tarnowskie Gory</t>
  </si>
  <si>
    <t>Foto Higiena Gac</t>
  </si>
  <si>
    <t>Gwarek Tarnowskie Gory</t>
  </si>
  <si>
    <t>Pniowek-Stilon Gorzow</t>
  </si>
  <si>
    <t>Pniowek</t>
  </si>
  <si>
    <t>Stilon Gorzow</t>
  </si>
  <si>
    <t>PFL - Center</t>
  </si>
  <si>
    <t>Krasnogorsk-Salyut Belgorod</t>
  </si>
  <si>
    <t>Krasnogorsk</t>
  </si>
  <si>
    <t>Salyut Belgorod</t>
  </si>
  <si>
    <t>Neftekhimik-Kamaz</t>
  </si>
  <si>
    <t>Neftekhimik</t>
  </si>
  <si>
    <t>Kamaz</t>
  </si>
  <si>
    <t>Syzran-Ulyanovsk</t>
  </si>
  <si>
    <t>Syzran</t>
  </si>
  <si>
    <t>Ulyanovsk</t>
  </si>
  <si>
    <t>Slovenia</t>
  </si>
  <si>
    <t>Prva liga</t>
  </si>
  <si>
    <t>Tabor Sezana-ND Gorica</t>
  </si>
  <si>
    <t>Tabor Sezana</t>
  </si>
  <si>
    <t>ND Gorica</t>
  </si>
  <si>
    <t>Africa</t>
  </si>
  <si>
    <t>COSAFA Cup</t>
  </si>
  <si>
    <t>Comoros-Mauritius</t>
  </si>
  <si>
    <t>Comoros</t>
  </si>
  <si>
    <t>Mauritius</t>
  </si>
  <si>
    <t>Bulgaria</t>
  </si>
  <si>
    <t>Parva Liga</t>
  </si>
  <si>
    <t>Septemvri Sofia-Arda</t>
  </si>
  <si>
    <t>Septemvri Sofia</t>
  </si>
  <si>
    <t>Arda</t>
  </si>
  <si>
    <t>Finland</t>
  </si>
  <si>
    <t>Kakkonen Group A</t>
  </si>
  <si>
    <t>Lahden Reipas-Kiffen</t>
  </si>
  <si>
    <t>Lahden Reipas</t>
  </si>
  <si>
    <t>Kiffen</t>
  </si>
  <si>
    <t>PEPO-MiPK</t>
  </si>
  <si>
    <t>PEPO</t>
  </si>
  <si>
    <t>MiPK</t>
  </si>
  <si>
    <t>Kakkonen Group B</t>
  </si>
  <si>
    <t>Honka Akatemia-SalPa</t>
  </si>
  <si>
    <t>Honka Akatemia</t>
  </si>
  <si>
    <t>SalPa</t>
  </si>
  <si>
    <t>Ykkonen</t>
  </si>
  <si>
    <t>MyPa-KTP</t>
  </si>
  <si>
    <t>MyPa</t>
  </si>
  <si>
    <t>KTP</t>
  </si>
  <si>
    <t>TPS-Haka</t>
  </si>
  <si>
    <t>TPS</t>
  </si>
  <si>
    <t>Haka</t>
  </si>
  <si>
    <t>MuSa-AC Oulu</t>
  </si>
  <si>
    <t>MuSa</t>
  </si>
  <si>
    <t>AC Oulu</t>
  </si>
  <si>
    <t>Montenegro</t>
  </si>
  <si>
    <t>Prva Crnogorska Liga</t>
  </si>
  <si>
    <t>Bokelj-Rudar</t>
  </si>
  <si>
    <t>Bokelj</t>
  </si>
  <si>
    <t>Rudar</t>
  </si>
  <si>
    <t>1. Liga</t>
  </si>
  <si>
    <t>Brno-Pribram</t>
  </si>
  <si>
    <t>Brno</t>
  </si>
  <si>
    <t>Pribram</t>
  </si>
  <si>
    <t>Karlovy Vary-Prevysov</t>
  </si>
  <si>
    <t>Karlovy Vary</t>
  </si>
  <si>
    <t>Prevysov</t>
  </si>
  <si>
    <t>MSFL</t>
  </si>
  <si>
    <t>Velke Mezirici-Unicov</t>
  </si>
  <si>
    <t>Velke Mezirici</t>
  </si>
  <si>
    <t>Unicov</t>
  </si>
  <si>
    <t>Israel</t>
  </si>
  <si>
    <t>Leumit League</t>
  </si>
  <si>
    <t>M. Herzliya-H. Akko</t>
  </si>
  <si>
    <t>M. Herzliya</t>
  </si>
  <si>
    <t>H. Akko</t>
  </si>
  <si>
    <t>KKS Kalisz-Kotwica Kolobrzeg</t>
  </si>
  <si>
    <t>KKS Kalisz</t>
  </si>
  <si>
    <t>Kotwica Kolobrzeg</t>
  </si>
  <si>
    <t>Radzionkow-Sleza Wroclaw</t>
  </si>
  <si>
    <t>Radzionkow</t>
  </si>
  <si>
    <t>Sleza Wroclaw</t>
  </si>
  <si>
    <t>Slovakia</t>
  </si>
  <si>
    <t>Divison C Central</t>
  </si>
  <si>
    <t>Zvolen-Poltar</t>
  </si>
  <si>
    <t>Zvolen</t>
  </si>
  <si>
    <t>Poltar</t>
  </si>
  <si>
    <t>Miami City-Daytona</t>
  </si>
  <si>
    <t>Miami City</t>
  </si>
  <si>
    <t>Daytona</t>
  </si>
  <si>
    <t>MFC Metalurh-Ahrobiznes Volochysk</t>
  </si>
  <si>
    <t>MFC Metalurh</t>
  </si>
  <si>
    <t>Ahrobiznes Volochysk</t>
  </si>
  <si>
    <t>World</t>
  </si>
  <si>
    <t>World Cup U20</t>
  </si>
  <si>
    <t>Ecuador U20-Mexico U20</t>
  </si>
  <si>
    <t>Ecuador U20</t>
  </si>
  <si>
    <t>Mexico U20</t>
  </si>
  <si>
    <t>Italy U20-Japan U20</t>
  </si>
  <si>
    <t>Italy U20</t>
  </si>
  <si>
    <t>Japan U20</t>
  </si>
  <si>
    <t>Austria</t>
  </si>
  <si>
    <t>Regionalliga West</t>
  </si>
  <si>
    <t>Hohenems-Reichenau</t>
  </si>
  <si>
    <t>Hohenems</t>
  </si>
  <si>
    <t>Reichenau</t>
  </si>
  <si>
    <t>Estonia</t>
  </si>
  <si>
    <t>Meistriliiga</t>
  </si>
  <si>
    <t>Flora-Levadia</t>
  </si>
  <si>
    <t>Flora</t>
  </si>
  <si>
    <t>Levadia</t>
  </si>
  <si>
    <t>Dinamo Batumi-Bolnisi</t>
  </si>
  <si>
    <t>Dinamo Batumi</t>
  </si>
  <si>
    <t>Bolnisi</t>
  </si>
  <si>
    <t>Iran</t>
  </si>
  <si>
    <t>Hazfi Cup</t>
  </si>
  <si>
    <t>Sepahan-Persepolis</t>
  </si>
  <si>
    <t>Sepahan</t>
  </si>
  <si>
    <t>Persepolis</t>
  </si>
  <si>
    <t>Wals Grunau-Altach (Am)</t>
  </si>
  <si>
    <t>Wals Grunau</t>
  </si>
  <si>
    <t>Altach (Am)</t>
  </si>
  <si>
    <t>Denmark</t>
  </si>
  <si>
    <t>3F Ligaen Women</t>
  </si>
  <si>
    <t>Odense Q W-Farum BK W</t>
  </si>
  <si>
    <t>Odense Q W</t>
  </si>
  <si>
    <t>Farum BK W</t>
  </si>
  <si>
    <t>Iceland</t>
  </si>
  <si>
    <t>Icelandic Cup</t>
  </si>
  <si>
    <t>Vestmannaeyjar-Fjolnir</t>
  </si>
  <si>
    <t>Vestmannaeyjar</t>
  </si>
  <si>
    <t>Fjolnir</t>
  </si>
  <si>
    <t>III Liga - Group I 2018/2019</t>
  </si>
  <si>
    <t>Polonia Warszawa-Legia II</t>
  </si>
  <si>
    <t>Polonia Warszawa</t>
  </si>
  <si>
    <t>Legia II</t>
  </si>
  <si>
    <t>Sweden</t>
  </si>
  <si>
    <t>Division 1 - Norra</t>
  </si>
  <si>
    <t>Rynninge-Carlstad</t>
  </si>
  <si>
    <t>Rynninge</t>
  </si>
  <si>
    <t>Carlstad</t>
  </si>
  <si>
    <t>Division 1 - SÃ¶dra</t>
  </si>
  <si>
    <t>Varnamo-Torns</t>
  </si>
  <si>
    <t>Varnamo</t>
  </si>
  <si>
    <t>Torns</t>
  </si>
  <si>
    <t>Ljungskile-Utsiktens</t>
  </si>
  <si>
    <t>Ljungskile</t>
  </si>
  <si>
    <t>Utsiktens</t>
  </si>
  <si>
    <t>Division 2 - Norra GÃ¶taland</t>
  </si>
  <si>
    <t>Vanersborgs IF-Vargarda IK</t>
  </si>
  <si>
    <t>Vanersborgs IF</t>
  </si>
  <si>
    <t>Vargarda IK</t>
  </si>
  <si>
    <t>Savedalens-Uddevalla</t>
  </si>
  <si>
    <t>Savedalens</t>
  </si>
  <si>
    <t>Uddevalla</t>
  </si>
  <si>
    <t>Division 2 - SÃ¶dra Svealand</t>
  </si>
  <si>
    <t>Arameisk Syrianska-Haninge</t>
  </si>
  <si>
    <t>Arameisk Syrianska</t>
  </si>
  <si>
    <t>Haninge</t>
  </si>
  <si>
    <t>Division 2 - VÃ¤stra GÃ¶taland</t>
  </si>
  <si>
    <t>Rosengard-Angelholms</t>
  </si>
  <si>
    <t>Rosengard</t>
  </si>
  <si>
    <t>Angelholms</t>
  </si>
  <si>
    <t>Eslovs-Olympic</t>
  </si>
  <si>
    <t>Eslovs</t>
  </si>
  <si>
    <t>Olympic</t>
  </si>
  <si>
    <t>Hittarps-Qviding</t>
  </si>
  <si>
    <t>Hittarps</t>
  </si>
  <si>
    <t>Qviding</t>
  </si>
  <si>
    <t>Elitettan Women 2019</t>
  </si>
  <si>
    <t>Moron W-Umea W</t>
  </si>
  <si>
    <t>Moron W</t>
  </si>
  <si>
    <t>Umea W</t>
  </si>
  <si>
    <t>Lidkopings FK W-Hammarby W</t>
  </si>
  <si>
    <t>Lidkopings FK W</t>
  </si>
  <si>
    <t>Hammarby W</t>
  </si>
  <si>
    <t>2. Liga</t>
  </si>
  <si>
    <t>Wattens-A. Lustenau</t>
  </si>
  <si>
    <t>Wattens</t>
  </si>
  <si>
    <t>A. Lustenau</t>
  </si>
  <si>
    <t>Kapfenberg-Horn</t>
  </si>
  <si>
    <t>Kapfenberg</t>
  </si>
  <si>
    <t>Horn</t>
  </si>
  <si>
    <t>BW Linz-Ried</t>
  </si>
  <si>
    <t>BW Linz</t>
  </si>
  <si>
    <t>Ried</t>
  </si>
  <si>
    <t>Neustadt-Lafnitz</t>
  </si>
  <si>
    <t>Neustadt</t>
  </si>
  <si>
    <t>Lafnitz</t>
  </si>
  <si>
    <t>Wacker Innsbruck (Am)-Liefering</t>
  </si>
  <si>
    <t>Wacker Innsbruck (Am)</t>
  </si>
  <si>
    <t>Liefering</t>
  </si>
  <si>
    <t>A. Klagenfurt-Vorwarts Steyr</t>
  </si>
  <si>
    <t>A. Klagenfurt</t>
  </si>
  <si>
    <t>Vorwarts Steyr</t>
  </si>
  <si>
    <t>FC Juniors-Amstetten</t>
  </si>
  <si>
    <t>FC Juniors</t>
  </si>
  <si>
    <t>Amstetten</t>
  </si>
  <si>
    <t>FK Austria Vienna (Am)-Floridsdorfer AC</t>
  </si>
  <si>
    <t>FK Austria Vienna (Am)</t>
  </si>
  <si>
    <t>Floridsdorfer AC</t>
  </si>
  <si>
    <t>Germany</t>
  </si>
  <si>
    <t>Oberliga Play Offs</t>
  </si>
  <si>
    <t>Heider SV-Bremer</t>
  </si>
  <si>
    <t>Heider SV</t>
  </si>
  <si>
    <t>Bremer</t>
  </si>
  <si>
    <t>Regionalliga North</t>
  </si>
  <si>
    <t>Eintracht Northeim-Luneburger Hansa</t>
  </si>
  <si>
    <t>Eintracht Northeim</t>
  </si>
  <si>
    <t>Luneburger Hansa</t>
  </si>
  <si>
    <t>Forward-Akropolis</t>
  </si>
  <si>
    <t>Forward</t>
  </si>
  <si>
    <t>Akropolis</t>
  </si>
  <si>
    <t>Trollhattan-Lindome</t>
  </si>
  <si>
    <t>Trollhattan</t>
  </si>
  <si>
    <t>Lindome</t>
  </si>
  <si>
    <t>Gauthiod-Stenungsunds</t>
  </si>
  <si>
    <t>Gauthiod</t>
  </si>
  <si>
    <t>Stenungsunds</t>
  </si>
  <si>
    <t>Tidaholm IFK-Vanersborgs FK</t>
  </si>
  <si>
    <t>Tidaholm IFK</t>
  </si>
  <si>
    <t>Vanersborgs FK</t>
  </si>
  <si>
    <t>Division 2 - Norra Svealand</t>
  </si>
  <si>
    <t>Hudiksvalls-Valbo FF</t>
  </si>
  <si>
    <t>Hudiksvalls</t>
  </si>
  <si>
    <t>Valbo FF</t>
  </si>
  <si>
    <t>Division 2 - Norrland</t>
  </si>
  <si>
    <t>Umea FC-Pitea</t>
  </si>
  <si>
    <t>Umea FC</t>
  </si>
  <si>
    <t>Pitea</t>
  </si>
  <si>
    <t>Division 2 - Ã–stra GÃ¶taland</t>
  </si>
  <si>
    <t>Husqvarna-Bromolla</t>
  </si>
  <si>
    <t>Husqvarna</t>
  </si>
  <si>
    <t>Bromolla</t>
  </si>
  <si>
    <t>Aspudden Tellus-Varmbols</t>
  </si>
  <si>
    <t>Aspudden Tellus</t>
  </si>
  <si>
    <t>Varmbols</t>
  </si>
  <si>
    <t>Netherlands</t>
  </si>
  <si>
    <t>Tweede Divisie 2018/2019</t>
  </si>
  <si>
    <t>OSS '20-Quick Boys</t>
  </si>
  <si>
    <t>OSS '20</t>
  </si>
  <si>
    <t>Quick Boys</t>
  </si>
  <si>
    <t>ASWH-Oostzaan</t>
  </si>
  <si>
    <t>ASWH</t>
  </si>
  <si>
    <t>Oostzaan</t>
  </si>
  <si>
    <t>Kungsangens-Upsala</t>
  </si>
  <si>
    <t>Kungsangens</t>
  </si>
  <si>
    <t>Upsala</t>
  </si>
  <si>
    <t>Asia</t>
  </si>
  <si>
    <t>AFC Champions League</t>
  </si>
  <si>
    <t>Zob Ahan (Irn) -Al Nassr (Sau)</t>
  </si>
  <si>
    <t>Zob Ahan (Irn)</t>
  </si>
  <si>
    <t>Al Nassr (Sau)</t>
  </si>
  <si>
    <t>Italy</t>
  </si>
  <si>
    <t>Serie C - Promotion - Play Offs</t>
  </si>
  <si>
    <t>FeralpiSalo-Triestina</t>
  </si>
  <si>
    <t>FeralpiSalo</t>
  </si>
  <si>
    <t>Triestina</t>
  </si>
  <si>
    <t>Imolese-Piacenza</t>
  </si>
  <si>
    <t>Imolese</t>
  </si>
  <si>
    <t>Piacenza</t>
  </si>
  <si>
    <t>Catania-Trapani</t>
  </si>
  <si>
    <t>Catania</t>
  </si>
  <si>
    <t>Trapani</t>
  </si>
  <si>
    <t>Arezzo-Pisa</t>
  </si>
  <si>
    <t>Arezzo</t>
  </si>
  <si>
    <t>Pisa</t>
  </si>
  <si>
    <t>Senegal U20-Poland U20</t>
  </si>
  <si>
    <t>Senegal U20</t>
  </si>
  <si>
    <t>Poland U20</t>
  </si>
  <si>
    <t>Colombia U20-Tahiti U20</t>
  </si>
  <si>
    <t>Colombia U20</t>
  </si>
  <si>
    <t>Tahiti U20</t>
  </si>
  <si>
    <t>Andorra</t>
  </si>
  <si>
    <t>Primera DivisiÃ³</t>
  </si>
  <si>
    <t>Lusitanos-Carroi</t>
  </si>
  <si>
    <t>Lusitanos</t>
  </si>
  <si>
    <t>Carroi</t>
  </si>
  <si>
    <t>Europe</t>
  </si>
  <si>
    <t>Europa League</t>
  </si>
  <si>
    <t>Chelsea-Arsenal</t>
  </si>
  <si>
    <t>Chelsea</t>
  </si>
  <si>
    <t>Arsenal</t>
  </si>
  <si>
    <t>USL League One 2019</t>
  </si>
  <si>
    <t>Toronto FC II-North Texas</t>
  </si>
  <si>
    <t>Toronto FC II</t>
  </si>
  <si>
    <t>North Texas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</si>
</sst>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10" fontId="4" fillId="0" borderId="0" xfId="2" applyNumberFormat="1" applyFont="1" applyFill="1"/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betanalysis_2019-05-28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50</v>
      </c>
    </row>
    <row r="2" spans="1:6" x14ac:dyDescent="0.2">
      <c r="A2" s="39" t="s">
        <v>51</v>
      </c>
      <c r="B2" s="39" t="s">
        <v>52</v>
      </c>
      <c r="C2" s="39" t="s">
        <v>53</v>
      </c>
      <c r="D2" s="40" t="s">
        <v>54</v>
      </c>
      <c r="E2" s="40" t="s">
        <v>55</v>
      </c>
      <c r="F2" s="39" t="s">
        <v>56</v>
      </c>
    </row>
    <row r="3" spans="1:6" x14ac:dyDescent="0.2">
      <c r="A3" s="39"/>
      <c r="B3" s="39"/>
      <c r="C3" s="39"/>
      <c r="D3" s="40" t="s">
        <v>57</v>
      </c>
      <c r="E3" s="40" t="s">
        <v>57</v>
      </c>
      <c r="F3" s="39"/>
    </row>
    <row r="4" spans="1:6" x14ac:dyDescent="0.2">
      <c r="A4" s="41">
        <v>1</v>
      </c>
      <c r="B4" s="27" t="s">
        <v>58</v>
      </c>
      <c r="C4" s="42" t="s">
        <v>14</v>
      </c>
      <c r="D4" s="43"/>
      <c r="E4" s="43"/>
      <c r="F4" s="27"/>
    </row>
    <row r="5" spans="1:6" x14ac:dyDescent="0.2">
      <c r="A5" s="41">
        <v>2</v>
      </c>
      <c r="B5" s="27" t="s">
        <v>59</v>
      </c>
      <c r="C5" s="42" t="s">
        <v>15</v>
      </c>
      <c r="D5" s="43"/>
      <c r="E5" s="43"/>
      <c r="F5" s="27"/>
    </row>
    <row r="6" spans="1:6" x14ac:dyDescent="0.2">
      <c r="A6" s="41">
        <v>3</v>
      </c>
      <c r="B6" s="27" t="s">
        <v>60</v>
      </c>
      <c r="C6" s="42" t="s">
        <v>16</v>
      </c>
      <c r="D6" s="43" t="s">
        <v>61</v>
      </c>
      <c r="E6" s="43"/>
      <c r="F6" s="27"/>
    </row>
    <row r="7" spans="1:6" x14ac:dyDescent="0.2">
      <c r="A7" s="41">
        <v>4</v>
      </c>
      <c r="B7" s="27" t="s">
        <v>62</v>
      </c>
      <c r="C7" s="42" t="s">
        <v>17</v>
      </c>
      <c r="D7" s="43"/>
      <c r="E7" s="43"/>
      <c r="F7" s="27"/>
    </row>
    <row r="8" spans="1:6" x14ac:dyDescent="0.2">
      <c r="A8" s="41">
        <v>5</v>
      </c>
      <c r="B8" s="27" t="s">
        <v>63</v>
      </c>
      <c r="C8" s="42" t="s">
        <v>18</v>
      </c>
      <c r="D8" s="43"/>
      <c r="E8" s="43"/>
      <c r="F8" s="27"/>
    </row>
    <row r="9" spans="1:6" x14ac:dyDescent="0.2">
      <c r="A9" s="41">
        <v>6</v>
      </c>
      <c r="B9" s="27" t="s">
        <v>64</v>
      </c>
      <c r="C9" s="42" t="s">
        <v>19</v>
      </c>
      <c r="D9" s="43"/>
      <c r="E9" s="43"/>
      <c r="F9" s="27"/>
    </row>
    <row r="10" spans="1:6" x14ac:dyDescent="0.2">
      <c r="A10" s="41">
        <v>7</v>
      </c>
      <c r="B10" s="27" t="s">
        <v>65</v>
      </c>
      <c r="C10" s="44" t="s">
        <v>22</v>
      </c>
      <c r="D10" s="45" t="s">
        <v>66</v>
      </c>
      <c r="E10" s="45"/>
      <c r="F10" s="27"/>
    </row>
    <row r="11" spans="1:6" x14ac:dyDescent="0.2">
      <c r="A11" s="41">
        <v>8</v>
      </c>
      <c r="B11" s="27" t="s">
        <v>67</v>
      </c>
      <c r="C11" s="42" t="s">
        <v>23</v>
      </c>
      <c r="D11" s="43"/>
      <c r="E11" s="43"/>
      <c r="F11" s="27"/>
    </row>
    <row r="12" spans="1:6" x14ac:dyDescent="0.2">
      <c r="A12" s="41">
        <v>9</v>
      </c>
      <c r="B12" s="27" t="s">
        <v>68</v>
      </c>
      <c r="C12" s="44" t="s">
        <v>24</v>
      </c>
      <c r="D12" s="45" t="s">
        <v>66</v>
      </c>
      <c r="E12" s="45"/>
      <c r="F12" s="27"/>
    </row>
    <row r="13" spans="1:6" x14ac:dyDescent="0.2">
      <c r="A13" s="41">
        <v>10</v>
      </c>
      <c r="B13" s="27" t="s">
        <v>69</v>
      </c>
      <c r="C13" s="46" t="s">
        <v>25</v>
      </c>
      <c r="D13" s="43"/>
      <c r="E13" s="43"/>
      <c r="F13" s="27"/>
    </row>
    <row r="14" spans="1:6" x14ac:dyDescent="0.2">
      <c r="A14" s="41">
        <v>11</v>
      </c>
      <c r="B14" s="27" t="s">
        <v>70</v>
      </c>
      <c r="C14" s="47" t="s">
        <v>26</v>
      </c>
      <c r="D14" s="43"/>
      <c r="E14" s="43"/>
      <c r="F14" s="27"/>
    </row>
    <row r="15" spans="1:6" x14ac:dyDescent="0.2">
      <c r="A15" s="41">
        <v>12</v>
      </c>
      <c r="B15" s="27" t="s">
        <v>71</v>
      </c>
      <c r="C15" s="47" t="s">
        <v>27</v>
      </c>
      <c r="D15" s="43"/>
      <c r="E15" s="43"/>
      <c r="F15" s="27"/>
    </row>
    <row r="16" spans="1:6" x14ac:dyDescent="0.2">
      <c r="A16" s="41">
        <v>13</v>
      </c>
      <c r="B16" s="27" t="s">
        <v>72</v>
      </c>
      <c r="C16" s="47" t="s">
        <v>28</v>
      </c>
      <c r="D16" s="43"/>
      <c r="E16" s="43"/>
      <c r="F16" s="27"/>
    </row>
    <row r="17" spans="1:6" x14ac:dyDescent="0.2">
      <c r="A17" s="41">
        <v>14</v>
      </c>
      <c r="B17" s="27" t="s">
        <v>73</v>
      </c>
      <c r="C17" s="30" t="s">
        <v>29</v>
      </c>
      <c r="D17" s="43"/>
      <c r="E17" s="43"/>
      <c r="F17" s="27"/>
    </row>
    <row r="18" spans="1:6" x14ac:dyDescent="0.2">
      <c r="A18" s="41">
        <v>15</v>
      </c>
      <c r="B18" s="27" t="s">
        <v>74</v>
      </c>
      <c r="C18" s="30" t="s">
        <v>30</v>
      </c>
      <c r="D18" s="43"/>
      <c r="E18" s="43"/>
      <c r="F18" s="27"/>
    </row>
    <row r="19" spans="1:6" x14ac:dyDescent="0.2">
      <c r="A19" s="41">
        <v>16</v>
      </c>
      <c r="B19" s="27" t="s">
        <v>75</v>
      </c>
      <c r="C19" s="48" t="s">
        <v>76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77</v>
      </c>
      <c r="C20" s="48" t="s">
        <v>78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79</v>
      </c>
      <c r="C21" s="48" t="s">
        <v>80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81</v>
      </c>
      <c r="C22" s="50" t="s">
        <v>82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83</v>
      </c>
      <c r="C23" s="50" t="s">
        <v>84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85</v>
      </c>
      <c r="C24" s="50" t="s">
        <v>86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87</v>
      </c>
      <c r="C25" s="51" t="s">
        <v>88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89</v>
      </c>
      <c r="C26" s="51" t="s">
        <v>90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91</v>
      </c>
      <c r="C27" s="51" t="s">
        <v>92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93</v>
      </c>
      <c r="C28" s="31" t="s">
        <v>40</v>
      </c>
      <c r="D28" s="52" t="s">
        <v>94</v>
      </c>
      <c r="E28" s="52"/>
      <c r="F28" s="53" t="s">
        <v>95</v>
      </c>
    </row>
    <row r="29" spans="1:6" x14ac:dyDescent="0.2">
      <c r="A29" s="41">
        <v>26</v>
      </c>
      <c r="B29" s="27" t="s">
        <v>96</v>
      </c>
      <c r="C29" s="31" t="s">
        <v>41</v>
      </c>
      <c r="D29" s="52" t="s">
        <v>94</v>
      </c>
      <c r="E29" s="52"/>
      <c r="F29" s="53" t="s">
        <v>95</v>
      </c>
    </row>
    <row r="30" spans="1:6" x14ac:dyDescent="0.2">
      <c r="A30" s="41">
        <v>27</v>
      </c>
      <c r="B30" s="27" t="s">
        <v>97</v>
      </c>
      <c r="C30" s="44" t="s">
        <v>42</v>
      </c>
      <c r="D30" s="52" t="s">
        <v>98</v>
      </c>
      <c r="E30" s="52"/>
      <c r="F30" s="53" t="s">
        <v>95</v>
      </c>
    </row>
    <row r="31" spans="1:6" x14ac:dyDescent="0.2">
      <c r="A31" s="41">
        <v>28</v>
      </c>
      <c r="B31" s="27" t="s">
        <v>99</v>
      </c>
      <c r="C31" s="44" t="s">
        <v>43</v>
      </c>
      <c r="D31" s="52" t="s">
        <v>98</v>
      </c>
      <c r="E31" s="52"/>
      <c r="F31" s="53" t="s">
        <v>100</v>
      </c>
    </row>
    <row r="32" spans="1:6" x14ac:dyDescent="0.2">
      <c r="D32" s="54"/>
      <c r="E32" s="54"/>
    </row>
    <row r="33" spans="1:2" x14ac:dyDescent="0.2">
      <c r="A33" s="3" t="s">
        <v>101</v>
      </c>
    </row>
    <row r="34" spans="1:2" x14ac:dyDescent="0.2">
      <c r="A34" s="3">
        <v>1</v>
      </c>
      <c r="B34" s="3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11" activePane="bottomLeft" state="frozen"/>
      <selection pane="bottomLeft" activeCell="AF8" sqref="AF8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30" width="6.710937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105</v>
      </c>
      <c r="B1" s="2">
        <f>SUMPRODUCT(MAX(($A:$A&lt;&gt;"")*(ROW(A:A))))-10</f>
        <v>160</v>
      </c>
      <c r="D1" s="4" t="s">
        <v>0</v>
      </c>
      <c r="H1" s="5"/>
      <c r="I1" s="6"/>
      <c r="AD1" s="7"/>
      <c r="AE1" s="8" t="s">
        <v>1</v>
      </c>
      <c r="AF1" s="8" t="s">
        <v>2</v>
      </c>
      <c r="AG1" s="8" t="s">
        <v>3</v>
      </c>
      <c r="AH1" s="57" t="s">
        <v>4</v>
      </c>
      <c r="AI1" s="58"/>
      <c r="AJ1" s="59"/>
    </row>
    <row r="2" spans="1:39" s="3" customFormat="1" x14ac:dyDescent="0.2">
      <c r="A2" s="1" t="s">
        <v>5</v>
      </c>
      <c r="B2" s="2">
        <v>50</v>
      </c>
      <c r="D2" s="3" t="s">
        <v>6</v>
      </c>
      <c r="H2" s="5"/>
      <c r="I2" s="6"/>
      <c r="AB2" s="9"/>
      <c r="AD2" s="10" t="s">
        <v>7</v>
      </c>
      <c r="AE2" s="11">
        <f>SUBTOTAL(2,AH11:AH30387)</f>
        <v>160</v>
      </c>
      <c r="AF2" s="11">
        <f>SUBTOTAL(2,AI11:AI30387)</f>
        <v>160</v>
      </c>
      <c r="AG2" s="11">
        <f>SUBTOTAL(2,AJ11:AJ30387)</f>
        <v>160</v>
      </c>
      <c r="AH2" s="12">
        <f>SUBTOTAL(2,AH11:AH30387)*$B$2</f>
        <v>8000</v>
      </c>
      <c r="AI2" s="12">
        <f>SUBTOTAL(2,AI11:AI30387)*$B$2</f>
        <v>8000</v>
      </c>
      <c r="AJ2" s="12">
        <f>SUBTOTAL(2,AJ11:AJ30387)*$B$2</f>
        <v>8000</v>
      </c>
    </row>
    <row r="3" spans="1:39" s="3" customFormat="1" x14ac:dyDescent="0.2">
      <c r="A3" s="1" t="s">
        <v>8</v>
      </c>
      <c r="B3" s="13" t="s">
        <v>9</v>
      </c>
      <c r="D3" s="3" t="s">
        <v>10</v>
      </c>
      <c r="H3" s="5"/>
      <c r="I3" s="6"/>
      <c r="AB3" s="9"/>
      <c r="AD3" s="10" t="s">
        <v>11</v>
      </c>
      <c r="AE3" s="11">
        <f ca="1">SUMPRODUCT(SUBTOTAL(3,OFFSET(AE11:AE30387,ROW(AE11:AE30387)-MIN(ROW(AE11:AE30387)),,1)), --(AE11:AE30387=$AD$3))</f>
        <v>73</v>
      </c>
      <c r="AF3" s="11">
        <f ca="1">SUMPRODUCT(SUBTOTAL(3,OFFSET(AF11:AF30387,ROW(AF11:AF30387)-MIN(ROW(AF11:AF30387)),,1)), --(AF11:AF30387=$AD$3))</f>
        <v>33</v>
      </c>
      <c r="AG3" s="11">
        <f ca="1">SUMPRODUCT(SUBTOTAL(3,OFFSET(AG11:AG30387,ROW(AG11:AG30387)-MIN(ROW(AG11:AG30387)),,1)), --(AG11:AG30387=$AD$3))</f>
        <v>54</v>
      </c>
      <c r="AH3" s="12">
        <f>SUBTOTAL(9,AH11:AH30387)</f>
        <v>-453.5</v>
      </c>
      <c r="AI3" s="12">
        <f>SUBTOTAL(9,AI11:AI30387)</f>
        <v>-1982</v>
      </c>
      <c r="AJ3" s="12">
        <f>SUBTOTAL(9,AJ11:AJ30387)</f>
        <v>-386</v>
      </c>
    </row>
    <row r="4" spans="1:39" s="3" customFormat="1" x14ac:dyDescent="0.2">
      <c r="A4" s="1" t="s">
        <v>104</v>
      </c>
      <c r="B4" s="13" t="s">
        <v>103</v>
      </c>
      <c r="D4" s="3" t="s">
        <v>12</v>
      </c>
      <c r="H4" s="5"/>
      <c r="I4" s="6"/>
      <c r="AB4" s="9"/>
      <c r="AD4" s="10" t="s">
        <v>13</v>
      </c>
      <c r="AE4" s="14">
        <f t="shared" ref="AE4:AJ4" ca="1" si="0">+AE3/AE2</f>
        <v>0.45624999999999999</v>
      </c>
      <c r="AF4" s="14">
        <f t="shared" ca="1" si="0"/>
        <v>0.20624999999999999</v>
      </c>
      <c r="AG4" s="14">
        <f t="shared" ca="1" si="0"/>
        <v>0.33750000000000002</v>
      </c>
      <c r="AH4" s="14">
        <f t="shared" si="0"/>
        <v>-5.6687500000000002E-2</v>
      </c>
      <c r="AI4" s="14">
        <f t="shared" si="0"/>
        <v>-0.24775</v>
      </c>
      <c r="AJ4" s="14">
        <f t="shared" si="0"/>
        <v>-4.8250000000000001E-2</v>
      </c>
    </row>
    <row r="5" spans="1:39" s="3" customFormat="1" x14ac:dyDescent="0.2">
      <c r="B5" s="15"/>
      <c r="C5" s="16"/>
      <c r="D5" s="9"/>
      <c r="H5" s="5"/>
      <c r="I5" s="6"/>
      <c r="AD5" s="55">
        <f>+AH5+AJ5</f>
        <v>450</v>
      </c>
      <c r="AH5" s="12">
        <v>200</v>
      </c>
      <c r="AJ5" s="12">
        <v>250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56">
        <f>+AD6/AD5</f>
        <v>1.7777777777777778E-2</v>
      </c>
      <c r="AD6" s="55">
        <f>+AH6+AJ6</f>
        <v>8</v>
      </c>
      <c r="AH6" s="12">
        <v>-122</v>
      </c>
      <c r="AJ6" s="12">
        <v>130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14</v>
      </c>
      <c r="B10" s="27" t="s">
        <v>15</v>
      </c>
      <c r="C10" s="28" t="s">
        <v>16</v>
      </c>
      <c r="D10" s="27" t="s">
        <v>17</v>
      </c>
      <c r="E10" s="27" t="s">
        <v>18</v>
      </c>
      <c r="F10" s="27" t="s">
        <v>19</v>
      </c>
      <c r="G10" s="27" t="s">
        <v>20</v>
      </c>
      <c r="H10" s="27" t="s">
        <v>21</v>
      </c>
      <c r="I10" s="29" t="s">
        <v>22</v>
      </c>
      <c r="J10" s="27" t="s">
        <v>23</v>
      </c>
      <c r="K10" s="29" t="s">
        <v>24</v>
      </c>
      <c r="L10" s="28" t="s">
        <v>25</v>
      </c>
      <c r="M10" s="30" t="s">
        <v>26</v>
      </c>
      <c r="N10" s="30" t="s">
        <v>27</v>
      </c>
      <c r="O10" s="30" t="s">
        <v>28</v>
      </c>
      <c r="P10" s="31" t="s">
        <v>29</v>
      </c>
      <c r="Q10" s="31" t="s">
        <v>30</v>
      </c>
      <c r="R10" s="32" t="s">
        <v>31</v>
      </c>
      <c r="S10" s="32" t="s">
        <v>32</v>
      </c>
      <c r="T10" s="32" t="s">
        <v>33</v>
      </c>
      <c r="U10" s="33" t="s">
        <v>34</v>
      </c>
      <c r="V10" s="33" t="s">
        <v>35</v>
      </c>
      <c r="W10" s="33" t="s">
        <v>36</v>
      </c>
      <c r="X10" s="34" t="s">
        <v>37</v>
      </c>
      <c r="Y10" s="34" t="s">
        <v>38</v>
      </c>
      <c r="Z10" s="34" t="s">
        <v>39</v>
      </c>
      <c r="AA10" s="31" t="s">
        <v>40</v>
      </c>
      <c r="AB10" s="31" t="s">
        <v>41</v>
      </c>
      <c r="AC10" s="29" t="s">
        <v>42</v>
      </c>
      <c r="AD10" s="29" t="s">
        <v>43</v>
      </c>
      <c r="AE10" s="35" t="s">
        <v>44</v>
      </c>
      <c r="AF10" s="35" t="s">
        <v>45</v>
      </c>
      <c r="AG10" s="35" t="s">
        <v>46</v>
      </c>
      <c r="AH10" s="35" t="s">
        <v>47</v>
      </c>
      <c r="AI10" s="35" t="s">
        <v>48</v>
      </c>
      <c r="AJ10" s="35" t="s">
        <v>49</v>
      </c>
    </row>
    <row r="11" spans="1:39" x14ac:dyDescent="0.2">
      <c r="A11" s="36">
        <v>43614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4</v>
      </c>
      <c r="H11" s="37">
        <v>1</v>
      </c>
      <c r="I11" s="37">
        <v>1.08</v>
      </c>
      <c r="J11" s="37">
        <v>9.81</v>
      </c>
      <c r="K11" s="37">
        <v>14</v>
      </c>
      <c r="L11" s="37">
        <v>-12.92</v>
      </c>
      <c r="M11" s="37">
        <v>1</v>
      </c>
      <c r="N11" s="37">
        <v>0</v>
      </c>
      <c r="O11" s="37">
        <v>0</v>
      </c>
      <c r="P11" s="37">
        <v>1</v>
      </c>
      <c r="Q11" s="37">
        <v>0</v>
      </c>
      <c r="R11" s="37">
        <v>0</v>
      </c>
      <c r="S11" s="37">
        <v>0</v>
      </c>
      <c r="T11" s="37">
        <v>0</v>
      </c>
      <c r="U11" s="37">
        <v>0</v>
      </c>
      <c r="V11" s="37">
        <v>100</v>
      </c>
      <c r="W11" s="37">
        <v>0</v>
      </c>
      <c r="X11" s="37">
        <v>0</v>
      </c>
      <c r="Y11" s="37">
        <v>0</v>
      </c>
      <c r="Z11" s="37">
        <v>0</v>
      </c>
      <c r="AA11" s="37">
        <v>0</v>
      </c>
      <c r="AB11" s="37">
        <v>0</v>
      </c>
      <c r="AC11" s="24">
        <f t="shared" ref="AC11:AC74" si="1">(+R11*$R$8)+(S11*$S$8)-(T11*$T$8)+(U11*$U$8)+(V11*$V$8)-(W11*$W$8)-(X11*$X$8)-(Y11*$Y$8)+(Z11*$Z$8)</f>
        <v>10</v>
      </c>
      <c r="AD11" s="25">
        <f t="shared" ref="AD11:AD74" si="2">(-R11*$R$8)+(S11*$S$8)+(T11*$T$8)-(U11*$U$8)-(V11*$V$8)+(W11*$W$8)+(X11*$X$8)+(Y11*$Y$8)-(Z11*$Z$8)</f>
        <v>-10</v>
      </c>
      <c r="AE11" s="23" t="str">
        <f t="shared" ref="AE11:AE74" si="3">IF(G11&gt;H11,"Win","Loss")</f>
        <v>Win</v>
      </c>
      <c r="AF11" s="23" t="str">
        <f t="shared" ref="AF11:AF74" si="4">IF(G11=H11,"Win","Loss")</f>
        <v>Loss</v>
      </c>
      <c r="AG11" s="23" t="str">
        <f t="shared" ref="AG11:AG74" si="5">IF(G11&lt;H11,"Win","Loss")</f>
        <v>Loss</v>
      </c>
      <c r="AH11" s="23">
        <f t="shared" ref="AH11:AH74" si="6">IF(AE11="Win",(I11*$B$2)-$B$2,-$B$2)</f>
        <v>4</v>
      </c>
      <c r="AI11" s="23">
        <f t="shared" ref="AI11:AI74" si="7">IF(AF11="Win",(J11*$B$2)-$B$2,-$B$2)</f>
        <v>-50</v>
      </c>
      <c r="AJ11" s="23">
        <f t="shared" ref="AJ11:AJ74" si="8">IF(AG11="Win",(K11*$B$2)-$B$2,-$B$2)</f>
        <v>-50</v>
      </c>
    </row>
    <row r="12" spans="1:39" x14ac:dyDescent="0.2">
      <c r="A12" s="36">
        <v>43614</v>
      </c>
      <c r="B12" s="37" t="s">
        <v>111</v>
      </c>
      <c r="C12" s="37" t="s">
        <v>112</v>
      </c>
      <c r="D12" s="37" t="s">
        <v>113</v>
      </c>
      <c r="E12" s="37" t="s">
        <v>114</v>
      </c>
      <c r="F12" s="37" t="s">
        <v>115</v>
      </c>
      <c r="G12" s="37">
        <v>2</v>
      </c>
      <c r="H12" s="37">
        <v>1</v>
      </c>
      <c r="I12" s="37">
        <v>2.72</v>
      </c>
      <c r="J12" s="37">
        <v>2.85</v>
      </c>
      <c r="K12" s="37">
        <v>2.78</v>
      </c>
      <c r="L12" s="37">
        <v>-0.06</v>
      </c>
      <c r="M12" s="37">
        <v>40</v>
      </c>
      <c r="N12" s="37">
        <v>52</v>
      </c>
      <c r="O12" s="37">
        <v>0</v>
      </c>
      <c r="P12" s="37">
        <v>19</v>
      </c>
      <c r="Q12" s="37">
        <v>24</v>
      </c>
      <c r="R12" s="37">
        <v>0</v>
      </c>
      <c r="S12" s="37">
        <v>0</v>
      </c>
      <c r="T12" s="37">
        <v>0</v>
      </c>
      <c r="U12" s="37">
        <v>45</v>
      </c>
      <c r="V12" s="37">
        <v>30</v>
      </c>
      <c r="W12" s="37">
        <v>25</v>
      </c>
      <c r="X12" s="37">
        <v>38.46</v>
      </c>
      <c r="Y12" s="37">
        <v>23.08</v>
      </c>
      <c r="Z12" s="37">
        <v>38.46</v>
      </c>
      <c r="AA12" s="37">
        <v>57.89</v>
      </c>
      <c r="AB12" s="37">
        <v>29.17</v>
      </c>
      <c r="AC12" s="24">
        <f t="shared" si="1"/>
        <v>4.6920000000000002</v>
      </c>
      <c r="AD12" s="25">
        <f t="shared" si="2"/>
        <v>-4.6920000000000002</v>
      </c>
      <c r="AE12" s="23" t="str">
        <f t="shared" si="3"/>
        <v>Win</v>
      </c>
      <c r="AF12" s="23" t="str">
        <f t="shared" si="4"/>
        <v>Loss</v>
      </c>
      <c r="AG12" s="23" t="str">
        <f t="shared" si="5"/>
        <v>Loss</v>
      </c>
      <c r="AH12" s="23">
        <f t="shared" si="6"/>
        <v>86</v>
      </c>
      <c r="AI12" s="23">
        <f t="shared" si="7"/>
        <v>-50</v>
      </c>
      <c r="AJ12" s="23">
        <f t="shared" si="8"/>
        <v>-50</v>
      </c>
    </row>
    <row r="13" spans="1:39" x14ac:dyDescent="0.2">
      <c r="A13" s="36">
        <v>43614</v>
      </c>
      <c r="B13" s="37" t="s">
        <v>116</v>
      </c>
      <c r="C13" s="37" t="s">
        <v>117</v>
      </c>
      <c r="D13" s="37" t="s">
        <v>118</v>
      </c>
      <c r="E13" s="37" t="s">
        <v>119</v>
      </c>
      <c r="F13" s="37" t="s">
        <v>120</v>
      </c>
      <c r="G13" s="37">
        <v>3</v>
      </c>
      <c r="H13" s="37">
        <v>1</v>
      </c>
      <c r="I13" s="37">
        <v>1.41</v>
      </c>
      <c r="J13" s="37">
        <v>3.9</v>
      </c>
      <c r="K13" s="37">
        <v>9.08</v>
      </c>
      <c r="L13" s="37">
        <v>-7.67</v>
      </c>
      <c r="M13" s="37">
        <v>3</v>
      </c>
      <c r="N13" s="37">
        <v>3</v>
      </c>
      <c r="O13" s="37">
        <v>1</v>
      </c>
      <c r="P13" s="37">
        <v>1</v>
      </c>
      <c r="Q13" s="37">
        <v>1</v>
      </c>
      <c r="R13" s="37">
        <v>0</v>
      </c>
      <c r="S13" s="37">
        <v>100</v>
      </c>
      <c r="T13" s="37">
        <v>0</v>
      </c>
      <c r="U13" s="37">
        <v>66.67</v>
      </c>
      <c r="V13" s="37">
        <v>33.33</v>
      </c>
      <c r="W13" s="37">
        <v>0</v>
      </c>
      <c r="X13" s="37">
        <v>0</v>
      </c>
      <c r="Y13" s="37">
        <v>100</v>
      </c>
      <c r="Z13" s="37">
        <v>0</v>
      </c>
      <c r="AA13" s="37">
        <v>100</v>
      </c>
      <c r="AB13" s="37">
        <v>0</v>
      </c>
      <c r="AC13" s="24">
        <f t="shared" si="1"/>
        <v>16.667000000000002</v>
      </c>
      <c r="AD13" s="25">
        <f t="shared" si="2"/>
        <v>3.3329999999999984</v>
      </c>
      <c r="AE13" s="23" t="str">
        <f t="shared" si="3"/>
        <v>Win</v>
      </c>
      <c r="AF13" s="23" t="str">
        <f t="shared" si="4"/>
        <v>Loss</v>
      </c>
      <c r="AG13" s="23" t="str">
        <f t="shared" si="5"/>
        <v>Loss</v>
      </c>
      <c r="AH13" s="23">
        <f t="shared" si="6"/>
        <v>20.5</v>
      </c>
      <c r="AI13" s="23">
        <f t="shared" si="7"/>
        <v>-50</v>
      </c>
      <c r="AJ13" s="23">
        <f t="shared" si="8"/>
        <v>-50</v>
      </c>
    </row>
    <row r="14" spans="1:39" x14ac:dyDescent="0.2">
      <c r="A14" s="36">
        <v>43614</v>
      </c>
      <c r="B14" s="37" t="s">
        <v>116</v>
      </c>
      <c r="C14" s="37" t="s">
        <v>117</v>
      </c>
      <c r="D14" s="37" t="s">
        <v>121</v>
      </c>
      <c r="E14" s="37" t="s">
        <v>122</v>
      </c>
      <c r="F14" s="37" t="s">
        <v>123</v>
      </c>
      <c r="G14" s="37">
        <v>2</v>
      </c>
      <c r="H14" s="37">
        <v>0</v>
      </c>
      <c r="I14" s="37">
        <v>1.26</v>
      </c>
      <c r="J14" s="37">
        <v>5.32</v>
      </c>
      <c r="K14" s="37">
        <v>10.78</v>
      </c>
      <c r="L14" s="37">
        <v>-9.52</v>
      </c>
      <c r="M14" s="37">
        <v>3</v>
      </c>
      <c r="N14" s="37">
        <v>3</v>
      </c>
      <c r="O14" s="37">
        <v>1</v>
      </c>
      <c r="P14" s="37">
        <v>1</v>
      </c>
      <c r="Q14" s="37">
        <v>1</v>
      </c>
      <c r="R14" s="37">
        <v>0</v>
      </c>
      <c r="S14" s="37">
        <v>0</v>
      </c>
      <c r="T14" s="37">
        <v>100</v>
      </c>
      <c r="U14" s="37">
        <v>66.67</v>
      </c>
      <c r="V14" s="37">
        <v>0</v>
      </c>
      <c r="W14" s="37">
        <v>33.33</v>
      </c>
      <c r="X14" s="37">
        <v>66.67</v>
      </c>
      <c r="Y14" s="37">
        <v>33.33</v>
      </c>
      <c r="Z14" s="37">
        <v>0</v>
      </c>
      <c r="AA14" s="37">
        <v>100</v>
      </c>
      <c r="AB14" s="37">
        <v>100</v>
      </c>
      <c r="AC14" s="24">
        <f t="shared" si="1"/>
        <v>-39.998999999999995</v>
      </c>
      <c r="AD14" s="25">
        <f t="shared" si="2"/>
        <v>39.998999999999995</v>
      </c>
      <c r="AE14" s="23" t="str">
        <f t="shared" si="3"/>
        <v>Win</v>
      </c>
      <c r="AF14" s="23" t="str">
        <f t="shared" si="4"/>
        <v>Loss</v>
      </c>
      <c r="AG14" s="23" t="str">
        <f t="shared" si="5"/>
        <v>Loss</v>
      </c>
      <c r="AH14" s="23">
        <f t="shared" si="6"/>
        <v>13</v>
      </c>
      <c r="AI14" s="23">
        <f t="shared" si="7"/>
        <v>-50</v>
      </c>
      <c r="AJ14" s="23">
        <f t="shared" si="8"/>
        <v>-50</v>
      </c>
    </row>
    <row r="15" spans="1:39" x14ac:dyDescent="0.2">
      <c r="A15" s="36">
        <v>43614</v>
      </c>
      <c r="B15" s="37" t="s">
        <v>116</v>
      </c>
      <c r="C15" s="37" t="s">
        <v>117</v>
      </c>
      <c r="D15" s="37" t="s">
        <v>124</v>
      </c>
      <c r="E15" s="37" t="s">
        <v>125</v>
      </c>
      <c r="F15" s="37" t="s">
        <v>126</v>
      </c>
      <c r="G15" s="37">
        <v>0</v>
      </c>
      <c r="H15" s="37">
        <v>0</v>
      </c>
      <c r="I15" s="37">
        <v>2.14</v>
      </c>
      <c r="J15" s="37">
        <v>3.4</v>
      </c>
      <c r="K15" s="37">
        <v>3.22</v>
      </c>
      <c r="L15" s="37">
        <v>-1.08</v>
      </c>
      <c r="M15" s="37">
        <v>11</v>
      </c>
      <c r="N15" s="37">
        <v>3</v>
      </c>
      <c r="O15" s="37">
        <v>1</v>
      </c>
      <c r="P15" s="37">
        <v>5</v>
      </c>
      <c r="Q15" s="37">
        <v>1</v>
      </c>
      <c r="R15" s="37">
        <v>0</v>
      </c>
      <c r="S15" s="37">
        <v>0</v>
      </c>
      <c r="T15" s="37">
        <v>100</v>
      </c>
      <c r="U15" s="37">
        <v>36.36</v>
      </c>
      <c r="V15" s="37">
        <v>18.18</v>
      </c>
      <c r="W15" s="37">
        <v>45.45</v>
      </c>
      <c r="X15" s="37">
        <v>66.67</v>
      </c>
      <c r="Y15" s="37">
        <v>0</v>
      </c>
      <c r="Z15" s="37">
        <v>33.33</v>
      </c>
      <c r="AA15" s="37">
        <v>60</v>
      </c>
      <c r="AB15" s="37">
        <v>100</v>
      </c>
      <c r="AC15" s="24">
        <f t="shared" si="1"/>
        <v>-36.668000000000006</v>
      </c>
      <c r="AD15" s="25">
        <f t="shared" si="2"/>
        <v>36.668000000000006</v>
      </c>
      <c r="AE15" s="23" t="str">
        <f t="shared" si="3"/>
        <v>Loss</v>
      </c>
      <c r="AF15" s="23" t="str">
        <f t="shared" si="4"/>
        <v>Win</v>
      </c>
      <c r="AG15" s="23" t="str">
        <f t="shared" si="5"/>
        <v>Loss</v>
      </c>
      <c r="AH15" s="23">
        <f t="shared" si="6"/>
        <v>-50</v>
      </c>
      <c r="AI15" s="23">
        <f t="shared" si="7"/>
        <v>120</v>
      </c>
      <c r="AJ15" s="23">
        <f t="shared" si="8"/>
        <v>-50</v>
      </c>
    </row>
    <row r="16" spans="1:39" x14ac:dyDescent="0.2">
      <c r="A16" s="36">
        <v>43614</v>
      </c>
      <c r="B16" s="37" t="s">
        <v>106</v>
      </c>
      <c r="C16" s="37" t="s">
        <v>107</v>
      </c>
      <c r="D16" s="37" t="s">
        <v>127</v>
      </c>
      <c r="E16" s="37" t="s">
        <v>128</v>
      </c>
      <c r="F16" s="37" t="s">
        <v>129</v>
      </c>
      <c r="G16" s="37">
        <v>2</v>
      </c>
      <c r="H16" s="37">
        <v>0</v>
      </c>
      <c r="I16" s="37">
        <v>1.48</v>
      </c>
      <c r="J16" s="37">
        <v>4.2</v>
      </c>
      <c r="K16" s="37">
        <v>5.18</v>
      </c>
      <c r="L16" s="37">
        <v>-3.7</v>
      </c>
      <c r="M16" s="37">
        <v>0</v>
      </c>
      <c r="N16" s="37">
        <v>0</v>
      </c>
      <c r="O16" s="37">
        <v>0</v>
      </c>
      <c r="P16" s="37">
        <v>0</v>
      </c>
      <c r="Q16" s="37">
        <v>0</v>
      </c>
      <c r="R16" s="37">
        <v>0</v>
      </c>
      <c r="S16" s="37">
        <v>0</v>
      </c>
      <c r="T16" s="37">
        <v>0</v>
      </c>
      <c r="U16" s="37">
        <v>0</v>
      </c>
      <c r="V16" s="37">
        <v>0</v>
      </c>
      <c r="W16" s="37">
        <v>0</v>
      </c>
      <c r="X16" s="37">
        <v>0</v>
      </c>
      <c r="Y16" s="37">
        <v>0</v>
      </c>
      <c r="Z16" s="37">
        <v>0</v>
      </c>
      <c r="AA16" s="37">
        <v>0</v>
      </c>
      <c r="AB16" s="37">
        <v>0</v>
      </c>
      <c r="AC16" s="24">
        <f t="shared" si="1"/>
        <v>0</v>
      </c>
      <c r="AD16" s="25">
        <f t="shared" si="2"/>
        <v>0</v>
      </c>
      <c r="AE16" s="23" t="str">
        <f t="shared" si="3"/>
        <v>Win</v>
      </c>
      <c r="AF16" s="23" t="str">
        <f t="shared" si="4"/>
        <v>Loss</v>
      </c>
      <c r="AG16" s="23" t="str">
        <f t="shared" si="5"/>
        <v>Loss</v>
      </c>
      <c r="AH16" s="23">
        <f t="shared" si="6"/>
        <v>24</v>
      </c>
      <c r="AI16" s="23">
        <f t="shared" si="7"/>
        <v>-50</v>
      </c>
      <c r="AJ16" s="23">
        <f t="shared" si="8"/>
        <v>-50</v>
      </c>
    </row>
    <row r="17" spans="1:36" x14ac:dyDescent="0.2">
      <c r="A17" s="36">
        <v>43614</v>
      </c>
      <c r="B17" s="37" t="s">
        <v>106</v>
      </c>
      <c r="C17" s="37" t="s">
        <v>107</v>
      </c>
      <c r="D17" s="37" t="s">
        <v>130</v>
      </c>
      <c r="E17" s="37" t="s">
        <v>131</v>
      </c>
      <c r="F17" s="37" t="s">
        <v>132</v>
      </c>
      <c r="G17" s="37">
        <v>2</v>
      </c>
      <c r="H17" s="37">
        <v>1</v>
      </c>
      <c r="I17" s="37">
        <v>1.76</v>
      </c>
      <c r="J17" s="37">
        <v>3.86</v>
      </c>
      <c r="K17" s="37">
        <v>3.57</v>
      </c>
      <c r="L17" s="37">
        <v>-1.81</v>
      </c>
      <c r="M17" s="37">
        <v>0</v>
      </c>
      <c r="N17" s="37">
        <v>1</v>
      </c>
      <c r="O17" s="37">
        <v>0</v>
      </c>
      <c r="P17" s="37">
        <v>0</v>
      </c>
      <c r="Q17" s="37">
        <v>1</v>
      </c>
      <c r="R17" s="37">
        <v>0</v>
      </c>
      <c r="S17" s="37">
        <v>0</v>
      </c>
      <c r="T17" s="37">
        <v>0</v>
      </c>
      <c r="U17" s="37">
        <v>0</v>
      </c>
      <c r="V17" s="37">
        <v>0</v>
      </c>
      <c r="W17" s="37">
        <v>0</v>
      </c>
      <c r="X17" s="37">
        <v>0</v>
      </c>
      <c r="Y17" s="37">
        <v>100</v>
      </c>
      <c r="Z17" s="37">
        <v>0</v>
      </c>
      <c r="AA17" s="37">
        <v>0</v>
      </c>
      <c r="AB17" s="37">
        <v>0</v>
      </c>
      <c r="AC17" s="24">
        <f t="shared" si="1"/>
        <v>-10</v>
      </c>
      <c r="AD17" s="25">
        <f t="shared" si="2"/>
        <v>10</v>
      </c>
      <c r="AE17" s="23" t="str">
        <f t="shared" si="3"/>
        <v>Win</v>
      </c>
      <c r="AF17" s="23" t="str">
        <f t="shared" si="4"/>
        <v>Loss</v>
      </c>
      <c r="AG17" s="23" t="str">
        <f t="shared" si="5"/>
        <v>Loss</v>
      </c>
      <c r="AH17" s="23">
        <f t="shared" si="6"/>
        <v>38</v>
      </c>
      <c r="AI17" s="23">
        <f t="shared" si="7"/>
        <v>-50</v>
      </c>
      <c r="AJ17" s="23">
        <f t="shared" si="8"/>
        <v>-50</v>
      </c>
    </row>
    <row r="18" spans="1:36" x14ac:dyDescent="0.2">
      <c r="A18" s="36">
        <v>43614</v>
      </c>
      <c r="B18" s="37" t="s">
        <v>106</v>
      </c>
      <c r="C18" s="37" t="s">
        <v>107</v>
      </c>
      <c r="D18" s="37" t="s">
        <v>133</v>
      </c>
      <c r="E18" s="37" t="s">
        <v>134</v>
      </c>
      <c r="F18" s="37" t="s">
        <v>135</v>
      </c>
      <c r="G18" s="37">
        <v>0</v>
      </c>
      <c r="H18" s="37">
        <v>1</v>
      </c>
      <c r="I18" s="37">
        <v>6.03</v>
      </c>
      <c r="J18" s="37">
        <v>4.8499999999999996</v>
      </c>
      <c r="K18" s="37">
        <v>1.35</v>
      </c>
      <c r="L18" s="37">
        <v>4.68</v>
      </c>
      <c r="M18" s="37">
        <v>3</v>
      </c>
      <c r="N18" s="37">
        <v>1</v>
      </c>
      <c r="O18" s="37">
        <v>0</v>
      </c>
      <c r="P18" s="37">
        <v>1</v>
      </c>
      <c r="Q18" s="37">
        <v>1</v>
      </c>
      <c r="R18" s="37">
        <v>0</v>
      </c>
      <c r="S18" s="37">
        <v>0</v>
      </c>
      <c r="T18" s="37">
        <v>0</v>
      </c>
      <c r="U18" s="37">
        <v>0</v>
      </c>
      <c r="V18" s="37">
        <v>66.67</v>
      </c>
      <c r="W18" s="37">
        <v>33.33</v>
      </c>
      <c r="X18" s="37">
        <v>100</v>
      </c>
      <c r="Y18" s="37">
        <v>0</v>
      </c>
      <c r="Z18" s="37">
        <v>0</v>
      </c>
      <c r="AA18" s="37">
        <v>0</v>
      </c>
      <c r="AB18" s="37">
        <v>100</v>
      </c>
      <c r="AC18" s="24">
        <f t="shared" si="1"/>
        <v>-19.998999999999999</v>
      </c>
      <c r="AD18" s="25">
        <f t="shared" si="2"/>
        <v>19.998999999999999</v>
      </c>
      <c r="AE18" s="23" t="str">
        <f t="shared" si="3"/>
        <v>Loss</v>
      </c>
      <c r="AF18" s="23" t="str">
        <f t="shared" si="4"/>
        <v>Loss</v>
      </c>
      <c r="AG18" s="23" t="str">
        <f t="shared" si="5"/>
        <v>Win</v>
      </c>
      <c r="AH18" s="23">
        <f t="shared" si="6"/>
        <v>-50</v>
      </c>
      <c r="AI18" s="23">
        <f t="shared" si="7"/>
        <v>-50</v>
      </c>
      <c r="AJ18" s="23">
        <f t="shared" si="8"/>
        <v>17.5</v>
      </c>
    </row>
    <row r="19" spans="1:36" x14ac:dyDescent="0.2">
      <c r="A19" s="36">
        <v>43614</v>
      </c>
      <c r="B19" s="37" t="s">
        <v>106</v>
      </c>
      <c r="C19" s="37" t="s">
        <v>107</v>
      </c>
      <c r="D19" s="37" t="s">
        <v>136</v>
      </c>
      <c r="E19" s="37" t="s">
        <v>137</v>
      </c>
      <c r="F19" s="37" t="s">
        <v>138</v>
      </c>
      <c r="G19" s="37">
        <v>5</v>
      </c>
      <c r="H19" s="37">
        <v>0</v>
      </c>
      <c r="I19" s="37">
        <v>2.14</v>
      </c>
      <c r="J19" s="37">
        <v>3.52</v>
      </c>
      <c r="K19" s="37">
        <v>2.76</v>
      </c>
      <c r="L19" s="37">
        <v>-0.62</v>
      </c>
      <c r="M19" s="37">
        <v>1</v>
      </c>
      <c r="N19" s="37">
        <v>1</v>
      </c>
      <c r="O19" s="37">
        <v>0</v>
      </c>
      <c r="P19" s="37">
        <v>1</v>
      </c>
      <c r="Q19" s="37">
        <v>1</v>
      </c>
      <c r="R19" s="37">
        <v>0</v>
      </c>
      <c r="S19" s="37">
        <v>0</v>
      </c>
      <c r="T19" s="37">
        <v>0</v>
      </c>
      <c r="U19" s="37">
        <v>100</v>
      </c>
      <c r="V19" s="37">
        <v>0</v>
      </c>
      <c r="W19" s="37">
        <v>0</v>
      </c>
      <c r="X19" s="37">
        <v>0</v>
      </c>
      <c r="Y19" s="37">
        <v>100</v>
      </c>
      <c r="Z19" s="37">
        <v>0</v>
      </c>
      <c r="AA19" s="37">
        <v>100</v>
      </c>
      <c r="AB19" s="37">
        <v>0</v>
      </c>
      <c r="AC19" s="24">
        <f t="shared" si="1"/>
        <v>10</v>
      </c>
      <c r="AD19" s="25">
        <f t="shared" si="2"/>
        <v>-10</v>
      </c>
      <c r="AE19" s="23" t="str">
        <f t="shared" si="3"/>
        <v>Win</v>
      </c>
      <c r="AF19" s="23" t="str">
        <f t="shared" si="4"/>
        <v>Loss</v>
      </c>
      <c r="AG19" s="23" t="str">
        <f t="shared" si="5"/>
        <v>Loss</v>
      </c>
      <c r="AH19" s="23">
        <f t="shared" si="6"/>
        <v>57</v>
      </c>
      <c r="AI19" s="23">
        <f t="shared" si="7"/>
        <v>-50</v>
      </c>
      <c r="AJ19" s="23">
        <f t="shared" si="8"/>
        <v>-50</v>
      </c>
    </row>
    <row r="20" spans="1:36" x14ac:dyDescent="0.2">
      <c r="A20" s="36">
        <v>43614</v>
      </c>
      <c r="B20" s="37" t="s">
        <v>139</v>
      </c>
      <c r="C20" s="37" t="s">
        <v>140</v>
      </c>
      <c r="D20" s="37" t="s">
        <v>141</v>
      </c>
      <c r="E20" s="37" t="s">
        <v>142</v>
      </c>
      <c r="F20" s="37" t="s">
        <v>143</v>
      </c>
      <c r="G20" s="37">
        <v>1</v>
      </c>
      <c r="H20" s="37">
        <v>1</v>
      </c>
      <c r="I20" s="37">
        <v>2.5099999999999998</v>
      </c>
      <c r="J20" s="37">
        <v>2.6</v>
      </c>
      <c r="K20" s="37">
        <v>3.36</v>
      </c>
      <c r="L20" s="37">
        <v>-0.85</v>
      </c>
      <c r="M20" s="37">
        <v>38</v>
      </c>
      <c r="N20" s="37">
        <v>38</v>
      </c>
      <c r="O20" s="37">
        <v>1</v>
      </c>
      <c r="P20" s="37">
        <v>19</v>
      </c>
      <c r="Q20" s="37">
        <v>20</v>
      </c>
      <c r="R20" s="37">
        <v>0</v>
      </c>
      <c r="S20" s="37">
        <v>0</v>
      </c>
      <c r="T20" s="37">
        <v>100</v>
      </c>
      <c r="U20" s="37">
        <v>42.11</v>
      </c>
      <c r="V20" s="37">
        <v>23.68</v>
      </c>
      <c r="W20" s="37">
        <v>34.21</v>
      </c>
      <c r="X20" s="37">
        <v>36.840000000000003</v>
      </c>
      <c r="Y20" s="37">
        <v>36.840000000000003</v>
      </c>
      <c r="Z20" s="37">
        <v>26.32</v>
      </c>
      <c r="AA20" s="37">
        <v>36.840000000000003</v>
      </c>
      <c r="AB20" s="37">
        <v>40</v>
      </c>
      <c r="AC20" s="24">
        <f t="shared" si="1"/>
        <v>-31.84</v>
      </c>
      <c r="AD20" s="25">
        <f t="shared" si="2"/>
        <v>31.84</v>
      </c>
      <c r="AE20" s="23" t="str">
        <f t="shared" si="3"/>
        <v>Loss</v>
      </c>
      <c r="AF20" s="23" t="str">
        <f t="shared" si="4"/>
        <v>Win</v>
      </c>
      <c r="AG20" s="23" t="str">
        <f t="shared" si="5"/>
        <v>Loss</v>
      </c>
      <c r="AH20" s="23">
        <f t="shared" si="6"/>
        <v>-50</v>
      </c>
      <c r="AI20" s="23">
        <f t="shared" si="7"/>
        <v>80</v>
      </c>
      <c r="AJ20" s="23">
        <f t="shared" si="8"/>
        <v>-50</v>
      </c>
    </row>
    <row r="21" spans="1:36" x14ac:dyDescent="0.2">
      <c r="A21" s="36">
        <v>43614</v>
      </c>
      <c r="B21" s="37" t="s">
        <v>111</v>
      </c>
      <c r="C21" s="37" t="s">
        <v>112</v>
      </c>
      <c r="D21" s="37" t="s">
        <v>144</v>
      </c>
      <c r="E21" s="37" t="s">
        <v>145</v>
      </c>
      <c r="F21" s="37" t="s">
        <v>146</v>
      </c>
      <c r="G21" s="37">
        <v>1</v>
      </c>
      <c r="H21" s="37">
        <v>2</v>
      </c>
      <c r="I21" s="37">
        <v>2.02</v>
      </c>
      <c r="J21" s="37">
        <v>2.83</v>
      </c>
      <c r="K21" s="37">
        <v>4.34</v>
      </c>
      <c r="L21" s="37">
        <v>-2.3199999999999998</v>
      </c>
      <c r="M21" s="37">
        <v>58</v>
      </c>
      <c r="N21" s="37">
        <v>59</v>
      </c>
      <c r="O21" s="37">
        <v>2</v>
      </c>
      <c r="P21" s="37">
        <v>28</v>
      </c>
      <c r="Q21" s="37">
        <v>30</v>
      </c>
      <c r="R21" s="37">
        <v>50</v>
      </c>
      <c r="S21" s="37">
        <v>50</v>
      </c>
      <c r="T21" s="37">
        <v>0</v>
      </c>
      <c r="U21" s="37">
        <v>32.76</v>
      </c>
      <c r="V21" s="37">
        <v>29.31</v>
      </c>
      <c r="W21" s="37">
        <v>37.93</v>
      </c>
      <c r="X21" s="37">
        <v>28.81</v>
      </c>
      <c r="Y21" s="37">
        <v>30.51</v>
      </c>
      <c r="Z21" s="37">
        <v>40.68</v>
      </c>
      <c r="AA21" s="37">
        <v>46.43</v>
      </c>
      <c r="AB21" s="37">
        <v>23.33</v>
      </c>
      <c r="AC21" s="24">
        <f t="shared" si="1"/>
        <v>21.22</v>
      </c>
      <c r="AD21" s="25">
        <f t="shared" si="2"/>
        <v>-11.22</v>
      </c>
      <c r="AE21" s="23" t="str">
        <f t="shared" si="3"/>
        <v>Loss</v>
      </c>
      <c r="AF21" s="23" t="str">
        <f t="shared" si="4"/>
        <v>Loss</v>
      </c>
      <c r="AG21" s="23" t="str">
        <f t="shared" si="5"/>
        <v>Win</v>
      </c>
      <c r="AH21" s="23">
        <f t="shared" si="6"/>
        <v>-50</v>
      </c>
      <c r="AI21" s="23">
        <f t="shared" si="7"/>
        <v>-50</v>
      </c>
      <c r="AJ21" s="23">
        <f t="shared" si="8"/>
        <v>167</v>
      </c>
    </row>
    <row r="22" spans="1:36" x14ac:dyDescent="0.2">
      <c r="A22" s="36">
        <v>43614</v>
      </c>
      <c r="B22" s="37" t="s">
        <v>116</v>
      </c>
      <c r="C22" s="37" t="s">
        <v>117</v>
      </c>
      <c r="D22" s="37" t="s">
        <v>147</v>
      </c>
      <c r="E22" s="37" t="s">
        <v>148</v>
      </c>
      <c r="F22" s="37" t="s">
        <v>149</v>
      </c>
      <c r="G22" s="37">
        <v>3</v>
      </c>
      <c r="H22" s="37">
        <v>0</v>
      </c>
      <c r="I22" s="37">
        <v>2.4</v>
      </c>
      <c r="J22" s="37">
        <v>3.09</v>
      </c>
      <c r="K22" s="37">
        <v>3</v>
      </c>
      <c r="L22" s="37">
        <v>-0.6</v>
      </c>
      <c r="M22" s="37">
        <v>7</v>
      </c>
      <c r="N22" s="37">
        <v>3</v>
      </c>
      <c r="O22" s="37">
        <v>1</v>
      </c>
      <c r="P22" s="37">
        <v>3</v>
      </c>
      <c r="Q22" s="37">
        <v>1</v>
      </c>
      <c r="R22" s="37">
        <v>100</v>
      </c>
      <c r="S22" s="37">
        <v>0</v>
      </c>
      <c r="T22" s="37">
        <v>0</v>
      </c>
      <c r="U22" s="37">
        <v>42.86</v>
      </c>
      <c r="V22" s="37">
        <v>14.29</v>
      </c>
      <c r="W22" s="37">
        <v>42.86</v>
      </c>
      <c r="X22" s="37">
        <v>33.33</v>
      </c>
      <c r="Y22" s="37">
        <v>33.33</v>
      </c>
      <c r="Z22" s="37">
        <v>33.33</v>
      </c>
      <c r="AA22" s="37">
        <v>33.33</v>
      </c>
      <c r="AB22" s="37">
        <v>100</v>
      </c>
      <c r="AC22" s="24">
        <f t="shared" si="1"/>
        <v>28.096</v>
      </c>
      <c r="AD22" s="25">
        <f t="shared" si="2"/>
        <v>-28.096</v>
      </c>
      <c r="AE22" s="23" t="str">
        <f t="shared" si="3"/>
        <v>Win</v>
      </c>
      <c r="AF22" s="23" t="str">
        <f t="shared" si="4"/>
        <v>Loss</v>
      </c>
      <c r="AG22" s="23" t="str">
        <f t="shared" si="5"/>
        <v>Loss</v>
      </c>
      <c r="AH22" s="23">
        <f t="shared" si="6"/>
        <v>70</v>
      </c>
      <c r="AI22" s="23">
        <f t="shared" si="7"/>
        <v>-50</v>
      </c>
      <c r="AJ22" s="23">
        <f t="shared" si="8"/>
        <v>-50</v>
      </c>
    </row>
    <row r="23" spans="1:36" x14ac:dyDescent="0.2">
      <c r="A23" s="36">
        <v>43614</v>
      </c>
      <c r="B23" s="37" t="s">
        <v>116</v>
      </c>
      <c r="C23" s="37" t="s">
        <v>117</v>
      </c>
      <c r="D23" s="37" t="s">
        <v>150</v>
      </c>
      <c r="E23" s="37" t="s">
        <v>151</v>
      </c>
      <c r="F23" s="37" t="s">
        <v>152</v>
      </c>
      <c r="G23" s="37">
        <v>2</v>
      </c>
      <c r="H23" s="37">
        <v>0</v>
      </c>
      <c r="I23" s="37">
        <v>1.34</v>
      </c>
      <c r="J23" s="37">
        <v>4.55</v>
      </c>
      <c r="K23" s="37">
        <v>9.4700000000000006</v>
      </c>
      <c r="L23" s="37">
        <v>-8.1300000000000008</v>
      </c>
      <c r="M23" s="37">
        <v>11</v>
      </c>
      <c r="N23" s="37">
        <v>3</v>
      </c>
      <c r="O23" s="37">
        <v>1</v>
      </c>
      <c r="P23" s="37">
        <v>5</v>
      </c>
      <c r="Q23" s="37">
        <v>1</v>
      </c>
      <c r="R23" s="37">
        <v>0</v>
      </c>
      <c r="S23" s="37">
        <v>0</v>
      </c>
      <c r="T23" s="37">
        <v>100</v>
      </c>
      <c r="U23" s="37">
        <v>36.36</v>
      </c>
      <c r="V23" s="37">
        <v>18.18</v>
      </c>
      <c r="W23" s="37">
        <v>45.45</v>
      </c>
      <c r="X23" s="37">
        <v>33.33</v>
      </c>
      <c r="Y23" s="37">
        <v>66.67</v>
      </c>
      <c r="Z23" s="37">
        <v>0</v>
      </c>
      <c r="AA23" s="37">
        <v>40</v>
      </c>
      <c r="AB23" s="37">
        <v>0</v>
      </c>
      <c r="AC23" s="24">
        <f t="shared" si="1"/>
        <v>-43.332999999999998</v>
      </c>
      <c r="AD23" s="25">
        <f t="shared" si="2"/>
        <v>43.332999999999998</v>
      </c>
      <c r="AE23" s="23" t="str">
        <f t="shared" si="3"/>
        <v>Win</v>
      </c>
      <c r="AF23" s="23" t="str">
        <f t="shared" si="4"/>
        <v>Loss</v>
      </c>
      <c r="AG23" s="23" t="str">
        <f t="shared" si="5"/>
        <v>Loss</v>
      </c>
      <c r="AH23" s="23">
        <f t="shared" si="6"/>
        <v>17</v>
      </c>
      <c r="AI23" s="23">
        <f t="shared" si="7"/>
        <v>-50</v>
      </c>
      <c r="AJ23" s="23">
        <f t="shared" si="8"/>
        <v>-50</v>
      </c>
    </row>
    <row r="24" spans="1:36" x14ac:dyDescent="0.2">
      <c r="A24" s="36">
        <v>43614</v>
      </c>
      <c r="B24" s="37" t="s">
        <v>106</v>
      </c>
      <c r="C24" s="37" t="s">
        <v>153</v>
      </c>
      <c r="D24" s="37" t="s">
        <v>154</v>
      </c>
      <c r="E24" s="37" t="s">
        <v>155</v>
      </c>
      <c r="F24" s="37" t="s">
        <v>156</v>
      </c>
      <c r="G24" s="37">
        <v>4</v>
      </c>
      <c r="H24" s="37">
        <v>3</v>
      </c>
      <c r="I24" s="37">
        <v>3.28</v>
      </c>
      <c r="J24" s="37">
        <v>3.37</v>
      </c>
      <c r="K24" s="37">
        <v>2</v>
      </c>
      <c r="L24" s="37">
        <v>1.28</v>
      </c>
      <c r="M24" s="37">
        <v>13</v>
      </c>
      <c r="N24" s="37">
        <v>44</v>
      </c>
      <c r="O24" s="37">
        <v>0</v>
      </c>
      <c r="P24" s="37">
        <v>6</v>
      </c>
      <c r="Q24" s="37">
        <v>21</v>
      </c>
      <c r="R24" s="37">
        <v>0</v>
      </c>
      <c r="S24" s="37">
        <v>0</v>
      </c>
      <c r="T24" s="37">
        <v>0</v>
      </c>
      <c r="U24" s="37">
        <v>38.46</v>
      </c>
      <c r="V24" s="37">
        <v>23.08</v>
      </c>
      <c r="W24" s="37">
        <v>38.46</v>
      </c>
      <c r="X24" s="37">
        <v>34.090000000000003</v>
      </c>
      <c r="Y24" s="37">
        <v>36.36</v>
      </c>
      <c r="Z24" s="37">
        <v>29.55</v>
      </c>
      <c r="AA24" s="37">
        <v>66.67</v>
      </c>
      <c r="AB24" s="37">
        <v>28.57</v>
      </c>
      <c r="AC24" s="24">
        <f t="shared" si="1"/>
        <v>-2.2360000000000007</v>
      </c>
      <c r="AD24" s="25">
        <f t="shared" si="2"/>
        <v>2.2360000000000007</v>
      </c>
      <c r="AE24" s="23" t="str">
        <f t="shared" si="3"/>
        <v>Win</v>
      </c>
      <c r="AF24" s="23" t="str">
        <f t="shared" si="4"/>
        <v>Loss</v>
      </c>
      <c r="AG24" s="23" t="str">
        <f t="shared" si="5"/>
        <v>Loss</v>
      </c>
      <c r="AH24" s="23">
        <f t="shared" si="6"/>
        <v>114</v>
      </c>
      <c r="AI24" s="23">
        <f t="shared" si="7"/>
        <v>-50</v>
      </c>
      <c r="AJ24" s="23">
        <f t="shared" si="8"/>
        <v>-50</v>
      </c>
    </row>
    <row r="25" spans="1:36" x14ac:dyDescent="0.2">
      <c r="A25" s="36">
        <v>43614</v>
      </c>
      <c r="B25" s="37" t="s">
        <v>157</v>
      </c>
      <c r="C25" s="37" t="s">
        <v>158</v>
      </c>
      <c r="D25" s="37" t="s">
        <v>159</v>
      </c>
      <c r="E25" s="37" t="s">
        <v>160</v>
      </c>
      <c r="F25" s="37" t="s">
        <v>161</v>
      </c>
      <c r="G25" s="37">
        <v>0</v>
      </c>
      <c r="H25" s="37">
        <v>2</v>
      </c>
      <c r="I25" s="37">
        <v>2.65</v>
      </c>
      <c r="J25" s="37">
        <v>3.91</v>
      </c>
      <c r="K25" s="37">
        <v>2.11</v>
      </c>
      <c r="L25" s="37">
        <v>0.54</v>
      </c>
      <c r="M25" s="37">
        <v>25</v>
      </c>
      <c r="N25" s="37">
        <v>26</v>
      </c>
      <c r="O25" s="37">
        <v>5</v>
      </c>
      <c r="P25" s="37">
        <v>13</v>
      </c>
      <c r="Q25" s="37">
        <v>14</v>
      </c>
      <c r="R25" s="37">
        <v>40</v>
      </c>
      <c r="S25" s="37">
        <v>20</v>
      </c>
      <c r="T25" s="37">
        <v>40</v>
      </c>
      <c r="U25" s="37">
        <v>44</v>
      </c>
      <c r="V25" s="37">
        <v>16</v>
      </c>
      <c r="W25" s="37">
        <v>40</v>
      </c>
      <c r="X25" s="37">
        <v>61.54</v>
      </c>
      <c r="Y25" s="37">
        <v>15.38</v>
      </c>
      <c r="Z25" s="37">
        <v>23.08</v>
      </c>
      <c r="AA25" s="37">
        <v>53.85</v>
      </c>
      <c r="AB25" s="37">
        <v>50</v>
      </c>
      <c r="AC25" s="24">
        <f t="shared" si="1"/>
        <v>-4.83</v>
      </c>
      <c r="AD25" s="25">
        <f t="shared" si="2"/>
        <v>8.83</v>
      </c>
      <c r="AE25" s="23" t="str">
        <f t="shared" si="3"/>
        <v>Loss</v>
      </c>
      <c r="AF25" s="23" t="str">
        <f t="shared" si="4"/>
        <v>Loss</v>
      </c>
      <c r="AG25" s="23" t="str">
        <f t="shared" si="5"/>
        <v>Win</v>
      </c>
      <c r="AH25" s="23">
        <f t="shared" si="6"/>
        <v>-50</v>
      </c>
      <c r="AI25" s="23">
        <f t="shared" si="7"/>
        <v>-50</v>
      </c>
      <c r="AJ25" s="23">
        <f t="shared" si="8"/>
        <v>55.5</v>
      </c>
    </row>
    <row r="26" spans="1:36" x14ac:dyDescent="0.2">
      <c r="A26" s="36">
        <v>43614</v>
      </c>
      <c r="B26" s="37" t="s">
        <v>157</v>
      </c>
      <c r="C26" s="37" t="s">
        <v>158</v>
      </c>
      <c r="D26" s="37" t="s">
        <v>162</v>
      </c>
      <c r="E26" s="37" t="s">
        <v>163</v>
      </c>
      <c r="F26" s="37" t="s">
        <v>164</v>
      </c>
      <c r="G26" s="37">
        <v>0</v>
      </c>
      <c r="H26" s="37">
        <v>5</v>
      </c>
      <c r="I26" s="37">
        <v>22.89</v>
      </c>
      <c r="J26" s="37">
        <v>12.11</v>
      </c>
      <c r="K26" s="37">
        <v>1.04</v>
      </c>
      <c r="L26" s="37">
        <v>21.85</v>
      </c>
      <c r="M26" s="37">
        <v>1</v>
      </c>
      <c r="N26" s="37">
        <v>25</v>
      </c>
      <c r="O26" s="37">
        <v>0</v>
      </c>
      <c r="P26" s="37">
        <v>1</v>
      </c>
      <c r="Q26" s="37">
        <v>12</v>
      </c>
      <c r="R26" s="37">
        <v>0</v>
      </c>
      <c r="S26" s="37">
        <v>0</v>
      </c>
      <c r="T26" s="37">
        <v>0</v>
      </c>
      <c r="U26" s="37">
        <v>0</v>
      </c>
      <c r="V26" s="37">
        <v>100</v>
      </c>
      <c r="W26" s="37">
        <v>0</v>
      </c>
      <c r="X26" s="37">
        <v>72</v>
      </c>
      <c r="Y26" s="37">
        <v>16</v>
      </c>
      <c r="Z26" s="37">
        <v>12</v>
      </c>
      <c r="AA26" s="37">
        <v>0</v>
      </c>
      <c r="AB26" s="37">
        <v>75</v>
      </c>
      <c r="AC26" s="24">
        <f t="shared" si="1"/>
        <v>-3.5999999999999996</v>
      </c>
      <c r="AD26" s="25">
        <f t="shared" si="2"/>
        <v>3.5999999999999996</v>
      </c>
      <c r="AE26" s="23" t="str">
        <f t="shared" si="3"/>
        <v>Loss</v>
      </c>
      <c r="AF26" s="23" t="str">
        <f t="shared" si="4"/>
        <v>Loss</v>
      </c>
      <c r="AG26" s="23" t="str">
        <f t="shared" si="5"/>
        <v>Win</v>
      </c>
      <c r="AH26" s="23">
        <f t="shared" si="6"/>
        <v>-50</v>
      </c>
      <c r="AI26" s="23">
        <f t="shared" si="7"/>
        <v>-50</v>
      </c>
      <c r="AJ26" s="23">
        <f t="shared" si="8"/>
        <v>2</v>
      </c>
    </row>
    <row r="27" spans="1:36" x14ac:dyDescent="0.2">
      <c r="A27" s="36">
        <v>43614</v>
      </c>
      <c r="B27" s="37" t="s">
        <v>165</v>
      </c>
      <c r="C27" s="37" t="s">
        <v>166</v>
      </c>
      <c r="D27" s="37" t="s">
        <v>167</v>
      </c>
      <c r="E27" s="37" t="s">
        <v>168</v>
      </c>
      <c r="F27" s="37" t="s">
        <v>169</v>
      </c>
      <c r="G27" s="37">
        <v>6</v>
      </c>
      <c r="H27" s="37">
        <v>1</v>
      </c>
      <c r="I27" s="37">
        <v>1.05</v>
      </c>
      <c r="J27" s="37">
        <v>10.75</v>
      </c>
      <c r="K27" s="37">
        <v>22.66</v>
      </c>
      <c r="L27" s="37">
        <v>-21.61</v>
      </c>
      <c r="M27" s="37">
        <v>24</v>
      </c>
      <c r="N27" s="37">
        <v>24</v>
      </c>
      <c r="O27" s="37">
        <v>2</v>
      </c>
      <c r="P27" s="37">
        <v>12</v>
      </c>
      <c r="Q27" s="37">
        <v>12</v>
      </c>
      <c r="R27" s="37">
        <v>50</v>
      </c>
      <c r="S27" s="37">
        <v>50</v>
      </c>
      <c r="T27" s="37">
        <v>0</v>
      </c>
      <c r="U27" s="37">
        <v>25</v>
      </c>
      <c r="V27" s="37">
        <v>25</v>
      </c>
      <c r="W27" s="37">
        <v>50</v>
      </c>
      <c r="X27" s="37">
        <v>16.670000000000002</v>
      </c>
      <c r="Y27" s="37">
        <v>20.83</v>
      </c>
      <c r="Z27" s="37">
        <v>62.5</v>
      </c>
      <c r="AA27" s="37">
        <v>41.67</v>
      </c>
      <c r="AB27" s="37">
        <v>16.670000000000002</v>
      </c>
      <c r="AC27" s="24">
        <f t="shared" si="1"/>
        <v>24.582999999999998</v>
      </c>
      <c r="AD27" s="25">
        <f t="shared" si="2"/>
        <v>-14.583</v>
      </c>
      <c r="AE27" s="23" t="str">
        <f t="shared" si="3"/>
        <v>Win</v>
      </c>
      <c r="AF27" s="23" t="str">
        <f t="shared" si="4"/>
        <v>Loss</v>
      </c>
      <c r="AG27" s="23" t="str">
        <f t="shared" si="5"/>
        <v>Loss</v>
      </c>
      <c r="AH27" s="23">
        <f t="shared" si="6"/>
        <v>2.5</v>
      </c>
      <c r="AI27" s="23">
        <f t="shared" si="7"/>
        <v>-50</v>
      </c>
      <c r="AJ27" s="23">
        <f t="shared" si="8"/>
        <v>-50</v>
      </c>
    </row>
    <row r="28" spans="1:36" x14ac:dyDescent="0.2">
      <c r="A28" s="36">
        <v>43614</v>
      </c>
      <c r="B28" s="37" t="s">
        <v>170</v>
      </c>
      <c r="C28" s="37" t="s">
        <v>171</v>
      </c>
      <c r="D28" s="37" t="s">
        <v>172</v>
      </c>
      <c r="E28" s="37" t="s">
        <v>173</v>
      </c>
      <c r="F28" s="37" t="s">
        <v>174</v>
      </c>
      <c r="G28" s="37">
        <v>2</v>
      </c>
      <c r="H28" s="37">
        <v>3</v>
      </c>
      <c r="I28" s="37">
        <v>1.96</v>
      </c>
      <c r="J28" s="37">
        <v>3.87</v>
      </c>
      <c r="K28" s="37">
        <v>3.15</v>
      </c>
      <c r="L28" s="37">
        <v>-1.19</v>
      </c>
      <c r="M28" s="37">
        <v>20</v>
      </c>
      <c r="N28" s="37">
        <v>15</v>
      </c>
      <c r="O28" s="37">
        <v>2</v>
      </c>
      <c r="P28" s="37">
        <v>9</v>
      </c>
      <c r="Q28" s="37">
        <v>8</v>
      </c>
      <c r="R28" s="37">
        <v>0</v>
      </c>
      <c r="S28" s="37">
        <v>0</v>
      </c>
      <c r="T28" s="37">
        <v>100</v>
      </c>
      <c r="U28" s="37">
        <v>40</v>
      </c>
      <c r="V28" s="37">
        <v>15</v>
      </c>
      <c r="W28" s="37">
        <v>45</v>
      </c>
      <c r="X28" s="37">
        <v>46.67</v>
      </c>
      <c r="Y28" s="37">
        <v>6.67</v>
      </c>
      <c r="Z28" s="37">
        <v>46.67</v>
      </c>
      <c r="AA28" s="37">
        <v>55.56</v>
      </c>
      <c r="AB28" s="37">
        <v>25</v>
      </c>
      <c r="AC28" s="24">
        <f t="shared" si="1"/>
        <v>-30.167000000000002</v>
      </c>
      <c r="AD28" s="25">
        <f t="shared" si="2"/>
        <v>30.167000000000002</v>
      </c>
      <c r="AE28" s="23" t="str">
        <f t="shared" si="3"/>
        <v>Loss</v>
      </c>
      <c r="AF28" s="23" t="str">
        <f t="shared" si="4"/>
        <v>Loss</v>
      </c>
      <c r="AG28" s="23" t="str">
        <f t="shared" si="5"/>
        <v>Win</v>
      </c>
      <c r="AH28" s="23">
        <f t="shared" si="6"/>
        <v>-50</v>
      </c>
      <c r="AI28" s="23">
        <f t="shared" si="7"/>
        <v>-50</v>
      </c>
      <c r="AJ28" s="23">
        <f t="shared" si="8"/>
        <v>107.5</v>
      </c>
    </row>
    <row r="29" spans="1:36" x14ac:dyDescent="0.2">
      <c r="A29" s="36">
        <v>43614</v>
      </c>
      <c r="B29" s="37" t="s">
        <v>170</v>
      </c>
      <c r="C29" s="37" t="s">
        <v>171</v>
      </c>
      <c r="D29" s="37" t="s">
        <v>175</v>
      </c>
      <c r="E29" s="37" t="s">
        <v>176</v>
      </c>
      <c r="F29" s="37" t="s">
        <v>177</v>
      </c>
      <c r="G29" s="37">
        <v>1</v>
      </c>
      <c r="H29" s="37">
        <v>9</v>
      </c>
      <c r="I29" s="37">
        <v>6.53</v>
      </c>
      <c r="J29" s="37">
        <v>5.3</v>
      </c>
      <c r="K29" s="37">
        <v>1.32</v>
      </c>
      <c r="L29" s="37">
        <v>5.21</v>
      </c>
      <c r="M29" s="37">
        <v>17</v>
      </c>
      <c r="N29" s="37">
        <v>21</v>
      </c>
      <c r="O29" s="37">
        <v>2</v>
      </c>
      <c r="P29" s="37">
        <v>9</v>
      </c>
      <c r="Q29" s="37">
        <v>10</v>
      </c>
      <c r="R29" s="37">
        <v>0</v>
      </c>
      <c r="S29" s="37">
        <v>0</v>
      </c>
      <c r="T29" s="37">
        <v>100</v>
      </c>
      <c r="U29" s="37">
        <v>17.649999999999999</v>
      </c>
      <c r="V29" s="37">
        <v>11.76</v>
      </c>
      <c r="W29" s="37">
        <v>70.59</v>
      </c>
      <c r="X29" s="37">
        <v>42.86</v>
      </c>
      <c r="Y29" s="37">
        <v>23.81</v>
      </c>
      <c r="Z29" s="37">
        <v>33.33</v>
      </c>
      <c r="AA29" s="37">
        <v>22.22</v>
      </c>
      <c r="AB29" s="37">
        <v>30</v>
      </c>
      <c r="AC29" s="24">
        <f t="shared" si="1"/>
        <v>-43.699000000000012</v>
      </c>
      <c r="AD29" s="25">
        <f t="shared" si="2"/>
        <v>43.699000000000012</v>
      </c>
      <c r="AE29" s="23" t="str">
        <f t="shared" si="3"/>
        <v>Loss</v>
      </c>
      <c r="AF29" s="23" t="str">
        <f t="shared" si="4"/>
        <v>Loss</v>
      </c>
      <c r="AG29" s="23" t="str">
        <f t="shared" si="5"/>
        <v>Win</v>
      </c>
      <c r="AH29" s="23">
        <f t="shared" si="6"/>
        <v>-50</v>
      </c>
      <c r="AI29" s="23">
        <f t="shared" si="7"/>
        <v>-50</v>
      </c>
      <c r="AJ29" s="23">
        <f t="shared" si="8"/>
        <v>16</v>
      </c>
    </row>
    <row r="30" spans="1:36" x14ac:dyDescent="0.2">
      <c r="A30" s="36">
        <v>43614</v>
      </c>
      <c r="B30" s="37" t="s">
        <v>178</v>
      </c>
      <c r="C30" s="37" t="s">
        <v>179</v>
      </c>
      <c r="D30" s="37" t="s">
        <v>180</v>
      </c>
      <c r="E30" s="37" t="s">
        <v>181</v>
      </c>
      <c r="F30" s="37" t="s">
        <v>182</v>
      </c>
      <c r="G30" s="37">
        <v>4</v>
      </c>
      <c r="H30" s="37">
        <v>2</v>
      </c>
      <c r="I30" s="37">
        <v>2.17</v>
      </c>
      <c r="J30" s="37">
        <v>3.88</v>
      </c>
      <c r="K30" s="37">
        <v>2.69</v>
      </c>
      <c r="L30" s="37">
        <v>-0.52</v>
      </c>
      <c r="M30" s="37">
        <v>14</v>
      </c>
      <c r="N30" s="37">
        <v>15</v>
      </c>
      <c r="O30" s="37">
        <v>1</v>
      </c>
      <c r="P30" s="37">
        <v>7</v>
      </c>
      <c r="Q30" s="37">
        <v>8</v>
      </c>
      <c r="R30" s="37">
        <v>100</v>
      </c>
      <c r="S30" s="37">
        <v>0</v>
      </c>
      <c r="T30" s="37">
        <v>0</v>
      </c>
      <c r="U30" s="37">
        <v>50</v>
      </c>
      <c r="V30" s="37">
        <v>7.14</v>
      </c>
      <c r="W30" s="37">
        <v>42.86</v>
      </c>
      <c r="X30" s="37">
        <v>53.33</v>
      </c>
      <c r="Y30" s="37">
        <v>6.67</v>
      </c>
      <c r="Z30" s="37">
        <v>40</v>
      </c>
      <c r="AA30" s="37">
        <v>42.86</v>
      </c>
      <c r="AB30" s="37">
        <v>62.5</v>
      </c>
      <c r="AC30" s="24">
        <f t="shared" si="1"/>
        <v>28.808999999999994</v>
      </c>
      <c r="AD30" s="25">
        <f t="shared" si="2"/>
        <v>-28.808999999999994</v>
      </c>
      <c r="AE30" s="23" t="str">
        <f t="shared" si="3"/>
        <v>Win</v>
      </c>
      <c r="AF30" s="23" t="str">
        <f t="shared" si="4"/>
        <v>Loss</v>
      </c>
      <c r="AG30" s="23" t="str">
        <f t="shared" si="5"/>
        <v>Loss</v>
      </c>
      <c r="AH30" s="23">
        <f t="shared" si="6"/>
        <v>58.5</v>
      </c>
      <c r="AI30" s="23">
        <f t="shared" si="7"/>
        <v>-50</v>
      </c>
      <c r="AJ30" s="23">
        <f t="shared" si="8"/>
        <v>-50</v>
      </c>
    </row>
    <row r="31" spans="1:36" x14ac:dyDescent="0.2">
      <c r="A31" s="36">
        <v>43614</v>
      </c>
      <c r="B31" s="37" t="s">
        <v>178</v>
      </c>
      <c r="C31" s="37" t="s">
        <v>179</v>
      </c>
      <c r="D31" s="37" t="s">
        <v>183</v>
      </c>
      <c r="E31" s="37" t="s">
        <v>184</v>
      </c>
      <c r="F31" s="37" t="s">
        <v>185</v>
      </c>
      <c r="G31" s="37">
        <v>1</v>
      </c>
      <c r="H31" s="37">
        <v>4</v>
      </c>
      <c r="I31" s="37">
        <v>3.35</v>
      </c>
      <c r="J31" s="37">
        <v>4.21</v>
      </c>
      <c r="K31" s="37">
        <v>1.82</v>
      </c>
      <c r="L31" s="37">
        <v>1.53</v>
      </c>
      <c r="M31" s="37">
        <v>15</v>
      </c>
      <c r="N31" s="37">
        <v>15</v>
      </c>
      <c r="O31" s="37">
        <v>1</v>
      </c>
      <c r="P31" s="37">
        <v>6</v>
      </c>
      <c r="Q31" s="37">
        <v>8</v>
      </c>
      <c r="R31" s="37">
        <v>0</v>
      </c>
      <c r="S31" s="37">
        <v>0</v>
      </c>
      <c r="T31" s="37">
        <v>100</v>
      </c>
      <c r="U31" s="37">
        <v>60</v>
      </c>
      <c r="V31" s="37">
        <v>6.67</v>
      </c>
      <c r="W31" s="37">
        <v>33.33</v>
      </c>
      <c r="X31" s="37">
        <v>93.33</v>
      </c>
      <c r="Y31" s="37">
        <v>0</v>
      </c>
      <c r="Z31" s="37">
        <v>6.67</v>
      </c>
      <c r="AA31" s="37">
        <v>50</v>
      </c>
      <c r="AB31" s="37">
        <v>100</v>
      </c>
      <c r="AC31" s="24">
        <f t="shared" si="1"/>
        <v>-41.330999999999996</v>
      </c>
      <c r="AD31" s="25">
        <f t="shared" si="2"/>
        <v>41.330999999999996</v>
      </c>
      <c r="AE31" s="23" t="str">
        <f t="shared" si="3"/>
        <v>Loss</v>
      </c>
      <c r="AF31" s="23" t="str">
        <f t="shared" si="4"/>
        <v>Loss</v>
      </c>
      <c r="AG31" s="23" t="str">
        <f t="shared" si="5"/>
        <v>Win</v>
      </c>
      <c r="AH31" s="23">
        <f t="shared" si="6"/>
        <v>-50</v>
      </c>
      <c r="AI31" s="23">
        <f t="shared" si="7"/>
        <v>-50</v>
      </c>
      <c r="AJ31" s="23">
        <f t="shared" si="8"/>
        <v>41</v>
      </c>
    </row>
    <row r="32" spans="1:36" x14ac:dyDescent="0.2">
      <c r="A32" s="36">
        <v>43614</v>
      </c>
      <c r="B32" s="37" t="s">
        <v>178</v>
      </c>
      <c r="C32" s="37" t="s">
        <v>179</v>
      </c>
      <c r="D32" s="37" t="s">
        <v>186</v>
      </c>
      <c r="E32" s="37" t="s">
        <v>187</v>
      </c>
      <c r="F32" s="37" t="s">
        <v>188</v>
      </c>
      <c r="G32" s="37">
        <v>0</v>
      </c>
      <c r="H32" s="37">
        <v>1</v>
      </c>
      <c r="I32" s="37">
        <v>1.43</v>
      </c>
      <c r="J32" s="37">
        <v>5.05</v>
      </c>
      <c r="K32" s="37">
        <v>5.26</v>
      </c>
      <c r="L32" s="37">
        <v>-3.83</v>
      </c>
      <c r="M32" s="37">
        <v>24</v>
      </c>
      <c r="N32" s="37">
        <v>15</v>
      </c>
      <c r="O32" s="37">
        <v>1</v>
      </c>
      <c r="P32" s="37">
        <v>9</v>
      </c>
      <c r="Q32" s="37">
        <v>7</v>
      </c>
      <c r="R32" s="37">
        <v>100</v>
      </c>
      <c r="S32" s="37">
        <v>0</v>
      </c>
      <c r="T32" s="37">
        <v>0</v>
      </c>
      <c r="U32" s="37">
        <v>45.83</v>
      </c>
      <c r="V32" s="37">
        <v>12.5</v>
      </c>
      <c r="W32" s="37">
        <v>41.67</v>
      </c>
      <c r="X32" s="37">
        <v>20</v>
      </c>
      <c r="Y32" s="37">
        <v>6.67</v>
      </c>
      <c r="Z32" s="37">
        <v>73.33</v>
      </c>
      <c r="AA32" s="37">
        <v>44.44</v>
      </c>
      <c r="AB32" s="37">
        <v>14.29</v>
      </c>
      <c r="AC32" s="24">
        <f t="shared" si="1"/>
        <v>42.080999999999989</v>
      </c>
      <c r="AD32" s="25">
        <f t="shared" si="2"/>
        <v>-42.080999999999989</v>
      </c>
      <c r="AE32" s="23" t="str">
        <f t="shared" si="3"/>
        <v>Loss</v>
      </c>
      <c r="AF32" s="23" t="str">
        <f t="shared" si="4"/>
        <v>Loss</v>
      </c>
      <c r="AG32" s="23" t="str">
        <f t="shared" si="5"/>
        <v>Win</v>
      </c>
      <c r="AH32" s="23">
        <f t="shared" si="6"/>
        <v>-50</v>
      </c>
      <c r="AI32" s="23">
        <f t="shared" si="7"/>
        <v>-50</v>
      </c>
      <c r="AJ32" s="23">
        <f t="shared" si="8"/>
        <v>213</v>
      </c>
    </row>
    <row r="33" spans="1:36" x14ac:dyDescent="0.2">
      <c r="A33" s="36">
        <v>43614</v>
      </c>
      <c r="B33" s="37" t="s">
        <v>178</v>
      </c>
      <c r="C33" s="37" t="s">
        <v>179</v>
      </c>
      <c r="D33" s="37" t="s">
        <v>189</v>
      </c>
      <c r="E33" s="37" t="s">
        <v>190</v>
      </c>
      <c r="F33" s="37" t="s">
        <v>191</v>
      </c>
      <c r="G33" s="37">
        <v>2</v>
      </c>
      <c r="H33" s="37">
        <v>2</v>
      </c>
      <c r="I33" s="37">
        <v>7.83</v>
      </c>
      <c r="J33" s="37">
        <v>6</v>
      </c>
      <c r="K33" s="37">
        <v>1.27</v>
      </c>
      <c r="L33" s="37">
        <v>6.56</v>
      </c>
      <c r="M33" s="37">
        <v>15</v>
      </c>
      <c r="N33" s="37">
        <v>21</v>
      </c>
      <c r="O33" s="37">
        <v>1</v>
      </c>
      <c r="P33" s="37">
        <v>7</v>
      </c>
      <c r="Q33" s="37">
        <v>10</v>
      </c>
      <c r="R33" s="37">
        <v>0</v>
      </c>
      <c r="S33" s="37">
        <v>0</v>
      </c>
      <c r="T33" s="37">
        <v>100</v>
      </c>
      <c r="U33" s="37">
        <v>46.67</v>
      </c>
      <c r="V33" s="37">
        <v>13.33</v>
      </c>
      <c r="W33" s="37">
        <v>40</v>
      </c>
      <c r="X33" s="37">
        <v>76.19</v>
      </c>
      <c r="Y33" s="37">
        <v>4.76</v>
      </c>
      <c r="Z33" s="37">
        <v>19.05</v>
      </c>
      <c r="AA33" s="37">
        <v>57.14</v>
      </c>
      <c r="AB33" s="37">
        <v>80</v>
      </c>
      <c r="AC33" s="24">
        <f t="shared" si="1"/>
        <v>-39.236999999999995</v>
      </c>
      <c r="AD33" s="25">
        <f t="shared" si="2"/>
        <v>39.236999999999995</v>
      </c>
      <c r="AE33" s="23" t="str">
        <f t="shared" si="3"/>
        <v>Loss</v>
      </c>
      <c r="AF33" s="23" t="str">
        <f t="shared" si="4"/>
        <v>Win</v>
      </c>
      <c r="AG33" s="23" t="str">
        <f t="shared" si="5"/>
        <v>Loss</v>
      </c>
      <c r="AH33" s="23">
        <f t="shared" si="6"/>
        <v>-50</v>
      </c>
      <c r="AI33" s="23">
        <f t="shared" si="7"/>
        <v>250</v>
      </c>
      <c r="AJ33" s="23">
        <f t="shared" si="8"/>
        <v>-50</v>
      </c>
    </row>
    <row r="34" spans="1:36" x14ac:dyDescent="0.2">
      <c r="A34" s="36">
        <v>43614</v>
      </c>
      <c r="B34" s="37" t="s">
        <v>192</v>
      </c>
      <c r="C34" s="37" t="s">
        <v>193</v>
      </c>
      <c r="D34" s="37" t="s">
        <v>194</v>
      </c>
      <c r="E34" s="37" t="s">
        <v>195</v>
      </c>
      <c r="F34" s="37" t="s">
        <v>196</v>
      </c>
      <c r="G34" s="37">
        <v>4</v>
      </c>
      <c r="H34" s="37">
        <v>0</v>
      </c>
      <c r="I34" s="37">
        <v>1.0900000000000001</v>
      </c>
      <c r="J34" s="37">
        <v>8.77</v>
      </c>
      <c r="K34" s="37">
        <v>18.36</v>
      </c>
      <c r="L34" s="37">
        <v>-17.27</v>
      </c>
      <c r="M34" s="37">
        <v>13</v>
      </c>
      <c r="N34" s="37">
        <v>14</v>
      </c>
      <c r="O34" s="37">
        <v>0</v>
      </c>
      <c r="P34" s="37">
        <v>7</v>
      </c>
      <c r="Q34" s="37">
        <v>7</v>
      </c>
      <c r="R34" s="37">
        <v>0</v>
      </c>
      <c r="S34" s="37">
        <v>0</v>
      </c>
      <c r="T34" s="37">
        <v>0</v>
      </c>
      <c r="U34" s="37">
        <v>84.62</v>
      </c>
      <c r="V34" s="37">
        <v>7.69</v>
      </c>
      <c r="W34" s="37">
        <v>7.69</v>
      </c>
      <c r="X34" s="37">
        <v>42.86</v>
      </c>
      <c r="Y34" s="37">
        <v>14.29</v>
      </c>
      <c r="Z34" s="37">
        <v>42.86</v>
      </c>
      <c r="AA34" s="37">
        <v>85.71</v>
      </c>
      <c r="AB34" s="37">
        <v>28.57</v>
      </c>
      <c r="AC34" s="24">
        <f t="shared" si="1"/>
        <v>14.726000000000004</v>
      </c>
      <c r="AD34" s="25">
        <f t="shared" si="2"/>
        <v>-14.726000000000004</v>
      </c>
      <c r="AE34" s="23" t="str">
        <f t="shared" si="3"/>
        <v>Win</v>
      </c>
      <c r="AF34" s="23" t="str">
        <f t="shared" si="4"/>
        <v>Loss</v>
      </c>
      <c r="AG34" s="23" t="str">
        <f t="shared" si="5"/>
        <v>Loss</v>
      </c>
      <c r="AH34" s="23">
        <f t="shared" si="6"/>
        <v>4.5000000000000071</v>
      </c>
      <c r="AI34" s="23">
        <f t="shared" si="7"/>
        <v>-50</v>
      </c>
      <c r="AJ34" s="23">
        <f t="shared" si="8"/>
        <v>-50</v>
      </c>
    </row>
    <row r="35" spans="1:36" x14ac:dyDescent="0.2">
      <c r="A35" s="36">
        <v>43614</v>
      </c>
      <c r="B35" s="37" t="s">
        <v>197</v>
      </c>
      <c r="C35" s="37" t="s">
        <v>198</v>
      </c>
      <c r="D35" s="37" t="s">
        <v>199</v>
      </c>
      <c r="E35" s="37" t="s">
        <v>200</v>
      </c>
      <c r="F35" s="37" t="s">
        <v>201</v>
      </c>
      <c r="G35" s="37">
        <v>2</v>
      </c>
      <c r="H35" s="37">
        <v>3</v>
      </c>
      <c r="I35" s="37">
        <v>3.73</v>
      </c>
      <c r="J35" s="37">
        <v>3.49</v>
      </c>
      <c r="K35" s="37">
        <v>1.96</v>
      </c>
      <c r="L35" s="37">
        <v>1.77</v>
      </c>
      <c r="M35" s="37">
        <v>20</v>
      </c>
      <c r="N35" s="37">
        <v>15</v>
      </c>
      <c r="O35" s="37">
        <v>1</v>
      </c>
      <c r="P35" s="37">
        <v>12</v>
      </c>
      <c r="Q35" s="37">
        <v>7</v>
      </c>
      <c r="R35" s="37">
        <v>100</v>
      </c>
      <c r="S35" s="37">
        <v>0</v>
      </c>
      <c r="T35" s="37">
        <v>0</v>
      </c>
      <c r="U35" s="37">
        <v>45</v>
      </c>
      <c r="V35" s="37">
        <v>10</v>
      </c>
      <c r="W35" s="37">
        <v>45</v>
      </c>
      <c r="X35" s="37">
        <v>53.33</v>
      </c>
      <c r="Y35" s="37">
        <v>20</v>
      </c>
      <c r="Z35" s="37">
        <v>26.67</v>
      </c>
      <c r="AA35" s="37">
        <v>41.67</v>
      </c>
      <c r="AB35" s="37">
        <v>42.86</v>
      </c>
      <c r="AC35" s="24">
        <f t="shared" si="1"/>
        <v>23.667999999999999</v>
      </c>
      <c r="AD35" s="25">
        <f t="shared" si="2"/>
        <v>-23.667999999999999</v>
      </c>
      <c r="AE35" s="23" t="str">
        <f t="shared" si="3"/>
        <v>Loss</v>
      </c>
      <c r="AF35" s="23" t="str">
        <f t="shared" si="4"/>
        <v>Loss</v>
      </c>
      <c r="AG35" s="23" t="str">
        <f t="shared" si="5"/>
        <v>Win</v>
      </c>
      <c r="AH35" s="23">
        <f t="shared" si="6"/>
        <v>-50</v>
      </c>
      <c r="AI35" s="23">
        <f t="shared" si="7"/>
        <v>-50</v>
      </c>
      <c r="AJ35" s="23">
        <f t="shared" si="8"/>
        <v>48</v>
      </c>
    </row>
    <row r="36" spans="1:36" x14ac:dyDescent="0.2">
      <c r="A36" s="36">
        <v>43614</v>
      </c>
      <c r="B36" s="37" t="s">
        <v>197</v>
      </c>
      <c r="C36" s="37" t="s">
        <v>198</v>
      </c>
      <c r="D36" s="37" t="s">
        <v>202</v>
      </c>
      <c r="E36" s="37" t="s">
        <v>203</v>
      </c>
      <c r="F36" s="37" t="s">
        <v>204</v>
      </c>
      <c r="G36" s="37">
        <v>1</v>
      </c>
      <c r="H36" s="37">
        <v>1</v>
      </c>
      <c r="I36" s="37">
        <v>2.2799999999999998</v>
      </c>
      <c r="J36" s="37">
        <v>3.19</v>
      </c>
      <c r="K36" s="37">
        <v>3.24</v>
      </c>
      <c r="L36" s="37">
        <v>-0.96</v>
      </c>
      <c r="M36" s="37">
        <v>20</v>
      </c>
      <c r="N36" s="37">
        <v>22</v>
      </c>
      <c r="O36" s="37">
        <v>1</v>
      </c>
      <c r="P36" s="37">
        <v>10</v>
      </c>
      <c r="Q36" s="37">
        <v>8</v>
      </c>
      <c r="R36" s="37">
        <v>0</v>
      </c>
      <c r="S36" s="37">
        <v>100</v>
      </c>
      <c r="T36" s="37">
        <v>0</v>
      </c>
      <c r="U36" s="37">
        <v>45</v>
      </c>
      <c r="V36" s="37">
        <v>10</v>
      </c>
      <c r="W36" s="37">
        <v>45</v>
      </c>
      <c r="X36" s="37">
        <v>36.36</v>
      </c>
      <c r="Y36" s="37">
        <v>18.18</v>
      </c>
      <c r="Z36" s="37">
        <v>45.45</v>
      </c>
      <c r="AA36" s="37">
        <v>60</v>
      </c>
      <c r="AB36" s="37">
        <v>12.5</v>
      </c>
      <c r="AC36" s="24">
        <f t="shared" si="1"/>
        <v>11.000000000000002</v>
      </c>
      <c r="AD36" s="25">
        <f t="shared" si="2"/>
        <v>8.9999999999999982</v>
      </c>
      <c r="AE36" s="23" t="str">
        <f t="shared" si="3"/>
        <v>Loss</v>
      </c>
      <c r="AF36" s="23" t="str">
        <f t="shared" si="4"/>
        <v>Win</v>
      </c>
      <c r="AG36" s="23" t="str">
        <f t="shared" si="5"/>
        <v>Loss</v>
      </c>
      <c r="AH36" s="23">
        <f t="shared" si="6"/>
        <v>-50</v>
      </c>
      <c r="AI36" s="23">
        <f t="shared" si="7"/>
        <v>109.5</v>
      </c>
      <c r="AJ36" s="23">
        <f t="shared" si="8"/>
        <v>-50</v>
      </c>
    </row>
    <row r="37" spans="1:36" x14ac:dyDescent="0.2">
      <c r="A37" s="36">
        <v>43614</v>
      </c>
      <c r="B37" s="37" t="s">
        <v>170</v>
      </c>
      <c r="C37" s="37" t="s">
        <v>205</v>
      </c>
      <c r="D37" s="37" t="s">
        <v>206</v>
      </c>
      <c r="E37" s="37" t="s">
        <v>207</v>
      </c>
      <c r="F37" s="37" t="s">
        <v>208</v>
      </c>
      <c r="G37" s="37">
        <v>0</v>
      </c>
      <c r="H37" s="37">
        <v>4</v>
      </c>
      <c r="I37" s="37">
        <v>1</v>
      </c>
      <c r="J37" s="37">
        <v>1</v>
      </c>
      <c r="K37" s="37">
        <v>1</v>
      </c>
      <c r="L37" s="37">
        <v>0</v>
      </c>
      <c r="M37" s="37">
        <v>26</v>
      </c>
      <c r="N37" s="37">
        <v>6</v>
      </c>
      <c r="O37" s="37">
        <v>0</v>
      </c>
      <c r="P37" s="37">
        <v>14</v>
      </c>
      <c r="Q37" s="37">
        <v>1</v>
      </c>
      <c r="R37" s="37">
        <v>0</v>
      </c>
      <c r="S37" s="37">
        <v>0</v>
      </c>
      <c r="T37" s="37">
        <v>0</v>
      </c>
      <c r="U37" s="37">
        <v>11.54</v>
      </c>
      <c r="V37" s="37">
        <v>26.92</v>
      </c>
      <c r="W37" s="37">
        <v>61.54</v>
      </c>
      <c r="X37" s="37">
        <v>83.33</v>
      </c>
      <c r="Y37" s="37">
        <v>0</v>
      </c>
      <c r="Z37" s="37">
        <v>16.670000000000002</v>
      </c>
      <c r="AA37" s="37">
        <v>7.14</v>
      </c>
      <c r="AB37" s="37">
        <v>100</v>
      </c>
      <c r="AC37" s="24">
        <f t="shared" si="1"/>
        <v>-20.64</v>
      </c>
      <c r="AD37" s="25">
        <f t="shared" si="2"/>
        <v>20.64</v>
      </c>
      <c r="AE37" s="23" t="str">
        <f t="shared" si="3"/>
        <v>Loss</v>
      </c>
      <c r="AF37" s="23" t="str">
        <f t="shared" si="4"/>
        <v>Loss</v>
      </c>
      <c r="AG37" s="23" t="str">
        <f t="shared" si="5"/>
        <v>Win</v>
      </c>
      <c r="AH37" s="23">
        <f t="shared" si="6"/>
        <v>-50</v>
      </c>
      <c r="AI37" s="23">
        <f t="shared" si="7"/>
        <v>-50</v>
      </c>
      <c r="AJ37" s="23">
        <f t="shared" si="8"/>
        <v>0</v>
      </c>
    </row>
    <row r="38" spans="1:36" x14ac:dyDescent="0.2">
      <c r="A38" s="36">
        <v>43614</v>
      </c>
      <c r="B38" s="37" t="s">
        <v>170</v>
      </c>
      <c r="C38" s="37" t="s">
        <v>171</v>
      </c>
      <c r="D38" s="37" t="s">
        <v>209</v>
      </c>
      <c r="E38" s="37" t="s">
        <v>210</v>
      </c>
      <c r="F38" s="37" t="s">
        <v>211</v>
      </c>
      <c r="G38" s="37">
        <v>2</v>
      </c>
      <c r="H38" s="37">
        <v>1</v>
      </c>
      <c r="I38" s="37">
        <v>1.63</v>
      </c>
      <c r="J38" s="37">
        <v>4.01</v>
      </c>
      <c r="K38" s="37">
        <v>4.24</v>
      </c>
      <c r="L38" s="37">
        <v>-2.61</v>
      </c>
      <c r="M38" s="37">
        <v>15</v>
      </c>
      <c r="N38" s="37">
        <v>18</v>
      </c>
      <c r="O38" s="37">
        <v>2</v>
      </c>
      <c r="P38" s="37">
        <v>5</v>
      </c>
      <c r="Q38" s="37">
        <v>7</v>
      </c>
      <c r="R38" s="37">
        <v>100</v>
      </c>
      <c r="S38" s="37">
        <v>0</v>
      </c>
      <c r="T38" s="37">
        <v>0</v>
      </c>
      <c r="U38" s="37">
        <v>46.67</v>
      </c>
      <c r="V38" s="37">
        <v>13.33</v>
      </c>
      <c r="W38" s="37">
        <v>40</v>
      </c>
      <c r="X38" s="37">
        <v>38.89</v>
      </c>
      <c r="Y38" s="37">
        <v>27.78</v>
      </c>
      <c r="Z38" s="37">
        <v>33.33</v>
      </c>
      <c r="AA38" s="37">
        <v>40</v>
      </c>
      <c r="AB38" s="37">
        <v>14.29</v>
      </c>
      <c r="AC38" s="24">
        <f t="shared" si="1"/>
        <v>28.777000000000005</v>
      </c>
      <c r="AD38" s="25">
        <f t="shared" si="2"/>
        <v>-28.777000000000005</v>
      </c>
      <c r="AE38" s="23" t="str">
        <f t="shared" si="3"/>
        <v>Win</v>
      </c>
      <c r="AF38" s="23" t="str">
        <f t="shared" si="4"/>
        <v>Loss</v>
      </c>
      <c r="AG38" s="23" t="str">
        <f t="shared" si="5"/>
        <v>Loss</v>
      </c>
      <c r="AH38" s="23">
        <f t="shared" si="6"/>
        <v>31.5</v>
      </c>
      <c r="AI38" s="23">
        <f t="shared" si="7"/>
        <v>-50</v>
      </c>
      <c r="AJ38" s="23">
        <f t="shared" si="8"/>
        <v>-50</v>
      </c>
    </row>
    <row r="39" spans="1:36" x14ac:dyDescent="0.2">
      <c r="A39" s="36">
        <v>43614</v>
      </c>
      <c r="B39" s="37" t="s">
        <v>197</v>
      </c>
      <c r="C39" s="37" t="s">
        <v>198</v>
      </c>
      <c r="D39" s="37" t="s">
        <v>212</v>
      </c>
      <c r="E39" s="37" t="s">
        <v>213</v>
      </c>
      <c r="F39" s="37" t="s">
        <v>214</v>
      </c>
      <c r="G39" s="37">
        <v>0</v>
      </c>
      <c r="H39" s="37">
        <v>0</v>
      </c>
      <c r="I39" s="37">
        <v>2.02</v>
      </c>
      <c r="J39" s="37">
        <v>3.29</v>
      </c>
      <c r="K39" s="37">
        <v>3.76</v>
      </c>
      <c r="L39" s="37">
        <v>-1.74</v>
      </c>
      <c r="M39" s="37">
        <v>22</v>
      </c>
      <c r="N39" s="37">
        <v>20</v>
      </c>
      <c r="O39" s="37">
        <v>1</v>
      </c>
      <c r="P39" s="37">
        <v>11</v>
      </c>
      <c r="Q39" s="37">
        <v>11</v>
      </c>
      <c r="R39" s="37">
        <v>0</v>
      </c>
      <c r="S39" s="37">
        <v>100</v>
      </c>
      <c r="T39" s="37">
        <v>0</v>
      </c>
      <c r="U39" s="37">
        <v>72.73</v>
      </c>
      <c r="V39" s="37">
        <v>9.09</v>
      </c>
      <c r="W39" s="37">
        <v>18.18</v>
      </c>
      <c r="X39" s="37">
        <v>40</v>
      </c>
      <c r="Y39" s="37">
        <v>35</v>
      </c>
      <c r="Z39" s="37">
        <v>25</v>
      </c>
      <c r="AA39" s="37">
        <v>90.91</v>
      </c>
      <c r="AB39" s="37">
        <v>36.36</v>
      </c>
      <c r="AC39" s="24">
        <f t="shared" si="1"/>
        <v>15.318999999999999</v>
      </c>
      <c r="AD39" s="25">
        <f t="shared" si="2"/>
        <v>4.6809999999999992</v>
      </c>
      <c r="AE39" s="23" t="str">
        <f t="shared" si="3"/>
        <v>Loss</v>
      </c>
      <c r="AF39" s="23" t="str">
        <f t="shared" si="4"/>
        <v>Win</v>
      </c>
      <c r="AG39" s="23" t="str">
        <f t="shared" si="5"/>
        <v>Loss</v>
      </c>
      <c r="AH39" s="23">
        <f t="shared" si="6"/>
        <v>-50</v>
      </c>
      <c r="AI39" s="23">
        <f t="shared" si="7"/>
        <v>114.5</v>
      </c>
      <c r="AJ39" s="23">
        <f t="shared" si="8"/>
        <v>-50</v>
      </c>
    </row>
    <row r="40" spans="1:36" x14ac:dyDescent="0.2">
      <c r="A40" s="36">
        <v>43614</v>
      </c>
      <c r="B40" s="37" t="s">
        <v>197</v>
      </c>
      <c r="C40" s="37" t="s">
        <v>198</v>
      </c>
      <c r="D40" s="37" t="s">
        <v>215</v>
      </c>
      <c r="E40" s="37" t="s">
        <v>216</v>
      </c>
      <c r="F40" s="37" t="s">
        <v>217</v>
      </c>
      <c r="G40" s="37">
        <v>3</v>
      </c>
      <c r="H40" s="37">
        <v>0</v>
      </c>
      <c r="I40" s="37">
        <v>2.31</v>
      </c>
      <c r="J40" s="37">
        <v>3.15</v>
      </c>
      <c r="K40" s="37">
        <v>3.17</v>
      </c>
      <c r="L40" s="37">
        <v>-0.86</v>
      </c>
      <c r="M40" s="37">
        <v>17</v>
      </c>
      <c r="N40" s="37">
        <v>20</v>
      </c>
      <c r="O40" s="37">
        <v>2</v>
      </c>
      <c r="P40" s="37">
        <v>8</v>
      </c>
      <c r="Q40" s="37">
        <v>9</v>
      </c>
      <c r="R40" s="37">
        <v>50</v>
      </c>
      <c r="S40" s="37">
        <v>0</v>
      </c>
      <c r="T40" s="37">
        <v>50</v>
      </c>
      <c r="U40" s="37">
        <v>35.29</v>
      </c>
      <c r="V40" s="37">
        <v>29.41</v>
      </c>
      <c r="W40" s="37">
        <v>35.29</v>
      </c>
      <c r="X40" s="37">
        <v>50</v>
      </c>
      <c r="Y40" s="37">
        <v>10</v>
      </c>
      <c r="Z40" s="37">
        <v>40</v>
      </c>
      <c r="AA40" s="37">
        <v>37.5</v>
      </c>
      <c r="AB40" s="37">
        <v>44.44</v>
      </c>
      <c r="AC40" s="24">
        <f t="shared" si="1"/>
        <v>-5.8999999999999275E-2</v>
      </c>
      <c r="AD40" s="25">
        <f t="shared" si="2"/>
        <v>5.8999999999999275E-2</v>
      </c>
      <c r="AE40" s="23" t="str">
        <f t="shared" si="3"/>
        <v>Win</v>
      </c>
      <c r="AF40" s="23" t="str">
        <f t="shared" si="4"/>
        <v>Loss</v>
      </c>
      <c r="AG40" s="23" t="str">
        <f t="shared" si="5"/>
        <v>Loss</v>
      </c>
      <c r="AH40" s="23">
        <f t="shared" si="6"/>
        <v>65.5</v>
      </c>
      <c r="AI40" s="23">
        <f t="shared" si="7"/>
        <v>-50</v>
      </c>
      <c r="AJ40" s="23">
        <f t="shared" si="8"/>
        <v>-50</v>
      </c>
    </row>
    <row r="41" spans="1:36" x14ac:dyDescent="0.2">
      <c r="A41" s="36">
        <v>43614</v>
      </c>
      <c r="B41" s="37" t="s">
        <v>218</v>
      </c>
      <c r="C41" s="37" t="s">
        <v>219</v>
      </c>
      <c r="D41" s="37" t="s">
        <v>220</v>
      </c>
      <c r="E41" s="37" t="s">
        <v>221</v>
      </c>
      <c r="F41" s="37" t="s">
        <v>222</v>
      </c>
      <c r="G41" s="37">
        <v>2</v>
      </c>
      <c r="H41" s="37">
        <v>0</v>
      </c>
      <c r="I41" s="37">
        <v>1.61</v>
      </c>
      <c r="J41" s="37">
        <v>3.95</v>
      </c>
      <c r="K41" s="37">
        <v>4.8099999999999996</v>
      </c>
      <c r="L41" s="37">
        <v>-3.2</v>
      </c>
      <c r="M41" s="37">
        <v>12</v>
      </c>
      <c r="N41" s="37">
        <v>11</v>
      </c>
      <c r="O41" s="37">
        <v>0</v>
      </c>
      <c r="P41" s="37">
        <v>5</v>
      </c>
      <c r="Q41" s="37">
        <v>5</v>
      </c>
      <c r="R41" s="37">
        <v>0</v>
      </c>
      <c r="S41" s="37">
        <v>0</v>
      </c>
      <c r="T41" s="37">
        <v>0</v>
      </c>
      <c r="U41" s="37">
        <v>16.670000000000002</v>
      </c>
      <c r="V41" s="37">
        <v>16.670000000000002</v>
      </c>
      <c r="W41" s="37">
        <v>66.67</v>
      </c>
      <c r="X41" s="37">
        <v>18.18</v>
      </c>
      <c r="Y41" s="37">
        <v>72.73</v>
      </c>
      <c r="Z41" s="37">
        <v>9.09</v>
      </c>
      <c r="AA41" s="37">
        <v>20</v>
      </c>
      <c r="AB41" s="37">
        <v>0</v>
      </c>
      <c r="AC41" s="24">
        <f t="shared" si="1"/>
        <v>-17.423999999999999</v>
      </c>
      <c r="AD41" s="25">
        <f t="shared" si="2"/>
        <v>17.423999999999999</v>
      </c>
      <c r="AE41" s="23" t="str">
        <f t="shared" si="3"/>
        <v>Win</v>
      </c>
      <c r="AF41" s="23" t="str">
        <f t="shared" si="4"/>
        <v>Loss</v>
      </c>
      <c r="AG41" s="23" t="str">
        <f t="shared" si="5"/>
        <v>Loss</v>
      </c>
      <c r="AH41" s="23">
        <f t="shared" si="6"/>
        <v>30.5</v>
      </c>
      <c r="AI41" s="23">
        <f t="shared" si="7"/>
        <v>-50</v>
      </c>
      <c r="AJ41" s="23">
        <f t="shared" si="8"/>
        <v>-50</v>
      </c>
    </row>
    <row r="42" spans="1:36" x14ac:dyDescent="0.2">
      <c r="A42" s="36">
        <v>43614</v>
      </c>
      <c r="B42" s="37" t="s">
        <v>218</v>
      </c>
      <c r="C42" s="37" t="s">
        <v>219</v>
      </c>
      <c r="D42" s="37" t="s">
        <v>223</v>
      </c>
      <c r="E42" s="37" t="s">
        <v>224</v>
      </c>
      <c r="F42" s="37" t="s">
        <v>225</v>
      </c>
      <c r="G42" s="37">
        <v>3</v>
      </c>
      <c r="H42" s="37">
        <v>0</v>
      </c>
      <c r="I42" s="37">
        <v>2</v>
      </c>
      <c r="J42" s="37">
        <v>3.55</v>
      </c>
      <c r="K42" s="37">
        <v>3.33</v>
      </c>
      <c r="L42" s="37">
        <v>-1.33</v>
      </c>
      <c r="M42" s="37">
        <v>14</v>
      </c>
      <c r="N42" s="37">
        <v>12</v>
      </c>
      <c r="O42" s="37">
        <v>0</v>
      </c>
      <c r="P42" s="37">
        <v>8</v>
      </c>
      <c r="Q42" s="37">
        <v>6</v>
      </c>
      <c r="R42" s="37">
        <v>0</v>
      </c>
      <c r="S42" s="37">
        <v>0</v>
      </c>
      <c r="T42" s="37">
        <v>0</v>
      </c>
      <c r="U42" s="37">
        <v>35.71</v>
      </c>
      <c r="V42" s="37">
        <v>7.14</v>
      </c>
      <c r="W42" s="37">
        <v>57.14</v>
      </c>
      <c r="X42" s="37">
        <v>16.670000000000002</v>
      </c>
      <c r="Y42" s="37">
        <v>41.67</v>
      </c>
      <c r="Z42" s="37">
        <v>41.67</v>
      </c>
      <c r="AA42" s="37">
        <v>37.5</v>
      </c>
      <c r="AB42" s="37">
        <v>0</v>
      </c>
      <c r="AC42" s="24">
        <f t="shared" si="1"/>
        <v>-2.7390000000000008</v>
      </c>
      <c r="AD42" s="25">
        <f t="shared" si="2"/>
        <v>2.7390000000000008</v>
      </c>
      <c r="AE42" s="23" t="str">
        <f t="shared" si="3"/>
        <v>Win</v>
      </c>
      <c r="AF42" s="23" t="str">
        <f t="shared" si="4"/>
        <v>Loss</v>
      </c>
      <c r="AG42" s="23" t="str">
        <f t="shared" si="5"/>
        <v>Loss</v>
      </c>
      <c r="AH42" s="23">
        <f t="shared" si="6"/>
        <v>50</v>
      </c>
      <c r="AI42" s="23">
        <f t="shared" si="7"/>
        <v>-50</v>
      </c>
      <c r="AJ42" s="23">
        <f t="shared" si="8"/>
        <v>-50</v>
      </c>
    </row>
    <row r="43" spans="1:36" x14ac:dyDescent="0.2">
      <c r="A43" s="36">
        <v>43614</v>
      </c>
      <c r="B43" s="37" t="s">
        <v>226</v>
      </c>
      <c r="C43" s="37" t="s">
        <v>227</v>
      </c>
      <c r="D43" s="37" t="s">
        <v>228</v>
      </c>
      <c r="E43" s="37" t="s">
        <v>229</v>
      </c>
      <c r="F43" s="37" t="s">
        <v>230</v>
      </c>
      <c r="G43" s="37">
        <v>2</v>
      </c>
      <c r="H43" s="37">
        <v>3</v>
      </c>
      <c r="I43" s="37">
        <v>1.34</v>
      </c>
      <c r="J43" s="37">
        <v>5.07</v>
      </c>
      <c r="K43" s="37">
        <v>6.03</v>
      </c>
      <c r="L43" s="37">
        <v>-4.6900000000000004</v>
      </c>
      <c r="M43" s="37">
        <v>29</v>
      </c>
      <c r="N43" s="37">
        <v>28</v>
      </c>
      <c r="O43" s="37">
        <v>1</v>
      </c>
      <c r="P43" s="37">
        <v>14</v>
      </c>
      <c r="Q43" s="37">
        <v>14</v>
      </c>
      <c r="R43" s="37">
        <v>0</v>
      </c>
      <c r="S43" s="37">
        <v>0</v>
      </c>
      <c r="T43" s="37">
        <v>100</v>
      </c>
      <c r="U43" s="37">
        <v>68.97</v>
      </c>
      <c r="V43" s="37">
        <v>0</v>
      </c>
      <c r="W43" s="37">
        <v>31.03</v>
      </c>
      <c r="X43" s="37">
        <v>57.14</v>
      </c>
      <c r="Y43" s="37">
        <v>0</v>
      </c>
      <c r="Z43" s="37">
        <v>42.86</v>
      </c>
      <c r="AA43" s="37">
        <v>78.569999999999993</v>
      </c>
      <c r="AB43" s="37">
        <v>35.71</v>
      </c>
      <c r="AC43" s="24">
        <f t="shared" si="1"/>
        <v>-25.268000000000001</v>
      </c>
      <c r="AD43" s="25">
        <f t="shared" si="2"/>
        <v>25.268000000000001</v>
      </c>
      <c r="AE43" s="23" t="str">
        <f t="shared" si="3"/>
        <v>Loss</v>
      </c>
      <c r="AF43" s="23" t="str">
        <f t="shared" si="4"/>
        <v>Loss</v>
      </c>
      <c r="AG43" s="23" t="str">
        <f t="shared" si="5"/>
        <v>Win</v>
      </c>
      <c r="AH43" s="23">
        <f t="shared" si="6"/>
        <v>-50</v>
      </c>
      <c r="AI43" s="23">
        <f t="shared" si="7"/>
        <v>-50</v>
      </c>
      <c r="AJ43" s="23">
        <f t="shared" si="8"/>
        <v>251.5</v>
      </c>
    </row>
    <row r="44" spans="1:36" x14ac:dyDescent="0.2">
      <c r="A44" s="36">
        <v>43614</v>
      </c>
      <c r="B44" s="37" t="s">
        <v>231</v>
      </c>
      <c r="C44" s="37" t="s">
        <v>232</v>
      </c>
      <c r="D44" s="37" t="s">
        <v>233</v>
      </c>
      <c r="E44" s="37" t="s">
        <v>234</v>
      </c>
      <c r="F44" s="37" t="s">
        <v>235</v>
      </c>
      <c r="G44" s="37">
        <v>0</v>
      </c>
      <c r="H44" s="37">
        <v>0</v>
      </c>
      <c r="I44" s="37">
        <v>2.12</v>
      </c>
      <c r="J44" s="37">
        <v>3.06</v>
      </c>
      <c r="K44" s="37">
        <v>3.29</v>
      </c>
      <c r="L44" s="37">
        <v>-1.17</v>
      </c>
      <c r="M44" s="37">
        <v>30</v>
      </c>
      <c r="N44" s="37">
        <v>32</v>
      </c>
      <c r="O44" s="37">
        <v>1</v>
      </c>
      <c r="P44" s="37">
        <v>15</v>
      </c>
      <c r="Q44" s="37">
        <v>15</v>
      </c>
      <c r="R44" s="37">
        <v>0</v>
      </c>
      <c r="S44" s="37">
        <v>0</v>
      </c>
      <c r="T44" s="37">
        <v>100</v>
      </c>
      <c r="U44" s="37">
        <v>23.33</v>
      </c>
      <c r="V44" s="37">
        <v>46.67</v>
      </c>
      <c r="W44" s="37">
        <v>30</v>
      </c>
      <c r="X44" s="37">
        <v>31.25</v>
      </c>
      <c r="Y44" s="37">
        <v>28.13</v>
      </c>
      <c r="Z44" s="37">
        <v>40.630000000000003</v>
      </c>
      <c r="AA44" s="37">
        <v>26.67</v>
      </c>
      <c r="AB44" s="37">
        <v>33.33</v>
      </c>
      <c r="AC44" s="24">
        <f t="shared" si="1"/>
        <v>-27.604000000000003</v>
      </c>
      <c r="AD44" s="25">
        <f t="shared" si="2"/>
        <v>27.604000000000003</v>
      </c>
      <c r="AE44" s="23" t="str">
        <f t="shared" si="3"/>
        <v>Loss</v>
      </c>
      <c r="AF44" s="23" t="str">
        <f t="shared" si="4"/>
        <v>Win</v>
      </c>
      <c r="AG44" s="23" t="str">
        <f t="shared" si="5"/>
        <v>Loss</v>
      </c>
      <c r="AH44" s="23">
        <f t="shared" si="6"/>
        <v>-50</v>
      </c>
      <c r="AI44" s="23">
        <f t="shared" si="7"/>
        <v>103</v>
      </c>
      <c r="AJ44" s="23">
        <f t="shared" si="8"/>
        <v>-50</v>
      </c>
    </row>
    <row r="45" spans="1:36" x14ac:dyDescent="0.2">
      <c r="A45" s="36">
        <v>43614</v>
      </c>
      <c r="B45" s="37" t="s">
        <v>231</v>
      </c>
      <c r="C45" s="37" t="s">
        <v>232</v>
      </c>
      <c r="D45" s="37" t="s">
        <v>236</v>
      </c>
      <c r="E45" s="37" t="s">
        <v>237</v>
      </c>
      <c r="F45" s="37" t="s">
        <v>238</v>
      </c>
      <c r="G45" s="37">
        <v>2</v>
      </c>
      <c r="H45" s="37">
        <v>2</v>
      </c>
      <c r="I45" s="37">
        <v>3.12</v>
      </c>
      <c r="J45" s="37">
        <v>3.1</v>
      </c>
      <c r="K45" s="37">
        <v>2.19</v>
      </c>
      <c r="L45" s="37">
        <v>0.93</v>
      </c>
      <c r="M45" s="37">
        <v>31</v>
      </c>
      <c r="N45" s="37">
        <v>32</v>
      </c>
      <c r="O45" s="37">
        <v>1</v>
      </c>
      <c r="P45" s="37">
        <v>15</v>
      </c>
      <c r="Q45" s="37">
        <v>16</v>
      </c>
      <c r="R45" s="37">
        <v>0</v>
      </c>
      <c r="S45" s="37">
        <v>0</v>
      </c>
      <c r="T45" s="37">
        <v>100</v>
      </c>
      <c r="U45" s="37">
        <v>29.03</v>
      </c>
      <c r="V45" s="37">
        <v>35.479999999999997</v>
      </c>
      <c r="W45" s="37">
        <v>35.479999999999997</v>
      </c>
      <c r="X45" s="37">
        <v>53.13</v>
      </c>
      <c r="Y45" s="37">
        <v>28.13</v>
      </c>
      <c r="Z45" s="37">
        <v>18.75</v>
      </c>
      <c r="AA45" s="37">
        <v>40</v>
      </c>
      <c r="AB45" s="37">
        <v>31.25</v>
      </c>
      <c r="AC45" s="24">
        <f t="shared" si="1"/>
        <v>-37.431000000000004</v>
      </c>
      <c r="AD45" s="25">
        <f t="shared" si="2"/>
        <v>37.431000000000004</v>
      </c>
      <c r="AE45" s="23" t="str">
        <f t="shared" si="3"/>
        <v>Loss</v>
      </c>
      <c r="AF45" s="23" t="str">
        <f t="shared" si="4"/>
        <v>Win</v>
      </c>
      <c r="AG45" s="23" t="str">
        <f t="shared" si="5"/>
        <v>Loss</v>
      </c>
      <c r="AH45" s="23">
        <f t="shared" si="6"/>
        <v>-50</v>
      </c>
      <c r="AI45" s="23">
        <f t="shared" si="7"/>
        <v>105</v>
      </c>
      <c r="AJ45" s="23">
        <f t="shared" si="8"/>
        <v>-50</v>
      </c>
    </row>
    <row r="46" spans="1:36" x14ac:dyDescent="0.2">
      <c r="A46" s="36">
        <v>43614</v>
      </c>
      <c r="B46" s="37" t="s">
        <v>231</v>
      </c>
      <c r="C46" s="37" t="s">
        <v>232</v>
      </c>
      <c r="D46" s="37" t="s">
        <v>239</v>
      </c>
      <c r="E46" s="37" t="s">
        <v>240</v>
      </c>
      <c r="F46" s="37" t="s">
        <v>241</v>
      </c>
      <c r="G46" s="37">
        <v>2</v>
      </c>
      <c r="H46" s="37">
        <v>0</v>
      </c>
      <c r="I46" s="37">
        <v>1.82</v>
      </c>
      <c r="J46" s="37">
        <v>3.48</v>
      </c>
      <c r="K46" s="37">
        <v>3.81</v>
      </c>
      <c r="L46" s="37">
        <v>-1.99</v>
      </c>
      <c r="M46" s="37">
        <v>33</v>
      </c>
      <c r="N46" s="37">
        <v>32</v>
      </c>
      <c r="O46" s="37">
        <v>1</v>
      </c>
      <c r="P46" s="37">
        <v>16</v>
      </c>
      <c r="Q46" s="37">
        <v>16</v>
      </c>
      <c r="R46" s="37">
        <v>0</v>
      </c>
      <c r="S46" s="37">
        <v>100</v>
      </c>
      <c r="T46" s="37">
        <v>0</v>
      </c>
      <c r="U46" s="37">
        <v>45.45</v>
      </c>
      <c r="V46" s="37">
        <v>42.42</v>
      </c>
      <c r="W46" s="37">
        <v>12.12</v>
      </c>
      <c r="X46" s="37">
        <v>40.630000000000003</v>
      </c>
      <c r="Y46" s="37">
        <v>31.25</v>
      </c>
      <c r="Z46" s="37">
        <v>28.13</v>
      </c>
      <c r="AA46" s="37">
        <v>37.5</v>
      </c>
      <c r="AB46" s="37">
        <v>37.5</v>
      </c>
      <c r="AC46" s="24">
        <f t="shared" si="1"/>
        <v>15.283000000000005</v>
      </c>
      <c r="AD46" s="25">
        <f t="shared" si="2"/>
        <v>4.7169999999999996</v>
      </c>
      <c r="AE46" s="23" t="str">
        <f t="shared" si="3"/>
        <v>Win</v>
      </c>
      <c r="AF46" s="23" t="str">
        <f t="shared" si="4"/>
        <v>Loss</v>
      </c>
      <c r="AG46" s="23" t="str">
        <f t="shared" si="5"/>
        <v>Loss</v>
      </c>
      <c r="AH46" s="23">
        <f t="shared" si="6"/>
        <v>41</v>
      </c>
      <c r="AI46" s="23">
        <f t="shared" si="7"/>
        <v>-50</v>
      </c>
      <c r="AJ46" s="23">
        <f t="shared" si="8"/>
        <v>-50</v>
      </c>
    </row>
    <row r="47" spans="1:36" x14ac:dyDescent="0.2">
      <c r="A47" s="36">
        <v>43614</v>
      </c>
      <c r="B47" s="37" t="s">
        <v>231</v>
      </c>
      <c r="C47" s="37" t="s">
        <v>232</v>
      </c>
      <c r="D47" s="37" t="s">
        <v>242</v>
      </c>
      <c r="E47" s="37" t="s">
        <v>243</v>
      </c>
      <c r="F47" s="37" t="s">
        <v>244</v>
      </c>
      <c r="G47" s="37">
        <v>2</v>
      </c>
      <c r="H47" s="37">
        <v>2</v>
      </c>
      <c r="I47" s="37">
        <v>1.79</v>
      </c>
      <c r="J47" s="37">
        <v>3.32</v>
      </c>
      <c r="K47" s="37">
        <v>4.16</v>
      </c>
      <c r="L47" s="37">
        <v>-2.37</v>
      </c>
      <c r="M47" s="37">
        <v>31</v>
      </c>
      <c r="N47" s="37">
        <v>30</v>
      </c>
      <c r="O47" s="37">
        <v>1</v>
      </c>
      <c r="P47" s="37">
        <v>15</v>
      </c>
      <c r="Q47" s="37">
        <v>15</v>
      </c>
      <c r="R47" s="37">
        <v>0</v>
      </c>
      <c r="S47" s="37">
        <v>100</v>
      </c>
      <c r="T47" s="37">
        <v>0</v>
      </c>
      <c r="U47" s="37">
        <v>64.52</v>
      </c>
      <c r="V47" s="37">
        <v>25.81</v>
      </c>
      <c r="W47" s="37">
        <v>9.68</v>
      </c>
      <c r="X47" s="37">
        <v>40</v>
      </c>
      <c r="Y47" s="37">
        <v>36.67</v>
      </c>
      <c r="Z47" s="37">
        <v>23.33</v>
      </c>
      <c r="AA47" s="37">
        <v>73.33</v>
      </c>
      <c r="AB47" s="37">
        <v>33.33</v>
      </c>
      <c r="AC47" s="24">
        <f t="shared" si="1"/>
        <v>16.547999999999998</v>
      </c>
      <c r="AD47" s="25">
        <f t="shared" si="2"/>
        <v>3.4520000000000008</v>
      </c>
      <c r="AE47" s="23" t="str">
        <f t="shared" si="3"/>
        <v>Loss</v>
      </c>
      <c r="AF47" s="23" t="str">
        <f t="shared" si="4"/>
        <v>Win</v>
      </c>
      <c r="AG47" s="23" t="str">
        <f t="shared" si="5"/>
        <v>Loss</v>
      </c>
      <c r="AH47" s="23">
        <f t="shared" si="6"/>
        <v>-50</v>
      </c>
      <c r="AI47" s="23">
        <f t="shared" si="7"/>
        <v>116</v>
      </c>
      <c r="AJ47" s="23">
        <f t="shared" si="8"/>
        <v>-50</v>
      </c>
    </row>
    <row r="48" spans="1:36" x14ac:dyDescent="0.2">
      <c r="A48" s="36">
        <v>43614</v>
      </c>
      <c r="B48" s="37" t="s">
        <v>231</v>
      </c>
      <c r="C48" s="37" t="s">
        <v>232</v>
      </c>
      <c r="D48" s="37" t="s">
        <v>245</v>
      </c>
      <c r="E48" s="37" t="s">
        <v>246</v>
      </c>
      <c r="F48" s="37" t="s">
        <v>247</v>
      </c>
      <c r="G48" s="37">
        <v>2</v>
      </c>
      <c r="H48" s="37">
        <v>1</v>
      </c>
      <c r="I48" s="37">
        <v>2.5299999999999998</v>
      </c>
      <c r="J48" s="37">
        <v>3.08</v>
      </c>
      <c r="K48" s="37">
        <v>2.63</v>
      </c>
      <c r="L48" s="37">
        <v>-0.1</v>
      </c>
      <c r="M48" s="37">
        <v>32</v>
      </c>
      <c r="N48" s="37">
        <v>32</v>
      </c>
      <c r="O48" s="37">
        <v>1</v>
      </c>
      <c r="P48" s="37">
        <v>16</v>
      </c>
      <c r="Q48" s="37">
        <v>16</v>
      </c>
      <c r="R48" s="37">
        <v>0</v>
      </c>
      <c r="S48" s="37">
        <v>100</v>
      </c>
      <c r="T48" s="37">
        <v>0</v>
      </c>
      <c r="U48" s="37">
        <v>40.630000000000003</v>
      </c>
      <c r="V48" s="37">
        <v>34.380000000000003</v>
      </c>
      <c r="W48" s="37">
        <v>25</v>
      </c>
      <c r="X48" s="37">
        <v>21.88</v>
      </c>
      <c r="Y48" s="37">
        <v>34.380000000000003</v>
      </c>
      <c r="Z48" s="37">
        <v>43.75</v>
      </c>
      <c r="AA48" s="37">
        <v>31.25</v>
      </c>
      <c r="AB48" s="37">
        <v>25</v>
      </c>
      <c r="AC48" s="24">
        <f t="shared" si="1"/>
        <v>17.5</v>
      </c>
      <c r="AD48" s="25">
        <f t="shared" si="2"/>
        <v>2.5</v>
      </c>
      <c r="AE48" s="23" t="str">
        <f t="shared" si="3"/>
        <v>Win</v>
      </c>
      <c r="AF48" s="23" t="str">
        <f t="shared" si="4"/>
        <v>Loss</v>
      </c>
      <c r="AG48" s="23" t="str">
        <f t="shared" si="5"/>
        <v>Loss</v>
      </c>
      <c r="AH48" s="23">
        <f t="shared" si="6"/>
        <v>76.499999999999986</v>
      </c>
      <c r="AI48" s="23">
        <f t="shared" si="7"/>
        <v>-50</v>
      </c>
      <c r="AJ48" s="23">
        <f t="shared" si="8"/>
        <v>-50</v>
      </c>
    </row>
    <row r="49" spans="1:36" x14ac:dyDescent="0.2">
      <c r="A49" s="36">
        <v>43614</v>
      </c>
      <c r="B49" s="37" t="s">
        <v>231</v>
      </c>
      <c r="C49" s="37" t="s">
        <v>232</v>
      </c>
      <c r="D49" s="37" t="s">
        <v>248</v>
      </c>
      <c r="E49" s="37" t="s">
        <v>249</v>
      </c>
      <c r="F49" s="37" t="s">
        <v>250</v>
      </c>
      <c r="G49" s="37">
        <v>1</v>
      </c>
      <c r="H49" s="37">
        <v>0</v>
      </c>
      <c r="I49" s="37">
        <v>2.42</v>
      </c>
      <c r="J49" s="37">
        <v>3.27</v>
      </c>
      <c r="K49" s="37">
        <v>2.66</v>
      </c>
      <c r="L49" s="37">
        <v>-0.24</v>
      </c>
      <c r="M49" s="37">
        <v>32</v>
      </c>
      <c r="N49" s="37">
        <v>31</v>
      </c>
      <c r="O49" s="37">
        <v>1</v>
      </c>
      <c r="P49" s="37">
        <v>16</v>
      </c>
      <c r="Q49" s="37">
        <v>16</v>
      </c>
      <c r="R49" s="37">
        <v>0</v>
      </c>
      <c r="S49" s="37">
        <v>100</v>
      </c>
      <c r="T49" s="37">
        <v>0</v>
      </c>
      <c r="U49" s="37">
        <v>21.88</v>
      </c>
      <c r="V49" s="37">
        <v>31.25</v>
      </c>
      <c r="W49" s="37">
        <v>46.88</v>
      </c>
      <c r="X49" s="37">
        <v>48.39</v>
      </c>
      <c r="Y49" s="37">
        <v>22.58</v>
      </c>
      <c r="Z49" s="37">
        <v>29.03</v>
      </c>
      <c r="AA49" s="37">
        <v>18.75</v>
      </c>
      <c r="AB49" s="37">
        <v>43.75</v>
      </c>
      <c r="AC49" s="24">
        <f t="shared" si="1"/>
        <v>1.9950000000000001</v>
      </c>
      <c r="AD49" s="25">
        <f t="shared" si="2"/>
        <v>18.004999999999999</v>
      </c>
      <c r="AE49" s="23" t="str">
        <f t="shared" si="3"/>
        <v>Win</v>
      </c>
      <c r="AF49" s="23" t="str">
        <f t="shared" si="4"/>
        <v>Loss</v>
      </c>
      <c r="AG49" s="23" t="str">
        <f t="shared" si="5"/>
        <v>Loss</v>
      </c>
      <c r="AH49" s="23">
        <f t="shared" si="6"/>
        <v>71</v>
      </c>
      <c r="AI49" s="23">
        <f t="shared" si="7"/>
        <v>-50</v>
      </c>
      <c r="AJ49" s="23">
        <f t="shared" si="8"/>
        <v>-50</v>
      </c>
    </row>
    <row r="50" spans="1:36" x14ac:dyDescent="0.2">
      <c r="A50" s="36">
        <v>43614</v>
      </c>
      <c r="B50" s="37" t="s">
        <v>231</v>
      </c>
      <c r="C50" s="37" t="s">
        <v>232</v>
      </c>
      <c r="D50" s="37" t="s">
        <v>251</v>
      </c>
      <c r="E50" s="37" t="s">
        <v>252</v>
      </c>
      <c r="F50" s="37" t="s">
        <v>253</v>
      </c>
      <c r="G50" s="37">
        <v>4</v>
      </c>
      <c r="H50" s="37">
        <v>0</v>
      </c>
      <c r="I50" s="37">
        <v>1.65</v>
      </c>
      <c r="J50" s="37">
        <v>3.43</v>
      </c>
      <c r="K50" s="37">
        <v>4.83</v>
      </c>
      <c r="L50" s="37">
        <v>-3.18</v>
      </c>
      <c r="M50" s="37">
        <v>33</v>
      </c>
      <c r="N50" s="37">
        <v>33</v>
      </c>
      <c r="O50" s="37">
        <v>1</v>
      </c>
      <c r="P50" s="37">
        <v>16</v>
      </c>
      <c r="Q50" s="37">
        <v>16</v>
      </c>
      <c r="R50" s="37">
        <v>0</v>
      </c>
      <c r="S50" s="37">
        <v>100</v>
      </c>
      <c r="T50" s="37">
        <v>0</v>
      </c>
      <c r="U50" s="37">
        <v>27.27</v>
      </c>
      <c r="V50" s="37">
        <v>45.45</v>
      </c>
      <c r="W50" s="37">
        <v>27.27</v>
      </c>
      <c r="X50" s="37">
        <v>12.12</v>
      </c>
      <c r="Y50" s="37">
        <v>42.42</v>
      </c>
      <c r="Z50" s="37">
        <v>45.45</v>
      </c>
      <c r="AA50" s="37">
        <v>43.75</v>
      </c>
      <c r="AB50" s="37">
        <v>6.25</v>
      </c>
      <c r="AC50" s="24">
        <f t="shared" si="1"/>
        <v>16.969000000000005</v>
      </c>
      <c r="AD50" s="25">
        <f t="shared" si="2"/>
        <v>3.030999999999997</v>
      </c>
      <c r="AE50" s="23" t="str">
        <f t="shared" si="3"/>
        <v>Win</v>
      </c>
      <c r="AF50" s="23" t="str">
        <f t="shared" si="4"/>
        <v>Loss</v>
      </c>
      <c r="AG50" s="23" t="str">
        <f t="shared" si="5"/>
        <v>Loss</v>
      </c>
      <c r="AH50" s="23">
        <f t="shared" si="6"/>
        <v>32.5</v>
      </c>
      <c r="AI50" s="23">
        <f t="shared" si="7"/>
        <v>-50</v>
      </c>
      <c r="AJ50" s="23">
        <f t="shared" si="8"/>
        <v>-50</v>
      </c>
    </row>
    <row r="51" spans="1:36" x14ac:dyDescent="0.2">
      <c r="A51" s="36">
        <v>43614</v>
      </c>
      <c r="B51" s="37" t="s">
        <v>231</v>
      </c>
      <c r="C51" s="37" t="s">
        <v>232</v>
      </c>
      <c r="D51" s="37" t="s">
        <v>254</v>
      </c>
      <c r="E51" s="37" t="s">
        <v>255</v>
      </c>
      <c r="F51" s="37" t="s">
        <v>256</v>
      </c>
      <c r="G51" s="37">
        <v>2</v>
      </c>
      <c r="H51" s="37">
        <v>2</v>
      </c>
      <c r="I51" s="37">
        <v>3.64</v>
      </c>
      <c r="J51" s="37">
        <v>3.7</v>
      </c>
      <c r="K51" s="37">
        <v>1.81</v>
      </c>
      <c r="L51" s="37">
        <v>1.83</v>
      </c>
      <c r="M51" s="37">
        <v>32</v>
      </c>
      <c r="N51" s="37">
        <v>33</v>
      </c>
      <c r="O51" s="37">
        <v>1</v>
      </c>
      <c r="P51" s="37">
        <v>16</v>
      </c>
      <c r="Q51" s="37">
        <v>16</v>
      </c>
      <c r="R51" s="37">
        <v>0</v>
      </c>
      <c r="S51" s="37">
        <v>100</v>
      </c>
      <c r="T51" s="37">
        <v>0</v>
      </c>
      <c r="U51" s="37">
        <v>34.380000000000003</v>
      </c>
      <c r="V51" s="37">
        <v>34.380000000000003</v>
      </c>
      <c r="W51" s="37">
        <v>31.25</v>
      </c>
      <c r="X51" s="37">
        <v>21.21</v>
      </c>
      <c r="Y51" s="37">
        <v>33.33</v>
      </c>
      <c r="Z51" s="37">
        <v>45.45</v>
      </c>
      <c r="AA51" s="37">
        <v>31.25</v>
      </c>
      <c r="AB51" s="37">
        <v>0</v>
      </c>
      <c r="AC51" s="24">
        <f t="shared" si="1"/>
        <v>15.579000000000001</v>
      </c>
      <c r="AD51" s="25">
        <f t="shared" si="2"/>
        <v>4.4209999999999958</v>
      </c>
      <c r="AE51" s="23" t="str">
        <f t="shared" si="3"/>
        <v>Loss</v>
      </c>
      <c r="AF51" s="23" t="str">
        <f t="shared" si="4"/>
        <v>Win</v>
      </c>
      <c r="AG51" s="23" t="str">
        <f t="shared" si="5"/>
        <v>Loss</v>
      </c>
      <c r="AH51" s="23">
        <f t="shared" si="6"/>
        <v>-50</v>
      </c>
      <c r="AI51" s="23">
        <f t="shared" si="7"/>
        <v>135</v>
      </c>
      <c r="AJ51" s="23">
        <f t="shared" si="8"/>
        <v>-50</v>
      </c>
    </row>
    <row r="52" spans="1:36" x14ac:dyDescent="0.2">
      <c r="A52" s="36">
        <v>43614</v>
      </c>
      <c r="B52" s="37" t="s">
        <v>157</v>
      </c>
      <c r="C52" s="37" t="s">
        <v>158</v>
      </c>
      <c r="D52" s="37" t="s">
        <v>257</v>
      </c>
      <c r="E52" s="37" t="s">
        <v>258</v>
      </c>
      <c r="F52" s="37" t="s">
        <v>259</v>
      </c>
      <c r="G52" s="37">
        <v>1</v>
      </c>
      <c r="H52" s="37">
        <v>0</v>
      </c>
      <c r="I52" s="37">
        <v>2.2200000000000002</v>
      </c>
      <c r="J52" s="37">
        <v>3.79</v>
      </c>
      <c r="K52" s="37">
        <v>2.48</v>
      </c>
      <c r="L52" s="37">
        <v>-0.26</v>
      </c>
      <c r="M52" s="37">
        <v>2</v>
      </c>
      <c r="N52" s="37">
        <v>0</v>
      </c>
      <c r="O52" s="37">
        <v>0</v>
      </c>
      <c r="P52" s="37">
        <v>1</v>
      </c>
      <c r="Q52" s="37">
        <v>0</v>
      </c>
      <c r="R52" s="37">
        <v>0</v>
      </c>
      <c r="S52" s="37">
        <v>0</v>
      </c>
      <c r="T52" s="37">
        <v>0</v>
      </c>
      <c r="U52" s="37">
        <v>0</v>
      </c>
      <c r="V52" s="37">
        <v>0</v>
      </c>
      <c r="W52" s="37">
        <v>100</v>
      </c>
      <c r="X52" s="37">
        <v>0</v>
      </c>
      <c r="Y52" s="37">
        <v>0</v>
      </c>
      <c r="Z52" s="37">
        <v>0</v>
      </c>
      <c r="AA52" s="37">
        <v>0</v>
      </c>
      <c r="AB52" s="37">
        <v>0</v>
      </c>
      <c r="AC52" s="24">
        <f t="shared" si="1"/>
        <v>-20</v>
      </c>
      <c r="AD52" s="25">
        <f t="shared" si="2"/>
        <v>20</v>
      </c>
      <c r="AE52" s="23" t="str">
        <f t="shared" si="3"/>
        <v>Win</v>
      </c>
      <c r="AF52" s="23" t="str">
        <f t="shared" si="4"/>
        <v>Loss</v>
      </c>
      <c r="AG52" s="23" t="str">
        <f t="shared" si="5"/>
        <v>Loss</v>
      </c>
      <c r="AH52" s="23">
        <f t="shared" si="6"/>
        <v>61.000000000000014</v>
      </c>
      <c r="AI52" s="23">
        <f t="shared" si="7"/>
        <v>-50</v>
      </c>
      <c r="AJ52" s="23">
        <f t="shared" si="8"/>
        <v>-50</v>
      </c>
    </row>
    <row r="53" spans="1:36" x14ac:dyDescent="0.2">
      <c r="A53" s="36">
        <v>43614</v>
      </c>
      <c r="B53" s="37" t="s">
        <v>218</v>
      </c>
      <c r="C53" s="37" t="s">
        <v>219</v>
      </c>
      <c r="D53" s="37" t="s">
        <v>260</v>
      </c>
      <c r="E53" s="37" t="s">
        <v>261</v>
      </c>
      <c r="F53" s="37" t="s">
        <v>262</v>
      </c>
      <c r="G53" s="37">
        <v>2</v>
      </c>
      <c r="H53" s="37">
        <v>1</v>
      </c>
      <c r="I53" s="37">
        <v>5.54</v>
      </c>
      <c r="J53" s="37">
        <v>4.08</v>
      </c>
      <c r="K53" s="37">
        <v>1.52</v>
      </c>
      <c r="L53" s="37">
        <v>4.0199999999999996</v>
      </c>
      <c r="M53" s="37">
        <v>12</v>
      </c>
      <c r="N53" s="37">
        <v>14</v>
      </c>
      <c r="O53" s="37">
        <v>0</v>
      </c>
      <c r="P53" s="37">
        <v>6</v>
      </c>
      <c r="Q53" s="37">
        <v>6</v>
      </c>
      <c r="R53" s="37">
        <v>0</v>
      </c>
      <c r="S53" s="37">
        <v>0</v>
      </c>
      <c r="T53" s="37">
        <v>0</v>
      </c>
      <c r="U53" s="37">
        <v>16.670000000000002</v>
      </c>
      <c r="V53" s="37">
        <v>33.33</v>
      </c>
      <c r="W53" s="37">
        <v>50</v>
      </c>
      <c r="X53" s="37">
        <v>64.290000000000006</v>
      </c>
      <c r="Y53" s="37">
        <v>28.57</v>
      </c>
      <c r="Z53" s="37">
        <v>7.14</v>
      </c>
      <c r="AA53" s="37">
        <v>16.670000000000002</v>
      </c>
      <c r="AB53" s="37">
        <v>66.67</v>
      </c>
      <c r="AC53" s="24">
        <f t="shared" si="1"/>
        <v>-17.62</v>
      </c>
      <c r="AD53" s="25">
        <f t="shared" si="2"/>
        <v>17.62</v>
      </c>
      <c r="AE53" s="23" t="str">
        <f t="shared" si="3"/>
        <v>Win</v>
      </c>
      <c r="AF53" s="23" t="str">
        <f t="shared" si="4"/>
        <v>Loss</v>
      </c>
      <c r="AG53" s="23" t="str">
        <f t="shared" si="5"/>
        <v>Loss</v>
      </c>
      <c r="AH53" s="23">
        <f t="shared" si="6"/>
        <v>227</v>
      </c>
      <c r="AI53" s="23">
        <f t="shared" si="7"/>
        <v>-50</v>
      </c>
      <c r="AJ53" s="23">
        <f t="shared" si="8"/>
        <v>-50</v>
      </c>
    </row>
    <row r="54" spans="1:36" x14ac:dyDescent="0.2">
      <c r="A54" s="36">
        <v>43614</v>
      </c>
      <c r="B54" s="37" t="s">
        <v>170</v>
      </c>
      <c r="C54" s="37" t="s">
        <v>171</v>
      </c>
      <c r="D54" s="37" t="s">
        <v>263</v>
      </c>
      <c r="E54" s="37" t="s">
        <v>264</v>
      </c>
      <c r="F54" s="37" t="s">
        <v>265</v>
      </c>
      <c r="G54" s="37">
        <v>0</v>
      </c>
      <c r="H54" s="37">
        <v>1</v>
      </c>
      <c r="I54" s="37">
        <v>3.01</v>
      </c>
      <c r="J54" s="37">
        <v>3.46</v>
      </c>
      <c r="K54" s="37">
        <v>2.13</v>
      </c>
      <c r="L54" s="37">
        <v>0.88</v>
      </c>
      <c r="M54" s="37">
        <v>19</v>
      </c>
      <c r="N54" s="37">
        <v>17</v>
      </c>
      <c r="O54" s="37">
        <v>2</v>
      </c>
      <c r="P54" s="37">
        <v>8</v>
      </c>
      <c r="Q54" s="37">
        <v>6</v>
      </c>
      <c r="R54" s="37">
        <v>100</v>
      </c>
      <c r="S54" s="37">
        <v>0</v>
      </c>
      <c r="T54" s="37">
        <v>0</v>
      </c>
      <c r="U54" s="37">
        <v>68.42</v>
      </c>
      <c r="V54" s="37">
        <v>21.05</v>
      </c>
      <c r="W54" s="37">
        <v>10.53</v>
      </c>
      <c r="X54" s="37">
        <v>70.59</v>
      </c>
      <c r="Y54" s="37">
        <v>17.649999999999999</v>
      </c>
      <c r="Z54" s="37">
        <v>11.76</v>
      </c>
      <c r="AA54" s="37">
        <v>87.5</v>
      </c>
      <c r="AB54" s="37">
        <v>66.67</v>
      </c>
      <c r="AC54" s="24">
        <f t="shared" si="1"/>
        <v>30.15199999999999</v>
      </c>
      <c r="AD54" s="25">
        <f t="shared" si="2"/>
        <v>-30.15199999999999</v>
      </c>
      <c r="AE54" s="23" t="str">
        <f t="shared" si="3"/>
        <v>Loss</v>
      </c>
      <c r="AF54" s="23" t="str">
        <f t="shared" si="4"/>
        <v>Loss</v>
      </c>
      <c r="AG54" s="23" t="str">
        <f t="shared" si="5"/>
        <v>Win</v>
      </c>
      <c r="AH54" s="23">
        <f t="shared" si="6"/>
        <v>-50</v>
      </c>
      <c r="AI54" s="23">
        <f t="shared" si="7"/>
        <v>-50</v>
      </c>
      <c r="AJ54" s="23">
        <f t="shared" si="8"/>
        <v>56.5</v>
      </c>
    </row>
    <row r="55" spans="1:36" x14ac:dyDescent="0.2">
      <c r="A55" s="36">
        <v>43614</v>
      </c>
      <c r="B55" s="37" t="s">
        <v>192</v>
      </c>
      <c r="C55" s="37" t="s">
        <v>193</v>
      </c>
      <c r="D55" s="37" t="s">
        <v>266</v>
      </c>
      <c r="E55" s="37" t="s">
        <v>267</v>
      </c>
      <c r="F55" s="37" t="s">
        <v>268</v>
      </c>
      <c r="G55" s="37">
        <v>2</v>
      </c>
      <c r="H55" s="37">
        <v>0</v>
      </c>
      <c r="I55" s="37">
        <v>1.18</v>
      </c>
      <c r="J55" s="37">
        <v>6.22</v>
      </c>
      <c r="K55" s="37">
        <v>13.27</v>
      </c>
      <c r="L55" s="37">
        <v>-12.09</v>
      </c>
      <c r="M55" s="37">
        <v>12</v>
      </c>
      <c r="N55" s="37">
        <v>3</v>
      </c>
      <c r="O55" s="37">
        <v>0</v>
      </c>
      <c r="P55" s="37">
        <v>6</v>
      </c>
      <c r="Q55" s="37">
        <v>0</v>
      </c>
      <c r="R55" s="37">
        <v>0</v>
      </c>
      <c r="S55" s="37">
        <v>0</v>
      </c>
      <c r="T55" s="37">
        <v>0</v>
      </c>
      <c r="U55" s="37">
        <v>33.33</v>
      </c>
      <c r="V55" s="37">
        <v>33.33</v>
      </c>
      <c r="W55" s="37">
        <v>33.33</v>
      </c>
      <c r="X55" s="37">
        <v>100</v>
      </c>
      <c r="Y55" s="37">
        <v>0</v>
      </c>
      <c r="Z55" s="37">
        <v>0</v>
      </c>
      <c r="AA55" s="37">
        <v>33.33</v>
      </c>
      <c r="AB55" s="37">
        <v>0</v>
      </c>
      <c r="AC55" s="24">
        <f t="shared" si="1"/>
        <v>-16.667000000000002</v>
      </c>
      <c r="AD55" s="25">
        <f t="shared" si="2"/>
        <v>16.667000000000002</v>
      </c>
      <c r="AE55" s="23" t="str">
        <f t="shared" si="3"/>
        <v>Win</v>
      </c>
      <c r="AF55" s="23" t="str">
        <f t="shared" si="4"/>
        <v>Loss</v>
      </c>
      <c r="AG55" s="23" t="str">
        <f t="shared" si="5"/>
        <v>Loss</v>
      </c>
      <c r="AH55" s="23">
        <f t="shared" si="6"/>
        <v>9</v>
      </c>
      <c r="AI55" s="23">
        <f t="shared" si="7"/>
        <v>-50</v>
      </c>
      <c r="AJ55" s="23">
        <f t="shared" si="8"/>
        <v>-50</v>
      </c>
    </row>
    <row r="56" spans="1:36" x14ac:dyDescent="0.2">
      <c r="A56" s="36">
        <v>43614</v>
      </c>
      <c r="B56" s="37" t="s">
        <v>192</v>
      </c>
      <c r="C56" s="37" t="s">
        <v>193</v>
      </c>
      <c r="D56" s="37" t="s">
        <v>269</v>
      </c>
      <c r="E56" s="37" t="s">
        <v>270</v>
      </c>
      <c r="F56" s="37" t="s">
        <v>271</v>
      </c>
      <c r="G56" s="37">
        <v>0</v>
      </c>
      <c r="H56" s="37">
        <v>1</v>
      </c>
      <c r="I56" s="37">
        <v>1.94</v>
      </c>
      <c r="J56" s="37">
        <v>3.73</v>
      </c>
      <c r="K56" s="37">
        <v>3.4</v>
      </c>
      <c r="L56" s="37">
        <v>-1.46</v>
      </c>
      <c r="M56" s="37">
        <v>12</v>
      </c>
      <c r="N56" s="37">
        <v>12</v>
      </c>
      <c r="O56" s="37">
        <v>0</v>
      </c>
      <c r="P56" s="37">
        <v>6</v>
      </c>
      <c r="Q56" s="37">
        <v>5</v>
      </c>
      <c r="R56" s="37">
        <v>0</v>
      </c>
      <c r="S56" s="37">
        <v>0</v>
      </c>
      <c r="T56" s="37">
        <v>0</v>
      </c>
      <c r="U56" s="37">
        <v>50</v>
      </c>
      <c r="V56" s="37">
        <v>16.670000000000002</v>
      </c>
      <c r="W56" s="37">
        <v>33.33</v>
      </c>
      <c r="X56" s="37">
        <v>58.33</v>
      </c>
      <c r="Y56" s="37">
        <v>16.670000000000002</v>
      </c>
      <c r="Z56" s="37">
        <v>25</v>
      </c>
      <c r="AA56" s="37">
        <v>83.33</v>
      </c>
      <c r="AB56" s="37">
        <v>40</v>
      </c>
      <c r="AC56" s="24">
        <f t="shared" si="1"/>
        <v>-3.3320000000000007</v>
      </c>
      <c r="AD56" s="25">
        <f t="shared" si="2"/>
        <v>3.3320000000000007</v>
      </c>
      <c r="AE56" s="23" t="str">
        <f t="shared" si="3"/>
        <v>Loss</v>
      </c>
      <c r="AF56" s="23" t="str">
        <f t="shared" si="4"/>
        <v>Loss</v>
      </c>
      <c r="AG56" s="23" t="str">
        <f t="shared" si="5"/>
        <v>Win</v>
      </c>
      <c r="AH56" s="23">
        <f t="shared" si="6"/>
        <v>-50</v>
      </c>
      <c r="AI56" s="23">
        <f t="shared" si="7"/>
        <v>-50</v>
      </c>
      <c r="AJ56" s="23">
        <f t="shared" si="8"/>
        <v>120</v>
      </c>
    </row>
    <row r="57" spans="1:36" x14ac:dyDescent="0.2">
      <c r="A57" s="36">
        <v>43614</v>
      </c>
      <c r="B57" s="37" t="s">
        <v>192</v>
      </c>
      <c r="C57" s="37" t="s">
        <v>193</v>
      </c>
      <c r="D57" s="37" t="s">
        <v>272</v>
      </c>
      <c r="E57" s="37" t="s">
        <v>273</v>
      </c>
      <c r="F57" s="37" t="s">
        <v>274</v>
      </c>
      <c r="G57" s="37">
        <v>5</v>
      </c>
      <c r="H57" s="37">
        <v>0</v>
      </c>
      <c r="I57" s="37">
        <v>1.1299999999999999</v>
      </c>
      <c r="J57" s="37">
        <v>7.56</v>
      </c>
      <c r="K57" s="37">
        <v>16.78</v>
      </c>
      <c r="L57" s="37">
        <v>-15.65</v>
      </c>
      <c r="M57" s="37">
        <v>12</v>
      </c>
      <c r="N57" s="37">
        <v>12</v>
      </c>
      <c r="O57" s="37">
        <v>1</v>
      </c>
      <c r="P57" s="37">
        <v>8</v>
      </c>
      <c r="Q57" s="37">
        <v>7</v>
      </c>
      <c r="R57" s="37">
        <v>0</v>
      </c>
      <c r="S57" s="37">
        <v>0</v>
      </c>
      <c r="T57" s="37">
        <v>100</v>
      </c>
      <c r="U57" s="37">
        <v>75</v>
      </c>
      <c r="V57" s="37">
        <v>8.33</v>
      </c>
      <c r="W57" s="37">
        <v>16.670000000000002</v>
      </c>
      <c r="X57" s="37">
        <v>25</v>
      </c>
      <c r="Y57" s="37">
        <v>16.670000000000002</v>
      </c>
      <c r="Z57" s="37">
        <v>58.33</v>
      </c>
      <c r="AA57" s="37">
        <v>75</v>
      </c>
      <c r="AB57" s="37">
        <v>14.29</v>
      </c>
      <c r="AC57" s="24">
        <f t="shared" si="1"/>
        <v>-12.502000000000002</v>
      </c>
      <c r="AD57" s="25">
        <f t="shared" si="2"/>
        <v>12.502000000000002</v>
      </c>
      <c r="AE57" s="23" t="str">
        <f t="shared" si="3"/>
        <v>Win</v>
      </c>
      <c r="AF57" s="23" t="str">
        <f t="shared" si="4"/>
        <v>Loss</v>
      </c>
      <c r="AG57" s="23" t="str">
        <f t="shared" si="5"/>
        <v>Loss</v>
      </c>
      <c r="AH57" s="23">
        <f t="shared" si="6"/>
        <v>6.4999999999999929</v>
      </c>
      <c r="AI57" s="23">
        <f t="shared" si="7"/>
        <v>-50</v>
      </c>
      <c r="AJ57" s="23">
        <f t="shared" si="8"/>
        <v>-50</v>
      </c>
    </row>
    <row r="58" spans="1:36" x14ac:dyDescent="0.2">
      <c r="A58" s="36">
        <v>43614</v>
      </c>
      <c r="B58" s="37" t="s">
        <v>192</v>
      </c>
      <c r="C58" s="37" t="s">
        <v>193</v>
      </c>
      <c r="D58" s="37" t="s">
        <v>275</v>
      </c>
      <c r="E58" s="37" t="s">
        <v>276</v>
      </c>
      <c r="F58" s="37" t="s">
        <v>277</v>
      </c>
      <c r="G58" s="37">
        <v>3</v>
      </c>
      <c r="H58" s="37">
        <v>1</v>
      </c>
      <c r="I58" s="37">
        <v>1.08</v>
      </c>
      <c r="J58" s="37">
        <v>8.84</v>
      </c>
      <c r="K58" s="37">
        <v>20.88</v>
      </c>
      <c r="L58" s="37">
        <v>-19.8</v>
      </c>
      <c r="M58" s="37">
        <v>13</v>
      </c>
      <c r="N58" s="37">
        <v>13</v>
      </c>
      <c r="O58" s="37">
        <v>0</v>
      </c>
      <c r="P58" s="37">
        <v>5</v>
      </c>
      <c r="Q58" s="37">
        <v>7</v>
      </c>
      <c r="R58" s="37">
        <v>0</v>
      </c>
      <c r="S58" s="37">
        <v>0</v>
      </c>
      <c r="T58" s="37">
        <v>0</v>
      </c>
      <c r="U58" s="37">
        <v>84.62</v>
      </c>
      <c r="V58" s="37">
        <v>0</v>
      </c>
      <c r="W58" s="37">
        <v>15.38</v>
      </c>
      <c r="X58" s="37">
        <v>53.85</v>
      </c>
      <c r="Y58" s="37">
        <v>23.08</v>
      </c>
      <c r="Z58" s="37">
        <v>23.08</v>
      </c>
      <c r="AA58" s="37">
        <v>100</v>
      </c>
      <c r="AB58" s="37">
        <v>57.14</v>
      </c>
      <c r="AC58" s="24">
        <f t="shared" si="1"/>
        <v>5.386000000000001</v>
      </c>
      <c r="AD58" s="25">
        <f t="shared" si="2"/>
        <v>-5.386000000000001</v>
      </c>
      <c r="AE58" s="23" t="str">
        <f t="shared" si="3"/>
        <v>Win</v>
      </c>
      <c r="AF58" s="23" t="str">
        <f t="shared" si="4"/>
        <v>Loss</v>
      </c>
      <c r="AG58" s="23" t="str">
        <f t="shared" si="5"/>
        <v>Loss</v>
      </c>
      <c r="AH58" s="23">
        <f t="shared" si="6"/>
        <v>4</v>
      </c>
      <c r="AI58" s="23">
        <f t="shared" si="7"/>
        <v>-50</v>
      </c>
      <c r="AJ58" s="23">
        <f t="shared" si="8"/>
        <v>-50</v>
      </c>
    </row>
    <row r="59" spans="1:36" x14ac:dyDescent="0.2">
      <c r="A59" s="36">
        <v>43614</v>
      </c>
      <c r="B59" s="37" t="s">
        <v>192</v>
      </c>
      <c r="C59" s="37" t="s">
        <v>193</v>
      </c>
      <c r="D59" s="37" t="s">
        <v>278</v>
      </c>
      <c r="E59" s="37" t="s">
        <v>279</v>
      </c>
      <c r="F59" s="37" t="s">
        <v>280</v>
      </c>
      <c r="G59" s="37">
        <v>3</v>
      </c>
      <c r="H59" s="37">
        <v>2</v>
      </c>
      <c r="I59" s="37">
        <v>1.9</v>
      </c>
      <c r="J59" s="37">
        <v>3.56</v>
      </c>
      <c r="K59" s="37">
        <v>3.73</v>
      </c>
      <c r="L59" s="37">
        <v>-1.83</v>
      </c>
      <c r="M59" s="37">
        <v>11</v>
      </c>
      <c r="N59" s="37">
        <v>12</v>
      </c>
      <c r="O59" s="37">
        <v>0</v>
      </c>
      <c r="P59" s="37">
        <v>5</v>
      </c>
      <c r="Q59" s="37">
        <v>4</v>
      </c>
      <c r="R59" s="37">
        <v>0</v>
      </c>
      <c r="S59" s="37">
        <v>0</v>
      </c>
      <c r="T59" s="37">
        <v>0</v>
      </c>
      <c r="U59" s="37">
        <v>18.18</v>
      </c>
      <c r="V59" s="37">
        <v>18.18</v>
      </c>
      <c r="W59" s="37">
        <v>63.64</v>
      </c>
      <c r="X59" s="37">
        <v>41.67</v>
      </c>
      <c r="Y59" s="37">
        <v>33.33</v>
      </c>
      <c r="Z59" s="37">
        <v>25</v>
      </c>
      <c r="AA59" s="37">
        <v>20</v>
      </c>
      <c r="AB59" s="37">
        <v>25</v>
      </c>
      <c r="AC59" s="24">
        <f t="shared" si="1"/>
        <v>-13.941000000000003</v>
      </c>
      <c r="AD59" s="25">
        <f t="shared" si="2"/>
        <v>13.941000000000003</v>
      </c>
      <c r="AE59" s="23" t="str">
        <f t="shared" si="3"/>
        <v>Win</v>
      </c>
      <c r="AF59" s="23" t="str">
        <f t="shared" si="4"/>
        <v>Loss</v>
      </c>
      <c r="AG59" s="23" t="str">
        <f t="shared" si="5"/>
        <v>Loss</v>
      </c>
      <c r="AH59" s="23">
        <f t="shared" si="6"/>
        <v>45</v>
      </c>
      <c r="AI59" s="23">
        <f t="shared" si="7"/>
        <v>-50</v>
      </c>
      <c r="AJ59" s="23">
        <f t="shared" si="8"/>
        <v>-50</v>
      </c>
    </row>
    <row r="60" spans="1:36" x14ac:dyDescent="0.2">
      <c r="A60" s="36">
        <v>43614</v>
      </c>
      <c r="B60" s="37" t="s">
        <v>218</v>
      </c>
      <c r="C60" s="37" t="s">
        <v>219</v>
      </c>
      <c r="D60" s="37" t="s">
        <v>281</v>
      </c>
      <c r="E60" s="37" t="s">
        <v>282</v>
      </c>
      <c r="F60" s="37" t="s">
        <v>283</v>
      </c>
      <c r="G60" s="37">
        <v>1</v>
      </c>
      <c r="H60" s="37">
        <v>3</v>
      </c>
      <c r="I60" s="37">
        <v>2.66</v>
      </c>
      <c r="J60" s="37">
        <v>3.33</v>
      </c>
      <c r="K60" s="37">
        <v>2.48</v>
      </c>
      <c r="L60" s="37">
        <v>0.18</v>
      </c>
      <c r="M60" s="37">
        <v>15</v>
      </c>
      <c r="N60" s="37">
        <v>12</v>
      </c>
      <c r="O60" s="37">
        <v>0</v>
      </c>
      <c r="P60" s="37">
        <v>6</v>
      </c>
      <c r="Q60" s="37">
        <v>6</v>
      </c>
      <c r="R60" s="37">
        <v>0</v>
      </c>
      <c r="S60" s="37">
        <v>0</v>
      </c>
      <c r="T60" s="37">
        <v>0</v>
      </c>
      <c r="U60" s="37">
        <v>53.33</v>
      </c>
      <c r="V60" s="37">
        <v>26.67</v>
      </c>
      <c r="W60" s="37">
        <v>20</v>
      </c>
      <c r="X60" s="37">
        <v>41.67</v>
      </c>
      <c r="Y60" s="37">
        <v>33.33</v>
      </c>
      <c r="Z60" s="37">
        <v>25</v>
      </c>
      <c r="AA60" s="37">
        <v>50</v>
      </c>
      <c r="AB60" s="37">
        <v>16.670000000000002</v>
      </c>
      <c r="AC60" s="24">
        <f t="shared" si="1"/>
        <v>2.6659999999999986</v>
      </c>
      <c r="AD60" s="25">
        <f t="shared" si="2"/>
        <v>-2.6659999999999986</v>
      </c>
      <c r="AE60" s="23" t="str">
        <f t="shared" si="3"/>
        <v>Loss</v>
      </c>
      <c r="AF60" s="23" t="str">
        <f t="shared" si="4"/>
        <v>Loss</v>
      </c>
      <c r="AG60" s="23" t="str">
        <f t="shared" si="5"/>
        <v>Win</v>
      </c>
      <c r="AH60" s="23">
        <f t="shared" si="6"/>
        <v>-50</v>
      </c>
      <c r="AI60" s="23">
        <f t="shared" si="7"/>
        <v>-50</v>
      </c>
      <c r="AJ60" s="23">
        <f t="shared" si="8"/>
        <v>74</v>
      </c>
    </row>
    <row r="61" spans="1:36" x14ac:dyDescent="0.2">
      <c r="A61" s="36">
        <v>43614</v>
      </c>
      <c r="B61" s="37" t="s">
        <v>218</v>
      </c>
      <c r="C61" s="37" t="s">
        <v>219</v>
      </c>
      <c r="D61" s="37" t="s">
        <v>284</v>
      </c>
      <c r="E61" s="37" t="s">
        <v>285</v>
      </c>
      <c r="F61" s="37" t="s">
        <v>286</v>
      </c>
      <c r="G61" s="37">
        <v>2</v>
      </c>
      <c r="H61" s="37">
        <v>3</v>
      </c>
      <c r="I61" s="37">
        <v>2.04</v>
      </c>
      <c r="J61" s="37">
        <v>3.53</v>
      </c>
      <c r="K61" s="37">
        <v>3.27</v>
      </c>
      <c r="L61" s="37">
        <v>-1.23</v>
      </c>
      <c r="M61" s="37">
        <v>12</v>
      </c>
      <c r="N61" s="37">
        <v>12</v>
      </c>
      <c r="O61" s="37">
        <v>0</v>
      </c>
      <c r="P61" s="37">
        <v>5</v>
      </c>
      <c r="Q61" s="37">
        <v>6</v>
      </c>
      <c r="R61" s="37">
        <v>0</v>
      </c>
      <c r="S61" s="37">
        <v>0</v>
      </c>
      <c r="T61" s="37">
        <v>0</v>
      </c>
      <c r="U61" s="37">
        <v>41.67</v>
      </c>
      <c r="V61" s="37">
        <v>16.670000000000002</v>
      </c>
      <c r="W61" s="37">
        <v>41.67</v>
      </c>
      <c r="X61" s="37">
        <v>33.33</v>
      </c>
      <c r="Y61" s="37">
        <v>41.67</v>
      </c>
      <c r="Z61" s="37">
        <v>25</v>
      </c>
      <c r="AA61" s="37">
        <v>80</v>
      </c>
      <c r="AB61" s="37">
        <v>16.670000000000002</v>
      </c>
      <c r="AC61" s="24">
        <f t="shared" si="1"/>
        <v>-4.1660000000000004</v>
      </c>
      <c r="AD61" s="25">
        <f t="shared" si="2"/>
        <v>4.1660000000000004</v>
      </c>
      <c r="AE61" s="23" t="str">
        <f t="shared" si="3"/>
        <v>Loss</v>
      </c>
      <c r="AF61" s="23" t="str">
        <f t="shared" si="4"/>
        <v>Loss</v>
      </c>
      <c r="AG61" s="23" t="str">
        <f t="shared" si="5"/>
        <v>Win</v>
      </c>
      <c r="AH61" s="23">
        <f t="shared" si="6"/>
        <v>-50</v>
      </c>
      <c r="AI61" s="23">
        <f t="shared" si="7"/>
        <v>-50</v>
      </c>
      <c r="AJ61" s="23">
        <f t="shared" si="8"/>
        <v>113.5</v>
      </c>
    </row>
    <row r="62" spans="1:36" x14ac:dyDescent="0.2">
      <c r="A62" s="36">
        <v>43614</v>
      </c>
      <c r="B62" s="37" t="s">
        <v>218</v>
      </c>
      <c r="C62" s="37" t="s">
        <v>219</v>
      </c>
      <c r="D62" s="37" t="s">
        <v>287</v>
      </c>
      <c r="E62" s="37" t="s">
        <v>288</v>
      </c>
      <c r="F62" s="37" t="s">
        <v>289</v>
      </c>
      <c r="G62" s="37">
        <v>2</v>
      </c>
      <c r="H62" s="37">
        <v>0</v>
      </c>
      <c r="I62" s="37">
        <v>1.9</v>
      </c>
      <c r="J62" s="37">
        <v>3.52</v>
      </c>
      <c r="K62" s="37">
        <v>3.61</v>
      </c>
      <c r="L62" s="37">
        <v>-1.71</v>
      </c>
      <c r="M62" s="37">
        <v>12</v>
      </c>
      <c r="N62" s="37">
        <v>12</v>
      </c>
      <c r="O62" s="37">
        <v>0</v>
      </c>
      <c r="P62" s="37">
        <v>5</v>
      </c>
      <c r="Q62" s="37">
        <v>5</v>
      </c>
      <c r="R62" s="37">
        <v>0</v>
      </c>
      <c r="S62" s="37">
        <v>0</v>
      </c>
      <c r="T62" s="37">
        <v>0</v>
      </c>
      <c r="U62" s="37">
        <v>41.67</v>
      </c>
      <c r="V62" s="37">
        <v>33.33</v>
      </c>
      <c r="W62" s="37">
        <v>25</v>
      </c>
      <c r="X62" s="37">
        <v>41.67</v>
      </c>
      <c r="Y62" s="37">
        <v>25</v>
      </c>
      <c r="Z62" s="37">
        <v>33.33</v>
      </c>
      <c r="AA62" s="37">
        <v>60</v>
      </c>
      <c r="AB62" s="37">
        <v>40</v>
      </c>
      <c r="AC62" s="24">
        <f t="shared" si="1"/>
        <v>2.4990000000000006</v>
      </c>
      <c r="AD62" s="25">
        <f t="shared" si="2"/>
        <v>-2.4990000000000006</v>
      </c>
      <c r="AE62" s="23" t="str">
        <f t="shared" si="3"/>
        <v>Win</v>
      </c>
      <c r="AF62" s="23" t="str">
        <f t="shared" si="4"/>
        <v>Loss</v>
      </c>
      <c r="AG62" s="23" t="str">
        <f t="shared" si="5"/>
        <v>Loss</v>
      </c>
      <c r="AH62" s="23">
        <f t="shared" si="6"/>
        <v>45</v>
      </c>
      <c r="AI62" s="23">
        <f t="shared" si="7"/>
        <v>-50</v>
      </c>
      <c r="AJ62" s="23">
        <f t="shared" si="8"/>
        <v>-50</v>
      </c>
    </row>
    <row r="63" spans="1:36" x14ac:dyDescent="0.2">
      <c r="A63" s="36">
        <v>43614</v>
      </c>
      <c r="B63" s="37" t="s">
        <v>290</v>
      </c>
      <c r="C63" s="37" t="s">
        <v>232</v>
      </c>
      <c r="D63" s="37" t="s">
        <v>291</v>
      </c>
      <c r="E63" s="37" t="s">
        <v>292</v>
      </c>
      <c r="F63" s="37" t="s">
        <v>293</v>
      </c>
      <c r="G63" s="37">
        <v>4</v>
      </c>
      <c r="H63" s="37">
        <v>0</v>
      </c>
      <c r="I63" s="37">
        <v>1.31</v>
      </c>
      <c r="J63" s="37">
        <v>5.0999999999999996</v>
      </c>
      <c r="K63" s="37">
        <v>7.59</v>
      </c>
      <c r="L63" s="37">
        <v>-6.28</v>
      </c>
      <c r="M63" s="37">
        <v>14</v>
      </c>
      <c r="N63" s="37">
        <v>9</v>
      </c>
      <c r="O63" s="37">
        <v>0</v>
      </c>
      <c r="P63" s="37">
        <v>7</v>
      </c>
      <c r="Q63" s="37">
        <v>5</v>
      </c>
      <c r="R63" s="37">
        <v>0</v>
      </c>
      <c r="S63" s="37">
        <v>0</v>
      </c>
      <c r="T63" s="37">
        <v>0</v>
      </c>
      <c r="U63" s="37">
        <v>28.57</v>
      </c>
      <c r="V63" s="37">
        <v>35.71</v>
      </c>
      <c r="W63" s="37">
        <v>35.71</v>
      </c>
      <c r="X63" s="37">
        <v>22.22</v>
      </c>
      <c r="Y63" s="37">
        <v>11.11</v>
      </c>
      <c r="Z63" s="37">
        <v>66.67</v>
      </c>
      <c r="AA63" s="37">
        <v>14.29</v>
      </c>
      <c r="AB63" s="37">
        <v>20</v>
      </c>
      <c r="AC63" s="24">
        <f t="shared" si="1"/>
        <v>9.9220000000000006</v>
      </c>
      <c r="AD63" s="25">
        <f t="shared" si="2"/>
        <v>-9.9220000000000006</v>
      </c>
      <c r="AE63" s="23" t="str">
        <f t="shared" si="3"/>
        <v>Win</v>
      </c>
      <c r="AF63" s="23" t="str">
        <f t="shared" si="4"/>
        <v>Loss</v>
      </c>
      <c r="AG63" s="23" t="str">
        <f t="shared" si="5"/>
        <v>Loss</v>
      </c>
      <c r="AH63" s="23">
        <f t="shared" si="6"/>
        <v>15.5</v>
      </c>
      <c r="AI63" s="23">
        <f t="shared" si="7"/>
        <v>-50</v>
      </c>
      <c r="AJ63" s="23">
        <f t="shared" si="8"/>
        <v>-50</v>
      </c>
    </row>
    <row r="64" spans="1:36" x14ac:dyDescent="0.2">
      <c r="A64" s="36">
        <v>43614</v>
      </c>
      <c r="B64" s="37" t="s">
        <v>165</v>
      </c>
      <c r="C64" s="37" t="s">
        <v>166</v>
      </c>
      <c r="D64" s="37" t="s">
        <v>294</v>
      </c>
      <c r="E64" s="37" t="s">
        <v>295</v>
      </c>
      <c r="F64" s="37" t="s">
        <v>296</v>
      </c>
      <c r="G64" s="37">
        <v>3</v>
      </c>
      <c r="H64" s="37">
        <v>2</v>
      </c>
      <c r="I64" s="37">
        <v>2.12</v>
      </c>
      <c r="J64" s="37">
        <v>3.27</v>
      </c>
      <c r="K64" s="37">
        <v>3.17</v>
      </c>
      <c r="L64" s="37">
        <v>-1.05</v>
      </c>
      <c r="M64" s="37">
        <v>24</v>
      </c>
      <c r="N64" s="37">
        <v>24</v>
      </c>
      <c r="O64" s="37">
        <v>2</v>
      </c>
      <c r="P64" s="37">
        <v>11</v>
      </c>
      <c r="Q64" s="37">
        <v>12</v>
      </c>
      <c r="R64" s="37">
        <v>0</v>
      </c>
      <c r="S64" s="37">
        <v>100</v>
      </c>
      <c r="T64" s="37">
        <v>0</v>
      </c>
      <c r="U64" s="37">
        <v>41.67</v>
      </c>
      <c r="V64" s="37">
        <v>16.670000000000002</v>
      </c>
      <c r="W64" s="37">
        <v>41.67</v>
      </c>
      <c r="X64" s="37">
        <v>37.5</v>
      </c>
      <c r="Y64" s="37">
        <v>29.17</v>
      </c>
      <c r="Z64" s="37">
        <v>33.33</v>
      </c>
      <c r="AA64" s="37">
        <v>45.45</v>
      </c>
      <c r="AB64" s="37">
        <v>25</v>
      </c>
      <c r="AC64" s="24">
        <f t="shared" si="1"/>
        <v>7.9160000000000039</v>
      </c>
      <c r="AD64" s="25">
        <f t="shared" si="2"/>
        <v>12.084</v>
      </c>
      <c r="AE64" s="23" t="str">
        <f t="shared" si="3"/>
        <v>Win</v>
      </c>
      <c r="AF64" s="23" t="str">
        <f t="shared" si="4"/>
        <v>Loss</v>
      </c>
      <c r="AG64" s="23" t="str">
        <f t="shared" si="5"/>
        <v>Loss</v>
      </c>
      <c r="AH64" s="23">
        <f t="shared" si="6"/>
        <v>56</v>
      </c>
      <c r="AI64" s="23">
        <f t="shared" si="7"/>
        <v>-50</v>
      </c>
      <c r="AJ64" s="23">
        <f t="shared" si="8"/>
        <v>-50</v>
      </c>
    </row>
    <row r="65" spans="1:36" x14ac:dyDescent="0.2">
      <c r="A65" s="36">
        <v>43614</v>
      </c>
      <c r="B65" s="37" t="s">
        <v>297</v>
      </c>
      <c r="C65" s="37" t="s">
        <v>232</v>
      </c>
      <c r="D65" s="37" t="s">
        <v>298</v>
      </c>
      <c r="E65" s="37" t="s">
        <v>299</v>
      </c>
      <c r="F65" s="37" t="s">
        <v>300</v>
      </c>
      <c r="G65" s="37">
        <v>0</v>
      </c>
      <c r="H65" s="37">
        <v>2</v>
      </c>
      <c r="I65" s="37">
        <v>2.67</v>
      </c>
      <c r="J65" s="37">
        <v>2.83</v>
      </c>
      <c r="K65" s="37">
        <v>2.71</v>
      </c>
      <c r="L65" s="37">
        <v>-0.04</v>
      </c>
      <c r="M65" s="37">
        <v>33</v>
      </c>
      <c r="N65" s="37">
        <v>36</v>
      </c>
      <c r="O65" s="37">
        <v>1</v>
      </c>
      <c r="P65" s="37">
        <v>16</v>
      </c>
      <c r="Q65" s="37">
        <v>17</v>
      </c>
      <c r="R65" s="37">
        <v>0</v>
      </c>
      <c r="S65" s="37">
        <v>0</v>
      </c>
      <c r="T65" s="37">
        <v>100</v>
      </c>
      <c r="U65" s="37">
        <v>48.48</v>
      </c>
      <c r="V65" s="37">
        <v>24.24</v>
      </c>
      <c r="W65" s="37">
        <v>27.27</v>
      </c>
      <c r="X65" s="37">
        <v>25</v>
      </c>
      <c r="Y65" s="37">
        <v>25</v>
      </c>
      <c r="Z65" s="37">
        <v>50</v>
      </c>
      <c r="AA65" s="37">
        <v>56.25</v>
      </c>
      <c r="AB65" s="37">
        <v>17.649999999999999</v>
      </c>
      <c r="AC65" s="24">
        <f t="shared" si="1"/>
        <v>-20.834000000000003</v>
      </c>
      <c r="AD65" s="25">
        <f t="shared" si="2"/>
        <v>20.834000000000003</v>
      </c>
      <c r="AE65" s="23" t="str">
        <f t="shared" si="3"/>
        <v>Loss</v>
      </c>
      <c r="AF65" s="23" t="str">
        <f t="shared" si="4"/>
        <v>Loss</v>
      </c>
      <c r="AG65" s="23" t="str">
        <f t="shared" si="5"/>
        <v>Win</v>
      </c>
      <c r="AH65" s="23">
        <f t="shared" si="6"/>
        <v>-50</v>
      </c>
      <c r="AI65" s="23">
        <f t="shared" si="7"/>
        <v>-50</v>
      </c>
      <c r="AJ65" s="23">
        <f t="shared" si="8"/>
        <v>85.5</v>
      </c>
    </row>
    <row r="66" spans="1:36" x14ac:dyDescent="0.2">
      <c r="A66" s="36">
        <v>43614</v>
      </c>
      <c r="B66" s="37" t="s">
        <v>218</v>
      </c>
      <c r="C66" s="37" t="s">
        <v>219</v>
      </c>
      <c r="D66" s="37" t="s">
        <v>301</v>
      </c>
      <c r="E66" s="37" t="s">
        <v>302</v>
      </c>
      <c r="F66" s="37" t="s">
        <v>303</v>
      </c>
      <c r="G66" s="37">
        <v>3</v>
      </c>
      <c r="H66" s="37">
        <v>1</v>
      </c>
      <c r="I66" s="37">
        <v>1.2</v>
      </c>
      <c r="J66" s="37">
        <v>6.47</v>
      </c>
      <c r="K66" s="37">
        <v>10.06</v>
      </c>
      <c r="L66" s="37">
        <v>-8.86</v>
      </c>
      <c r="M66" s="37">
        <v>13</v>
      </c>
      <c r="N66" s="37">
        <v>12</v>
      </c>
      <c r="O66" s="37">
        <v>0</v>
      </c>
      <c r="P66" s="37">
        <v>7</v>
      </c>
      <c r="Q66" s="37">
        <v>6</v>
      </c>
      <c r="R66" s="37">
        <v>0</v>
      </c>
      <c r="S66" s="37">
        <v>0</v>
      </c>
      <c r="T66" s="37">
        <v>0</v>
      </c>
      <c r="U66" s="37">
        <v>53.85</v>
      </c>
      <c r="V66" s="37">
        <v>30.77</v>
      </c>
      <c r="W66" s="37">
        <v>15.38</v>
      </c>
      <c r="X66" s="37">
        <v>25</v>
      </c>
      <c r="Y66" s="37">
        <v>25</v>
      </c>
      <c r="Z66" s="37">
        <v>50</v>
      </c>
      <c r="AA66" s="37">
        <v>57.14</v>
      </c>
      <c r="AB66" s="37">
        <v>16.670000000000002</v>
      </c>
      <c r="AC66" s="24">
        <f t="shared" si="1"/>
        <v>13.271000000000001</v>
      </c>
      <c r="AD66" s="25">
        <f t="shared" si="2"/>
        <v>-13.271000000000001</v>
      </c>
      <c r="AE66" s="23" t="str">
        <f t="shared" si="3"/>
        <v>Win</v>
      </c>
      <c r="AF66" s="23" t="str">
        <f t="shared" si="4"/>
        <v>Loss</v>
      </c>
      <c r="AG66" s="23" t="str">
        <f t="shared" si="5"/>
        <v>Loss</v>
      </c>
      <c r="AH66" s="23">
        <f t="shared" si="6"/>
        <v>10</v>
      </c>
      <c r="AI66" s="23">
        <f t="shared" si="7"/>
        <v>-50</v>
      </c>
      <c r="AJ66" s="23">
        <f t="shared" si="8"/>
        <v>-50</v>
      </c>
    </row>
    <row r="67" spans="1:36" x14ac:dyDescent="0.2">
      <c r="A67" s="36">
        <v>43614</v>
      </c>
      <c r="B67" s="37" t="s">
        <v>218</v>
      </c>
      <c r="C67" s="37" t="s">
        <v>219</v>
      </c>
      <c r="D67" s="37" t="s">
        <v>304</v>
      </c>
      <c r="E67" s="37" t="s">
        <v>305</v>
      </c>
      <c r="F67" s="37" t="s">
        <v>306</v>
      </c>
      <c r="G67" s="37">
        <v>1</v>
      </c>
      <c r="H67" s="37">
        <v>0</v>
      </c>
      <c r="I67" s="37">
        <v>2.85</v>
      </c>
      <c r="J67" s="37">
        <v>3.5</v>
      </c>
      <c r="K67" s="37">
        <v>2.2599999999999998</v>
      </c>
      <c r="L67" s="37">
        <v>0.59</v>
      </c>
      <c r="M67" s="37">
        <v>11</v>
      </c>
      <c r="N67" s="37">
        <v>13</v>
      </c>
      <c r="O67" s="37">
        <v>0</v>
      </c>
      <c r="P67" s="37">
        <v>6</v>
      </c>
      <c r="Q67" s="37">
        <v>7</v>
      </c>
      <c r="R67" s="37">
        <v>0</v>
      </c>
      <c r="S67" s="37">
        <v>0</v>
      </c>
      <c r="T67" s="37">
        <v>0</v>
      </c>
      <c r="U67" s="37">
        <v>18.18</v>
      </c>
      <c r="V67" s="37">
        <v>36.36</v>
      </c>
      <c r="W67" s="37">
        <v>45.45</v>
      </c>
      <c r="X67" s="37">
        <v>30.77</v>
      </c>
      <c r="Y67" s="37">
        <v>23.08</v>
      </c>
      <c r="Z67" s="37">
        <v>46.15</v>
      </c>
      <c r="AA67" s="37">
        <v>16.670000000000002</v>
      </c>
      <c r="AB67" s="37">
        <v>14.29</v>
      </c>
      <c r="AC67" s="24">
        <f t="shared" si="1"/>
        <v>-1.0500000000000007</v>
      </c>
      <c r="AD67" s="25">
        <f t="shared" si="2"/>
        <v>1.0500000000000007</v>
      </c>
      <c r="AE67" s="23" t="str">
        <f t="shared" si="3"/>
        <v>Win</v>
      </c>
      <c r="AF67" s="23" t="str">
        <f t="shared" si="4"/>
        <v>Loss</v>
      </c>
      <c r="AG67" s="23" t="str">
        <f t="shared" si="5"/>
        <v>Loss</v>
      </c>
      <c r="AH67" s="23">
        <f t="shared" si="6"/>
        <v>92.5</v>
      </c>
      <c r="AI67" s="23">
        <f t="shared" si="7"/>
        <v>-50</v>
      </c>
      <c r="AJ67" s="23">
        <f t="shared" si="8"/>
        <v>-50</v>
      </c>
    </row>
    <row r="68" spans="1:36" x14ac:dyDescent="0.2">
      <c r="A68" s="36">
        <v>43614</v>
      </c>
      <c r="B68" s="37" t="s">
        <v>307</v>
      </c>
      <c r="C68" s="37" t="s">
        <v>308</v>
      </c>
      <c r="D68" s="37" t="s">
        <v>309</v>
      </c>
      <c r="E68" s="37" t="s">
        <v>310</v>
      </c>
      <c r="F68" s="37" t="s">
        <v>311</v>
      </c>
      <c r="G68" s="37">
        <v>0</v>
      </c>
      <c r="H68" s="37">
        <v>0</v>
      </c>
      <c r="I68" s="37">
        <v>2.7</v>
      </c>
      <c r="J68" s="37">
        <v>3.38</v>
      </c>
      <c r="K68" s="37">
        <v>2.34</v>
      </c>
      <c r="L68" s="37">
        <v>0.36</v>
      </c>
      <c r="M68" s="37">
        <v>43</v>
      </c>
      <c r="N68" s="37">
        <v>57</v>
      </c>
      <c r="O68" s="37">
        <v>2</v>
      </c>
      <c r="P68" s="37">
        <v>22</v>
      </c>
      <c r="Q68" s="37">
        <v>26</v>
      </c>
      <c r="R68" s="37">
        <v>0</v>
      </c>
      <c r="S68" s="37">
        <v>0</v>
      </c>
      <c r="T68" s="37">
        <v>100</v>
      </c>
      <c r="U68" s="37">
        <v>39.53</v>
      </c>
      <c r="V68" s="37">
        <v>18.600000000000001</v>
      </c>
      <c r="W68" s="37">
        <v>41.86</v>
      </c>
      <c r="X68" s="37">
        <v>56.14</v>
      </c>
      <c r="Y68" s="37">
        <v>21.05</v>
      </c>
      <c r="Z68" s="37">
        <v>22.81</v>
      </c>
      <c r="AA68" s="37">
        <v>50</v>
      </c>
      <c r="AB68" s="37">
        <v>30.77</v>
      </c>
      <c r="AC68" s="24">
        <f t="shared" si="1"/>
        <v>-37.377000000000002</v>
      </c>
      <c r="AD68" s="25">
        <f t="shared" si="2"/>
        <v>37.377000000000002</v>
      </c>
      <c r="AE68" s="23" t="str">
        <f t="shared" si="3"/>
        <v>Loss</v>
      </c>
      <c r="AF68" s="23" t="str">
        <f t="shared" si="4"/>
        <v>Win</v>
      </c>
      <c r="AG68" s="23" t="str">
        <f t="shared" si="5"/>
        <v>Loss</v>
      </c>
      <c r="AH68" s="23">
        <f t="shared" si="6"/>
        <v>-50</v>
      </c>
      <c r="AI68" s="23">
        <f t="shared" si="7"/>
        <v>119</v>
      </c>
      <c r="AJ68" s="23">
        <f t="shared" si="8"/>
        <v>-50</v>
      </c>
    </row>
    <row r="69" spans="1:36" x14ac:dyDescent="0.2">
      <c r="A69" s="36">
        <v>43614</v>
      </c>
      <c r="B69" s="37" t="s">
        <v>307</v>
      </c>
      <c r="C69" s="37" t="s">
        <v>308</v>
      </c>
      <c r="D69" s="37" t="s">
        <v>312</v>
      </c>
      <c r="E69" s="37" t="s">
        <v>313</v>
      </c>
      <c r="F69" s="37" t="s">
        <v>314</v>
      </c>
      <c r="G69" s="37">
        <v>0</v>
      </c>
      <c r="H69" s="37">
        <v>0</v>
      </c>
      <c r="I69" s="37">
        <v>3.01</v>
      </c>
      <c r="J69" s="37">
        <v>3.19</v>
      </c>
      <c r="K69" s="37">
        <v>2.2400000000000002</v>
      </c>
      <c r="L69" s="37">
        <v>0.77</v>
      </c>
      <c r="M69" s="37">
        <v>45</v>
      </c>
      <c r="N69" s="37">
        <v>42</v>
      </c>
      <c r="O69" s="37">
        <v>0</v>
      </c>
      <c r="P69" s="37">
        <v>23</v>
      </c>
      <c r="Q69" s="37">
        <v>21</v>
      </c>
      <c r="R69" s="37">
        <v>0</v>
      </c>
      <c r="S69" s="37">
        <v>0</v>
      </c>
      <c r="T69" s="37">
        <v>0</v>
      </c>
      <c r="U69" s="37">
        <v>51.11</v>
      </c>
      <c r="V69" s="37">
        <v>13.33</v>
      </c>
      <c r="W69" s="37">
        <v>35.56</v>
      </c>
      <c r="X69" s="37">
        <v>40.479999999999997</v>
      </c>
      <c r="Y69" s="37">
        <v>28.57</v>
      </c>
      <c r="Z69" s="37">
        <v>30.95</v>
      </c>
      <c r="AA69" s="37">
        <v>73.91</v>
      </c>
      <c r="AB69" s="37">
        <v>23.81</v>
      </c>
      <c r="AC69" s="24">
        <f t="shared" si="1"/>
        <v>-0.3199999999999994</v>
      </c>
      <c r="AD69" s="25">
        <f t="shared" si="2"/>
        <v>0.3199999999999994</v>
      </c>
      <c r="AE69" s="23" t="str">
        <f t="shared" si="3"/>
        <v>Loss</v>
      </c>
      <c r="AF69" s="23" t="str">
        <f t="shared" si="4"/>
        <v>Win</v>
      </c>
      <c r="AG69" s="23" t="str">
        <f t="shared" si="5"/>
        <v>Loss</v>
      </c>
      <c r="AH69" s="23">
        <f t="shared" si="6"/>
        <v>-50</v>
      </c>
      <c r="AI69" s="23">
        <f t="shared" si="7"/>
        <v>109.5</v>
      </c>
      <c r="AJ69" s="23">
        <f t="shared" si="8"/>
        <v>-50</v>
      </c>
    </row>
    <row r="70" spans="1:36" x14ac:dyDescent="0.2">
      <c r="A70" s="36">
        <v>43614</v>
      </c>
      <c r="B70" s="37" t="s">
        <v>315</v>
      </c>
      <c r="C70" s="37" t="s">
        <v>316</v>
      </c>
      <c r="D70" s="37" t="s">
        <v>317</v>
      </c>
      <c r="E70" s="37" t="s">
        <v>318</v>
      </c>
      <c r="F70" s="37" t="s">
        <v>319</v>
      </c>
      <c r="G70" s="37">
        <v>1</v>
      </c>
      <c r="H70" s="37">
        <v>0</v>
      </c>
      <c r="I70" s="37">
        <v>3.1</v>
      </c>
      <c r="J70" s="37">
        <v>3.19</v>
      </c>
      <c r="K70" s="37">
        <v>2.13</v>
      </c>
      <c r="L70" s="37">
        <v>0.97</v>
      </c>
      <c r="M70" s="37">
        <v>21</v>
      </c>
      <c r="N70" s="37">
        <v>58</v>
      </c>
      <c r="O70" s="37">
        <v>1</v>
      </c>
      <c r="P70" s="37">
        <v>11</v>
      </c>
      <c r="Q70" s="37">
        <v>29</v>
      </c>
      <c r="R70" s="37">
        <v>0</v>
      </c>
      <c r="S70" s="37">
        <v>100</v>
      </c>
      <c r="T70" s="37">
        <v>0</v>
      </c>
      <c r="U70" s="37">
        <v>14.29</v>
      </c>
      <c r="V70" s="37">
        <v>14.29</v>
      </c>
      <c r="W70" s="37">
        <v>71.430000000000007</v>
      </c>
      <c r="X70" s="37">
        <v>25.86</v>
      </c>
      <c r="Y70" s="37">
        <v>17.239999999999998</v>
      </c>
      <c r="Z70" s="37">
        <v>56.9</v>
      </c>
      <c r="AA70" s="37">
        <v>18.18</v>
      </c>
      <c r="AB70" s="37">
        <v>24.14</v>
      </c>
      <c r="AC70" s="24">
        <f t="shared" si="1"/>
        <v>4.4849999999999994</v>
      </c>
      <c r="AD70" s="25">
        <f t="shared" si="2"/>
        <v>15.515000000000002</v>
      </c>
      <c r="AE70" s="23" t="str">
        <f t="shared" si="3"/>
        <v>Win</v>
      </c>
      <c r="AF70" s="23" t="str">
        <f t="shared" si="4"/>
        <v>Loss</v>
      </c>
      <c r="AG70" s="23" t="str">
        <f t="shared" si="5"/>
        <v>Loss</v>
      </c>
      <c r="AH70" s="23">
        <f t="shared" si="6"/>
        <v>105</v>
      </c>
      <c r="AI70" s="23">
        <f t="shared" si="7"/>
        <v>-50</v>
      </c>
      <c r="AJ70" s="23">
        <f t="shared" si="8"/>
        <v>-50</v>
      </c>
    </row>
    <row r="71" spans="1:36" x14ac:dyDescent="0.2">
      <c r="A71" s="36">
        <v>43614</v>
      </c>
      <c r="B71" s="37" t="s">
        <v>315</v>
      </c>
      <c r="C71" s="37" t="s">
        <v>316</v>
      </c>
      <c r="D71" s="37" t="s">
        <v>320</v>
      </c>
      <c r="E71" s="37" t="s">
        <v>321</v>
      </c>
      <c r="F71" s="37" t="s">
        <v>322</v>
      </c>
      <c r="G71" s="37">
        <v>4</v>
      </c>
      <c r="H71" s="37">
        <v>1</v>
      </c>
      <c r="I71" s="37">
        <v>2.72</v>
      </c>
      <c r="J71" s="37">
        <v>3.48</v>
      </c>
      <c r="K71" s="37">
        <v>2.2599999999999998</v>
      </c>
      <c r="L71" s="37">
        <v>0.46</v>
      </c>
      <c r="M71" s="37">
        <v>27</v>
      </c>
      <c r="N71" s="37">
        <v>24</v>
      </c>
      <c r="O71" s="37">
        <v>1</v>
      </c>
      <c r="P71" s="37">
        <v>14</v>
      </c>
      <c r="Q71" s="37">
        <v>12</v>
      </c>
      <c r="R71" s="37">
        <v>100</v>
      </c>
      <c r="S71" s="37">
        <v>0</v>
      </c>
      <c r="T71" s="37">
        <v>0</v>
      </c>
      <c r="U71" s="37">
        <v>40.74</v>
      </c>
      <c r="V71" s="37">
        <v>3.7</v>
      </c>
      <c r="W71" s="37">
        <v>55.56</v>
      </c>
      <c r="X71" s="37">
        <v>37.5</v>
      </c>
      <c r="Y71" s="37">
        <v>12.5</v>
      </c>
      <c r="Z71" s="37">
        <v>50</v>
      </c>
      <c r="AA71" s="37">
        <v>42.86</v>
      </c>
      <c r="AB71" s="37">
        <v>33.33</v>
      </c>
      <c r="AC71" s="24">
        <f t="shared" si="1"/>
        <v>28.655999999999999</v>
      </c>
      <c r="AD71" s="25">
        <f t="shared" si="2"/>
        <v>-28.655999999999999</v>
      </c>
      <c r="AE71" s="23" t="str">
        <f t="shared" si="3"/>
        <v>Win</v>
      </c>
      <c r="AF71" s="23" t="str">
        <f t="shared" si="4"/>
        <v>Loss</v>
      </c>
      <c r="AG71" s="23" t="str">
        <f t="shared" si="5"/>
        <v>Loss</v>
      </c>
      <c r="AH71" s="23">
        <f t="shared" si="6"/>
        <v>86</v>
      </c>
      <c r="AI71" s="23">
        <f t="shared" si="7"/>
        <v>-50</v>
      </c>
      <c r="AJ71" s="23">
        <f t="shared" si="8"/>
        <v>-50</v>
      </c>
    </row>
    <row r="72" spans="1:36" x14ac:dyDescent="0.2">
      <c r="A72" s="36">
        <v>43614</v>
      </c>
      <c r="B72" s="37" t="s">
        <v>165</v>
      </c>
      <c r="C72" s="37" t="s">
        <v>166</v>
      </c>
      <c r="D72" s="37" t="s">
        <v>323</v>
      </c>
      <c r="E72" s="37" t="s">
        <v>324</v>
      </c>
      <c r="F72" s="37" t="s">
        <v>325</v>
      </c>
      <c r="G72" s="37">
        <v>4</v>
      </c>
      <c r="H72" s="37">
        <v>3</v>
      </c>
      <c r="I72" s="37">
        <v>2.82</v>
      </c>
      <c r="J72" s="37">
        <v>2.9</v>
      </c>
      <c r="K72" s="37">
        <v>2.57</v>
      </c>
      <c r="L72" s="37">
        <v>0.25</v>
      </c>
      <c r="M72" s="37">
        <v>23</v>
      </c>
      <c r="N72" s="37">
        <v>26</v>
      </c>
      <c r="O72" s="37">
        <v>2</v>
      </c>
      <c r="P72" s="37">
        <v>12</v>
      </c>
      <c r="Q72" s="37">
        <v>12</v>
      </c>
      <c r="R72" s="37">
        <v>50</v>
      </c>
      <c r="S72" s="37">
        <v>50</v>
      </c>
      <c r="T72" s="37">
        <v>0</v>
      </c>
      <c r="U72" s="37">
        <v>30.43</v>
      </c>
      <c r="V72" s="37">
        <v>34.78</v>
      </c>
      <c r="W72" s="37">
        <v>34.78</v>
      </c>
      <c r="X72" s="37">
        <v>34.619999999999997</v>
      </c>
      <c r="Y72" s="37">
        <v>26.92</v>
      </c>
      <c r="Z72" s="37">
        <v>38.46</v>
      </c>
      <c r="AA72" s="37">
        <v>25</v>
      </c>
      <c r="AB72" s="37">
        <v>25</v>
      </c>
      <c r="AC72" s="24">
        <f t="shared" si="1"/>
        <v>20.684000000000001</v>
      </c>
      <c r="AD72" s="25">
        <f t="shared" si="2"/>
        <v>-10.684000000000001</v>
      </c>
      <c r="AE72" s="23" t="str">
        <f t="shared" si="3"/>
        <v>Win</v>
      </c>
      <c r="AF72" s="23" t="str">
        <f t="shared" si="4"/>
        <v>Loss</v>
      </c>
      <c r="AG72" s="23" t="str">
        <f t="shared" si="5"/>
        <v>Loss</v>
      </c>
      <c r="AH72" s="23">
        <f t="shared" si="6"/>
        <v>91</v>
      </c>
      <c r="AI72" s="23">
        <f t="shared" si="7"/>
        <v>-50</v>
      </c>
      <c r="AJ72" s="23">
        <f t="shared" si="8"/>
        <v>-50</v>
      </c>
    </row>
    <row r="73" spans="1:36" x14ac:dyDescent="0.2">
      <c r="A73" s="36">
        <v>43614</v>
      </c>
      <c r="B73" s="37" t="s">
        <v>170</v>
      </c>
      <c r="C73" s="37" t="s">
        <v>232</v>
      </c>
      <c r="D73" s="37" t="s">
        <v>326</v>
      </c>
      <c r="E73" s="37" t="s">
        <v>327</v>
      </c>
      <c r="F73" s="37" t="s">
        <v>328</v>
      </c>
      <c r="G73" s="37">
        <v>2</v>
      </c>
      <c r="H73" s="37">
        <v>3</v>
      </c>
      <c r="I73" s="37">
        <v>2.64</v>
      </c>
      <c r="J73" s="37">
        <v>3.45</v>
      </c>
      <c r="K73" s="37">
        <v>2.44</v>
      </c>
      <c r="L73" s="37">
        <v>0.2</v>
      </c>
      <c r="M73" s="37">
        <v>32</v>
      </c>
      <c r="N73" s="37">
        <v>34</v>
      </c>
      <c r="O73" s="37">
        <v>3</v>
      </c>
      <c r="P73" s="37">
        <v>15</v>
      </c>
      <c r="Q73" s="37">
        <v>18</v>
      </c>
      <c r="R73" s="37">
        <v>66.67</v>
      </c>
      <c r="S73" s="37">
        <v>33.33</v>
      </c>
      <c r="T73" s="37">
        <v>0</v>
      </c>
      <c r="U73" s="37">
        <v>21.88</v>
      </c>
      <c r="V73" s="37">
        <v>15.63</v>
      </c>
      <c r="W73" s="37">
        <v>62.5</v>
      </c>
      <c r="X73" s="37">
        <v>26.47</v>
      </c>
      <c r="Y73" s="37">
        <v>29.41</v>
      </c>
      <c r="Z73" s="37">
        <v>44.12</v>
      </c>
      <c r="AA73" s="37">
        <v>13.33</v>
      </c>
      <c r="AB73" s="37">
        <v>33.33</v>
      </c>
      <c r="AC73" s="24">
        <f t="shared" si="1"/>
        <v>17.362000000000002</v>
      </c>
      <c r="AD73" s="25">
        <f t="shared" si="2"/>
        <v>-10.695999999999998</v>
      </c>
      <c r="AE73" s="23" t="str">
        <f t="shared" si="3"/>
        <v>Loss</v>
      </c>
      <c r="AF73" s="23" t="str">
        <f t="shared" si="4"/>
        <v>Loss</v>
      </c>
      <c r="AG73" s="23" t="str">
        <f t="shared" si="5"/>
        <v>Win</v>
      </c>
      <c r="AH73" s="23">
        <f t="shared" si="6"/>
        <v>-50</v>
      </c>
      <c r="AI73" s="23">
        <f t="shared" si="7"/>
        <v>-50</v>
      </c>
      <c r="AJ73" s="23">
        <f t="shared" si="8"/>
        <v>72</v>
      </c>
    </row>
    <row r="74" spans="1:36" x14ac:dyDescent="0.2">
      <c r="A74" s="36">
        <v>43614</v>
      </c>
      <c r="B74" s="37" t="s">
        <v>170</v>
      </c>
      <c r="C74" s="37" t="s">
        <v>232</v>
      </c>
      <c r="D74" s="37" t="s">
        <v>329</v>
      </c>
      <c r="E74" s="37" t="s">
        <v>330</v>
      </c>
      <c r="F74" s="37" t="s">
        <v>331</v>
      </c>
      <c r="G74" s="37">
        <v>2</v>
      </c>
      <c r="H74" s="37">
        <v>2</v>
      </c>
      <c r="I74" s="37">
        <v>2.66</v>
      </c>
      <c r="J74" s="37">
        <v>3</v>
      </c>
      <c r="K74" s="37">
        <v>2.7</v>
      </c>
      <c r="L74" s="37">
        <v>-0.04</v>
      </c>
      <c r="M74" s="37">
        <v>33</v>
      </c>
      <c r="N74" s="37">
        <v>33</v>
      </c>
      <c r="O74" s="37">
        <v>3</v>
      </c>
      <c r="P74" s="37">
        <v>15</v>
      </c>
      <c r="Q74" s="37">
        <v>17</v>
      </c>
      <c r="R74" s="37">
        <v>33.33</v>
      </c>
      <c r="S74" s="37">
        <v>33.33</v>
      </c>
      <c r="T74" s="37">
        <v>33.33</v>
      </c>
      <c r="U74" s="37">
        <v>39.39</v>
      </c>
      <c r="V74" s="37">
        <v>15.15</v>
      </c>
      <c r="W74" s="37">
        <v>45.45</v>
      </c>
      <c r="X74" s="37">
        <v>24.24</v>
      </c>
      <c r="Y74" s="37">
        <v>36.36</v>
      </c>
      <c r="Z74" s="37">
        <v>39.39</v>
      </c>
      <c r="AA74" s="37">
        <v>40</v>
      </c>
      <c r="AB74" s="37">
        <v>17.649999999999999</v>
      </c>
      <c r="AC74" s="24">
        <f t="shared" si="1"/>
        <v>3.0299999999999994</v>
      </c>
      <c r="AD74" s="25">
        <f t="shared" si="2"/>
        <v>3.636000000000001</v>
      </c>
      <c r="AE74" s="23" t="str">
        <f t="shared" si="3"/>
        <v>Loss</v>
      </c>
      <c r="AF74" s="23" t="str">
        <f t="shared" si="4"/>
        <v>Win</v>
      </c>
      <c r="AG74" s="23" t="str">
        <f t="shared" si="5"/>
        <v>Loss</v>
      </c>
      <c r="AH74" s="23">
        <f t="shared" si="6"/>
        <v>-50</v>
      </c>
      <c r="AI74" s="23">
        <f t="shared" si="7"/>
        <v>100</v>
      </c>
      <c r="AJ74" s="23">
        <f t="shared" si="8"/>
        <v>-50</v>
      </c>
    </row>
    <row r="75" spans="1:36" x14ac:dyDescent="0.2">
      <c r="A75" s="36">
        <v>43614</v>
      </c>
      <c r="B75" s="37" t="s">
        <v>170</v>
      </c>
      <c r="C75" s="37" t="s">
        <v>232</v>
      </c>
      <c r="D75" s="37" t="s">
        <v>332</v>
      </c>
      <c r="E75" s="37" t="s">
        <v>333</v>
      </c>
      <c r="F75" s="37" t="s">
        <v>334</v>
      </c>
      <c r="G75" s="37">
        <v>3</v>
      </c>
      <c r="H75" s="37">
        <v>0</v>
      </c>
      <c r="I75" s="37">
        <v>1.69</v>
      </c>
      <c r="J75" s="37">
        <v>3.49</v>
      </c>
      <c r="K75" s="37">
        <v>4.92</v>
      </c>
      <c r="L75" s="37">
        <v>-3.23</v>
      </c>
      <c r="M75" s="37">
        <v>33</v>
      </c>
      <c r="N75" s="37">
        <v>33</v>
      </c>
      <c r="O75" s="37">
        <v>3</v>
      </c>
      <c r="P75" s="37">
        <v>17</v>
      </c>
      <c r="Q75" s="37">
        <v>16</v>
      </c>
      <c r="R75" s="37">
        <v>66.67</v>
      </c>
      <c r="S75" s="37">
        <v>0</v>
      </c>
      <c r="T75" s="37">
        <v>33.33</v>
      </c>
      <c r="U75" s="37">
        <v>24.24</v>
      </c>
      <c r="V75" s="37">
        <v>21.21</v>
      </c>
      <c r="W75" s="37">
        <v>54.55</v>
      </c>
      <c r="X75" s="37">
        <v>39.39</v>
      </c>
      <c r="Y75" s="37">
        <v>15.15</v>
      </c>
      <c r="Z75" s="37">
        <v>45.45</v>
      </c>
      <c r="AA75" s="37">
        <v>29.41</v>
      </c>
      <c r="AB75" s="37">
        <v>43.75</v>
      </c>
      <c r="AC75" s="24">
        <f t="shared" ref="AC75:AC138" si="9">(+R75*$R$8)+(S75*$S$8)-(T75*$T$8)+(U75*$U$8)+(V75*$V$8)-(W75*$W$8)-(X75*$X$8)-(Y75*$Y$8)+(Z75*$Z$8)</f>
        <v>5.7580000000000009</v>
      </c>
      <c r="AD75" s="25">
        <f t="shared" ref="AD75:AD138" si="10">(-R75*$R$8)+(S75*$S$8)+(T75*$T$8)-(U75*$U$8)-(V75*$V$8)+(W75*$W$8)+(X75*$X$8)+(Y75*$Y$8)-(Z75*$Z$8)</f>
        <v>-5.7580000000000009</v>
      </c>
      <c r="AE75" s="23" t="str">
        <f t="shared" ref="AE75:AE138" si="11">IF(G75&gt;H75,"Win","Loss")</f>
        <v>Win</v>
      </c>
      <c r="AF75" s="23" t="str">
        <f t="shared" ref="AF75:AF138" si="12">IF(G75=H75,"Win","Loss")</f>
        <v>Loss</v>
      </c>
      <c r="AG75" s="23" t="str">
        <f t="shared" ref="AG75:AG138" si="13">IF(G75&lt;H75,"Win","Loss")</f>
        <v>Loss</v>
      </c>
      <c r="AH75" s="23">
        <f t="shared" ref="AH75:AH138" si="14">IF(AE75="Win",(I75*$B$2)-$B$2,-$B$2)</f>
        <v>34.5</v>
      </c>
      <c r="AI75" s="23">
        <f t="shared" ref="AI75:AI138" si="15">IF(AF75="Win",(J75*$B$2)-$B$2,-$B$2)</f>
        <v>-50</v>
      </c>
      <c r="AJ75" s="23">
        <f t="shared" ref="AJ75:AJ138" si="16">IF(AG75="Win",(K75*$B$2)-$B$2,-$B$2)</f>
        <v>-50</v>
      </c>
    </row>
    <row r="76" spans="1:36" x14ac:dyDescent="0.2">
      <c r="A76" s="36">
        <v>43614</v>
      </c>
      <c r="B76" s="37" t="s">
        <v>335</v>
      </c>
      <c r="C76" s="37" t="s">
        <v>336</v>
      </c>
      <c r="D76" s="37" t="s">
        <v>337</v>
      </c>
      <c r="E76" s="37" t="s">
        <v>338</v>
      </c>
      <c r="F76" s="37" t="s">
        <v>339</v>
      </c>
      <c r="G76" s="37">
        <v>2</v>
      </c>
      <c r="H76" s="37">
        <v>0</v>
      </c>
      <c r="I76" s="37">
        <v>2.2200000000000002</v>
      </c>
      <c r="J76" s="37">
        <v>3.27</v>
      </c>
      <c r="K76" s="37">
        <v>2.99</v>
      </c>
      <c r="L76" s="37">
        <v>-0.77</v>
      </c>
      <c r="M76" s="37">
        <v>15</v>
      </c>
      <c r="N76" s="37">
        <v>17</v>
      </c>
      <c r="O76" s="37">
        <v>1</v>
      </c>
      <c r="P76" s="37">
        <v>9</v>
      </c>
      <c r="Q76" s="37">
        <v>10</v>
      </c>
      <c r="R76" s="37">
        <v>100</v>
      </c>
      <c r="S76" s="37">
        <v>0</v>
      </c>
      <c r="T76" s="37">
        <v>0</v>
      </c>
      <c r="U76" s="37">
        <v>40</v>
      </c>
      <c r="V76" s="37">
        <v>0</v>
      </c>
      <c r="W76" s="37">
        <v>60</v>
      </c>
      <c r="X76" s="37">
        <v>29.41</v>
      </c>
      <c r="Y76" s="37">
        <v>41.18</v>
      </c>
      <c r="Z76" s="37">
        <v>29.41</v>
      </c>
      <c r="AA76" s="37">
        <v>33.33</v>
      </c>
      <c r="AB76" s="37">
        <v>30</v>
      </c>
      <c r="AC76" s="24">
        <f t="shared" si="9"/>
        <v>21.881999999999998</v>
      </c>
      <c r="AD76" s="25">
        <f t="shared" si="10"/>
        <v>-21.881999999999998</v>
      </c>
      <c r="AE76" s="23" t="str">
        <f t="shared" si="11"/>
        <v>Win</v>
      </c>
      <c r="AF76" s="23" t="str">
        <f t="shared" si="12"/>
        <v>Loss</v>
      </c>
      <c r="AG76" s="23" t="str">
        <f t="shared" si="13"/>
        <v>Loss</v>
      </c>
      <c r="AH76" s="23">
        <f t="shared" si="14"/>
        <v>61.000000000000014</v>
      </c>
      <c r="AI76" s="23">
        <f t="shared" si="15"/>
        <v>-50</v>
      </c>
      <c r="AJ76" s="23">
        <f t="shared" si="16"/>
        <v>-50</v>
      </c>
    </row>
    <row r="77" spans="1:36" x14ac:dyDescent="0.2">
      <c r="A77" s="36">
        <v>43614</v>
      </c>
      <c r="B77" s="37" t="s">
        <v>226</v>
      </c>
      <c r="C77" s="37" t="s">
        <v>340</v>
      </c>
      <c r="D77" s="37" t="s">
        <v>341</v>
      </c>
      <c r="E77" s="37" t="s">
        <v>342</v>
      </c>
      <c r="F77" s="37" t="s">
        <v>343</v>
      </c>
      <c r="G77" s="37">
        <v>3</v>
      </c>
      <c r="H77" s="37">
        <v>2</v>
      </c>
      <c r="I77" s="37">
        <v>1.72</v>
      </c>
      <c r="J77" s="37">
        <v>3.66</v>
      </c>
      <c r="K77" s="37">
        <v>4.05</v>
      </c>
      <c r="L77" s="37">
        <v>-2.33</v>
      </c>
      <c r="M77" s="37">
        <v>29</v>
      </c>
      <c r="N77" s="37">
        <v>29</v>
      </c>
      <c r="O77" s="37">
        <v>1</v>
      </c>
      <c r="P77" s="37">
        <v>14</v>
      </c>
      <c r="Q77" s="37">
        <v>13</v>
      </c>
      <c r="R77" s="37">
        <v>0</v>
      </c>
      <c r="S77" s="37">
        <v>0</v>
      </c>
      <c r="T77" s="37">
        <v>100</v>
      </c>
      <c r="U77" s="37">
        <v>44.83</v>
      </c>
      <c r="V77" s="37">
        <v>0</v>
      </c>
      <c r="W77" s="37">
        <v>55.17</v>
      </c>
      <c r="X77" s="37">
        <v>41.38</v>
      </c>
      <c r="Y77" s="37">
        <v>0</v>
      </c>
      <c r="Z77" s="37">
        <v>58.62</v>
      </c>
      <c r="AA77" s="37">
        <v>50</v>
      </c>
      <c r="AB77" s="37">
        <v>15.38</v>
      </c>
      <c r="AC77" s="24">
        <f t="shared" si="9"/>
        <v>-28.62</v>
      </c>
      <c r="AD77" s="25">
        <f t="shared" si="10"/>
        <v>28.62</v>
      </c>
      <c r="AE77" s="23" t="str">
        <f t="shared" si="11"/>
        <v>Win</v>
      </c>
      <c r="AF77" s="23" t="str">
        <f t="shared" si="12"/>
        <v>Loss</v>
      </c>
      <c r="AG77" s="23" t="str">
        <f t="shared" si="13"/>
        <v>Loss</v>
      </c>
      <c r="AH77" s="23">
        <f t="shared" si="14"/>
        <v>36</v>
      </c>
      <c r="AI77" s="23">
        <f t="shared" si="15"/>
        <v>-50</v>
      </c>
      <c r="AJ77" s="23">
        <f t="shared" si="16"/>
        <v>-50</v>
      </c>
    </row>
    <row r="78" spans="1:36" x14ac:dyDescent="0.2">
      <c r="A78" s="36">
        <v>43614</v>
      </c>
      <c r="B78" s="37" t="s">
        <v>226</v>
      </c>
      <c r="C78" s="37" t="s">
        <v>340</v>
      </c>
      <c r="D78" s="37" t="s">
        <v>344</v>
      </c>
      <c r="E78" s="37" t="s">
        <v>345</v>
      </c>
      <c r="F78" s="37" t="s">
        <v>346</v>
      </c>
      <c r="G78" s="37">
        <v>0</v>
      </c>
      <c r="H78" s="37">
        <v>1</v>
      </c>
      <c r="I78" s="37">
        <v>1.3</v>
      </c>
      <c r="J78" s="37">
        <v>5.07</v>
      </c>
      <c r="K78" s="37">
        <v>7.1</v>
      </c>
      <c r="L78" s="37">
        <v>-5.8</v>
      </c>
      <c r="M78" s="37">
        <v>29</v>
      </c>
      <c r="N78" s="37">
        <v>29</v>
      </c>
      <c r="O78" s="37">
        <v>1</v>
      </c>
      <c r="P78" s="37">
        <v>14</v>
      </c>
      <c r="Q78" s="37">
        <v>15</v>
      </c>
      <c r="R78" s="37">
        <v>100</v>
      </c>
      <c r="S78" s="37">
        <v>0</v>
      </c>
      <c r="T78" s="37">
        <v>0</v>
      </c>
      <c r="U78" s="37">
        <v>65.52</v>
      </c>
      <c r="V78" s="37">
        <v>0</v>
      </c>
      <c r="W78" s="37">
        <v>34.479999999999997</v>
      </c>
      <c r="X78" s="37">
        <v>41.38</v>
      </c>
      <c r="Y78" s="37">
        <v>0</v>
      </c>
      <c r="Z78" s="37">
        <v>58.62</v>
      </c>
      <c r="AA78" s="37">
        <v>71.430000000000007</v>
      </c>
      <c r="AB78" s="37">
        <v>26.67</v>
      </c>
      <c r="AC78" s="24">
        <f t="shared" si="9"/>
        <v>39.655999999999992</v>
      </c>
      <c r="AD78" s="25">
        <f t="shared" si="10"/>
        <v>-39.655999999999992</v>
      </c>
      <c r="AE78" s="23" t="str">
        <f t="shared" si="11"/>
        <v>Loss</v>
      </c>
      <c r="AF78" s="23" t="str">
        <f t="shared" si="12"/>
        <v>Loss</v>
      </c>
      <c r="AG78" s="23" t="str">
        <f t="shared" si="13"/>
        <v>Win</v>
      </c>
      <c r="AH78" s="23">
        <f t="shared" si="14"/>
        <v>-50</v>
      </c>
      <c r="AI78" s="23">
        <f t="shared" si="15"/>
        <v>-50</v>
      </c>
      <c r="AJ78" s="23">
        <f t="shared" si="16"/>
        <v>305</v>
      </c>
    </row>
    <row r="79" spans="1:36" x14ac:dyDescent="0.2">
      <c r="A79" s="36">
        <v>43614</v>
      </c>
      <c r="B79" s="37" t="s">
        <v>226</v>
      </c>
      <c r="C79" s="37" t="s">
        <v>340</v>
      </c>
      <c r="D79" s="37" t="s">
        <v>347</v>
      </c>
      <c r="E79" s="37" t="s">
        <v>348</v>
      </c>
      <c r="F79" s="37" t="s">
        <v>349</v>
      </c>
      <c r="G79" s="37">
        <v>5</v>
      </c>
      <c r="H79" s="37">
        <v>4</v>
      </c>
      <c r="I79" s="37">
        <v>1.33</v>
      </c>
      <c r="J79" s="37">
        <v>5</v>
      </c>
      <c r="K79" s="37">
        <v>6.3</v>
      </c>
      <c r="L79" s="37">
        <v>-4.97</v>
      </c>
      <c r="M79" s="37">
        <v>30</v>
      </c>
      <c r="N79" s="37">
        <v>30</v>
      </c>
      <c r="O79" s="37">
        <v>1</v>
      </c>
      <c r="P79" s="37">
        <v>14</v>
      </c>
      <c r="Q79" s="37">
        <v>14</v>
      </c>
      <c r="R79" s="37">
        <v>0</v>
      </c>
      <c r="S79" s="37">
        <v>0</v>
      </c>
      <c r="T79" s="37">
        <v>100</v>
      </c>
      <c r="U79" s="37">
        <v>60</v>
      </c>
      <c r="V79" s="37">
        <v>0</v>
      </c>
      <c r="W79" s="37">
        <v>40</v>
      </c>
      <c r="X79" s="37">
        <v>33.33</v>
      </c>
      <c r="Y79" s="37">
        <v>0</v>
      </c>
      <c r="Z79" s="37">
        <v>66.67</v>
      </c>
      <c r="AA79" s="37">
        <v>78.569999999999993</v>
      </c>
      <c r="AB79" s="37">
        <v>21.43</v>
      </c>
      <c r="AC79" s="24">
        <f t="shared" si="9"/>
        <v>-19.331999999999994</v>
      </c>
      <c r="AD79" s="25">
        <f t="shared" si="10"/>
        <v>19.331999999999994</v>
      </c>
      <c r="AE79" s="23" t="str">
        <f t="shared" si="11"/>
        <v>Win</v>
      </c>
      <c r="AF79" s="23" t="str">
        <f t="shared" si="12"/>
        <v>Loss</v>
      </c>
      <c r="AG79" s="23" t="str">
        <f t="shared" si="13"/>
        <v>Loss</v>
      </c>
      <c r="AH79" s="23">
        <f t="shared" si="14"/>
        <v>16.5</v>
      </c>
      <c r="AI79" s="23">
        <f t="shared" si="15"/>
        <v>-50</v>
      </c>
      <c r="AJ79" s="23">
        <f t="shared" si="16"/>
        <v>-50</v>
      </c>
    </row>
    <row r="80" spans="1:36" x14ac:dyDescent="0.2">
      <c r="A80" s="36">
        <v>43614</v>
      </c>
      <c r="B80" s="37" t="s">
        <v>226</v>
      </c>
      <c r="C80" s="37" t="s">
        <v>340</v>
      </c>
      <c r="D80" s="37" t="s">
        <v>350</v>
      </c>
      <c r="E80" s="37" t="s">
        <v>351</v>
      </c>
      <c r="F80" s="37" t="s">
        <v>352</v>
      </c>
      <c r="G80" s="37">
        <v>1</v>
      </c>
      <c r="H80" s="37">
        <v>2</v>
      </c>
      <c r="I80" s="37">
        <v>1.56</v>
      </c>
      <c r="J80" s="37">
        <v>3.91</v>
      </c>
      <c r="K80" s="37">
        <v>4.84</v>
      </c>
      <c r="L80" s="37">
        <v>-3.28</v>
      </c>
      <c r="M80" s="37">
        <v>31</v>
      </c>
      <c r="N80" s="37">
        <v>30</v>
      </c>
      <c r="O80" s="37">
        <v>1</v>
      </c>
      <c r="P80" s="37">
        <v>15</v>
      </c>
      <c r="Q80" s="37">
        <v>14</v>
      </c>
      <c r="R80" s="37">
        <v>0</v>
      </c>
      <c r="S80" s="37">
        <v>0</v>
      </c>
      <c r="T80" s="37">
        <v>100</v>
      </c>
      <c r="U80" s="37">
        <v>70.97</v>
      </c>
      <c r="V80" s="37">
        <v>0</v>
      </c>
      <c r="W80" s="37">
        <v>29.03</v>
      </c>
      <c r="X80" s="37">
        <v>53.33</v>
      </c>
      <c r="Y80" s="37">
        <v>0</v>
      </c>
      <c r="Z80" s="37">
        <v>46.67</v>
      </c>
      <c r="AA80" s="37">
        <v>60</v>
      </c>
      <c r="AB80" s="37">
        <v>42.86</v>
      </c>
      <c r="AC80" s="24">
        <f t="shared" si="9"/>
        <v>-22.944000000000003</v>
      </c>
      <c r="AD80" s="25">
        <f t="shared" si="10"/>
        <v>22.944000000000003</v>
      </c>
      <c r="AE80" s="23" t="str">
        <f t="shared" si="11"/>
        <v>Loss</v>
      </c>
      <c r="AF80" s="23" t="str">
        <f t="shared" si="12"/>
        <v>Loss</v>
      </c>
      <c r="AG80" s="23" t="str">
        <f t="shared" si="13"/>
        <v>Win</v>
      </c>
      <c r="AH80" s="23">
        <f t="shared" si="14"/>
        <v>-50</v>
      </c>
      <c r="AI80" s="23">
        <f t="shared" si="15"/>
        <v>-50</v>
      </c>
      <c r="AJ80" s="23">
        <f t="shared" si="16"/>
        <v>192</v>
      </c>
    </row>
    <row r="81" spans="1:36" x14ac:dyDescent="0.2">
      <c r="A81" s="36">
        <v>43614</v>
      </c>
      <c r="B81" s="37" t="s">
        <v>226</v>
      </c>
      <c r="C81" s="37" t="s">
        <v>340</v>
      </c>
      <c r="D81" s="37" t="s">
        <v>353</v>
      </c>
      <c r="E81" s="37" t="s">
        <v>354</v>
      </c>
      <c r="F81" s="37" t="s">
        <v>355</v>
      </c>
      <c r="G81" s="37">
        <v>0</v>
      </c>
      <c r="H81" s="37">
        <v>2</v>
      </c>
      <c r="I81" s="37">
        <v>3.06</v>
      </c>
      <c r="J81" s="37">
        <v>3.49</v>
      </c>
      <c r="K81" s="37">
        <v>2.06</v>
      </c>
      <c r="L81" s="37">
        <v>1</v>
      </c>
      <c r="M81" s="37">
        <v>30</v>
      </c>
      <c r="N81" s="37">
        <v>28</v>
      </c>
      <c r="O81" s="37">
        <v>1</v>
      </c>
      <c r="P81" s="37">
        <v>15</v>
      </c>
      <c r="Q81" s="37">
        <v>13</v>
      </c>
      <c r="R81" s="37">
        <v>0</v>
      </c>
      <c r="S81" s="37">
        <v>0</v>
      </c>
      <c r="T81" s="37">
        <v>100</v>
      </c>
      <c r="U81" s="37">
        <v>70</v>
      </c>
      <c r="V81" s="37">
        <v>0</v>
      </c>
      <c r="W81" s="37">
        <v>30</v>
      </c>
      <c r="X81" s="37">
        <v>75</v>
      </c>
      <c r="Y81" s="37">
        <v>0</v>
      </c>
      <c r="Z81" s="37">
        <v>25</v>
      </c>
      <c r="AA81" s="37">
        <v>73.33</v>
      </c>
      <c r="AB81" s="37">
        <v>61.54</v>
      </c>
      <c r="AC81" s="24">
        <f t="shared" si="9"/>
        <v>-32</v>
      </c>
      <c r="AD81" s="25">
        <f t="shared" si="10"/>
        <v>32</v>
      </c>
      <c r="AE81" s="23" t="str">
        <f t="shared" si="11"/>
        <v>Loss</v>
      </c>
      <c r="AF81" s="23" t="str">
        <f t="shared" si="12"/>
        <v>Loss</v>
      </c>
      <c r="AG81" s="23" t="str">
        <f t="shared" si="13"/>
        <v>Win</v>
      </c>
      <c r="AH81" s="23">
        <f t="shared" si="14"/>
        <v>-50</v>
      </c>
      <c r="AI81" s="23">
        <f t="shared" si="15"/>
        <v>-50</v>
      </c>
      <c r="AJ81" s="23">
        <f t="shared" si="16"/>
        <v>53</v>
      </c>
    </row>
    <row r="82" spans="1:36" x14ac:dyDescent="0.2">
      <c r="A82" s="36">
        <v>43614</v>
      </c>
      <c r="B82" s="37" t="s">
        <v>226</v>
      </c>
      <c r="C82" s="37" t="s">
        <v>340</v>
      </c>
      <c r="D82" s="37" t="s">
        <v>356</v>
      </c>
      <c r="E82" s="37" t="s">
        <v>357</v>
      </c>
      <c r="F82" s="37" t="s">
        <v>358</v>
      </c>
      <c r="G82" s="37">
        <v>3</v>
      </c>
      <c r="H82" s="37">
        <v>2</v>
      </c>
      <c r="I82" s="37">
        <v>1.66</v>
      </c>
      <c r="J82" s="37">
        <v>3.97</v>
      </c>
      <c r="K82" s="37">
        <v>4.04</v>
      </c>
      <c r="L82" s="37">
        <v>-2.38</v>
      </c>
      <c r="M82" s="37">
        <v>29</v>
      </c>
      <c r="N82" s="37">
        <v>29</v>
      </c>
      <c r="O82" s="37">
        <v>1</v>
      </c>
      <c r="P82" s="37">
        <v>13</v>
      </c>
      <c r="Q82" s="37">
        <v>13</v>
      </c>
      <c r="R82" s="37">
        <v>0</v>
      </c>
      <c r="S82" s="37">
        <v>0</v>
      </c>
      <c r="T82" s="37">
        <v>100</v>
      </c>
      <c r="U82" s="37">
        <v>44.83</v>
      </c>
      <c r="V82" s="37">
        <v>0</v>
      </c>
      <c r="W82" s="37">
        <v>55.17</v>
      </c>
      <c r="X82" s="37">
        <v>31.03</v>
      </c>
      <c r="Y82" s="37">
        <v>0</v>
      </c>
      <c r="Z82" s="37">
        <v>68.97</v>
      </c>
      <c r="AA82" s="37">
        <v>53.85</v>
      </c>
      <c r="AB82" s="37">
        <v>23.08</v>
      </c>
      <c r="AC82" s="24">
        <f t="shared" si="9"/>
        <v>-24.48</v>
      </c>
      <c r="AD82" s="25">
        <f t="shared" si="10"/>
        <v>24.48</v>
      </c>
      <c r="AE82" s="23" t="str">
        <f t="shared" si="11"/>
        <v>Win</v>
      </c>
      <c r="AF82" s="23" t="str">
        <f t="shared" si="12"/>
        <v>Loss</v>
      </c>
      <c r="AG82" s="23" t="str">
        <f t="shared" si="13"/>
        <v>Loss</v>
      </c>
      <c r="AH82" s="23">
        <f t="shared" si="14"/>
        <v>33</v>
      </c>
      <c r="AI82" s="23">
        <f t="shared" si="15"/>
        <v>-50</v>
      </c>
      <c r="AJ82" s="23">
        <f t="shared" si="16"/>
        <v>-50</v>
      </c>
    </row>
    <row r="83" spans="1:36" x14ac:dyDescent="0.2">
      <c r="A83" s="36">
        <v>43614</v>
      </c>
      <c r="B83" s="37" t="s">
        <v>226</v>
      </c>
      <c r="C83" s="37" t="s">
        <v>340</v>
      </c>
      <c r="D83" s="37" t="s">
        <v>359</v>
      </c>
      <c r="E83" s="37" t="s">
        <v>360</v>
      </c>
      <c r="F83" s="37" t="s">
        <v>361</v>
      </c>
      <c r="G83" s="37">
        <v>4</v>
      </c>
      <c r="H83" s="37">
        <v>2</v>
      </c>
      <c r="I83" s="37">
        <v>1.81</v>
      </c>
      <c r="J83" s="37">
        <v>3.7</v>
      </c>
      <c r="K83" s="37">
        <v>3.57</v>
      </c>
      <c r="L83" s="37">
        <v>-1.76</v>
      </c>
      <c r="M83" s="37">
        <v>30</v>
      </c>
      <c r="N83" s="37">
        <v>30</v>
      </c>
      <c r="O83" s="37">
        <v>1</v>
      </c>
      <c r="P83" s="37">
        <v>14</v>
      </c>
      <c r="Q83" s="37">
        <v>14</v>
      </c>
      <c r="R83" s="37">
        <v>0</v>
      </c>
      <c r="S83" s="37">
        <v>0</v>
      </c>
      <c r="T83" s="37">
        <v>100</v>
      </c>
      <c r="U83" s="37">
        <v>33.33</v>
      </c>
      <c r="V83" s="37">
        <v>0</v>
      </c>
      <c r="W83" s="37">
        <v>66.67</v>
      </c>
      <c r="X83" s="37">
        <v>46.67</v>
      </c>
      <c r="Y83" s="37">
        <v>0</v>
      </c>
      <c r="Z83" s="37">
        <v>53.33</v>
      </c>
      <c r="AA83" s="37">
        <v>42.86</v>
      </c>
      <c r="AB83" s="37">
        <v>28.57</v>
      </c>
      <c r="AC83" s="24">
        <f t="shared" si="9"/>
        <v>-35.335999999999999</v>
      </c>
      <c r="AD83" s="25">
        <f t="shared" si="10"/>
        <v>35.335999999999999</v>
      </c>
      <c r="AE83" s="23" t="str">
        <f t="shared" si="11"/>
        <v>Win</v>
      </c>
      <c r="AF83" s="23" t="str">
        <f t="shared" si="12"/>
        <v>Loss</v>
      </c>
      <c r="AG83" s="23" t="str">
        <f t="shared" si="13"/>
        <v>Loss</v>
      </c>
      <c r="AH83" s="23">
        <f t="shared" si="14"/>
        <v>40.5</v>
      </c>
      <c r="AI83" s="23">
        <f t="shared" si="15"/>
        <v>-50</v>
      </c>
      <c r="AJ83" s="23">
        <f t="shared" si="16"/>
        <v>-50</v>
      </c>
    </row>
    <row r="84" spans="1:36" x14ac:dyDescent="0.2">
      <c r="A84" s="36">
        <v>43614</v>
      </c>
      <c r="B84" s="37" t="s">
        <v>226</v>
      </c>
      <c r="C84" s="37" t="s">
        <v>362</v>
      </c>
      <c r="D84" s="37" t="s">
        <v>363</v>
      </c>
      <c r="E84" s="37" t="s">
        <v>364</v>
      </c>
      <c r="F84" s="37" t="s">
        <v>365</v>
      </c>
      <c r="G84" s="37">
        <v>0</v>
      </c>
      <c r="H84" s="37">
        <v>2</v>
      </c>
      <c r="I84" s="37">
        <v>1.91</v>
      </c>
      <c r="J84" s="37">
        <v>3.6</v>
      </c>
      <c r="K84" s="37">
        <v>3.15</v>
      </c>
      <c r="L84" s="37">
        <v>-1.24</v>
      </c>
      <c r="M84" s="37">
        <v>3</v>
      </c>
      <c r="N84" s="37">
        <v>2</v>
      </c>
      <c r="O84" s="37">
        <v>0</v>
      </c>
      <c r="P84" s="37">
        <v>2</v>
      </c>
      <c r="Q84" s="37">
        <v>1</v>
      </c>
      <c r="R84" s="37">
        <v>0</v>
      </c>
      <c r="S84" s="37">
        <v>0</v>
      </c>
      <c r="T84" s="37">
        <v>0</v>
      </c>
      <c r="U84" s="37">
        <v>66.67</v>
      </c>
      <c r="V84" s="37">
        <v>0</v>
      </c>
      <c r="W84" s="37">
        <v>33.33</v>
      </c>
      <c r="X84" s="37">
        <v>0</v>
      </c>
      <c r="Y84" s="37">
        <v>0</v>
      </c>
      <c r="Z84" s="37">
        <v>100</v>
      </c>
      <c r="AA84" s="37">
        <v>100</v>
      </c>
      <c r="AB84" s="37">
        <v>0</v>
      </c>
      <c r="AC84" s="24">
        <f t="shared" si="9"/>
        <v>26.667999999999999</v>
      </c>
      <c r="AD84" s="25">
        <f t="shared" si="10"/>
        <v>-26.667999999999999</v>
      </c>
      <c r="AE84" s="23" t="str">
        <f t="shared" si="11"/>
        <v>Loss</v>
      </c>
      <c r="AF84" s="23" t="str">
        <f t="shared" si="12"/>
        <v>Loss</v>
      </c>
      <c r="AG84" s="23" t="str">
        <f t="shared" si="13"/>
        <v>Win</v>
      </c>
      <c r="AH84" s="23">
        <f t="shared" si="14"/>
        <v>-50</v>
      </c>
      <c r="AI84" s="23">
        <f t="shared" si="15"/>
        <v>-50</v>
      </c>
      <c r="AJ84" s="23">
        <f t="shared" si="16"/>
        <v>107.5</v>
      </c>
    </row>
    <row r="85" spans="1:36" x14ac:dyDescent="0.2">
      <c r="A85" s="36">
        <v>43614</v>
      </c>
      <c r="B85" s="37" t="s">
        <v>315</v>
      </c>
      <c r="C85" s="37" t="s">
        <v>316</v>
      </c>
      <c r="D85" s="37" t="s">
        <v>366</v>
      </c>
      <c r="E85" s="37" t="s">
        <v>367</v>
      </c>
      <c r="F85" s="37" t="s">
        <v>368</v>
      </c>
      <c r="G85" s="37">
        <v>1</v>
      </c>
      <c r="H85" s="37">
        <v>0</v>
      </c>
      <c r="I85" s="37">
        <v>1.56</v>
      </c>
      <c r="J85" s="37">
        <v>3.97</v>
      </c>
      <c r="K85" s="37">
        <v>4.6500000000000004</v>
      </c>
      <c r="L85" s="37">
        <v>-3.09</v>
      </c>
      <c r="M85" s="37">
        <v>26</v>
      </c>
      <c r="N85" s="37">
        <v>20</v>
      </c>
      <c r="O85" s="37">
        <v>1</v>
      </c>
      <c r="P85" s="37">
        <v>14</v>
      </c>
      <c r="Q85" s="37">
        <v>9</v>
      </c>
      <c r="R85" s="37">
        <v>100</v>
      </c>
      <c r="S85" s="37">
        <v>0</v>
      </c>
      <c r="T85" s="37">
        <v>0</v>
      </c>
      <c r="U85" s="37">
        <v>30.77</v>
      </c>
      <c r="V85" s="37">
        <v>7.69</v>
      </c>
      <c r="W85" s="37">
        <v>61.54</v>
      </c>
      <c r="X85" s="37">
        <v>5</v>
      </c>
      <c r="Y85" s="37">
        <v>20</v>
      </c>
      <c r="Z85" s="37">
        <v>75</v>
      </c>
      <c r="AA85" s="37">
        <v>28.57</v>
      </c>
      <c r="AB85" s="37">
        <v>0</v>
      </c>
      <c r="AC85" s="24">
        <f t="shared" si="9"/>
        <v>36.614999999999995</v>
      </c>
      <c r="AD85" s="25">
        <f t="shared" si="10"/>
        <v>-36.614999999999995</v>
      </c>
      <c r="AE85" s="23" t="str">
        <f t="shared" si="11"/>
        <v>Win</v>
      </c>
      <c r="AF85" s="23" t="str">
        <f t="shared" si="12"/>
        <v>Loss</v>
      </c>
      <c r="AG85" s="23" t="str">
        <f t="shared" si="13"/>
        <v>Loss</v>
      </c>
      <c r="AH85" s="23">
        <f t="shared" si="14"/>
        <v>28</v>
      </c>
      <c r="AI85" s="23">
        <f t="shared" si="15"/>
        <v>-50</v>
      </c>
      <c r="AJ85" s="23">
        <f t="shared" si="16"/>
        <v>-50</v>
      </c>
    </row>
    <row r="86" spans="1:36" x14ac:dyDescent="0.2">
      <c r="A86" s="36">
        <v>43614</v>
      </c>
      <c r="B86" s="37" t="s">
        <v>315</v>
      </c>
      <c r="C86" s="37" t="s">
        <v>316</v>
      </c>
      <c r="D86" s="37" t="s">
        <v>369</v>
      </c>
      <c r="E86" s="37" t="s">
        <v>370</v>
      </c>
      <c r="F86" s="37" t="s">
        <v>371</v>
      </c>
      <c r="G86" s="37">
        <v>0</v>
      </c>
      <c r="H86" s="37">
        <v>2</v>
      </c>
      <c r="I86" s="37">
        <v>1.6</v>
      </c>
      <c r="J86" s="37">
        <v>3.86</v>
      </c>
      <c r="K86" s="37">
        <v>4.6100000000000003</v>
      </c>
      <c r="L86" s="37">
        <v>-3.01</v>
      </c>
      <c r="M86" s="37">
        <v>26</v>
      </c>
      <c r="N86" s="37">
        <v>24</v>
      </c>
      <c r="O86" s="37">
        <v>1</v>
      </c>
      <c r="P86" s="37">
        <v>15</v>
      </c>
      <c r="Q86" s="37">
        <v>10</v>
      </c>
      <c r="R86" s="37">
        <v>0</v>
      </c>
      <c r="S86" s="37">
        <v>0</v>
      </c>
      <c r="T86" s="37">
        <v>100</v>
      </c>
      <c r="U86" s="37">
        <v>61.54</v>
      </c>
      <c r="V86" s="37">
        <v>7.69</v>
      </c>
      <c r="W86" s="37">
        <v>30.77</v>
      </c>
      <c r="X86" s="37">
        <v>45.83</v>
      </c>
      <c r="Y86" s="37">
        <v>33.33</v>
      </c>
      <c r="Z86" s="37">
        <v>20.83</v>
      </c>
      <c r="AA86" s="37">
        <v>73.33</v>
      </c>
      <c r="AB86" s="37">
        <v>40</v>
      </c>
      <c r="AC86" s="24">
        <f t="shared" si="9"/>
        <v>-31.41</v>
      </c>
      <c r="AD86" s="25">
        <f t="shared" si="10"/>
        <v>31.41</v>
      </c>
      <c r="AE86" s="23" t="str">
        <f t="shared" si="11"/>
        <v>Loss</v>
      </c>
      <c r="AF86" s="23" t="str">
        <f t="shared" si="12"/>
        <v>Loss</v>
      </c>
      <c r="AG86" s="23" t="str">
        <f t="shared" si="13"/>
        <v>Win</v>
      </c>
      <c r="AH86" s="23">
        <f t="shared" si="14"/>
        <v>-50</v>
      </c>
      <c r="AI86" s="23">
        <f t="shared" si="15"/>
        <v>-50</v>
      </c>
      <c r="AJ86" s="23">
        <f t="shared" si="16"/>
        <v>180.50000000000003</v>
      </c>
    </row>
    <row r="87" spans="1:36" x14ac:dyDescent="0.2">
      <c r="A87" s="36">
        <v>43614</v>
      </c>
      <c r="B87" s="37" t="s">
        <v>315</v>
      </c>
      <c r="C87" s="37" t="s">
        <v>316</v>
      </c>
      <c r="D87" s="37" t="s">
        <v>372</v>
      </c>
      <c r="E87" s="37" t="s">
        <v>373</v>
      </c>
      <c r="F87" s="37" t="s">
        <v>374</v>
      </c>
      <c r="G87" s="37">
        <v>1</v>
      </c>
      <c r="H87" s="37">
        <v>1</v>
      </c>
      <c r="I87" s="37">
        <v>6.42</v>
      </c>
      <c r="J87" s="37">
        <v>4.08</v>
      </c>
      <c r="K87" s="37">
        <v>1.44</v>
      </c>
      <c r="L87" s="37">
        <v>4.9800000000000004</v>
      </c>
      <c r="M87" s="37">
        <v>24</v>
      </c>
      <c r="N87" s="37">
        <v>23</v>
      </c>
      <c r="O87" s="37">
        <v>1</v>
      </c>
      <c r="P87" s="37">
        <v>9</v>
      </c>
      <c r="Q87" s="37">
        <v>13</v>
      </c>
      <c r="R87" s="37">
        <v>0</v>
      </c>
      <c r="S87" s="37">
        <v>0</v>
      </c>
      <c r="T87" s="37">
        <v>100</v>
      </c>
      <c r="U87" s="37">
        <v>41.67</v>
      </c>
      <c r="V87" s="37">
        <v>16.670000000000002</v>
      </c>
      <c r="W87" s="37">
        <v>41.67</v>
      </c>
      <c r="X87" s="37">
        <v>60.87</v>
      </c>
      <c r="Y87" s="37">
        <v>21.74</v>
      </c>
      <c r="Z87" s="37">
        <v>17.39</v>
      </c>
      <c r="AA87" s="37">
        <v>44.44</v>
      </c>
      <c r="AB87" s="37">
        <v>61.54</v>
      </c>
      <c r="AC87" s="24">
        <f t="shared" si="9"/>
        <v>-39.202999999999996</v>
      </c>
      <c r="AD87" s="25">
        <f t="shared" si="10"/>
        <v>39.202999999999996</v>
      </c>
      <c r="AE87" s="23" t="str">
        <f t="shared" si="11"/>
        <v>Loss</v>
      </c>
      <c r="AF87" s="23" t="str">
        <f t="shared" si="12"/>
        <v>Win</v>
      </c>
      <c r="AG87" s="23" t="str">
        <f t="shared" si="13"/>
        <v>Loss</v>
      </c>
      <c r="AH87" s="23">
        <f t="shared" si="14"/>
        <v>-50</v>
      </c>
      <c r="AI87" s="23">
        <f t="shared" si="15"/>
        <v>154</v>
      </c>
      <c r="AJ87" s="23">
        <f t="shared" si="16"/>
        <v>-50</v>
      </c>
    </row>
    <row r="88" spans="1:36" x14ac:dyDescent="0.2">
      <c r="A88" s="36">
        <v>43614</v>
      </c>
      <c r="B88" s="37" t="s">
        <v>315</v>
      </c>
      <c r="C88" s="37" t="s">
        <v>316</v>
      </c>
      <c r="D88" s="37" t="s">
        <v>375</v>
      </c>
      <c r="E88" s="37" t="s">
        <v>376</v>
      </c>
      <c r="F88" s="37" t="s">
        <v>377</v>
      </c>
      <c r="G88" s="37">
        <v>1</v>
      </c>
      <c r="H88" s="37">
        <v>2</v>
      </c>
      <c r="I88" s="37">
        <v>1.75</v>
      </c>
      <c r="J88" s="37">
        <v>3.88</v>
      </c>
      <c r="K88" s="37">
        <v>3.5</v>
      </c>
      <c r="L88" s="37">
        <v>-1.75</v>
      </c>
      <c r="M88" s="37">
        <v>24</v>
      </c>
      <c r="N88" s="37">
        <v>23</v>
      </c>
      <c r="O88" s="37">
        <v>1</v>
      </c>
      <c r="P88" s="37">
        <v>10</v>
      </c>
      <c r="Q88" s="37">
        <v>13</v>
      </c>
      <c r="R88" s="37">
        <v>100</v>
      </c>
      <c r="S88" s="37">
        <v>0</v>
      </c>
      <c r="T88" s="37">
        <v>0</v>
      </c>
      <c r="U88" s="37">
        <v>50</v>
      </c>
      <c r="V88" s="37">
        <v>12.5</v>
      </c>
      <c r="W88" s="37">
        <v>37.5</v>
      </c>
      <c r="X88" s="37">
        <v>30.43</v>
      </c>
      <c r="Y88" s="37">
        <v>8.6999999999999993</v>
      </c>
      <c r="Z88" s="37">
        <v>60.87</v>
      </c>
      <c r="AA88" s="37">
        <v>70</v>
      </c>
      <c r="AB88" s="37">
        <v>30.77</v>
      </c>
      <c r="AC88" s="24">
        <f t="shared" si="9"/>
        <v>38.968000000000004</v>
      </c>
      <c r="AD88" s="25">
        <f t="shared" si="10"/>
        <v>-38.968000000000004</v>
      </c>
      <c r="AE88" s="23" t="str">
        <f t="shared" si="11"/>
        <v>Loss</v>
      </c>
      <c r="AF88" s="23" t="str">
        <f t="shared" si="12"/>
        <v>Loss</v>
      </c>
      <c r="AG88" s="23" t="str">
        <f t="shared" si="13"/>
        <v>Win</v>
      </c>
      <c r="AH88" s="23">
        <f t="shared" si="14"/>
        <v>-50</v>
      </c>
      <c r="AI88" s="23">
        <f t="shared" si="15"/>
        <v>-50</v>
      </c>
      <c r="AJ88" s="23">
        <f t="shared" si="16"/>
        <v>125</v>
      </c>
    </row>
    <row r="89" spans="1:36" x14ac:dyDescent="0.2">
      <c r="A89" s="36">
        <v>43614</v>
      </c>
      <c r="B89" s="37" t="s">
        <v>315</v>
      </c>
      <c r="C89" s="37" t="s">
        <v>378</v>
      </c>
      <c r="D89" s="37" t="s">
        <v>379</v>
      </c>
      <c r="E89" s="37" t="s">
        <v>380</v>
      </c>
      <c r="F89" s="37" t="s">
        <v>381</v>
      </c>
      <c r="G89" s="37">
        <v>1</v>
      </c>
      <c r="H89" s="37">
        <v>0</v>
      </c>
      <c r="I89" s="37">
        <v>2.64</v>
      </c>
      <c r="J89" s="37">
        <v>3.39</v>
      </c>
      <c r="K89" s="37">
        <v>2.3199999999999998</v>
      </c>
      <c r="L89" s="37">
        <v>0.32</v>
      </c>
      <c r="M89" s="37">
        <v>60</v>
      </c>
      <c r="N89" s="37">
        <v>29</v>
      </c>
      <c r="O89" s="37">
        <v>1</v>
      </c>
      <c r="P89" s="37">
        <v>30</v>
      </c>
      <c r="Q89" s="37">
        <v>15</v>
      </c>
      <c r="R89" s="37">
        <v>0</v>
      </c>
      <c r="S89" s="37">
        <v>100</v>
      </c>
      <c r="T89" s="37">
        <v>0</v>
      </c>
      <c r="U89" s="37">
        <v>36.67</v>
      </c>
      <c r="V89" s="37">
        <v>26.67</v>
      </c>
      <c r="W89" s="37">
        <v>36.67</v>
      </c>
      <c r="X89" s="37">
        <v>41.38</v>
      </c>
      <c r="Y89" s="37">
        <v>31.03</v>
      </c>
      <c r="Z89" s="37">
        <v>27.59</v>
      </c>
      <c r="AA89" s="37">
        <v>36.67</v>
      </c>
      <c r="AB89" s="37">
        <v>33.33</v>
      </c>
      <c r="AC89" s="24">
        <f t="shared" si="9"/>
        <v>6.8060000000000009</v>
      </c>
      <c r="AD89" s="25">
        <f t="shared" si="10"/>
        <v>13.194000000000003</v>
      </c>
      <c r="AE89" s="23" t="str">
        <f t="shared" si="11"/>
        <v>Win</v>
      </c>
      <c r="AF89" s="23" t="str">
        <f t="shared" si="12"/>
        <v>Loss</v>
      </c>
      <c r="AG89" s="23" t="str">
        <f t="shared" si="13"/>
        <v>Loss</v>
      </c>
      <c r="AH89" s="23">
        <f t="shared" si="14"/>
        <v>82</v>
      </c>
      <c r="AI89" s="23">
        <f t="shared" si="15"/>
        <v>-50</v>
      </c>
      <c r="AJ89" s="23">
        <f t="shared" si="16"/>
        <v>-50</v>
      </c>
    </row>
    <row r="90" spans="1:36" x14ac:dyDescent="0.2">
      <c r="A90" s="36">
        <v>43614</v>
      </c>
      <c r="B90" s="37" t="s">
        <v>315</v>
      </c>
      <c r="C90" s="37" t="s">
        <v>378</v>
      </c>
      <c r="D90" s="37" t="s">
        <v>382</v>
      </c>
      <c r="E90" s="37" t="s">
        <v>383</v>
      </c>
      <c r="F90" s="37" t="s">
        <v>384</v>
      </c>
      <c r="G90" s="37">
        <v>7</v>
      </c>
      <c r="H90" s="37">
        <v>0</v>
      </c>
      <c r="I90" s="37">
        <v>1.56</v>
      </c>
      <c r="J90" s="37">
        <v>4.03</v>
      </c>
      <c r="K90" s="37">
        <v>4.71</v>
      </c>
      <c r="L90" s="37">
        <v>-3.15</v>
      </c>
      <c r="M90" s="37">
        <v>29</v>
      </c>
      <c r="N90" s="37">
        <v>27</v>
      </c>
      <c r="O90" s="37">
        <v>1</v>
      </c>
      <c r="P90" s="37">
        <v>15</v>
      </c>
      <c r="Q90" s="37">
        <v>13</v>
      </c>
      <c r="R90" s="37">
        <v>100</v>
      </c>
      <c r="S90" s="37">
        <v>0</v>
      </c>
      <c r="T90" s="37">
        <v>0</v>
      </c>
      <c r="U90" s="37">
        <v>41.38</v>
      </c>
      <c r="V90" s="37">
        <v>31.03</v>
      </c>
      <c r="W90" s="37">
        <v>27.59</v>
      </c>
      <c r="X90" s="37">
        <v>18.52</v>
      </c>
      <c r="Y90" s="37">
        <v>22.22</v>
      </c>
      <c r="Z90" s="37">
        <v>59.26</v>
      </c>
      <c r="AA90" s="37">
        <v>13.33</v>
      </c>
      <c r="AB90" s="37">
        <v>15.38</v>
      </c>
      <c r="AC90" s="24">
        <f t="shared" si="9"/>
        <v>41.787000000000006</v>
      </c>
      <c r="AD90" s="25">
        <f t="shared" si="10"/>
        <v>-41.787000000000006</v>
      </c>
      <c r="AE90" s="23" t="str">
        <f t="shared" si="11"/>
        <v>Win</v>
      </c>
      <c r="AF90" s="23" t="str">
        <f t="shared" si="12"/>
        <v>Loss</v>
      </c>
      <c r="AG90" s="23" t="str">
        <f t="shared" si="13"/>
        <v>Loss</v>
      </c>
      <c r="AH90" s="23">
        <f t="shared" si="14"/>
        <v>28</v>
      </c>
      <c r="AI90" s="23">
        <f t="shared" si="15"/>
        <v>-50</v>
      </c>
      <c r="AJ90" s="23">
        <f t="shared" si="16"/>
        <v>-50</v>
      </c>
    </row>
    <row r="91" spans="1:36" x14ac:dyDescent="0.2">
      <c r="A91" s="36">
        <v>43614</v>
      </c>
      <c r="B91" s="37" t="s">
        <v>315</v>
      </c>
      <c r="C91" s="37" t="s">
        <v>378</v>
      </c>
      <c r="D91" s="37" t="s">
        <v>385</v>
      </c>
      <c r="E91" s="37" t="s">
        <v>386</v>
      </c>
      <c r="F91" s="37" t="s">
        <v>387</v>
      </c>
      <c r="G91" s="37">
        <v>2</v>
      </c>
      <c r="H91" s="37">
        <v>0</v>
      </c>
      <c r="I91" s="37">
        <v>1.51</v>
      </c>
      <c r="J91" s="37">
        <v>4.1100000000000003</v>
      </c>
      <c r="K91" s="37">
        <v>5.28</v>
      </c>
      <c r="L91" s="37">
        <v>-3.77</v>
      </c>
      <c r="M91" s="37">
        <v>47</v>
      </c>
      <c r="N91" s="37">
        <v>61</v>
      </c>
      <c r="O91" s="37">
        <v>2</v>
      </c>
      <c r="P91" s="37">
        <v>23</v>
      </c>
      <c r="Q91" s="37">
        <v>30</v>
      </c>
      <c r="R91" s="37">
        <v>50</v>
      </c>
      <c r="S91" s="37">
        <v>50</v>
      </c>
      <c r="T91" s="37">
        <v>0</v>
      </c>
      <c r="U91" s="37">
        <v>53.19</v>
      </c>
      <c r="V91" s="37">
        <v>23.4</v>
      </c>
      <c r="W91" s="37">
        <v>23.4</v>
      </c>
      <c r="X91" s="37">
        <v>32.79</v>
      </c>
      <c r="Y91" s="37">
        <v>27.87</v>
      </c>
      <c r="Z91" s="37">
        <v>39.340000000000003</v>
      </c>
      <c r="AA91" s="37">
        <v>65.22</v>
      </c>
      <c r="AB91" s="37">
        <v>30</v>
      </c>
      <c r="AC91" s="24">
        <f t="shared" si="9"/>
        <v>26.820999999999998</v>
      </c>
      <c r="AD91" s="25">
        <f t="shared" si="10"/>
        <v>-16.820999999999998</v>
      </c>
      <c r="AE91" s="23" t="str">
        <f t="shared" si="11"/>
        <v>Win</v>
      </c>
      <c r="AF91" s="23" t="str">
        <f t="shared" si="12"/>
        <v>Loss</v>
      </c>
      <c r="AG91" s="23" t="str">
        <f t="shared" si="13"/>
        <v>Loss</v>
      </c>
      <c r="AH91" s="23">
        <f t="shared" si="14"/>
        <v>25.5</v>
      </c>
      <c r="AI91" s="23">
        <f t="shared" si="15"/>
        <v>-50</v>
      </c>
      <c r="AJ91" s="23">
        <f t="shared" si="16"/>
        <v>-50</v>
      </c>
    </row>
    <row r="92" spans="1:36" x14ac:dyDescent="0.2">
      <c r="A92" s="36">
        <v>43614</v>
      </c>
      <c r="B92" s="37" t="s">
        <v>315</v>
      </c>
      <c r="C92" s="37" t="s">
        <v>378</v>
      </c>
      <c r="D92" s="37" t="s">
        <v>388</v>
      </c>
      <c r="E92" s="37" t="s">
        <v>389</v>
      </c>
      <c r="F92" s="37" t="s">
        <v>390</v>
      </c>
      <c r="G92" s="37">
        <v>0</v>
      </c>
      <c r="H92" s="37">
        <v>4</v>
      </c>
      <c r="I92" s="37">
        <v>2.64</v>
      </c>
      <c r="J92" s="37">
        <v>3.47</v>
      </c>
      <c r="K92" s="37">
        <v>2.25</v>
      </c>
      <c r="L92" s="37">
        <v>0.39</v>
      </c>
      <c r="M92" s="37">
        <v>16</v>
      </c>
      <c r="N92" s="37">
        <v>26</v>
      </c>
      <c r="O92" s="37">
        <v>1</v>
      </c>
      <c r="P92" s="37">
        <v>8</v>
      </c>
      <c r="Q92" s="37">
        <v>12</v>
      </c>
      <c r="R92" s="37">
        <v>0</v>
      </c>
      <c r="S92" s="37">
        <v>0</v>
      </c>
      <c r="T92" s="37">
        <v>100</v>
      </c>
      <c r="U92" s="37">
        <v>18.75</v>
      </c>
      <c r="V92" s="37">
        <v>18.75</v>
      </c>
      <c r="W92" s="37">
        <v>62.5</v>
      </c>
      <c r="X92" s="37">
        <v>34.619999999999997</v>
      </c>
      <c r="Y92" s="37">
        <v>23.08</v>
      </c>
      <c r="Z92" s="37">
        <v>42.31</v>
      </c>
      <c r="AA92" s="37">
        <v>25</v>
      </c>
      <c r="AB92" s="37">
        <v>25</v>
      </c>
      <c r="AC92" s="24">
        <f t="shared" si="9"/>
        <v>-37.644999999999996</v>
      </c>
      <c r="AD92" s="25">
        <f t="shared" si="10"/>
        <v>37.644999999999996</v>
      </c>
      <c r="AE92" s="23" t="str">
        <f t="shared" si="11"/>
        <v>Loss</v>
      </c>
      <c r="AF92" s="23" t="str">
        <f t="shared" si="12"/>
        <v>Loss</v>
      </c>
      <c r="AG92" s="23" t="str">
        <f t="shared" si="13"/>
        <v>Win</v>
      </c>
      <c r="AH92" s="23">
        <f t="shared" si="14"/>
        <v>-50</v>
      </c>
      <c r="AI92" s="23">
        <f t="shared" si="15"/>
        <v>-50</v>
      </c>
      <c r="AJ92" s="23">
        <f t="shared" si="16"/>
        <v>62.5</v>
      </c>
    </row>
    <row r="93" spans="1:36" x14ac:dyDescent="0.2">
      <c r="A93" s="36">
        <v>43614</v>
      </c>
      <c r="B93" s="37" t="s">
        <v>315</v>
      </c>
      <c r="C93" s="37" t="s">
        <v>378</v>
      </c>
      <c r="D93" s="37" t="s">
        <v>391</v>
      </c>
      <c r="E93" s="37" t="s">
        <v>392</v>
      </c>
      <c r="F93" s="37" t="s">
        <v>393</v>
      </c>
      <c r="G93" s="37">
        <v>2</v>
      </c>
      <c r="H93" s="37">
        <v>1</v>
      </c>
      <c r="I93" s="37">
        <v>3.11</v>
      </c>
      <c r="J93" s="37">
        <v>3.44</v>
      </c>
      <c r="K93" s="37">
        <v>2.0699999999999998</v>
      </c>
      <c r="L93" s="37">
        <v>1.04</v>
      </c>
      <c r="M93" s="37">
        <v>28</v>
      </c>
      <c r="N93" s="37">
        <v>29</v>
      </c>
      <c r="O93" s="37">
        <v>1</v>
      </c>
      <c r="P93" s="37">
        <v>14</v>
      </c>
      <c r="Q93" s="37">
        <v>13</v>
      </c>
      <c r="R93" s="37">
        <v>0</v>
      </c>
      <c r="S93" s="37">
        <v>0</v>
      </c>
      <c r="T93" s="37">
        <v>100</v>
      </c>
      <c r="U93" s="37">
        <v>32.14</v>
      </c>
      <c r="V93" s="37">
        <v>32.14</v>
      </c>
      <c r="W93" s="37">
        <v>35.71</v>
      </c>
      <c r="X93" s="37">
        <v>55.17</v>
      </c>
      <c r="Y93" s="37">
        <v>24.14</v>
      </c>
      <c r="Z93" s="37">
        <v>20.69</v>
      </c>
      <c r="AA93" s="37">
        <v>50</v>
      </c>
      <c r="AB93" s="37">
        <v>53.85</v>
      </c>
      <c r="AC93" s="24">
        <f t="shared" si="9"/>
        <v>-36.81</v>
      </c>
      <c r="AD93" s="25">
        <f t="shared" si="10"/>
        <v>36.81</v>
      </c>
      <c r="AE93" s="23" t="str">
        <f t="shared" si="11"/>
        <v>Win</v>
      </c>
      <c r="AF93" s="23" t="str">
        <f t="shared" si="12"/>
        <v>Loss</v>
      </c>
      <c r="AG93" s="23" t="str">
        <f t="shared" si="13"/>
        <v>Loss</v>
      </c>
      <c r="AH93" s="23">
        <f t="shared" si="14"/>
        <v>105.5</v>
      </c>
      <c r="AI93" s="23">
        <f t="shared" si="15"/>
        <v>-50</v>
      </c>
      <c r="AJ93" s="23">
        <f t="shared" si="16"/>
        <v>-50</v>
      </c>
    </row>
    <row r="94" spans="1:36" x14ac:dyDescent="0.2">
      <c r="A94" s="36">
        <v>43614</v>
      </c>
      <c r="B94" s="37" t="s">
        <v>315</v>
      </c>
      <c r="C94" s="37" t="s">
        <v>378</v>
      </c>
      <c r="D94" s="37" t="s">
        <v>394</v>
      </c>
      <c r="E94" s="37" t="s">
        <v>395</v>
      </c>
      <c r="F94" s="37" t="s">
        <v>396</v>
      </c>
      <c r="G94" s="37">
        <v>2</v>
      </c>
      <c r="H94" s="37">
        <v>1</v>
      </c>
      <c r="I94" s="37">
        <v>1.45</v>
      </c>
      <c r="J94" s="37">
        <v>4.13</v>
      </c>
      <c r="K94" s="37">
        <v>6.03</v>
      </c>
      <c r="L94" s="37">
        <v>-4.58</v>
      </c>
      <c r="M94" s="37">
        <v>30</v>
      </c>
      <c r="N94" s="37">
        <v>24</v>
      </c>
      <c r="O94" s="37">
        <v>1</v>
      </c>
      <c r="P94" s="37">
        <v>14</v>
      </c>
      <c r="Q94" s="37">
        <v>11</v>
      </c>
      <c r="R94" s="37">
        <v>100</v>
      </c>
      <c r="S94" s="37">
        <v>0</v>
      </c>
      <c r="T94" s="37">
        <v>0</v>
      </c>
      <c r="U94" s="37">
        <v>26.67</v>
      </c>
      <c r="V94" s="37">
        <v>20</v>
      </c>
      <c r="W94" s="37">
        <v>53.33</v>
      </c>
      <c r="X94" s="37">
        <v>29.17</v>
      </c>
      <c r="Y94" s="37">
        <v>25</v>
      </c>
      <c r="Z94" s="37">
        <v>45.83</v>
      </c>
      <c r="AA94" s="37">
        <v>28.57</v>
      </c>
      <c r="AB94" s="37">
        <v>27.27</v>
      </c>
      <c r="AC94" s="24">
        <f t="shared" si="9"/>
        <v>27.500000000000004</v>
      </c>
      <c r="AD94" s="25">
        <f t="shared" si="10"/>
        <v>-27.500000000000004</v>
      </c>
      <c r="AE94" s="23" t="str">
        <f t="shared" si="11"/>
        <v>Win</v>
      </c>
      <c r="AF94" s="23" t="str">
        <f t="shared" si="12"/>
        <v>Loss</v>
      </c>
      <c r="AG94" s="23" t="str">
        <f t="shared" si="13"/>
        <v>Loss</v>
      </c>
      <c r="AH94" s="23">
        <f t="shared" si="14"/>
        <v>22.5</v>
      </c>
      <c r="AI94" s="23">
        <f t="shared" si="15"/>
        <v>-50</v>
      </c>
      <c r="AJ94" s="23">
        <f t="shared" si="16"/>
        <v>-50</v>
      </c>
    </row>
    <row r="95" spans="1:36" x14ac:dyDescent="0.2">
      <c r="A95" s="36">
        <v>43614</v>
      </c>
      <c r="B95" s="37" t="s">
        <v>315</v>
      </c>
      <c r="C95" s="37" t="s">
        <v>378</v>
      </c>
      <c r="D95" s="37" t="s">
        <v>397</v>
      </c>
      <c r="E95" s="37" t="s">
        <v>398</v>
      </c>
      <c r="F95" s="37" t="s">
        <v>399</v>
      </c>
      <c r="G95" s="37">
        <v>1</v>
      </c>
      <c r="H95" s="37">
        <v>3</v>
      </c>
      <c r="I95" s="37">
        <v>2.5099999999999998</v>
      </c>
      <c r="J95" s="37">
        <v>3.52</v>
      </c>
      <c r="K95" s="37">
        <v>2.38</v>
      </c>
      <c r="L95" s="37">
        <v>0.13</v>
      </c>
      <c r="M95" s="37">
        <v>28</v>
      </c>
      <c r="N95" s="37">
        <v>30</v>
      </c>
      <c r="O95" s="37">
        <v>1</v>
      </c>
      <c r="P95" s="37">
        <v>13</v>
      </c>
      <c r="Q95" s="37">
        <v>14</v>
      </c>
      <c r="R95" s="37">
        <v>0</v>
      </c>
      <c r="S95" s="37">
        <v>0</v>
      </c>
      <c r="T95" s="37">
        <v>100</v>
      </c>
      <c r="U95" s="37">
        <v>35.71</v>
      </c>
      <c r="V95" s="37">
        <v>25</v>
      </c>
      <c r="W95" s="37">
        <v>39.29</v>
      </c>
      <c r="X95" s="37">
        <v>43.33</v>
      </c>
      <c r="Y95" s="37">
        <v>30</v>
      </c>
      <c r="Z95" s="37">
        <v>26.67</v>
      </c>
      <c r="AA95" s="37">
        <v>46.15</v>
      </c>
      <c r="AB95" s="37">
        <v>35.71</v>
      </c>
      <c r="AC95" s="24">
        <f t="shared" si="9"/>
        <v>-34.548000000000002</v>
      </c>
      <c r="AD95" s="25">
        <f t="shared" si="10"/>
        <v>34.548000000000002</v>
      </c>
      <c r="AE95" s="23" t="str">
        <f t="shared" si="11"/>
        <v>Loss</v>
      </c>
      <c r="AF95" s="23" t="str">
        <f t="shared" si="12"/>
        <v>Loss</v>
      </c>
      <c r="AG95" s="23" t="str">
        <f t="shared" si="13"/>
        <v>Win</v>
      </c>
      <c r="AH95" s="23">
        <f t="shared" si="14"/>
        <v>-50</v>
      </c>
      <c r="AI95" s="23">
        <f t="shared" si="15"/>
        <v>-50</v>
      </c>
      <c r="AJ95" s="23">
        <f t="shared" si="16"/>
        <v>69</v>
      </c>
    </row>
    <row r="96" spans="1:36" x14ac:dyDescent="0.2">
      <c r="A96" s="36">
        <v>43614</v>
      </c>
      <c r="B96" s="37" t="s">
        <v>315</v>
      </c>
      <c r="C96" s="37" t="s">
        <v>378</v>
      </c>
      <c r="D96" s="37" t="s">
        <v>400</v>
      </c>
      <c r="E96" s="37" t="s">
        <v>401</v>
      </c>
      <c r="F96" s="37" t="s">
        <v>402</v>
      </c>
      <c r="G96" s="37">
        <v>1</v>
      </c>
      <c r="H96" s="37">
        <v>1</v>
      </c>
      <c r="I96" s="37">
        <v>1.46</v>
      </c>
      <c r="J96" s="37">
        <v>4.2300000000000004</v>
      </c>
      <c r="K96" s="37">
        <v>5.51</v>
      </c>
      <c r="L96" s="37">
        <v>-4.05</v>
      </c>
      <c r="M96" s="37">
        <v>28</v>
      </c>
      <c r="N96" s="37">
        <v>25</v>
      </c>
      <c r="O96" s="37">
        <v>1</v>
      </c>
      <c r="P96" s="37">
        <v>13</v>
      </c>
      <c r="Q96" s="37">
        <v>13</v>
      </c>
      <c r="R96" s="37">
        <v>100</v>
      </c>
      <c r="S96" s="37">
        <v>0</v>
      </c>
      <c r="T96" s="37">
        <v>0</v>
      </c>
      <c r="U96" s="37">
        <v>39.29</v>
      </c>
      <c r="V96" s="37">
        <v>25</v>
      </c>
      <c r="W96" s="37">
        <v>35.71</v>
      </c>
      <c r="X96" s="37">
        <v>24</v>
      </c>
      <c r="Y96" s="37">
        <v>8</v>
      </c>
      <c r="Z96" s="37">
        <v>68</v>
      </c>
      <c r="AA96" s="37">
        <v>38.46</v>
      </c>
      <c r="AB96" s="37">
        <v>7.69</v>
      </c>
      <c r="AC96" s="24">
        <f t="shared" si="9"/>
        <v>41.216000000000001</v>
      </c>
      <c r="AD96" s="25">
        <f t="shared" si="10"/>
        <v>-41.216000000000001</v>
      </c>
      <c r="AE96" s="23" t="str">
        <f t="shared" si="11"/>
        <v>Loss</v>
      </c>
      <c r="AF96" s="23" t="str">
        <f t="shared" si="12"/>
        <v>Win</v>
      </c>
      <c r="AG96" s="23" t="str">
        <f t="shared" si="13"/>
        <v>Loss</v>
      </c>
      <c r="AH96" s="23">
        <f t="shared" si="14"/>
        <v>-50</v>
      </c>
      <c r="AI96" s="23">
        <f t="shared" si="15"/>
        <v>161.50000000000003</v>
      </c>
      <c r="AJ96" s="23">
        <f t="shared" si="16"/>
        <v>-50</v>
      </c>
    </row>
    <row r="97" spans="1:36" x14ac:dyDescent="0.2">
      <c r="A97" s="36">
        <v>43614</v>
      </c>
      <c r="B97" s="37" t="s">
        <v>165</v>
      </c>
      <c r="C97" s="37" t="s">
        <v>403</v>
      </c>
      <c r="D97" s="37" t="s">
        <v>404</v>
      </c>
      <c r="E97" s="37" t="s">
        <v>405</v>
      </c>
      <c r="F97" s="37" t="s">
        <v>406</v>
      </c>
      <c r="G97" s="37">
        <v>0</v>
      </c>
      <c r="H97" s="37">
        <v>4</v>
      </c>
      <c r="I97" s="37">
        <v>2.09</v>
      </c>
      <c r="J97" s="37">
        <v>3.56</v>
      </c>
      <c r="K97" s="37">
        <v>3.02</v>
      </c>
      <c r="L97" s="37">
        <v>-0.93</v>
      </c>
      <c r="M97" s="37">
        <v>27</v>
      </c>
      <c r="N97" s="37">
        <v>26</v>
      </c>
      <c r="O97" s="37">
        <v>1</v>
      </c>
      <c r="P97" s="37">
        <v>13</v>
      </c>
      <c r="Q97" s="37">
        <v>13</v>
      </c>
      <c r="R97" s="37">
        <v>100</v>
      </c>
      <c r="S97" s="37">
        <v>0</v>
      </c>
      <c r="T97" s="37">
        <v>0</v>
      </c>
      <c r="U97" s="37">
        <v>40.74</v>
      </c>
      <c r="V97" s="37">
        <v>22.22</v>
      </c>
      <c r="W97" s="37">
        <v>37.04</v>
      </c>
      <c r="X97" s="37">
        <v>23.08</v>
      </c>
      <c r="Y97" s="37">
        <v>38.46</v>
      </c>
      <c r="Z97" s="37">
        <v>38.46</v>
      </c>
      <c r="AA97" s="37">
        <v>53.85</v>
      </c>
      <c r="AB97" s="37">
        <v>30.77</v>
      </c>
      <c r="AC97" s="24">
        <f t="shared" si="9"/>
        <v>32.192000000000007</v>
      </c>
      <c r="AD97" s="25">
        <f t="shared" si="10"/>
        <v>-32.192000000000007</v>
      </c>
      <c r="AE97" s="23" t="str">
        <f t="shared" si="11"/>
        <v>Loss</v>
      </c>
      <c r="AF97" s="23" t="str">
        <f t="shared" si="12"/>
        <v>Loss</v>
      </c>
      <c r="AG97" s="23" t="str">
        <f t="shared" si="13"/>
        <v>Win</v>
      </c>
      <c r="AH97" s="23">
        <f t="shared" si="14"/>
        <v>-50</v>
      </c>
      <c r="AI97" s="23">
        <f t="shared" si="15"/>
        <v>-50</v>
      </c>
      <c r="AJ97" s="23">
        <f t="shared" si="16"/>
        <v>101</v>
      </c>
    </row>
    <row r="98" spans="1:36" x14ac:dyDescent="0.2">
      <c r="A98" s="36">
        <v>43614</v>
      </c>
      <c r="B98" s="37" t="s">
        <v>165</v>
      </c>
      <c r="C98" s="37" t="s">
        <v>166</v>
      </c>
      <c r="D98" s="37" t="s">
        <v>407</v>
      </c>
      <c r="E98" s="37" t="s">
        <v>408</v>
      </c>
      <c r="F98" s="37" t="s">
        <v>409</v>
      </c>
      <c r="G98" s="37">
        <v>2</v>
      </c>
      <c r="H98" s="37">
        <v>0</v>
      </c>
      <c r="I98" s="37">
        <v>1.66</v>
      </c>
      <c r="J98" s="37">
        <v>3.63</v>
      </c>
      <c r="K98" s="37">
        <v>4.67</v>
      </c>
      <c r="L98" s="37">
        <v>-3.01</v>
      </c>
      <c r="M98" s="37">
        <v>27</v>
      </c>
      <c r="N98" s="37">
        <v>24</v>
      </c>
      <c r="O98" s="37">
        <v>3</v>
      </c>
      <c r="P98" s="37">
        <v>14</v>
      </c>
      <c r="Q98" s="37">
        <v>11</v>
      </c>
      <c r="R98" s="37">
        <v>100</v>
      </c>
      <c r="S98" s="37">
        <v>0</v>
      </c>
      <c r="T98" s="37">
        <v>0</v>
      </c>
      <c r="U98" s="37">
        <v>77.78</v>
      </c>
      <c r="V98" s="37">
        <v>11.11</v>
      </c>
      <c r="W98" s="37">
        <v>11.11</v>
      </c>
      <c r="X98" s="37">
        <v>50</v>
      </c>
      <c r="Y98" s="37">
        <v>25</v>
      </c>
      <c r="Z98" s="37">
        <v>25</v>
      </c>
      <c r="AA98" s="37">
        <v>92.86</v>
      </c>
      <c r="AB98" s="37">
        <v>45.45</v>
      </c>
      <c r="AC98" s="24">
        <f t="shared" si="9"/>
        <v>36.944999999999993</v>
      </c>
      <c r="AD98" s="25">
        <f t="shared" si="10"/>
        <v>-36.944999999999993</v>
      </c>
      <c r="AE98" s="23" t="str">
        <f t="shared" si="11"/>
        <v>Win</v>
      </c>
      <c r="AF98" s="23" t="str">
        <f t="shared" si="12"/>
        <v>Loss</v>
      </c>
      <c r="AG98" s="23" t="str">
        <f t="shared" si="13"/>
        <v>Loss</v>
      </c>
      <c r="AH98" s="23">
        <f t="shared" si="14"/>
        <v>33</v>
      </c>
      <c r="AI98" s="23">
        <f t="shared" si="15"/>
        <v>-50</v>
      </c>
      <c r="AJ98" s="23">
        <f t="shared" si="16"/>
        <v>-50</v>
      </c>
    </row>
    <row r="99" spans="1:36" x14ac:dyDescent="0.2">
      <c r="A99" s="36">
        <v>43614</v>
      </c>
      <c r="B99" s="37" t="s">
        <v>165</v>
      </c>
      <c r="C99" s="37" t="s">
        <v>166</v>
      </c>
      <c r="D99" s="37" t="s">
        <v>410</v>
      </c>
      <c r="E99" s="37" t="s">
        <v>411</v>
      </c>
      <c r="F99" s="37" t="s">
        <v>412</v>
      </c>
      <c r="G99" s="37">
        <v>2</v>
      </c>
      <c r="H99" s="37">
        <v>1</v>
      </c>
      <c r="I99" s="37">
        <v>2.1800000000000002</v>
      </c>
      <c r="J99" s="37">
        <v>3.13</v>
      </c>
      <c r="K99" s="37">
        <v>3.18</v>
      </c>
      <c r="L99" s="37">
        <v>-1</v>
      </c>
      <c r="M99" s="37">
        <v>27</v>
      </c>
      <c r="N99" s="37">
        <v>25</v>
      </c>
      <c r="O99" s="37">
        <v>2</v>
      </c>
      <c r="P99" s="37">
        <v>14</v>
      </c>
      <c r="Q99" s="37">
        <v>13</v>
      </c>
      <c r="R99" s="37">
        <v>50</v>
      </c>
      <c r="S99" s="37">
        <v>0</v>
      </c>
      <c r="T99" s="37">
        <v>50</v>
      </c>
      <c r="U99" s="37">
        <v>55.56</v>
      </c>
      <c r="V99" s="37">
        <v>7.41</v>
      </c>
      <c r="W99" s="37">
        <v>37.04</v>
      </c>
      <c r="X99" s="37">
        <v>48</v>
      </c>
      <c r="Y99" s="37">
        <v>16</v>
      </c>
      <c r="Z99" s="37">
        <v>36</v>
      </c>
      <c r="AA99" s="37">
        <v>57.14</v>
      </c>
      <c r="AB99" s="37">
        <v>38.46</v>
      </c>
      <c r="AC99" s="24">
        <f t="shared" si="9"/>
        <v>0.4449999999999994</v>
      </c>
      <c r="AD99" s="25">
        <f t="shared" si="10"/>
        <v>-0.4449999999999994</v>
      </c>
      <c r="AE99" s="23" t="str">
        <f t="shared" si="11"/>
        <v>Win</v>
      </c>
      <c r="AF99" s="23" t="str">
        <f t="shared" si="12"/>
        <v>Loss</v>
      </c>
      <c r="AG99" s="23" t="str">
        <f t="shared" si="13"/>
        <v>Loss</v>
      </c>
      <c r="AH99" s="23">
        <f t="shared" si="14"/>
        <v>59.000000000000014</v>
      </c>
      <c r="AI99" s="23">
        <f t="shared" si="15"/>
        <v>-50</v>
      </c>
      <c r="AJ99" s="23">
        <f t="shared" si="16"/>
        <v>-50</v>
      </c>
    </row>
    <row r="100" spans="1:36" x14ac:dyDescent="0.2">
      <c r="A100" s="36">
        <v>43614</v>
      </c>
      <c r="B100" s="37" t="s">
        <v>413</v>
      </c>
      <c r="C100" s="37" t="s">
        <v>414</v>
      </c>
      <c r="D100" s="37" t="s">
        <v>415</v>
      </c>
      <c r="E100" s="37" t="s">
        <v>416</v>
      </c>
      <c r="F100" s="37" t="s">
        <v>417</v>
      </c>
      <c r="G100" s="37">
        <v>2</v>
      </c>
      <c r="H100" s="37">
        <v>1</v>
      </c>
      <c r="I100" s="37">
        <v>3.03</v>
      </c>
      <c r="J100" s="37">
        <v>3.41</v>
      </c>
      <c r="K100" s="37">
        <v>2.11</v>
      </c>
      <c r="L100" s="37">
        <v>0.92</v>
      </c>
      <c r="M100" s="37">
        <v>21</v>
      </c>
      <c r="N100" s="37">
        <v>40</v>
      </c>
      <c r="O100" s="37">
        <v>0</v>
      </c>
      <c r="P100" s="37">
        <v>13</v>
      </c>
      <c r="Q100" s="37">
        <v>21</v>
      </c>
      <c r="R100" s="37">
        <v>0</v>
      </c>
      <c r="S100" s="37">
        <v>0</v>
      </c>
      <c r="T100" s="37">
        <v>0</v>
      </c>
      <c r="U100" s="37">
        <v>71.430000000000007</v>
      </c>
      <c r="V100" s="37">
        <v>14.29</v>
      </c>
      <c r="W100" s="37">
        <v>14.29</v>
      </c>
      <c r="X100" s="37">
        <v>22.5</v>
      </c>
      <c r="Y100" s="37">
        <v>25</v>
      </c>
      <c r="Z100" s="37">
        <v>52.5</v>
      </c>
      <c r="AA100" s="37">
        <v>76.92</v>
      </c>
      <c r="AB100" s="37">
        <v>19.05</v>
      </c>
      <c r="AC100" s="24">
        <f t="shared" si="9"/>
        <v>16.356999999999999</v>
      </c>
      <c r="AD100" s="25">
        <f t="shared" si="10"/>
        <v>-16.356999999999999</v>
      </c>
      <c r="AE100" s="23" t="str">
        <f t="shared" si="11"/>
        <v>Win</v>
      </c>
      <c r="AF100" s="23" t="str">
        <f t="shared" si="12"/>
        <v>Loss</v>
      </c>
      <c r="AG100" s="23" t="str">
        <f t="shared" si="13"/>
        <v>Loss</v>
      </c>
      <c r="AH100" s="23">
        <f t="shared" si="14"/>
        <v>101.5</v>
      </c>
      <c r="AI100" s="23">
        <f t="shared" si="15"/>
        <v>-50</v>
      </c>
      <c r="AJ100" s="23">
        <f t="shared" si="16"/>
        <v>-50</v>
      </c>
    </row>
    <row r="101" spans="1:36" x14ac:dyDescent="0.2">
      <c r="A101" s="36">
        <v>43614</v>
      </c>
      <c r="B101" s="37" t="s">
        <v>418</v>
      </c>
      <c r="C101" s="37" t="s">
        <v>419</v>
      </c>
      <c r="D101" s="37" t="s">
        <v>420</v>
      </c>
      <c r="E101" s="37" t="s">
        <v>421</v>
      </c>
      <c r="F101" s="37" t="s">
        <v>422</v>
      </c>
      <c r="G101" s="37">
        <v>2</v>
      </c>
      <c r="H101" s="37">
        <v>1</v>
      </c>
      <c r="I101" s="37">
        <v>2.34</v>
      </c>
      <c r="J101" s="37">
        <v>3.21</v>
      </c>
      <c r="K101" s="37">
        <v>2.91</v>
      </c>
      <c r="L101" s="37">
        <v>-0.56999999999999995</v>
      </c>
      <c r="M101" s="37">
        <v>13</v>
      </c>
      <c r="N101" s="37">
        <v>6</v>
      </c>
      <c r="O101" s="37">
        <v>2</v>
      </c>
      <c r="P101" s="37">
        <v>5</v>
      </c>
      <c r="Q101" s="37">
        <v>4</v>
      </c>
      <c r="R101" s="37">
        <v>50</v>
      </c>
      <c r="S101" s="37">
        <v>50</v>
      </c>
      <c r="T101" s="37">
        <v>0</v>
      </c>
      <c r="U101" s="37">
        <v>15.38</v>
      </c>
      <c r="V101" s="37">
        <v>38.46</v>
      </c>
      <c r="W101" s="37">
        <v>46.15</v>
      </c>
      <c r="X101" s="37">
        <v>16.670000000000002</v>
      </c>
      <c r="Y101" s="37">
        <v>33.33</v>
      </c>
      <c r="Z101" s="37">
        <v>50</v>
      </c>
      <c r="AA101" s="37">
        <v>40</v>
      </c>
      <c r="AB101" s="37">
        <v>0</v>
      </c>
      <c r="AC101" s="24">
        <f t="shared" si="9"/>
        <v>21.024999999999999</v>
      </c>
      <c r="AD101" s="25">
        <f t="shared" si="10"/>
        <v>-11.024999999999999</v>
      </c>
      <c r="AE101" s="23" t="str">
        <f t="shared" si="11"/>
        <v>Win</v>
      </c>
      <c r="AF101" s="23" t="str">
        <f t="shared" si="12"/>
        <v>Loss</v>
      </c>
      <c r="AG101" s="23" t="str">
        <f t="shared" si="13"/>
        <v>Loss</v>
      </c>
      <c r="AH101" s="23">
        <f t="shared" si="14"/>
        <v>67</v>
      </c>
      <c r="AI101" s="23">
        <f t="shared" si="15"/>
        <v>-50</v>
      </c>
      <c r="AJ101" s="23">
        <f t="shared" si="16"/>
        <v>-50</v>
      </c>
    </row>
    <row r="102" spans="1:36" x14ac:dyDescent="0.2">
      <c r="A102" s="36">
        <v>43614</v>
      </c>
      <c r="B102" s="37" t="s">
        <v>423</v>
      </c>
      <c r="C102" s="37" t="s">
        <v>424</v>
      </c>
      <c r="D102" s="37" t="s">
        <v>425</v>
      </c>
      <c r="E102" s="37" t="s">
        <v>426</v>
      </c>
      <c r="F102" s="37" t="s">
        <v>427</v>
      </c>
      <c r="G102" s="37">
        <v>0</v>
      </c>
      <c r="H102" s="37">
        <v>1</v>
      </c>
      <c r="I102" s="37">
        <v>2.25</v>
      </c>
      <c r="J102" s="37">
        <v>3.22</v>
      </c>
      <c r="K102" s="37">
        <v>3.04</v>
      </c>
      <c r="L102" s="37">
        <v>-0.79</v>
      </c>
      <c r="M102" s="37">
        <v>39</v>
      </c>
      <c r="N102" s="37">
        <v>21</v>
      </c>
      <c r="O102" s="37">
        <v>0</v>
      </c>
      <c r="P102" s="37">
        <v>18</v>
      </c>
      <c r="Q102" s="37">
        <v>11</v>
      </c>
      <c r="R102" s="37">
        <v>0</v>
      </c>
      <c r="S102" s="37">
        <v>0</v>
      </c>
      <c r="T102" s="37">
        <v>0</v>
      </c>
      <c r="U102" s="37">
        <v>33.33</v>
      </c>
      <c r="V102" s="37">
        <v>17.95</v>
      </c>
      <c r="W102" s="37">
        <v>48.72</v>
      </c>
      <c r="X102" s="37">
        <v>57.14</v>
      </c>
      <c r="Y102" s="37">
        <v>14.29</v>
      </c>
      <c r="Z102" s="37">
        <v>28.57</v>
      </c>
      <c r="AA102" s="37">
        <v>33.33</v>
      </c>
      <c r="AB102" s="37">
        <v>45.45</v>
      </c>
      <c r="AC102" s="24">
        <f t="shared" si="9"/>
        <v>-8.4260000000000002</v>
      </c>
      <c r="AD102" s="25">
        <f t="shared" si="10"/>
        <v>8.4260000000000002</v>
      </c>
      <c r="AE102" s="23" t="str">
        <f t="shared" si="11"/>
        <v>Loss</v>
      </c>
      <c r="AF102" s="23" t="str">
        <f t="shared" si="12"/>
        <v>Loss</v>
      </c>
      <c r="AG102" s="23" t="str">
        <f t="shared" si="13"/>
        <v>Win</v>
      </c>
      <c r="AH102" s="23">
        <f t="shared" si="14"/>
        <v>-50</v>
      </c>
      <c r="AI102" s="23">
        <f t="shared" si="15"/>
        <v>-50</v>
      </c>
      <c r="AJ102" s="23">
        <f t="shared" si="16"/>
        <v>102</v>
      </c>
    </row>
    <row r="103" spans="1:36" x14ac:dyDescent="0.2">
      <c r="A103" s="36">
        <v>43614</v>
      </c>
      <c r="B103" s="37" t="s">
        <v>428</v>
      </c>
      <c r="C103" s="37" t="s">
        <v>429</v>
      </c>
      <c r="D103" s="37" t="s">
        <v>430</v>
      </c>
      <c r="E103" s="37" t="s">
        <v>431</v>
      </c>
      <c r="F103" s="37" t="s">
        <v>432</v>
      </c>
      <c r="G103" s="37">
        <v>1</v>
      </c>
      <c r="H103" s="37">
        <v>1</v>
      </c>
      <c r="I103" s="37">
        <v>1.47</v>
      </c>
      <c r="J103" s="37">
        <v>4.03</v>
      </c>
      <c r="K103" s="37">
        <v>5.76</v>
      </c>
      <c r="L103" s="37">
        <v>-4.29</v>
      </c>
      <c r="M103" s="37">
        <v>4</v>
      </c>
      <c r="N103" s="37">
        <v>50</v>
      </c>
      <c r="O103" s="37">
        <v>0</v>
      </c>
      <c r="P103" s="37">
        <v>2</v>
      </c>
      <c r="Q103" s="37">
        <v>24</v>
      </c>
      <c r="R103" s="37">
        <v>0</v>
      </c>
      <c r="S103" s="37">
        <v>0</v>
      </c>
      <c r="T103" s="37">
        <v>0</v>
      </c>
      <c r="U103" s="37">
        <v>50</v>
      </c>
      <c r="V103" s="37">
        <v>50</v>
      </c>
      <c r="W103" s="37">
        <v>0</v>
      </c>
      <c r="X103" s="37">
        <v>32</v>
      </c>
      <c r="Y103" s="37">
        <v>28</v>
      </c>
      <c r="Z103" s="37">
        <v>40</v>
      </c>
      <c r="AA103" s="37">
        <v>100</v>
      </c>
      <c r="AB103" s="37">
        <v>25</v>
      </c>
      <c r="AC103" s="24">
        <f t="shared" si="9"/>
        <v>13.799999999999999</v>
      </c>
      <c r="AD103" s="25">
        <f t="shared" si="10"/>
        <v>-13.799999999999999</v>
      </c>
      <c r="AE103" s="23" t="str">
        <f t="shared" si="11"/>
        <v>Loss</v>
      </c>
      <c r="AF103" s="23" t="str">
        <f t="shared" si="12"/>
        <v>Win</v>
      </c>
      <c r="AG103" s="23" t="str">
        <f t="shared" si="13"/>
        <v>Loss</v>
      </c>
      <c r="AH103" s="23">
        <f t="shared" si="14"/>
        <v>-50</v>
      </c>
      <c r="AI103" s="23">
        <f t="shared" si="15"/>
        <v>151.5</v>
      </c>
      <c r="AJ103" s="23">
        <f t="shared" si="16"/>
        <v>-50</v>
      </c>
    </row>
    <row r="104" spans="1:36" x14ac:dyDescent="0.2">
      <c r="A104" s="36">
        <v>43614</v>
      </c>
      <c r="B104" s="37" t="s">
        <v>428</v>
      </c>
      <c r="C104" s="37" t="s">
        <v>429</v>
      </c>
      <c r="D104" s="37" t="s">
        <v>433</v>
      </c>
      <c r="E104" s="37" t="s">
        <v>434</v>
      </c>
      <c r="F104" s="37" t="s">
        <v>435</v>
      </c>
      <c r="G104" s="37">
        <v>1</v>
      </c>
      <c r="H104" s="37">
        <v>0</v>
      </c>
      <c r="I104" s="37">
        <v>1.77</v>
      </c>
      <c r="J104" s="37">
        <v>3.72</v>
      </c>
      <c r="K104" s="37">
        <v>3.71</v>
      </c>
      <c r="L104" s="37">
        <v>-1.94</v>
      </c>
      <c r="M104" s="37">
        <v>26</v>
      </c>
      <c r="N104" s="37">
        <v>25</v>
      </c>
      <c r="O104" s="37">
        <v>2</v>
      </c>
      <c r="P104" s="37">
        <v>12</v>
      </c>
      <c r="Q104" s="37">
        <v>12</v>
      </c>
      <c r="R104" s="37">
        <v>50</v>
      </c>
      <c r="S104" s="37">
        <v>0</v>
      </c>
      <c r="T104" s="37">
        <v>50</v>
      </c>
      <c r="U104" s="37">
        <v>46.15</v>
      </c>
      <c r="V104" s="37">
        <v>26.92</v>
      </c>
      <c r="W104" s="37">
        <v>26.92</v>
      </c>
      <c r="X104" s="37">
        <v>48</v>
      </c>
      <c r="Y104" s="37">
        <v>20</v>
      </c>
      <c r="Z104" s="37">
        <v>32</v>
      </c>
      <c r="AA104" s="37">
        <v>66.67</v>
      </c>
      <c r="AB104" s="37">
        <v>41.67</v>
      </c>
      <c r="AC104" s="24">
        <f t="shared" si="9"/>
        <v>1.3379999999999992</v>
      </c>
      <c r="AD104" s="25">
        <f t="shared" si="10"/>
        <v>-1.3379999999999992</v>
      </c>
      <c r="AE104" s="23" t="str">
        <f t="shared" si="11"/>
        <v>Win</v>
      </c>
      <c r="AF104" s="23" t="str">
        <f t="shared" si="12"/>
        <v>Loss</v>
      </c>
      <c r="AG104" s="23" t="str">
        <f t="shared" si="13"/>
        <v>Loss</v>
      </c>
      <c r="AH104" s="23">
        <f t="shared" si="14"/>
        <v>38.5</v>
      </c>
      <c r="AI104" s="23">
        <f t="shared" si="15"/>
        <v>-50</v>
      </c>
      <c r="AJ104" s="23">
        <f t="shared" si="16"/>
        <v>-50</v>
      </c>
    </row>
    <row r="105" spans="1:36" x14ac:dyDescent="0.2">
      <c r="A105" s="36">
        <v>43614</v>
      </c>
      <c r="B105" s="37" t="s">
        <v>428</v>
      </c>
      <c r="C105" s="37" t="s">
        <v>436</v>
      </c>
      <c r="D105" s="37" t="s">
        <v>437</v>
      </c>
      <c r="E105" s="37" t="s">
        <v>438</v>
      </c>
      <c r="F105" s="37" t="s">
        <v>439</v>
      </c>
      <c r="G105" s="37">
        <v>1</v>
      </c>
      <c r="H105" s="37">
        <v>2</v>
      </c>
      <c r="I105" s="37">
        <v>2.74</v>
      </c>
      <c r="J105" s="37">
        <v>3.59</v>
      </c>
      <c r="K105" s="37">
        <v>2.19</v>
      </c>
      <c r="L105" s="37">
        <v>0.55000000000000004</v>
      </c>
      <c r="M105" s="37">
        <v>28</v>
      </c>
      <c r="N105" s="37">
        <v>53</v>
      </c>
      <c r="O105" s="37">
        <v>2</v>
      </c>
      <c r="P105" s="37">
        <v>13</v>
      </c>
      <c r="Q105" s="37">
        <v>27</v>
      </c>
      <c r="R105" s="37">
        <v>0</v>
      </c>
      <c r="S105" s="37">
        <v>50</v>
      </c>
      <c r="T105" s="37">
        <v>50</v>
      </c>
      <c r="U105" s="37">
        <v>39.29</v>
      </c>
      <c r="V105" s="37">
        <v>17.86</v>
      </c>
      <c r="W105" s="37">
        <v>42.86</v>
      </c>
      <c r="X105" s="37">
        <v>49.06</v>
      </c>
      <c r="Y105" s="37">
        <v>22.64</v>
      </c>
      <c r="Z105" s="37">
        <v>28.3</v>
      </c>
      <c r="AA105" s="37">
        <v>53.85</v>
      </c>
      <c r="AB105" s="37">
        <v>40.74</v>
      </c>
      <c r="AC105" s="24">
        <f t="shared" si="9"/>
        <v>-15.344000000000001</v>
      </c>
      <c r="AD105" s="25">
        <f t="shared" si="10"/>
        <v>25.344000000000001</v>
      </c>
      <c r="AE105" s="23" t="str">
        <f t="shared" si="11"/>
        <v>Loss</v>
      </c>
      <c r="AF105" s="23" t="str">
        <f t="shared" si="12"/>
        <v>Loss</v>
      </c>
      <c r="AG105" s="23" t="str">
        <f t="shared" si="13"/>
        <v>Win</v>
      </c>
      <c r="AH105" s="23">
        <f t="shared" si="14"/>
        <v>-50</v>
      </c>
      <c r="AI105" s="23">
        <f t="shared" si="15"/>
        <v>-50</v>
      </c>
      <c r="AJ105" s="23">
        <f t="shared" si="16"/>
        <v>59.5</v>
      </c>
    </row>
    <row r="106" spans="1:36" x14ac:dyDescent="0.2">
      <c r="A106" s="36">
        <v>43614</v>
      </c>
      <c r="B106" s="37" t="s">
        <v>428</v>
      </c>
      <c r="C106" s="37" t="s">
        <v>440</v>
      </c>
      <c r="D106" s="37" t="s">
        <v>441</v>
      </c>
      <c r="E106" s="37" t="s">
        <v>442</v>
      </c>
      <c r="F106" s="37" t="s">
        <v>443</v>
      </c>
      <c r="G106" s="37">
        <v>1</v>
      </c>
      <c r="H106" s="37">
        <v>1</v>
      </c>
      <c r="I106" s="37">
        <v>4.45</v>
      </c>
      <c r="J106" s="37">
        <v>3.97</v>
      </c>
      <c r="K106" s="37">
        <v>1.66</v>
      </c>
      <c r="L106" s="37">
        <v>2.79</v>
      </c>
      <c r="M106" s="37">
        <v>33</v>
      </c>
      <c r="N106" s="37">
        <v>27</v>
      </c>
      <c r="O106" s="37">
        <v>0</v>
      </c>
      <c r="P106" s="37">
        <v>16</v>
      </c>
      <c r="Q106" s="37">
        <v>13</v>
      </c>
      <c r="R106" s="37">
        <v>0</v>
      </c>
      <c r="S106" s="37">
        <v>0</v>
      </c>
      <c r="T106" s="37">
        <v>0</v>
      </c>
      <c r="U106" s="37">
        <v>39.39</v>
      </c>
      <c r="V106" s="37">
        <v>24.24</v>
      </c>
      <c r="W106" s="37">
        <v>36.36</v>
      </c>
      <c r="X106" s="37">
        <v>22.22</v>
      </c>
      <c r="Y106" s="37">
        <v>33.33</v>
      </c>
      <c r="Z106" s="37">
        <v>44.44</v>
      </c>
      <c r="AA106" s="37">
        <v>50</v>
      </c>
      <c r="AB106" s="37">
        <v>15.38</v>
      </c>
      <c r="AC106" s="24">
        <f t="shared" si="9"/>
        <v>4.1409999999999991</v>
      </c>
      <c r="AD106" s="25">
        <f t="shared" si="10"/>
        <v>-4.1409999999999991</v>
      </c>
      <c r="AE106" s="23" t="str">
        <f t="shared" si="11"/>
        <v>Loss</v>
      </c>
      <c r="AF106" s="23" t="str">
        <f t="shared" si="12"/>
        <v>Win</v>
      </c>
      <c r="AG106" s="23" t="str">
        <f t="shared" si="13"/>
        <v>Loss</v>
      </c>
      <c r="AH106" s="23">
        <f t="shared" si="14"/>
        <v>-50</v>
      </c>
      <c r="AI106" s="23">
        <f t="shared" si="15"/>
        <v>148.5</v>
      </c>
      <c r="AJ106" s="23">
        <f t="shared" si="16"/>
        <v>-50</v>
      </c>
    </row>
    <row r="107" spans="1:36" x14ac:dyDescent="0.2">
      <c r="A107" s="36">
        <v>43614</v>
      </c>
      <c r="B107" s="37" t="s">
        <v>428</v>
      </c>
      <c r="C107" s="37" t="s">
        <v>440</v>
      </c>
      <c r="D107" s="37" t="s">
        <v>444</v>
      </c>
      <c r="E107" s="37" t="s">
        <v>445</v>
      </c>
      <c r="F107" s="37" t="s">
        <v>446</v>
      </c>
      <c r="G107" s="37">
        <v>0</v>
      </c>
      <c r="H107" s="37">
        <v>1</v>
      </c>
      <c r="I107" s="37">
        <v>2.13</v>
      </c>
      <c r="J107" s="37">
        <v>3.43</v>
      </c>
      <c r="K107" s="37">
        <v>3.2</v>
      </c>
      <c r="L107" s="37">
        <v>-1.07</v>
      </c>
      <c r="M107" s="37">
        <v>11</v>
      </c>
      <c r="N107" s="37">
        <v>27</v>
      </c>
      <c r="O107" s="37">
        <v>0</v>
      </c>
      <c r="P107" s="37">
        <v>5</v>
      </c>
      <c r="Q107" s="37">
        <v>12</v>
      </c>
      <c r="R107" s="37">
        <v>0</v>
      </c>
      <c r="S107" s="37">
        <v>0</v>
      </c>
      <c r="T107" s="37">
        <v>0</v>
      </c>
      <c r="U107" s="37">
        <v>54.55</v>
      </c>
      <c r="V107" s="37">
        <v>27.27</v>
      </c>
      <c r="W107" s="37">
        <v>18.18</v>
      </c>
      <c r="X107" s="37">
        <v>48.15</v>
      </c>
      <c r="Y107" s="37">
        <v>22.22</v>
      </c>
      <c r="Z107" s="37">
        <v>29.63</v>
      </c>
      <c r="AA107" s="37">
        <v>80</v>
      </c>
      <c r="AB107" s="37">
        <v>33.33</v>
      </c>
      <c r="AC107" s="24">
        <f t="shared" si="9"/>
        <v>4.0750000000000011</v>
      </c>
      <c r="AD107" s="25">
        <f t="shared" si="10"/>
        <v>-4.0750000000000011</v>
      </c>
      <c r="AE107" s="23" t="str">
        <f t="shared" si="11"/>
        <v>Loss</v>
      </c>
      <c r="AF107" s="23" t="str">
        <f t="shared" si="12"/>
        <v>Loss</v>
      </c>
      <c r="AG107" s="23" t="str">
        <f t="shared" si="13"/>
        <v>Win</v>
      </c>
      <c r="AH107" s="23">
        <f t="shared" si="14"/>
        <v>-50</v>
      </c>
      <c r="AI107" s="23">
        <f t="shared" si="15"/>
        <v>-50</v>
      </c>
      <c r="AJ107" s="23">
        <f t="shared" si="16"/>
        <v>110</v>
      </c>
    </row>
    <row r="108" spans="1:36" x14ac:dyDescent="0.2">
      <c r="A108" s="36">
        <v>43614</v>
      </c>
      <c r="B108" s="37" t="s">
        <v>428</v>
      </c>
      <c r="C108" s="37" t="s">
        <v>440</v>
      </c>
      <c r="D108" s="37" t="s">
        <v>447</v>
      </c>
      <c r="E108" s="37" t="s">
        <v>448</v>
      </c>
      <c r="F108" s="37" t="s">
        <v>449</v>
      </c>
      <c r="G108" s="37">
        <v>1</v>
      </c>
      <c r="H108" s="37">
        <v>0</v>
      </c>
      <c r="I108" s="37">
        <v>6.38</v>
      </c>
      <c r="J108" s="37">
        <v>3.91</v>
      </c>
      <c r="K108" s="37">
        <v>1.51</v>
      </c>
      <c r="L108" s="37">
        <v>4.87</v>
      </c>
      <c r="M108" s="37">
        <v>60</v>
      </c>
      <c r="N108" s="37">
        <v>26</v>
      </c>
      <c r="O108" s="37">
        <v>1</v>
      </c>
      <c r="P108" s="37">
        <v>29</v>
      </c>
      <c r="Q108" s="37">
        <v>13</v>
      </c>
      <c r="R108" s="37">
        <v>0</v>
      </c>
      <c r="S108" s="37">
        <v>0</v>
      </c>
      <c r="T108" s="37">
        <v>100</v>
      </c>
      <c r="U108" s="37">
        <v>56.67</v>
      </c>
      <c r="V108" s="37">
        <v>15</v>
      </c>
      <c r="W108" s="37">
        <v>28.33</v>
      </c>
      <c r="X108" s="37">
        <v>46.15</v>
      </c>
      <c r="Y108" s="37">
        <v>19.23</v>
      </c>
      <c r="Z108" s="37">
        <v>34.619999999999997</v>
      </c>
      <c r="AA108" s="37">
        <v>55.17</v>
      </c>
      <c r="AB108" s="37">
        <v>46.15</v>
      </c>
      <c r="AC108" s="24">
        <f t="shared" si="9"/>
        <v>-27.061</v>
      </c>
      <c r="AD108" s="25">
        <f t="shared" si="10"/>
        <v>27.061</v>
      </c>
      <c r="AE108" s="23" t="str">
        <f t="shared" si="11"/>
        <v>Win</v>
      </c>
      <c r="AF108" s="23" t="str">
        <f t="shared" si="12"/>
        <v>Loss</v>
      </c>
      <c r="AG108" s="23" t="str">
        <f t="shared" si="13"/>
        <v>Loss</v>
      </c>
      <c r="AH108" s="23">
        <f t="shared" si="14"/>
        <v>269</v>
      </c>
      <c r="AI108" s="23">
        <f t="shared" si="15"/>
        <v>-50</v>
      </c>
      <c r="AJ108" s="23">
        <f t="shared" si="16"/>
        <v>-50</v>
      </c>
    </row>
    <row r="109" spans="1:36" x14ac:dyDescent="0.2">
      <c r="A109" s="36">
        <v>43614</v>
      </c>
      <c r="B109" s="37" t="s">
        <v>450</v>
      </c>
      <c r="C109" s="37" t="s">
        <v>451</v>
      </c>
      <c r="D109" s="37" t="s">
        <v>452</v>
      </c>
      <c r="E109" s="37" t="s">
        <v>453</v>
      </c>
      <c r="F109" s="37" t="s">
        <v>454</v>
      </c>
      <c r="G109" s="37">
        <v>0</v>
      </c>
      <c r="H109" s="37">
        <v>2</v>
      </c>
      <c r="I109" s="37">
        <v>2.89</v>
      </c>
      <c r="J109" s="37">
        <v>3.07</v>
      </c>
      <c r="K109" s="37">
        <v>2.31</v>
      </c>
      <c r="L109" s="37">
        <v>0.57999999999999996</v>
      </c>
      <c r="M109" s="37">
        <v>12</v>
      </c>
      <c r="N109" s="37">
        <v>38</v>
      </c>
      <c r="O109" s="37">
        <v>0</v>
      </c>
      <c r="P109" s="37">
        <v>5</v>
      </c>
      <c r="Q109" s="37">
        <v>19</v>
      </c>
      <c r="R109" s="37">
        <v>0</v>
      </c>
      <c r="S109" s="37">
        <v>0</v>
      </c>
      <c r="T109" s="37">
        <v>0</v>
      </c>
      <c r="U109" s="37">
        <v>33.33</v>
      </c>
      <c r="V109" s="37">
        <v>33.33</v>
      </c>
      <c r="W109" s="37">
        <v>33.33</v>
      </c>
      <c r="X109" s="37">
        <v>21.05</v>
      </c>
      <c r="Y109" s="37">
        <v>47.37</v>
      </c>
      <c r="Z109" s="37">
        <v>31.58</v>
      </c>
      <c r="AA109" s="37">
        <v>40</v>
      </c>
      <c r="AB109" s="37">
        <v>15.79</v>
      </c>
      <c r="AC109" s="24">
        <f t="shared" si="9"/>
        <v>0.70199999999999996</v>
      </c>
      <c r="AD109" s="25">
        <f t="shared" si="10"/>
        <v>-0.70199999999999996</v>
      </c>
      <c r="AE109" s="23" t="str">
        <f t="shared" si="11"/>
        <v>Loss</v>
      </c>
      <c r="AF109" s="23" t="str">
        <f t="shared" si="12"/>
        <v>Loss</v>
      </c>
      <c r="AG109" s="23" t="str">
        <f t="shared" si="13"/>
        <v>Win</v>
      </c>
      <c r="AH109" s="23">
        <f t="shared" si="14"/>
        <v>-50</v>
      </c>
      <c r="AI109" s="23">
        <f t="shared" si="15"/>
        <v>-50</v>
      </c>
      <c r="AJ109" s="23">
        <f t="shared" si="16"/>
        <v>65.5</v>
      </c>
    </row>
    <row r="110" spans="1:36" x14ac:dyDescent="0.2">
      <c r="A110" s="36">
        <v>43614</v>
      </c>
      <c r="B110" s="37" t="s">
        <v>226</v>
      </c>
      <c r="C110" s="37" t="s">
        <v>455</v>
      </c>
      <c r="D110" s="37" t="s">
        <v>456</v>
      </c>
      <c r="E110" s="37" t="s">
        <v>457</v>
      </c>
      <c r="F110" s="37" t="s">
        <v>458</v>
      </c>
      <c r="G110" s="37">
        <v>3</v>
      </c>
      <c r="H110" s="37">
        <v>3</v>
      </c>
      <c r="I110" s="37">
        <v>2.0299999999999998</v>
      </c>
      <c r="J110" s="37">
        <v>3.35</v>
      </c>
      <c r="K110" s="37">
        <v>3.48</v>
      </c>
      <c r="L110" s="37">
        <v>-1.45</v>
      </c>
      <c r="M110" s="37">
        <v>38</v>
      </c>
      <c r="N110" s="37">
        <v>41</v>
      </c>
      <c r="O110" s="37">
        <v>0</v>
      </c>
      <c r="P110" s="37">
        <v>18</v>
      </c>
      <c r="Q110" s="37">
        <v>21</v>
      </c>
      <c r="R110" s="37">
        <v>0</v>
      </c>
      <c r="S110" s="37">
        <v>0</v>
      </c>
      <c r="T110" s="37">
        <v>0</v>
      </c>
      <c r="U110" s="37">
        <v>60.53</v>
      </c>
      <c r="V110" s="37">
        <v>15.79</v>
      </c>
      <c r="W110" s="37">
        <v>23.68</v>
      </c>
      <c r="X110" s="37">
        <v>36.590000000000003</v>
      </c>
      <c r="Y110" s="37">
        <v>17.07</v>
      </c>
      <c r="Z110" s="37">
        <v>46.34</v>
      </c>
      <c r="AA110" s="37">
        <v>61.11</v>
      </c>
      <c r="AB110" s="37">
        <v>19.05</v>
      </c>
      <c r="AC110" s="24">
        <f t="shared" si="9"/>
        <v>9.1920000000000002</v>
      </c>
      <c r="AD110" s="25">
        <f t="shared" si="10"/>
        <v>-9.1920000000000002</v>
      </c>
      <c r="AE110" s="23" t="str">
        <f t="shared" si="11"/>
        <v>Loss</v>
      </c>
      <c r="AF110" s="23" t="str">
        <f t="shared" si="12"/>
        <v>Win</v>
      </c>
      <c r="AG110" s="23" t="str">
        <f t="shared" si="13"/>
        <v>Loss</v>
      </c>
      <c r="AH110" s="23">
        <f t="shared" si="14"/>
        <v>-50</v>
      </c>
      <c r="AI110" s="23">
        <f t="shared" si="15"/>
        <v>117.5</v>
      </c>
      <c r="AJ110" s="23">
        <f t="shared" si="16"/>
        <v>-50</v>
      </c>
    </row>
    <row r="111" spans="1:36" x14ac:dyDescent="0.2">
      <c r="A111" s="36">
        <v>43614</v>
      </c>
      <c r="B111" s="37" t="s">
        <v>226</v>
      </c>
      <c r="C111" s="37" t="s">
        <v>340</v>
      </c>
      <c r="D111" s="37" t="s">
        <v>459</v>
      </c>
      <c r="E111" s="37" t="s">
        <v>460</v>
      </c>
      <c r="F111" s="37" t="s">
        <v>461</v>
      </c>
      <c r="G111" s="37">
        <v>2</v>
      </c>
      <c r="H111" s="37">
        <v>1</v>
      </c>
      <c r="I111" s="37">
        <v>1.61</v>
      </c>
      <c r="J111" s="37">
        <v>3.99</v>
      </c>
      <c r="K111" s="37">
        <v>4.3099999999999996</v>
      </c>
      <c r="L111" s="37">
        <v>-2.7</v>
      </c>
      <c r="M111" s="37">
        <v>29</v>
      </c>
      <c r="N111" s="37">
        <v>30</v>
      </c>
      <c r="O111" s="37">
        <v>1</v>
      </c>
      <c r="P111" s="37">
        <v>14</v>
      </c>
      <c r="Q111" s="37">
        <v>14</v>
      </c>
      <c r="R111" s="37">
        <v>0</v>
      </c>
      <c r="S111" s="37">
        <v>0</v>
      </c>
      <c r="T111" s="37">
        <v>100</v>
      </c>
      <c r="U111" s="37">
        <v>37.93</v>
      </c>
      <c r="V111" s="37">
        <v>0</v>
      </c>
      <c r="W111" s="37">
        <v>62.07</v>
      </c>
      <c r="X111" s="37">
        <v>46.67</v>
      </c>
      <c r="Y111" s="37">
        <v>0</v>
      </c>
      <c r="Z111" s="37">
        <v>53.33</v>
      </c>
      <c r="AA111" s="37">
        <v>50</v>
      </c>
      <c r="AB111" s="37">
        <v>35.71</v>
      </c>
      <c r="AC111" s="24">
        <f t="shared" si="9"/>
        <v>-33.496000000000009</v>
      </c>
      <c r="AD111" s="25">
        <f t="shared" si="10"/>
        <v>33.496000000000009</v>
      </c>
      <c r="AE111" s="23" t="str">
        <f t="shared" si="11"/>
        <v>Win</v>
      </c>
      <c r="AF111" s="23" t="str">
        <f t="shared" si="12"/>
        <v>Loss</v>
      </c>
      <c r="AG111" s="23" t="str">
        <f t="shared" si="13"/>
        <v>Loss</v>
      </c>
      <c r="AH111" s="23">
        <f t="shared" si="14"/>
        <v>30.5</v>
      </c>
      <c r="AI111" s="23">
        <f t="shared" si="15"/>
        <v>-50</v>
      </c>
      <c r="AJ111" s="23">
        <f t="shared" si="16"/>
        <v>-50</v>
      </c>
    </row>
    <row r="112" spans="1:36" x14ac:dyDescent="0.2">
      <c r="A112" s="36">
        <v>43614</v>
      </c>
      <c r="B112" s="37" t="s">
        <v>226</v>
      </c>
      <c r="C112" s="37" t="s">
        <v>462</v>
      </c>
      <c r="D112" s="37" t="s">
        <v>463</v>
      </c>
      <c r="E112" s="37" t="s">
        <v>464</v>
      </c>
      <c r="F112" s="37" t="s">
        <v>465</v>
      </c>
      <c r="G112" s="37">
        <v>1</v>
      </c>
      <c r="H112" s="37">
        <v>2</v>
      </c>
      <c r="I112" s="37">
        <v>2.31</v>
      </c>
      <c r="J112" s="37">
        <v>3.7</v>
      </c>
      <c r="K112" s="37">
        <v>2.5</v>
      </c>
      <c r="L112" s="37">
        <v>-0.19</v>
      </c>
      <c r="M112" s="37">
        <v>26</v>
      </c>
      <c r="N112" s="37">
        <v>29</v>
      </c>
      <c r="O112" s="37">
        <v>1</v>
      </c>
      <c r="P112" s="37">
        <v>13</v>
      </c>
      <c r="Q112" s="37">
        <v>15</v>
      </c>
      <c r="R112" s="37">
        <v>100</v>
      </c>
      <c r="S112" s="37">
        <v>0</v>
      </c>
      <c r="T112" s="37">
        <v>0</v>
      </c>
      <c r="U112" s="37">
        <v>38.46</v>
      </c>
      <c r="V112" s="37">
        <v>30.77</v>
      </c>
      <c r="W112" s="37">
        <v>30.77</v>
      </c>
      <c r="X112" s="37">
        <v>48.28</v>
      </c>
      <c r="Y112" s="37">
        <v>17.239999999999998</v>
      </c>
      <c r="Z112" s="37">
        <v>34.479999999999997</v>
      </c>
      <c r="AA112" s="37">
        <v>46.15</v>
      </c>
      <c r="AB112" s="37">
        <v>60</v>
      </c>
      <c r="AC112" s="24">
        <f t="shared" si="9"/>
        <v>30.130999999999997</v>
      </c>
      <c r="AD112" s="25">
        <f t="shared" si="10"/>
        <v>-30.130999999999997</v>
      </c>
      <c r="AE112" s="23" t="str">
        <f t="shared" si="11"/>
        <v>Loss</v>
      </c>
      <c r="AF112" s="23" t="str">
        <f t="shared" si="12"/>
        <v>Loss</v>
      </c>
      <c r="AG112" s="23" t="str">
        <f t="shared" si="13"/>
        <v>Win</v>
      </c>
      <c r="AH112" s="23">
        <f t="shared" si="14"/>
        <v>-50</v>
      </c>
      <c r="AI112" s="23">
        <f t="shared" si="15"/>
        <v>-50</v>
      </c>
      <c r="AJ112" s="23">
        <f t="shared" si="16"/>
        <v>75</v>
      </c>
    </row>
    <row r="113" spans="1:36" x14ac:dyDescent="0.2">
      <c r="A113" s="36">
        <v>43614</v>
      </c>
      <c r="B113" s="37" t="s">
        <v>466</v>
      </c>
      <c r="C113" s="37" t="s">
        <v>467</v>
      </c>
      <c r="D113" s="37" t="s">
        <v>468</v>
      </c>
      <c r="E113" s="37" t="s">
        <v>469</v>
      </c>
      <c r="F113" s="37" t="s">
        <v>470</v>
      </c>
      <c r="G113" s="37">
        <v>1</v>
      </c>
      <c r="H113" s="37">
        <v>3</v>
      </c>
      <c r="I113" s="37">
        <v>2.4700000000000002</v>
      </c>
      <c r="J113" s="37">
        <v>3.31</v>
      </c>
      <c r="K113" s="37">
        <v>2.69</v>
      </c>
      <c r="L113" s="37">
        <v>-0.22</v>
      </c>
      <c r="M113" s="37">
        <v>1</v>
      </c>
      <c r="N113" s="37">
        <v>40</v>
      </c>
      <c r="O113" s="37">
        <v>1</v>
      </c>
      <c r="P113" s="37">
        <v>0</v>
      </c>
      <c r="Q113" s="37">
        <v>20</v>
      </c>
      <c r="R113" s="37">
        <v>0</v>
      </c>
      <c r="S113" s="37">
        <v>0</v>
      </c>
      <c r="T113" s="37">
        <v>100</v>
      </c>
      <c r="U113" s="37">
        <v>0</v>
      </c>
      <c r="V113" s="37">
        <v>0</v>
      </c>
      <c r="W113" s="37">
        <v>100</v>
      </c>
      <c r="X113" s="37">
        <v>30</v>
      </c>
      <c r="Y113" s="37">
        <v>37.5</v>
      </c>
      <c r="Z113" s="37">
        <v>32.5</v>
      </c>
      <c r="AA113" s="37">
        <v>0</v>
      </c>
      <c r="AB113" s="37">
        <v>25</v>
      </c>
      <c r="AC113" s="24">
        <f t="shared" si="9"/>
        <v>-53.25</v>
      </c>
      <c r="AD113" s="25">
        <f t="shared" si="10"/>
        <v>53.25</v>
      </c>
      <c r="AE113" s="23" t="str">
        <f t="shared" si="11"/>
        <v>Loss</v>
      </c>
      <c r="AF113" s="23" t="str">
        <f t="shared" si="12"/>
        <v>Loss</v>
      </c>
      <c r="AG113" s="23" t="str">
        <f t="shared" si="13"/>
        <v>Win</v>
      </c>
      <c r="AH113" s="23">
        <f t="shared" si="14"/>
        <v>-50</v>
      </c>
      <c r="AI113" s="23">
        <f t="shared" si="15"/>
        <v>-50</v>
      </c>
      <c r="AJ113" s="23">
        <f t="shared" si="16"/>
        <v>84.5</v>
      </c>
    </row>
    <row r="114" spans="1:36" x14ac:dyDescent="0.2">
      <c r="A114" s="36">
        <v>43614</v>
      </c>
      <c r="B114" s="37" t="s">
        <v>315</v>
      </c>
      <c r="C114" s="37" t="s">
        <v>316</v>
      </c>
      <c r="D114" s="37" t="s">
        <v>471</v>
      </c>
      <c r="E114" s="37" t="s">
        <v>472</v>
      </c>
      <c r="F114" s="37" t="s">
        <v>473</v>
      </c>
      <c r="G114" s="37">
        <v>0</v>
      </c>
      <c r="H114" s="37">
        <v>2</v>
      </c>
      <c r="I114" s="37">
        <v>1.85</v>
      </c>
      <c r="J114" s="37">
        <v>3.6</v>
      </c>
      <c r="K114" s="37">
        <v>3.47</v>
      </c>
      <c r="L114" s="37">
        <v>-1.62</v>
      </c>
      <c r="M114" s="37">
        <v>20</v>
      </c>
      <c r="N114" s="37">
        <v>26</v>
      </c>
      <c r="O114" s="37">
        <v>1</v>
      </c>
      <c r="P114" s="37">
        <v>11</v>
      </c>
      <c r="Q114" s="37">
        <v>13</v>
      </c>
      <c r="R114" s="37">
        <v>100</v>
      </c>
      <c r="S114" s="37">
        <v>0</v>
      </c>
      <c r="T114" s="37">
        <v>0</v>
      </c>
      <c r="U114" s="37">
        <v>70</v>
      </c>
      <c r="V114" s="37">
        <v>15</v>
      </c>
      <c r="W114" s="37">
        <v>15</v>
      </c>
      <c r="X114" s="37">
        <v>57.69</v>
      </c>
      <c r="Y114" s="37">
        <v>23.08</v>
      </c>
      <c r="Z114" s="37">
        <v>19.23</v>
      </c>
      <c r="AA114" s="37">
        <v>90.91</v>
      </c>
      <c r="AB114" s="37">
        <v>38.46</v>
      </c>
      <c r="AC114" s="24">
        <f t="shared" si="9"/>
        <v>32.5</v>
      </c>
      <c r="AD114" s="25">
        <f t="shared" si="10"/>
        <v>-32.5</v>
      </c>
      <c r="AE114" s="23" t="str">
        <f t="shared" si="11"/>
        <v>Loss</v>
      </c>
      <c r="AF114" s="23" t="str">
        <f t="shared" si="12"/>
        <v>Loss</v>
      </c>
      <c r="AG114" s="23" t="str">
        <f t="shared" si="13"/>
        <v>Win</v>
      </c>
      <c r="AH114" s="23">
        <f t="shared" si="14"/>
        <v>-50</v>
      </c>
      <c r="AI114" s="23">
        <f t="shared" si="15"/>
        <v>-50</v>
      </c>
      <c r="AJ114" s="23">
        <f t="shared" si="16"/>
        <v>123.5</v>
      </c>
    </row>
    <row r="115" spans="1:36" x14ac:dyDescent="0.2">
      <c r="A115" s="36">
        <v>43614</v>
      </c>
      <c r="B115" s="37" t="s">
        <v>315</v>
      </c>
      <c r="C115" s="37" t="s">
        <v>378</v>
      </c>
      <c r="D115" s="37" t="s">
        <v>474</v>
      </c>
      <c r="E115" s="37" t="s">
        <v>475</v>
      </c>
      <c r="F115" s="37" t="s">
        <v>476</v>
      </c>
      <c r="G115" s="37">
        <v>0</v>
      </c>
      <c r="H115" s="37">
        <v>2</v>
      </c>
      <c r="I115" s="37">
        <v>3.8</v>
      </c>
      <c r="J115" s="37">
        <v>3.69</v>
      </c>
      <c r="K115" s="37">
        <v>1.77</v>
      </c>
      <c r="L115" s="37">
        <v>2.0299999999999998</v>
      </c>
      <c r="M115" s="37">
        <v>29</v>
      </c>
      <c r="N115" s="37">
        <v>29</v>
      </c>
      <c r="O115" s="37">
        <v>1</v>
      </c>
      <c r="P115" s="37">
        <v>13</v>
      </c>
      <c r="Q115" s="37">
        <v>13</v>
      </c>
      <c r="R115" s="37">
        <v>0</v>
      </c>
      <c r="S115" s="37">
        <v>0</v>
      </c>
      <c r="T115" s="37">
        <v>100</v>
      </c>
      <c r="U115" s="37">
        <v>24.14</v>
      </c>
      <c r="V115" s="37">
        <v>27.59</v>
      </c>
      <c r="W115" s="37">
        <v>48.28</v>
      </c>
      <c r="X115" s="37">
        <v>62.07</v>
      </c>
      <c r="Y115" s="37">
        <v>17.239999999999998</v>
      </c>
      <c r="Z115" s="37">
        <v>20.69</v>
      </c>
      <c r="AA115" s="37">
        <v>30.77</v>
      </c>
      <c r="AB115" s="37">
        <v>46.15</v>
      </c>
      <c r="AC115" s="24">
        <f t="shared" si="9"/>
        <v>-42.069000000000003</v>
      </c>
      <c r="AD115" s="25">
        <f t="shared" si="10"/>
        <v>42.069000000000003</v>
      </c>
      <c r="AE115" s="23" t="str">
        <f t="shared" si="11"/>
        <v>Loss</v>
      </c>
      <c r="AF115" s="23" t="str">
        <f t="shared" si="12"/>
        <v>Loss</v>
      </c>
      <c r="AG115" s="23" t="str">
        <f t="shared" si="13"/>
        <v>Win</v>
      </c>
      <c r="AH115" s="23">
        <f t="shared" si="14"/>
        <v>-50</v>
      </c>
      <c r="AI115" s="23">
        <f t="shared" si="15"/>
        <v>-50</v>
      </c>
      <c r="AJ115" s="23">
        <f t="shared" si="16"/>
        <v>38.5</v>
      </c>
    </row>
    <row r="116" spans="1:36" x14ac:dyDescent="0.2">
      <c r="A116" s="36">
        <v>43614</v>
      </c>
      <c r="B116" s="37" t="s">
        <v>477</v>
      </c>
      <c r="C116" s="37" t="s">
        <v>478</v>
      </c>
      <c r="D116" s="37" t="s">
        <v>479</v>
      </c>
      <c r="E116" s="37" t="s">
        <v>480</v>
      </c>
      <c r="F116" s="37" t="s">
        <v>481</v>
      </c>
      <c r="G116" s="37">
        <v>1</v>
      </c>
      <c r="H116" s="37">
        <v>1</v>
      </c>
      <c r="I116" s="37">
        <v>1.22</v>
      </c>
      <c r="J116" s="37">
        <v>5.83</v>
      </c>
      <c r="K116" s="37">
        <v>7.98</v>
      </c>
      <c r="L116" s="37">
        <v>-6.76</v>
      </c>
      <c r="M116" s="37">
        <v>19</v>
      </c>
      <c r="N116" s="37">
        <v>7</v>
      </c>
      <c r="O116" s="37">
        <v>1</v>
      </c>
      <c r="P116" s="37">
        <v>10</v>
      </c>
      <c r="Q116" s="37">
        <v>4</v>
      </c>
      <c r="R116" s="37">
        <v>100</v>
      </c>
      <c r="S116" s="37">
        <v>0</v>
      </c>
      <c r="T116" s="37">
        <v>0</v>
      </c>
      <c r="U116" s="37">
        <v>42.11</v>
      </c>
      <c r="V116" s="37">
        <v>15.79</v>
      </c>
      <c r="W116" s="37">
        <v>42.11</v>
      </c>
      <c r="X116" s="37">
        <v>0</v>
      </c>
      <c r="Y116" s="37">
        <v>0</v>
      </c>
      <c r="Z116" s="37">
        <v>100</v>
      </c>
      <c r="AA116" s="37">
        <v>50</v>
      </c>
      <c r="AB116" s="37">
        <v>0</v>
      </c>
      <c r="AC116" s="24">
        <f t="shared" si="9"/>
        <v>51.578999999999994</v>
      </c>
      <c r="AD116" s="25">
        <f t="shared" si="10"/>
        <v>-51.578999999999994</v>
      </c>
      <c r="AE116" s="23" t="str">
        <f t="shared" si="11"/>
        <v>Loss</v>
      </c>
      <c r="AF116" s="23" t="str">
        <f t="shared" si="12"/>
        <v>Win</v>
      </c>
      <c r="AG116" s="23" t="str">
        <f t="shared" si="13"/>
        <v>Loss</v>
      </c>
      <c r="AH116" s="23">
        <f t="shared" si="14"/>
        <v>-50</v>
      </c>
      <c r="AI116" s="23">
        <f t="shared" si="15"/>
        <v>241.5</v>
      </c>
      <c r="AJ116" s="23">
        <f t="shared" si="16"/>
        <v>-50</v>
      </c>
    </row>
    <row r="117" spans="1:36" x14ac:dyDescent="0.2">
      <c r="A117" s="36">
        <v>43614</v>
      </c>
      <c r="B117" s="37" t="s">
        <v>106</v>
      </c>
      <c r="C117" s="37" t="s">
        <v>107</v>
      </c>
      <c r="D117" s="37" t="s">
        <v>482</v>
      </c>
      <c r="E117" s="37" t="s">
        <v>483</v>
      </c>
      <c r="F117" s="37" t="s">
        <v>484</v>
      </c>
      <c r="G117" s="37">
        <v>1</v>
      </c>
      <c r="H117" s="37">
        <v>1</v>
      </c>
      <c r="I117" s="37">
        <v>1.99</v>
      </c>
      <c r="J117" s="37">
        <v>3.62</v>
      </c>
      <c r="K117" s="37">
        <v>2.96</v>
      </c>
      <c r="L117" s="37">
        <v>-0.97</v>
      </c>
      <c r="M117" s="37">
        <v>0</v>
      </c>
      <c r="N117" s="37">
        <v>1</v>
      </c>
      <c r="O117" s="37">
        <v>0</v>
      </c>
      <c r="P117" s="37">
        <v>0</v>
      </c>
      <c r="Q117" s="37">
        <v>0</v>
      </c>
      <c r="R117" s="37">
        <v>0</v>
      </c>
      <c r="S117" s="37">
        <v>0</v>
      </c>
      <c r="T117" s="37">
        <v>0</v>
      </c>
      <c r="U117" s="37">
        <v>0</v>
      </c>
      <c r="V117" s="37">
        <v>0</v>
      </c>
      <c r="W117" s="37">
        <v>0</v>
      </c>
      <c r="X117" s="37">
        <v>100</v>
      </c>
      <c r="Y117" s="37">
        <v>0</v>
      </c>
      <c r="Z117" s="37">
        <v>0</v>
      </c>
      <c r="AA117" s="37">
        <v>0</v>
      </c>
      <c r="AB117" s="37">
        <v>0</v>
      </c>
      <c r="AC117" s="24">
        <f t="shared" si="9"/>
        <v>-20</v>
      </c>
      <c r="AD117" s="25">
        <f t="shared" si="10"/>
        <v>20</v>
      </c>
      <c r="AE117" s="23" t="str">
        <f t="shared" si="11"/>
        <v>Loss</v>
      </c>
      <c r="AF117" s="23" t="str">
        <f t="shared" si="12"/>
        <v>Win</v>
      </c>
      <c r="AG117" s="23" t="str">
        <f t="shared" si="13"/>
        <v>Loss</v>
      </c>
      <c r="AH117" s="23">
        <f t="shared" si="14"/>
        <v>-50</v>
      </c>
      <c r="AI117" s="23">
        <f t="shared" si="15"/>
        <v>131</v>
      </c>
      <c r="AJ117" s="23">
        <f t="shared" si="16"/>
        <v>-50</v>
      </c>
    </row>
    <row r="118" spans="1:36" x14ac:dyDescent="0.2">
      <c r="A118" s="36">
        <v>43614</v>
      </c>
      <c r="B118" s="37" t="s">
        <v>170</v>
      </c>
      <c r="C118" s="37" t="s">
        <v>205</v>
      </c>
      <c r="D118" s="37" t="s">
        <v>485</v>
      </c>
      <c r="E118" s="37" t="s">
        <v>486</v>
      </c>
      <c r="F118" s="37" t="s">
        <v>487</v>
      </c>
      <c r="G118" s="37">
        <v>0</v>
      </c>
      <c r="H118" s="37">
        <v>4</v>
      </c>
      <c r="I118" s="37">
        <v>1.65</v>
      </c>
      <c r="J118" s="37">
        <v>3.4</v>
      </c>
      <c r="K118" s="37">
        <v>3.3</v>
      </c>
      <c r="L118" s="37">
        <v>-1.65</v>
      </c>
      <c r="M118" s="37">
        <v>0</v>
      </c>
      <c r="N118" s="37">
        <v>26</v>
      </c>
      <c r="O118" s="37">
        <v>0</v>
      </c>
      <c r="P118" s="37">
        <v>0</v>
      </c>
      <c r="Q118" s="37">
        <v>14</v>
      </c>
      <c r="R118" s="37">
        <v>0</v>
      </c>
      <c r="S118" s="37">
        <v>0</v>
      </c>
      <c r="T118" s="37">
        <v>0</v>
      </c>
      <c r="U118" s="37">
        <v>0</v>
      </c>
      <c r="V118" s="37">
        <v>0</v>
      </c>
      <c r="W118" s="37">
        <v>0</v>
      </c>
      <c r="X118" s="37">
        <v>3.85</v>
      </c>
      <c r="Y118" s="37">
        <v>34.619999999999997</v>
      </c>
      <c r="Z118" s="37">
        <v>61.54</v>
      </c>
      <c r="AA118" s="37">
        <v>0</v>
      </c>
      <c r="AB118" s="37">
        <v>0</v>
      </c>
      <c r="AC118" s="24">
        <f t="shared" si="9"/>
        <v>8.0760000000000005</v>
      </c>
      <c r="AD118" s="25">
        <f t="shared" si="10"/>
        <v>-8.0760000000000005</v>
      </c>
      <c r="AE118" s="23" t="str">
        <f t="shared" si="11"/>
        <v>Loss</v>
      </c>
      <c r="AF118" s="23" t="str">
        <f t="shared" si="12"/>
        <v>Loss</v>
      </c>
      <c r="AG118" s="23" t="str">
        <f t="shared" si="13"/>
        <v>Win</v>
      </c>
      <c r="AH118" s="23">
        <f t="shared" si="14"/>
        <v>-50</v>
      </c>
      <c r="AI118" s="23">
        <f t="shared" si="15"/>
        <v>-50</v>
      </c>
      <c r="AJ118" s="23">
        <f t="shared" si="16"/>
        <v>115</v>
      </c>
    </row>
    <row r="119" spans="1:36" x14ac:dyDescent="0.2">
      <c r="A119" s="36">
        <v>43614</v>
      </c>
      <c r="B119" s="37" t="s">
        <v>488</v>
      </c>
      <c r="C119" s="37" t="s">
        <v>489</v>
      </c>
      <c r="D119" s="37" t="s">
        <v>490</v>
      </c>
      <c r="E119" s="37" t="s">
        <v>491</v>
      </c>
      <c r="F119" s="37" t="s">
        <v>492</v>
      </c>
      <c r="G119" s="37">
        <v>1</v>
      </c>
      <c r="H119" s="37">
        <v>0</v>
      </c>
      <c r="I119" s="37">
        <v>1.55</v>
      </c>
      <c r="J119" s="37">
        <v>4.41</v>
      </c>
      <c r="K119" s="37">
        <v>5.1100000000000003</v>
      </c>
      <c r="L119" s="37">
        <v>-3.56</v>
      </c>
      <c r="M119" s="37">
        <v>5</v>
      </c>
      <c r="N119" s="37">
        <v>7</v>
      </c>
      <c r="O119" s="37">
        <v>0</v>
      </c>
      <c r="P119" s="37">
        <v>3</v>
      </c>
      <c r="Q119" s="37">
        <v>1</v>
      </c>
      <c r="R119" s="37">
        <v>0</v>
      </c>
      <c r="S119" s="37">
        <v>0</v>
      </c>
      <c r="T119" s="37">
        <v>0</v>
      </c>
      <c r="U119" s="37">
        <v>0</v>
      </c>
      <c r="V119" s="37">
        <v>60</v>
      </c>
      <c r="W119" s="37">
        <v>40</v>
      </c>
      <c r="X119" s="37">
        <v>28.57</v>
      </c>
      <c r="Y119" s="37">
        <v>14.29</v>
      </c>
      <c r="Z119" s="37">
        <v>57.14</v>
      </c>
      <c r="AA119" s="37">
        <v>0</v>
      </c>
      <c r="AB119" s="37">
        <v>100</v>
      </c>
      <c r="AC119" s="24">
        <f t="shared" si="9"/>
        <v>2.2850000000000001</v>
      </c>
      <c r="AD119" s="25">
        <f t="shared" si="10"/>
        <v>-2.2850000000000001</v>
      </c>
      <c r="AE119" s="23" t="str">
        <f t="shared" si="11"/>
        <v>Win</v>
      </c>
      <c r="AF119" s="23" t="str">
        <f t="shared" si="12"/>
        <v>Loss</v>
      </c>
      <c r="AG119" s="23" t="str">
        <f t="shared" si="13"/>
        <v>Loss</v>
      </c>
      <c r="AH119" s="23">
        <f t="shared" si="14"/>
        <v>27.5</v>
      </c>
      <c r="AI119" s="23">
        <f t="shared" si="15"/>
        <v>-50</v>
      </c>
      <c r="AJ119" s="23">
        <f t="shared" si="16"/>
        <v>-50</v>
      </c>
    </row>
    <row r="120" spans="1:36" x14ac:dyDescent="0.2">
      <c r="A120" s="36">
        <v>43614</v>
      </c>
      <c r="B120" s="37" t="s">
        <v>488</v>
      </c>
      <c r="C120" s="37" t="s">
        <v>489</v>
      </c>
      <c r="D120" s="37" t="s">
        <v>493</v>
      </c>
      <c r="E120" s="37" t="s">
        <v>494</v>
      </c>
      <c r="F120" s="37" t="s">
        <v>495</v>
      </c>
      <c r="G120" s="37">
        <v>0</v>
      </c>
      <c r="H120" s="37">
        <v>0</v>
      </c>
      <c r="I120" s="37">
        <v>3.36</v>
      </c>
      <c r="J120" s="37">
        <v>2.44</v>
      </c>
      <c r="K120" s="37">
        <v>2.77</v>
      </c>
      <c r="L120" s="37">
        <v>0.59</v>
      </c>
      <c r="M120" s="37">
        <v>9</v>
      </c>
      <c r="N120" s="37">
        <v>6</v>
      </c>
      <c r="O120" s="37">
        <v>1</v>
      </c>
      <c r="P120" s="37">
        <v>3</v>
      </c>
      <c r="Q120" s="37">
        <v>4</v>
      </c>
      <c r="R120" s="37">
        <v>0</v>
      </c>
      <c r="S120" s="37">
        <v>100</v>
      </c>
      <c r="T120" s="37">
        <v>0</v>
      </c>
      <c r="U120" s="37">
        <v>66.67</v>
      </c>
      <c r="V120" s="37">
        <v>11.11</v>
      </c>
      <c r="W120" s="37">
        <v>22.22</v>
      </c>
      <c r="X120" s="37">
        <v>33.33</v>
      </c>
      <c r="Y120" s="37">
        <v>33.33</v>
      </c>
      <c r="Z120" s="37">
        <v>33.33</v>
      </c>
      <c r="AA120" s="37">
        <v>33.33</v>
      </c>
      <c r="AB120" s="37">
        <v>50</v>
      </c>
      <c r="AC120" s="24">
        <f t="shared" si="9"/>
        <v>16.668000000000006</v>
      </c>
      <c r="AD120" s="25">
        <f t="shared" si="10"/>
        <v>3.331999999999999</v>
      </c>
      <c r="AE120" s="23" t="str">
        <f t="shared" si="11"/>
        <v>Loss</v>
      </c>
      <c r="AF120" s="23" t="str">
        <f t="shared" si="12"/>
        <v>Win</v>
      </c>
      <c r="AG120" s="23" t="str">
        <f t="shared" si="13"/>
        <v>Loss</v>
      </c>
      <c r="AH120" s="23">
        <f t="shared" si="14"/>
        <v>-50</v>
      </c>
      <c r="AI120" s="23">
        <f t="shared" si="15"/>
        <v>72</v>
      </c>
      <c r="AJ120" s="23">
        <f t="shared" si="16"/>
        <v>-50</v>
      </c>
    </row>
    <row r="121" spans="1:36" x14ac:dyDescent="0.2">
      <c r="A121" s="36">
        <v>43614</v>
      </c>
      <c r="B121" s="37" t="s">
        <v>496</v>
      </c>
      <c r="C121" s="37" t="s">
        <v>497</v>
      </c>
      <c r="D121" s="37" t="s">
        <v>498</v>
      </c>
      <c r="E121" s="37" t="s">
        <v>499</v>
      </c>
      <c r="F121" s="37" t="s">
        <v>500</v>
      </c>
      <c r="G121" s="37">
        <v>1</v>
      </c>
      <c r="H121" s="37">
        <v>3</v>
      </c>
      <c r="I121" s="37">
        <v>1.99</v>
      </c>
      <c r="J121" s="37">
        <v>3.86</v>
      </c>
      <c r="K121" s="37">
        <v>2.99</v>
      </c>
      <c r="L121" s="37">
        <v>-1</v>
      </c>
      <c r="M121" s="37">
        <v>23</v>
      </c>
      <c r="N121" s="37">
        <v>27</v>
      </c>
      <c r="O121" s="37">
        <v>1</v>
      </c>
      <c r="P121" s="37">
        <v>12</v>
      </c>
      <c r="Q121" s="37">
        <v>14</v>
      </c>
      <c r="R121" s="37">
        <v>0</v>
      </c>
      <c r="S121" s="37">
        <v>0</v>
      </c>
      <c r="T121" s="37">
        <v>100</v>
      </c>
      <c r="U121" s="37">
        <v>26.09</v>
      </c>
      <c r="V121" s="37">
        <v>13.04</v>
      </c>
      <c r="W121" s="37">
        <v>60.87</v>
      </c>
      <c r="X121" s="37">
        <v>33.33</v>
      </c>
      <c r="Y121" s="37">
        <v>18.52</v>
      </c>
      <c r="Z121" s="37">
        <v>48.15</v>
      </c>
      <c r="AA121" s="37">
        <v>25</v>
      </c>
      <c r="AB121" s="37">
        <v>21.43</v>
      </c>
      <c r="AC121" s="24">
        <f t="shared" si="9"/>
        <v>-34.539999999999992</v>
      </c>
      <c r="AD121" s="25">
        <f t="shared" si="10"/>
        <v>34.539999999999992</v>
      </c>
      <c r="AE121" s="23" t="str">
        <f t="shared" si="11"/>
        <v>Loss</v>
      </c>
      <c r="AF121" s="23" t="str">
        <f t="shared" si="12"/>
        <v>Loss</v>
      </c>
      <c r="AG121" s="23" t="str">
        <f t="shared" si="13"/>
        <v>Win</v>
      </c>
      <c r="AH121" s="23">
        <f t="shared" si="14"/>
        <v>-50</v>
      </c>
      <c r="AI121" s="23">
        <f t="shared" si="15"/>
        <v>-50</v>
      </c>
      <c r="AJ121" s="23">
        <f t="shared" si="16"/>
        <v>99.5</v>
      </c>
    </row>
    <row r="122" spans="1:36" x14ac:dyDescent="0.2">
      <c r="A122" s="36">
        <v>43614</v>
      </c>
      <c r="B122" s="37" t="s">
        <v>501</v>
      </c>
      <c r="C122" s="37" t="s">
        <v>502</v>
      </c>
      <c r="D122" s="37" t="s">
        <v>503</v>
      </c>
      <c r="E122" s="37" t="s">
        <v>504</v>
      </c>
      <c r="F122" s="37" t="s">
        <v>505</v>
      </c>
      <c r="G122" s="37">
        <v>1</v>
      </c>
      <c r="H122" s="37">
        <v>3</v>
      </c>
      <c r="I122" s="37">
        <v>2.38</v>
      </c>
      <c r="J122" s="37">
        <v>3.4</v>
      </c>
      <c r="K122" s="37">
        <v>2.69</v>
      </c>
      <c r="L122" s="37">
        <v>-0.31</v>
      </c>
      <c r="M122" s="37">
        <v>14</v>
      </c>
      <c r="N122" s="37">
        <v>19</v>
      </c>
      <c r="O122" s="37">
        <v>2</v>
      </c>
      <c r="P122" s="37">
        <v>6</v>
      </c>
      <c r="Q122" s="37">
        <v>11</v>
      </c>
      <c r="R122" s="37">
        <v>50</v>
      </c>
      <c r="S122" s="37">
        <v>0</v>
      </c>
      <c r="T122" s="37">
        <v>50</v>
      </c>
      <c r="U122" s="37">
        <v>85.71</v>
      </c>
      <c r="V122" s="37">
        <v>7.14</v>
      </c>
      <c r="W122" s="37">
        <v>7.14</v>
      </c>
      <c r="X122" s="37">
        <v>73.680000000000007</v>
      </c>
      <c r="Y122" s="37">
        <v>5.26</v>
      </c>
      <c r="Z122" s="37">
        <v>21.05</v>
      </c>
      <c r="AA122" s="37">
        <v>83.33</v>
      </c>
      <c r="AB122" s="37">
        <v>72.73</v>
      </c>
      <c r="AC122" s="24">
        <f t="shared" si="9"/>
        <v>5.375999999999995</v>
      </c>
      <c r="AD122" s="25">
        <f t="shared" si="10"/>
        <v>-5.375999999999995</v>
      </c>
      <c r="AE122" s="23" t="str">
        <f t="shared" si="11"/>
        <v>Loss</v>
      </c>
      <c r="AF122" s="23" t="str">
        <f t="shared" si="12"/>
        <v>Loss</v>
      </c>
      <c r="AG122" s="23" t="str">
        <f t="shared" si="13"/>
        <v>Win</v>
      </c>
      <c r="AH122" s="23">
        <f t="shared" si="14"/>
        <v>-50</v>
      </c>
      <c r="AI122" s="23">
        <f t="shared" si="15"/>
        <v>-50</v>
      </c>
      <c r="AJ122" s="23">
        <f t="shared" si="16"/>
        <v>84.5</v>
      </c>
    </row>
    <row r="123" spans="1:36" x14ac:dyDescent="0.2">
      <c r="A123" s="36">
        <v>43614</v>
      </c>
      <c r="B123" s="37" t="s">
        <v>335</v>
      </c>
      <c r="C123" s="37" t="s">
        <v>336</v>
      </c>
      <c r="D123" s="37" t="s">
        <v>506</v>
      </c>
      <c r="E123" s="37" t="s">
        <v>507</v>
      </c>
      <c r="F123" s="37" t="s">
        <v>508</v>
      </c>
      <c r="G123" s="37">
        <v>5</v>
      </c>
      <c r="H123" s="37">
        <v>1</v>
      </c>
      <c r="I123" s="37">
        <v>1.22</v>
      </c>
      <c r="J123" s="37">
        <v>5.75</v>
      </c>
      <c r="K123" s="37">
        <v>9.11</v>
      </c>
      <c r="L123" s="37">
        <v>-7.89</v>
      </c>
      <c r="M123" s="37">
        <v>17</v>
      </c>
      <c r="N123" s="37">
        <v>17</v>
      </c>
      <c r="O123" s="37">
        <v>1</v>
      </c>
      <c r="P123" s="37">
        <v>7</v>
      </c>
      <c r="Q123" s="37">
        <v>9</v>
      </c>
      <c r="R123" s="37">
        <v>100</v>
      </c>
      <c r="S123" s="37">
        <v>0</v>
      </c>
      <c r="T123" s="37">
        <v>0</v>
      </c>
      <c r="U123" s="37">
        <v>58.82</v>
      </c>
      <c r="V123" s="37">
        <v>5.88</v>
      </c>
      <c r="W123" s="37">
        <v>35.29</v>
      </c>
      <c r="X123" s="37">
        <v>41.18</v>
      </c>
      <c r="Y123" s="37">
        <v>17.649999999999999</v>
      </c>
      <c r="Z123" s="37">
        <v>41.18</v>
      </c>
      <c r="AA123" s="37">
        <v>71.430000000000007</v>
      </c>
      <c r="AB123" s="37">
        <v>33.33</v>
      </c>
      <c r="AC123" s="24">
        <f t="shared" si="9"/>
        <v>33.529000000000003</v>
      </c>
      <c r="AD123" s="25">
        <f t="shared" si="10"/>
        <v>-33.529000000000003</v>
      </c>
      <c r="AE123" s="23" t="str">
        <f t="shared" si="11"/>
        <v>Win</v>
      </c>
      <c r="AF123" s="23" t="str">
        <f t="shared" si="12"/>
        <v>Loss</v>
      </c>
      <c r="AG123" s="23" t="str">
        <f t="shared" si="13"/>
        <v>Loss</v>
      </c>
      <c r="AH123" s="23">
        <f t="shared" si="14"/>
        <v>11</v>
      </c>
      <c r="AI123" s="23">
        <f t="shared" si="15"/>
        <v>-50</v>
      </c>
      <c r="AJ123" s="23">
        <f t="shared" si="16"/>
        <v>-50</v>
      </c>
    </row>
    <row r="124" spans="1:36" x14ac:dyDescent="0.2">
      <c r="A124" s="36">
        <v>43614</v>
      </c>
      <c r="B124" s="37" t="s">
        <v>509</v>
      </c>
      <c r="C124" s="37" t="s">
        <v>510</v>
      </c>
      <c r="D124" s="37" t="s">
        <v>511</v>
      </c>
      <c r="E124" s="37" t="s">
        <v>512</v>
      </c>
      <c r="F124" s="37" t="s">
        <v>513</v>
      </c>
      <c r="G124" s="37">
        <v>0</v>
      </c>
      <c r="H124" s="37">
        <v>1</v>
      </c>
      <c r="I124" s="37">
        <v>2.48</v>
      </c>
      <c r="J124" s="37">
        <v>2.77</v>
      </c>
      <c r="K124" s="37">
        <v>3.01</v>
      </c>
      <c r="L124" s="37">
        <v>-0.53</v>
      </c>
      <c r="M124" s="37">
        <v>33</v>
      </c>
      <c r="N124" s="37">
        <v>33</v>
      </c>
      <c r="O124" s="37">
        <v>2</v>
      </c>
      <c r="P124" s="37">
        <v>17</v>
      </c>
      <c r="Q124" s="37">
        <v>16</v>
      </c>
      <c r="R124" s="37">
        <v>0</v>
      </c>
      <c r="S124" s="37">
        <v>100</v>
      </c>
      <c r="T124" s="37">
        <v>0</v>
      </c>
      <c r="U124" s="37">
        <v>54.55</v>
      </c>
      <c r="V124" s="37">
        <v>39.39</v>
      </c>
      <c r="W124" s="37">
        <v>6.06</v>
      </c>
      <c r="X124" s="37">
        <v>57.58</v>
      </c>
      <c r="Y124" s="37">
        <v>39.39</v>
      </c>
      <c r="Z124" s="37">
        <v>3.03</v>
      </c>
      <c r="AA124" s="37">
        <v>64.709999999999994</v>
      </c>
      <c r="AB124" s="37">
        <v>37.5</v>
      </c>
      <c r="AC124" s="24">
        <f t="shared" si="9"/>
        <v>8.7880000000000003</v>
      </c>
      <c r="AD124" s="25">
        <f t="shared" si="10"/>
        <v>11.212</v>
      </c>
      <c r="AE124" s="23" t="str">
        <f t="shared" si="11"/>
        <v>Loss</v>
      </c>
      <c r="AF124" s="23" t="str">
        <f t="shared" si="12"/>
        <v>Loss</v>
      </c>
      <c r="AG124" s="23" t="str">
        <f t="shared" si="13"/>
        <v>Win</v>
      </c>
      <c r="AH124" s="23">
        <f t="shared" si="14"/>
        <v>-50</v>
      </c>
      <c r="AI124" s="23">
        <f t="shared" si="15"/>
        <v>-50</v>
      </c>
      <c r="AJ124" s="23">
        <f t="shared" si="16"/>
        <v>100.5</v>
      </c>
    </row>
    <row r="125" spans="1:36" x14ac:dyDescent="0.2">
      <c r="A125" s="36">
        <v>43614</v>
      </c>
      <c r="B125" s="37" t="s">
        <v>496</v>
      </c>
      <c r="C125" s="37" t="s">
        <v>497</v>
      </c>
      <c r="D125" s="37" t="s">
        <v>514</v>
      </c>
      <c r="E125" s="37" t="s">
        <v>515</v>
      </c>
      <c r="F125" s="37" t="s">
        <v>516</v>
      </c>
      <c r="G125" s="37">
        <v>5</v>
      </c>
      <c r="H125" s="37">
        <v>1</v>
      </c>
      <c r="I125" s="37">
        <v>2.11</v>
      </c>
      <c r="J125" s="37">
        <v>3.19</v>
      </c>
      <c r="K125" s="37">
        <v>3.27</v>
      </c>
      <c r="L125" s="37">
        <v>-1.1599999999999999</v>
      </c>
      <c r="M125" s="37">
        <v>25</v>
      </c>
      <c r="N125" s="37">
        <v>26</v>
      </c>
      <c r="O125" s="37">
        <v>1</v>
      </c>
      <c r="P125" s="37">
        <v>13</v>
      </c>
      <c r="Q125" s="37">
        <v>12</v>
      </c>
      <c r="R125" s="37">
        <v>100</v>
      </c>
      <c r="S125" s="37">
        <v>0</v>
      </c>
      <c r="T125" s="37">
        <v>0</v>
      </c>
      <c r="U125" s="37">
        <v>28</v>
      </c>
      <c r="V125" s="37">
        <v>20</v>
      </c>
      <c r="W125" s="37">
        <v>52</v>
      </c>
      <c r="X125" s="37">
        <v>30.77</v>
      </c>
      <c r="Y125" s="37">
        <v>7.69</v>
      </c>
      <c r="Z125" s="37">
        <v>61.54</v>
      </c>
      <c r="AA125" s="37">
        <v>23.08</v>
      </c>
      <c r="AB125" s="37">
        <v>33.33</v>
      </c>
      <c r="AC125" s="24">
        <f t="shared" si="9"/>
        <v>32.585000000000001</v>
      </c>
      <c r="AD125" s="25">
        <f t="shared" si="10"/>
        <v>-32.585000000000001</v>
      </c>
      <c r="AE125" s="23" t="str">
        <f t="shared" si="11"/>
        <v>Win</v>
      </c>
      <c r="AF125" s="23" t="str">
        <f t="shared" si="12"/>
        <v>Loss</v>
      </c>
      <c r="AG125" s="23" t="str">
        <f t="shared" si="13"/>
        <v>Loss</v>
      </c>
      <c r="AH125" s="23">
        <f t="shared" si="14"/>
        <v>55.5</v>
      </c>
      <c r="AI125" s="23">
        <f t="shared" si="15"/>
        <v>-50</v>
      </c>
      <c r="AJ125" s="23">
        <f t="shared" si="16"/>
        <v>-50</v>
      </c>
    </row>
    <row r="126" spans="1:36" x14ac:dyDescent="0.2">
      <c r="A126" s="36">
        <v>43614</v>
      </c>
      <c r="B126" s="37" t="s">
        <v>517</v>
      </c>
      <c r="C126" s="37" t="s">
        <v>518</v>
      </c>
      <c r="D126" s="37" t="s">
        <v>519</v>
      </c>
      <c r="E126" s="37" t="s">
        <v>520</v>
      </c>
      <c r="F126" s="37" t="s">
        <v>521</v>
      </c>
      <c r="G126" s="37">
        <v>1</v>
      </c>
      <c r="H126" s="37">
        <v>2</v>
      </c>
      <c r="I126" s="37">
        <v>2.27</v>
      </c>
      <c r="J126" s="37">
        <v>3.88</v>
      </c>
      <c r="K126" s="37">
        <v>2.5</v>
      </c>
      <c r="L126" s="37">
        <v>-0.23</v>
      </c>
      <c r="M126" s="37">
        <v>18</v>
      </c>
      <c r="N126" s="37">
        <v>4</v>
      </c>
      <c r="O126" s="37">
        <v>1</v>
      </c>
      <c r="P126" s="37">
        <v>10</v>
      </c>
      <c r="Q126" s="37">
        <v>2</v>
      </c>
      <c r="R126" s="37">
        <v>0</v>
      </c>
      <c r="S126" s="37">
        <v>100</v>
      </c>
      <c r="T126" s="37">
        <v>0</v>
      </c>
      <c r="U126" s="37">
        <v>27.78</v>
      </c>
      <c r="V126" s="37">
        <v>11.11</v>
      </c>
      <c r="W126" s="37">
        <v>61.11</v>
      </c>
      <c r="X126" s="37">
        <v>50</v>
      </c>
      <c r="Y126" s="37">
        <v>25</v>
      </c>
      <c r="Z126" s="37">
        <v>25</v>
      </c>
      <c r="AA126" s="37">
        <v>40</v>
      </c>
      <c r="AB126" s="37">
        <v>50</v>
      </c>
      <c r="AC126" s="24">
        <f t="shared" si="9"/>
        <v>-3.0549999999999997</v>
      </c>
      <c r="AD126" s="25">
        <f t="shared" si="10"/>
        <v>23.055</v>
      </c>
      <c r="AE126" s="23" t="str">
        <f t="shared" si="11"/>
        <v>Loss</v>
      </c>
      <c r="AF126" s="23" t="str">
        <f t="shared" si="12"/>
        <v>Loss</v>
      </c>
      <c r="AG126" s="23" t="str">
        <f t="shared" si="13"/>
        <v>Win</v>
      </c>
      <c r="AH126" s="23">
        <f t="shared" si="14"/>
        <v>-50</v>
      </c>
      <c r="AI126" s="23">
        <f t="shared" si="15"/>
        <v>-50</v>
      </c>
      <c r="AJ126" s="23">
        <f t="shared" si="16"/>
        <v>75</v>
      </c>
    </row>
    <row r="127" spans="1:36" x14ac:dyDescent="0.2">
      <c r="A127" s="36">
        <v>43614</v>
      </c>
      <c r="B127" s="37" t="s">
        <v>522</v>
      </c>
      <c r="C127" s="37" t="s">
        <v>523</v>
      </c>
      <c r="D127" s="37" t="s">
        <v>524</v>
      </c>
      <c r="E127" s="37" t="s">
        <v>525</v>
      </c>
      <c r="F127" s="37" t="s">
        <v>526</v>
      </c>
      <c r="G127" s="37">
        <v>2</v>
      </c>
      <c r="H127" s="37">
        <v>0</v>
      </c>
      <c r="I127" s="37">
        <v>2.19</v>
      </c>
      <c r="J127" s="37">
        <v>3.55</v>
      </c>
      <c r="K127" s="37">
        <v>2.94</v>
      </c>
      <c r="L127" s="37">
        <v>-0.75</v>
      </c>
      <c r="M127" s="37">
        <v>40</v>
      </c>
      <c r="N127" s="37">
        <v>40</v>
      </c>
      <c r="O127" s="37">
        <v>2</v>
      </c>
      <c r="P127" s="37">
        <v>16</v>
      </c>
      <c r="Q127" s="37">
        <v>21</v>
      </c>
      <c r="R127" s="37">
        <v>0</v>
      </c>
      <c r="S127" s="37">
        <v>100</v>
      </c>
      <c r="T127" s="37">
        <v>0</v>
      </c>
      <c r="U127" s="37">
        <v>32.5</v>
      </c>
      <c r="V127" s="37">
        <v>17.5</v>
      </c>
      <c r="W127" s="37">
        <v>50</v>
      </c>
      <c r="X127" s="37">
        <v>40</v>
      </c>
      <c r="Y127" s="37">
        <v>22.5</v>
      </c>
      <c r="Z127" s="37">
        <v>37.5</v>
      </c>
      <c r="AA127" s="37">
        <v>43.75</v>
      </c>
      <c r="AB127" s="37">
        <v>47.62</v>
      </c>
      <c r="AC127" s="24">
        <f t="shared" si="9"/>
        <v>5.5</v>
      </c>
      <c r="AD127" s="25">
        <f t="shared" si="10"/>
        <v>14.5</v>
      </c>
      <c r="AE127" s="23" t="str">
        <f t="shared" si="11"/>
        <v>Win</v>
      </c>
      <c r="AF127" s="23" t="str">
        <f t="shared" si="12"/>
        <v>Loss</v>
      </c>
      <c r="AG127" s="23" t="str">
        <f t="shared" si="13"/>
        <v>Loss</v>
      </c>
      <c r="AH127" s="23">
        <f t="shared" si="14"/>
        <v>59.5</v>
      </c>
      <c r="AI127" s="23">
        <f t="shared" si="15"/>
        <v>-50</v>
      </c>
      <c r="AJ127" s="23">
        <f t="shared" si="16"/>
        <v>-50</v>
      </c>
    </row>
    <row r="128" spans="1:36" x14ac:dyDescent="0.2">
      <c r="A128" s="36">
        <v>43614</v>
      </c>
      <c r="B128" s="37" t="s">
        <v>315</v>
      </c>
      <c r="C128" s="37" t="s">
        <v>527</v>
      </c>
      <c r="D128" s="37" t="s">
        <v>528</v>
      </c>
      <c r="E128" s="37" t="s">
        <v>529</v>
      </c>
      <c r="F128" s="37" t="s">
        <v>530</v>
      </c>
      <c r="G128" s="37">
        <v>3</v>
      </c>
      <c r="H128" s="37">
        <v>1</v>
      </c>
      <c r="I128" s="37">
        <v>2.41</v>
      </c>
      <c r="J128" s="37">
        <v>3.49</v>
      </c>
      <c r="K128" s="37">
        <v>2.54</v>
      </c>
      <c r="L128" s="37">
        <v>-0.13</v>
      </c>
      <c r="M128" s="37">
        <v>35</v>
      </c>
      <c r="N128" s="37">
        <v>27</v>
      </c>
      <c r="O128" s="37">
        <v>1</v>
      </c>
      <c r="P128" s="37">
        <v>18</v>
      </c>
      <c r="Q128" s="37">
        <v>12</v>
      </c>
      <c r="R128" s="37">
        <v>0</v>
      </c>
      <c r="S128" s="37">
        <v>0</v>
      </c>
      <c r="T128" s="37">
        <v>100</v>
      </c>
      <c r="U128" s="37">
        <v>48.57</v>
      </c>
      <c r="V128" s="37">
        <v>17.14</v>
      </c>
      <c r="W128" s="37">
        <v>34.29</v>
      </c>
      <c r="X128" s="37">
        <v>48.15</v>
      </c>
      <c r="Y128" s="37">
        <v>22.22</v>
      </c>
      <c r="Z128" s="37">
        <v>29.63</v>
      </c>
      <c r="AA128" s="37">
        <v>66.67</v>
      </c>
      <c r="AB128" s="37">
        <v>50</v>
      </c>
      <c r="AC128" s="24">
        <f t="shared" si="9"/>
        <v>-31.356000000000002</v>
      </c>
      <c r="AD128" s="25">
        <f t="shared" si="10"/>
        <v>31.356000000000002</v>
      </c>
      <c r="AE128" s="23" t="str">
        <f t="shared" si="11"/>
        <v>Win</v>
      </c>
      <c r="AF128" s="23" t="str">
        <f t="shared" si="12"/>
        <v>Loss</v>
      </c>
      <c r="AG128" s="23" t="str">
        <f t="shared" si="13"/>
        <v>Loss</v>
      </c>
      <c r="AH128" s="23">
        <f t="shared" si="14"/>
        <v>70.5</v>
      </c>
      <c r="AI128" s="23">
        <f t="shared" si="15"/>
        <v>-50</v>
      </c>
      <c r="AJ128" s="23">
        <f t="shared" si="16"/>
        <v>-50</v>
      </c>
    </row>
    <row r="129" spans="1:36" x14ac:dyDescent="0.2">
      <c r="A129" s="36">
        <v>43614</v>
      </c>
      <c r="B129" s="37" t="s">
        <v>531</v>
      </c>
      <c r="C129" s="37" t="s">
        <v>532</v>
      </c>
      <c r="D129" s="37" t="s">
        <v>533</v>
      </c>
      <c r="E129" s="37" t="s">
        <v>534</v>
      </c>
      <c r="F129" s="37" t="s">
        <v>535</v>
      </c>
      <c r="G129" s="37">
        <v>2</v>
      </c>
      <c r="H129" s="37">
        <v>1</v>
      </c>
      <c r="I129" s="37">
        <v>3.88</v>
      </c>
      <c r="J129" s="37">
        <v>4.01</v>
      </c>
      <c r="K129" s="37">
        <v>1.71</v>
      </c>
      <c r="L129" s="37">
        <v>2.17</v>
      </c>
      <c r="M129" s="37">
        <v>37</v>
      </c>
      <c r="N129" s="37">
        <v>40</v>
      </c>
      <c r="O129" s="37">
        <v>2</v>
      </c>
      <c r="P129" s="37">
        <v>18</v>
      </c>
      <c r="Q129" s="37">
        <v>20</v>
      </c>
      <c r="R129" s="37">
        <v>0</v>
      </c>
      <c r="S129" s="37">
        <v>50</v>
      </c>
      <c r="T129" s="37">
        <v>50</v>
      </c>
      <c r="U129" s="37">
        <v>29.73</v>
      </c>
      <c r="V129" s="37">
        <v>21.62</v>
      </c>
      <c r="W129" s="37">
        <v>48.65</v>
      </c>
      <c r="X129" s="37">
        <v>47.5</v>
      </c>
      <c r="Y129" s="37">
        <v>37.5</v>
      </c>
      <c r="Z129" s="37">
        <v>15</v>
      </c>
      <c r="AA129" s="37">
        <v>44.44</v>
      </c>
      <c r="AB129" s="37">
        <v>50</v>
      </c>
      <c r="AC129" s="24">
        <f t="shared" si="9"/>
        <v>-21.872</v>
      </c>
      <c r="AD129" s="25">
        <f t="shared" si="10"/>
        <v>31.872</v>
      </c>
      <c r="AE129" s="23" t="str">
        <f t="shared" si="11"/>
        <v>Win</v>
      </c>
      <c r="AF129" s="23" t="str">
        <f t="shared" si="12"/>
        <v>Loss</v>
      </c>
      <c r="AG129" s="23" t="str">
        <f t="shared" si="13"/>
        <v>Loss</v>
      </c>
      <c r="AH129" s="23">
        <f t="shared" si="14"/>
        <v>144</v>
      </c>
      <c r="AI129" s="23">
        <f t="shared" si="15"/>
        <v>-50</v>
      </c>
      <c r="AJ129" s="23">
        <f t="shared" si="16"/>
        <v>-50</v>
      </c>
    </row>
    <row r="130" spans="1:36" x14ac:dyDescent="0.2">
      <c r="A130" s="36">
        <v>43614</v>
      </c>
      <c r="B130" s="37" t="s">
        <v>531</v>
      </c>
      <c r="C130" s="37" t="s">
        <v>536</v>
      </c>
      <c r="D130" s="37" t="s">
        <v>537</v>
      </c>
      <c r="E130" s="37" t="s">
        <v>538</v>
      </c>
      <c r="F130" s="37" t="s">
        <v>539</v>
      </c>
      <c r="G130" s="37">
        <v>0</v>
      </c>
      <c r="H130" s="37">
        <v>0</v>
      </c>
      <c r="I130" s="37">
        <v>2.4700000000000002</v>
      </c>
      <c r="J130" s="37">
        <v>3.34</v>
      </c>
      <c r="K130" s="37">
        <v>2.59</v>
      </c>
      <c r="L130" s="37">
        <v>-0.12</v>
      </c>
      <c r="M130" s="37">
        <v>15</v>
      </c>
      <c r="N130" s="37">
        <v>66</v>
      </c>
      <c r="O130" s="37">
        <v>0</v>
      </c>
      <c r="P130" s="37">
        <v>7</v>
      </c>
      <c r="Q130" s="37">
        <v>32</v>
      </c>
      <c r="R130" s="37">
        <v>0</v>
      </c>
      <c r="S130" s="37">
        <v>0</v>
      </c>
      <c r="T130" s="37">
        <v>0</v>
      </c>
      <c r="U130" s="37">
        <v>20</v>
      </c>
      <c r="V130" s="37">
        <v>33.33</v>
      </c>
      <c r="W130" s="37">
        <v>46.67</v>
      </c>
      <c r="X130" s="37">
        <v>45.45</v>
      </c>
      <c r="Y130" s="37">
        <v>28.79</v>
      </c>
      <c r="Z130" s="37">
        <v>25.76</v>
      </c>
      <c r="AA130" s="37">
        <v>0</v>
      </c>
      <c r="AB130" s="37">
        <v>46.88</v>
      </c>
      <c r="AC130" s="24">
        <f t="shared" si="9"/>
        <v>-8.8180000000000014</v>
      </c>
      <c r="AD130" s="25">
        <f t="shared" si="10"/>
        <v>8.8180000000000014</v>
      </c>
      <c r="AE130" s="23" t="str">
        <f t="shared" si="11"/>
        <v>Loss</v>
      </c>
      <c r="AF130" s="23" t="str">
        <f t="shared" si="12"/>
        <v>Win</v>
      </c>
      <c r="AG130" s="23" t="str">
        <f t="shared" si="13"/>
        <v>Loss</v>
      </c>
      <c r="AH130" s="23">
        <f t="shared" si="14"/>
        <v>-50</v>
      </c>
      <c r="AI130" s="23">
        <f t="shared" si="15"/>
        <v>117</v>
      </c>
      <c r="AJ130" s="23">
        <f t="shared" si="16"/>
        <v>-50</v>
      </c>
    </row>
    <row r="131" spans="1:36" x14ac:dyDescent="0.2">
      <c r="A131" s="36">
        <v>43614</v>
      </c>
      <c r="B131" s="37" t="s">
        <v>531</v>
      </c>
      <c r="C131" s="37" t="s">
        <v>536</v>
      </c>
      <c r="D131" s="37" t="s">
        <v>540</v>
      </c>
      <c r="E131" s="37" t="s">
        <v>541</v>
      </c>
      <c r="F131" s="37" t="s">
        <v>542</v>
      </c>
      <c r="G131" s="37">
        <v>2</v>
      </c>
      <c r="H131" s="37">
        <v>2</v>
      </c>
      <c r="I131" s="37">
        <v>1.61</v>
      </c>
      <c r="J131" s="37">
        <v>4.16</v>
      </c>
      <c r="K131" s="37">
        <v>4.34</v>
      </c>
      <c r="L131" s="37">
        <v>-2.73</v>
      </c>
      <c r="M131" s="37">
        <v>38</v>
      </c>
      <c r="N131" s="37">
        <v>40</v>
      </c>
      <c r="O131" s="37">
        <v>2</v>
      </c>
      <c r="P131" s="37">
        <v>19</v>
      </c>
      <c r="Q131" s="37">
        <v>20</v>
      </c>
      <c r="R131" s="37">
        <v>50</v>
      </c>
      <c r="S131" s="37">
        <v>0</v>
      </c>
      <c r="T131" s="37">
        <v>50</v>
      </c>
      <c r="U131" s="37">
        <v>39.47</v>
      </c>
      <c r="V131" s="37">
        <v>31.58</v>
      </c>
      <c r="W131" s="37">
        <v>28.95</v>
      </c>
      <c r="X131" s="37">
        <v>40</v>
      </c>
      <c r="Y131" s="37">
        <v>20</v>
      </c>
      <c r="Z131" s="37">
        <v>40</v>
      </c>
      <c r="AA131" s="37">
        <v>42.11</v>
      </c>
      <c r="AB131" s="37">
        <v>30</v>
      </c>
      <c r="AC131" s="24">
        <f t="shared" si="9"/>
        <v>3.2619999999999996</v>
      </c>
      <c r="AD131" s="25">
        <f t="shared" si="10"/>
        <v>-3.2619999999999996</v>
      </c>
      <c r="AE131" s="23" t="str">
        <f t="shared" si="11"/>
        <v>Loss</v>
      </c>
      <c r="AF131" s="23" t="str">
        <f t="shared" si="12"/>
        <v>Win</v>
      </c>
      <c r="AG131" s="23" t="str">
        <f t="shared" si="13"/>
        <v>Loss</v>
      </c>
      <c r="AH131" s="23">
        <f t="shared" si="14"/>
        <v>-50</v>
      </c>
      <c r="AI131" s="23">
        <f t="shared" si="15"/>
        <v>158</v>
      </c>
      <c r="AJ131" s="23">
        <f t="shared" si="16"/>
        <v>-50</v>
      </c>
    </row>
    <row r="132" spans="1:36" x14ac:dyDescent="0.2">
      <c r="A132" s="36">
        <v>43614</v>
      </c>
      <c r="B132" s="37" t="s">
        <v>531</v>
      </c>
      <c r="C132" s="37" t="s">
        <v>543</v>
      </c>
      <c r="D132" s="37" t="s">
        <v>544</v>
      </c>
      <c r="E132" s="37" t="s">
        <v>545</v>
      </c>
      <c r="F132" s="37" t="s">
        <v>546</v>
      </c>
      <c r="G132" s="37">
        <v>0</v>
      </c>
      <c r="H132" s="37">
        <v>2</v>
      </c>
      <c r="I132" s="37">
        <v>2.54</v>
      </c>
      <c r="J132" s="37">
        <v>3.56</v>
      </c>
      <c r="K132" s="37">
        <v>2.36</v>
      </c>
      <c r="L132" s="37">
        <v>0.18</v>
      </c>
      <c r="M132" s="37">
        <v>33</v>
      </c>
      <c r="N132" s="37">
        <v>33</v>
      </c>
      <c r="O132" s="37">
        <v>2</v>
      </c>
      <c r="P132" s="37">
        <v>16</v>
      </c>
      <c r="Q132" s="37">
        <v>16</v>
      </c>
      <c r="R132" s="37">
        <v>0</v>
      </c>
      <c r="S132" s="37">
        <v>50</v>
      </c>
      <c r="T132" s="37">
        <v>50</v>
      </c>
      <c r="U132" s="37">
        <v>30.3</v>
      </c>
      <c r="V132" s="37">
        <v>18.18</v>
      </c>
      <c r="W132" s="37">
        <v>51.52</v>
      </c>
      <c r="X132" s="37">
        <v>30.3</v>
      </c>
      <c r="Y132" s="37">
        <v>24.24</v>
      </c>
      <c r="Z132" s="37">
        <v>45.45</v>
      </c>
      <c r="AA132" s="37">
        <v>18.75</v>
      </c>
      <c r="AB132" s="37">
        <v>25</v>
      </c>
      <c r="AC132" s="24">
        <f t="shared" si="9"/>
        <v>-11.820000000000002</v>
      </c>
      <c r="AD132" s="25">
        <f t="shared" si="10"/>
        <v>21.82</v>
      </c>
      <c r="AE132" s="23" t="str">
        <f t="shared" si="11"/>
        <v>Loss</v>
      </c>
      <c r="AF132" s="23" t="str">
        <f t="shared" si="12"/>
        <v>Loss</v>
      </c>
      <c r="AG132" s="23" t="str">
        <f t="shared" si="13"/>
        <v>Win</v>
      </c>
      <c r="AH132" s="23">
        <f t="shared" si="14"/>
        <v>-50</v>
      </c>
      <c r="AI132" s="23">
        <f t="shared" si="15"/>
        <v>-50</v>
      </c>
      <c r="AJ132" s="23">
        <f t="shared" si="16"/>
        <v>68</v>
      </c>
    </row>
    <row r="133" spans="1:36" x14ac:dyDescent="0.2">
      <c r="A133" s="36">
        <v>43614</v>
      </c>
      <c r="B133" s="37" t="s">
        <v>531</v>
      </c>
      <c r="C133" s="37" t="s">
        <v>543</v>
      </c>
      <c r="D133" s="37" t="s">
        <v>547</v>
      </c>
      <c r="E133" s="37" t="s">
        <v>548</v>
      </c>
      <c r="F133" s="37" t="s">
        <v>549</v>
      </c>
      <c r="G133" s="37">
        <v>6</v>
      </c>
      <c r="H133" s="37">
        <v>0</v>
      </c>
      <c r="I133" s="37">
        <v>1.63</v>
      </c>
      <c r="J133" s="37">
        <v>4.17</v>
      </c>
      <c r="K133" s="37">
        <v>4.09</v>
      </c>
      <c r="L133" s="37">
        <v>-2.46</v>
      </c>
      <c r="M133" s="37">
        <v>28</v>
      </c>
      <c r="N133" s="37">
        <v>35</v>
      </c>
      <c r="O133" s="37">
        <v>0</v>
      </c>
      <c r="P133" s="37">
        <v>15</v>
      </c>
      <c r="Q133" s="37">
        <v>18</v>
      </c>
      <c r="R133" s="37">
        <v>0</v>
      </c>
      <c r="S133" s="37">
        <v>0</v>
      </c>
      <c r="T133" s="37">
        <v>0</v>
      </c>
      <c r="U133" s="37">
        <v>50</v>
      </c>
      <c r="V133" s="37">
        <v>21.43</v>
      </c>
      <c r="W133" s="37">
        <v>28.57</v>
      </c>
      <c r="X133" s="37">
        <v>22.86</v>
      </c>
      <c r="Y133" s="37">
        <v>31.43</v>
      </c>
      <c r="Z133" s="37">
        <v>45.71</v>
      </c>
      <c r="AA133" s="37">
        <v>46.67</v>
      </c>
      <c r="AB133" s="37">
        <v>22.22</v>
      </c>
      <c r="AC133" s="24">
        <f t="shared" si="9"/>
        <v>7.8560000000000016</v>
      </c>
      <c r="AD133" s="25">
        <f t="shared" si="10"/>
        <v>-7.8560000000000016</v>
      </c>
      <c r="AE133" s="23" t="str">
        <f t="shared" si="11"/>
        <v>Win</v>
      </c>
      <c r="AF133" s="23" t="str">
        <f t="shared" si="12"/>
        <v>Loss</v>
      </c>
      <c r="AG133" s="23" t="str">
        <f t="shared" si="13"/>
        <v>Loss</v>
      </c>
      <c r="AH133" s="23">
        <f t="shared" si="14"/>
        <v>31.5</v>
      </c>
      <c r="AI133" s="23">
        <f t="shared" si="15"/>
        <v>-50</v>
      </c>
      <c r="AJ133" s="23">
        <f t="shared" si="16"/>
        <v>-50</v>
      </c>
    </row>
    <row r="134" spans="1:36" x14ac:dyDescent="0.2">
      <c r="A134" s="36">
        <v>43614</v>
      </c>
      <c r="B134" s="37" t="s">
        <v>531</v>
      </c>
      <c r="C134" s="37" t="s">
        <v>550</v>
      </c>
      <c r="D134" s="37" t="s">
        <v>551</v>
      </c>
      <c r="E134" s="37" t="s">
        <v>552</v>
      </c>
      <c r="F134" s="37" t="s">
        <v>553</v>
      </c>
      <c r="G134" s="37">
        <v>1</v>
      </c>
      <c r="H134" s="37">
        <v>1</v>
      </c>
      <c r="I134" s="37">
        <v>6.03</v>
      </c>
      <c r="J134" s="37">
        <v>5.0199999999999996</v>
      </c>
      <c r="K134" s="37">
        <v>1.36</v>
      </c>
      <c r="L134" s="37">
        <v>4.67</v>
      </c>
      <c r="M134" s="37">
        <v>37</v>
      </c>
      <c r="N134" s="37">
        <v>34</v>
      </c>
      <c r="O134" s="37">
        <v>0</v>
      </c>
      <c r="P134" s="37">
        <v>18</v>
      </c>
      <c r="Q134" s="37">
        <v>18</v>
      </c>
      <c r="R134" s="37">
        <v>0</v>
      </c>
      <c r="S134" s="37">
        <v>0</v>
      </c>
      <c r="T134" s="37">
        <v>0</v>
      </c>
      <c r="U134" s="37">
        <v>21.62</v>
      </c>
      <c r="V134" s="37">
        <v>21.62</v>
      </c>
      <c r="W134" s="37">
        <v>56.76</v>
      </c>
      <c r="X134" s="37">
        <v>58.82</v>
      </c>
      <c r="Y134" s="37">
        <v>23.53</v>
      </c>
      <c r="Z134" s="37">
        <v>17.649999999999999</v>
      </c>
      <c r="AA134" s="37">
        <v>16.670000000000002</v>
      </c>
      <c r="AB134" s="37">
        <v>50</v>
      </c>
      <c r="AC134" s="24">
        <f t="shared" si="9"/>
        <v>-15.453000000000005</v>
      </c>
      <c r="AD134" s="25">
        <f t="shared" si="10"/>
        <v>15.453000000000005</v>
      </c>
      <c r="AE134" s="23" t="str">
        <f t="shared" si="11"/>
        <v>Loss</v>
      </c>
      <c r="AF134" s="23" t="str">
        <f t="shared" si="12"/>
        <v>Win</v>
      </c>
      <c r="AG134" s="23" t="str">
        <f t="shared" si="13"/>
        <v>Loss</v>
      </c>
      <c r="AH134" s="23">
        <f t="shared" si="14"/>
        <v>-50</v>
      </c>
      <c r="AI134" s="23">
        <f t="shared" si="15"/>
        <v>200.99999999999997</v>
      </c>
      <c r="AJ134" s="23">
        <f t="shared" si="16"/>
        <v>-50</v>
      </c>
    </row>
    <row r="135" spans="1:36" x14ac:dyDescent="0.2">
      <c r="A135" s="36">
        <v>43614</v>
      </c>
      <c r="B135" s="37" t="s">
        <v>531</v>
      </c>
      <c r="C135" s="37" t="s">
        <v>554</v>
      </c>
      <c r="D135" s="37" t="s">
        <v>555</v>
      </c>
      <c r="E135" s="37" t="s">
        <v>556</v>
      </c>
      <c r="F135" s="37" t="s">
        <v>557</v>
      </c>
      <c r="G135" s="37">
        <v>0</v>
      </c>
      <c r="H135" s="37">
        <v>3</v>
      </c>
      <c r="I135" s="37">
        <v>1.46</v>
      </c>
      <c r="J135" s="37">
        <v>4.49</v>
      </c>
      <c r="K135" s="37">
        <v>5.21</v>
      </c>
      <c r="L135" s="37">
        <v>-3.75</v>
      </c>
      <c r="M135" s="37">
        <v>55</v>
      </c>
      <c r="N135" s="37">
        <v>38</v>
      </c>
      <c r="O135" s="37">
        <v>0</v>
      </c>
      <c r="P135" s="37">
        <v>27</v>
      </c>
      <c r="Q135" s="37">
        <v>19</v>
      </c>
      <c r="R135" s="37">
        <v>0</v>
      </c>
      <c r="S135" s="37">
        <v>0</v>
      </c>
      <c r="T135" s="37">
        <v>0</v>
      </c>
      <c r="U135" s="37">
        <v>60</v>
      </c>
      <c r="V135" s="37">
        <v>10.91</v>
      </c>
      <c r="W135" s="37">
        <v>29.09</v>
      </c>
      <c r="X135" s="37">
        <v>34.21</v>
      </c>
      <c r="Y135" s="37">
        <v>13.16</v>
      </c>
      <c r="Z135" s="37">
        <v>52.63</v>
      </c>
      <c r="AA135" s="37">
        <v>66.67</v>
      </c>
      <c r="AB135" s="37">
        <v>15.79</v>
      </c>
      <c r="AC135" s="24">
        <f t="shared" si="9"/>
        <v>9.641</v>
      </c>
      <c r="AD135" s="25">
        <f t="shared" si="10"/>
        <v>-9.641</v>
      </c>
      <c r="AE135" s="23" t="str">
        <f t="shared" si="11"/>
        <v>Loss</v>
      </c>
      <c r="AF135" s="23" t="str">
        <f t="shared" si="12"/>
        <v>Loss</v>
      </c>
      <c r="AG135" s="23" t="str">
        <f t="shared" si="13"/>
        <v>Win</v>
      </c>
      <c r="AH135" s="23">
        <f t="shared" si="14"/>
        <v>-50</v>
      </c>
      <c r="AI135" s="23">
        <f t="shared" si="15"/>
        <v>-50</v>
      </c>
      <c r="AJ135" s="23">
        <f t="shared" si="16"/>
        <v>210.5</v>
      </c>
    </row>
    <row r="136" spans="1:36" x14ac:dyDescent="0.2">
      <c r="A136" s="36">
        <v>43614</v>
      </c>
      <c r="B136" s="37" t="s">
        <v>531</v>
      </c>
      <c r="C136" s="37" t="s">
        <v>554</v>
      </c>
      <c r="D136" s="37" t="s">
        <v>558</v>
      </c>
      <c r="E136" s="37" t="s">
        <v>559</v>
      </c>
      <c r="F136" s="37" t="s">
        <v>560</v>
      </c>
      <c r="G136" s="37">
        <v>1</v>
      </c>
      <c r="H136" s="37">
        <v>3</v>
      </c>
      <c r="I136" s="37">
        <v>2.91</v>
      </c>
      <c r="J136" s="37">
        <v>3.85</v>
      </c>
      <c r="K136" s="37">
        <v>2.04</v>
      </c>
      <c r="L136" s="37">
        <v>0.87</v>
      </c>
      <c r="M136" s="37">
        <v>9</v>
      </c>
      <c r="N136" s="37">
        <v>51</v>
      </c>
      <c r="O136" s="37">
        <v>0</v>
      </c>
      <c r="P136" s="37">
        <v>5</v>
      </c>
      <c r="Q136" s="37">
        <v>26</v>
      </c>
      <c r="R136" s="37">
        <v>0</v>
      </c>
      <c r="S136" s="37">
        <v>0</v>
      </c>
      <c r="T136" s="37">
        <v>0</v>
      </c>
      <c r="U136" s="37">
        <v>33.33</v>
      </c>
      <c r="V136" s="37">
        <v>22.22</v>
      </c>
      <c r="W136" s="37">
        <v>44.44</v>
      </c>
      <c r="X136" s="37">
        <v>21.57</v>
      </c>
      <c r="Y136" s="37">
        <v>25.49</v>
      </c>
      <c r="Z136" s="37">
        <v>52.94</v>
      </c>
      <c r="AA136" s="37">
        <v>20</v>
      </c>
      <c r="AB136" s="37">
        <v>11.54</v>
      </c>
      <c r="AC136" s="24">
        <f t="shared" si="9"/>
        <v>3.7250000000000014</v>
      </c>
      <c r="AD136" s="25">
        <f t="shared" si="10"/>
        <v>-3.7250000000000014</v>
      </c>
      <c r="AE136" s="23" t="str">
        <f t="shared" si="11"/>
        <v>Loss</v>
      </c>
      <c r="AF136" s="23" t="str">
        <f t="shared" si="12"/>
        <v>Loss</v>
      </c>
      <c r="AG136" s="23" t="str">
        <f t="shared" si="13"/>
        <v>Win</v>
      </c>
      <c r="AH136" s="23">
        <f t="shared" si="14"/>
        <v>-50</v>
      </c>
      <c r="AI136" s="23">
        <f t="shared" si="15"/>
        <v>-50</v>
      </c>
      <c r="AJ136" s="23">
        <f t="shared" si="16"/>
        <v>52</v>
      </c>
    </row>
    <row r="137" spans="1:36" x14ac:dyDescent="0.2">
      <c r="A137" s="36">
        <v>43614</v>
      </c>
      <c r="B137" s="37" t="s">
        <v>531</v>
      </c>
      <c r="C137" s="37" t="s">
        <v>554</v>
      </c>
      <c r="D137" s="37" t="s">
        <v>561</v>
      </c>
      <c r="E137" s="37" t="s">
        <v>562</v>
      </c>
      <c r="F137" s="37" t="s">
        <v>563</v>
      </c>
      <c r="G137" s="37">
        <v>4</v>
      </c>
      <c r="H137" s="37">
        <v>4</v>
      </c>
      <c r="I137" s="37">
        <v>2.34</v>
      </c>
      <c r="J137" s="37">
        <v>3.74</v>
      </c>
      <c r="K137" s="37">
        <v>2.48</v>
      </c>
      <c r="L137" s="37">
        <v>-0.14000000000000001</v>
      </c>
      <c r="M137" s="37">
        <v>27</v>
      </c>
      <c r="N137" s="37">
        <v>8</v>
      </c>
      <c r="O137" s="37">
        <v>0</v>
      </c>
      <c r="P137" s="37">
        <v>12</v>
      </c>
      <c r="Q137" s="37">
        <v>4</v>
      </c>
      <c r="R137" s="37">
        <v>0</v>
      </c>
      <c r="S137" s="37">
        <v>0</v>
      </c>
      <c r="T137" s="37">
        <v>0</v>
      </c>
      <c r="U137" s="37">
        <v>55.56</v>
      </c>
      <c r="V137" s="37">
        <v>22.22</v>
      </c>
      <c r="W137" s="37">
        <v>22.22</v>
      </c>
      <c r="X137" s="37">
        <v>62.5</v>
      </c>
      <c r="Y137" s="37">
        <v>0</v>
      </c>
      <c r="Z137" s="37">
        <v>37.5</v>
      </c>
      <c r="AA137" s="37">
        <v>66.67</v>
      </c>
      <c r="AB137" s="37">
        <v>50</v>
      </c>
      <c r="AC137" s="24">
        <f t="shared" si="9"/>
        <v>3.8900000000000006</v>
      </c>
      <c r="AD137" s="25">
        <f t="shared" si="10"/>
        <v>-3.8900000000000006</v>
      </c>
      <c r="AE137" s="23" t="str">
        <f t="shared" si="11"/>
        <v>Loss</v>
      </c>
      <c r="AF137" s="23" t="str">
        <f t="shared" si="12"/>
        <v>Win</v>
      </c>
      <c r="AG137" s="23" t="str">
        <f t="shared" si="13"/>
        <v>Loss</v>
      </c>
      <c r="AH137" s="23">
        <f t="shared" si="14"/>
        <v>-50</v>
      </c>
      <c r="AI137" s="23">
        <f t="shared" si="15"/>
        <v>137</v>
      </c>
      <c r="AJ137" s="23">
        <f t="shared" si="16"/>
        <v>-50</v>
      </c>
    </row>
    <row r="138" spans="1:36" x14ac:dyDescent="0.2">
      <c r="A138" s="36">
        <v>43614</v>
      </c>
      <c r="B138" s="37" t="s">
        <v>531</v>
      </c>
      <c r="C138" s="37" t="s">
        <v>564</v>
      </c>
      <c r="D138" s="37" t="s">
        <v>565</v>
      </c>
      <c r="E138" s="37" t="s">
        <v>566</v>
      </c>
      <c r="F138" s="37" t="s">
        <v>567</v>
      </c>
      <c r="G138" s="37">
        <v>1</v>
      </c>
      <c r="H138" s="37">
        <v>2</v>
      </c>
      <c r="I138" s="37">
        <v>3.16</v>
      </c>
      <c r="J138" s="37">
        <v>4.0199999999999996</v>
      </c>
      <c r="K138" s="37">
        <v>1.87</v>
      </c>
      <c r="L138" s="37">
        <v>1.29</v>
      </c>
      <c r="M138" s="37">
        <v>7</v>
      </c>
      <c r="N138" s="37">
        <v>29</v>
      </c>
      <c r="O138" s="37">
        <v>0</v>
      </c>
      <c r="P138" s="37">
        <v>4</v>
      </c>
      <c r="Q138" s="37">
        <v>16</v>
      </c>
      <c r="R138" s="37">
        <v>0</v>
      </c>
      <c r="S138" s="37">
        <v>0</v>
      </c>
      <c r="T138" s="37">
        <v>0</v>
      </c>
      <c r="U138" s="37">
        <v>42.86</v>
      </c>
      <c r="V138" s="37">
        <v>0</v>
      </c>
      <c r="W138" s="37">
        <v>57.14</v>
      </c>
      <c r="X138" s="37">
        <v>44.83</v>
      </c>
      <c r="Y138" s="37">
        <v>31.03</v>
      </c>
      <c r="Z138" s="37">
        <v>24.14</v>
      </c>
      <c r="AA138" s="37">
        <v>50</v>
      </c>
      <c r="AB138" s="37">
        <v>37.5</v>
      </c>
      <c r="AC138" s="24">
        <f t="shared" si="9"/>
        <v>-10.096999999999998</v>
      </c>
      <c r="AD138" s="25">
        <f t="shared" si="10"/>
        <v>10.096999999999998</v>
      </c>
      <c r="AE138" s="23" t="str">
        <f t="shared" si="11"/>
        <v>Loss</v>
      </c>
      <c r="AF138" s="23" t="str">
        <f t="shared" si="12"/>
        <v>Loss</v>
      </c>
      <c r="AG138" s="23" t="str">
        <f t="shared" si="13"/>
        <v>Win</v>
      </c>
      <c r="AH138" s="23">
        <f t="shared" si="14"/>
        <v>-50</v>
      </c>
      <c r="AI138" s="23">
        <f t="shared" si="15"/>
        <v>-50</v>
      </c>
      <c r="AJ138" s="23">
        <f t="shared" si="16"/>
        <v>43.5</v>
      </c>
    </row>
    <row r="139" spans="1:36" x14ac:dyDescent="0.2">
      <c r="A139" s="36">
        <v>43614</v>
      </c>
      <c r="B139" s="37" t="s">
        <v>531</v>
      </c>
      <c r="C139" s="37" t="s">
        <v>564</v>
      </c>
      <c r="D139" s="37" t="s">
        <v>568</v>
      </c>
      <c r="E139" s="37" t="s">
        <v>569</v>
      </c>
      <c r="F139" s="37" t="s">
        <v>570</v>
      </c>
      <c r="G139" s="37">
        <v>1</v>
      </c>
      <c r="H139" s="37">
        <v>0</v>
      </c>
      <c r="I139" s="37">
        <v>4.5999999999999996</v>
      </c>
      <c r="J139" s="37">
        <v>5.3</v>
      </c>
      <c r="K139" s="37">
        <v>1.38</v>
      </c>
      <c r="L139" s="37">
        <v>3.22</v>
      </c>
      <c r="M139" s="37">
        <v>29</v>
      </c>
      <c r="N139" s="37">
        <v>11</v>
      </c>
      <c r="O139" s="37">
        <v>0</v>
      </c>
      <c r="P139" s="37">
        <v>15</v>
      </c>
      <c r="Q139" s="37">
        <v>6</v>
      </c>
      <c r="R139" s="37">
        <v>0</v>
      </c>
      <c r="S139" s="37">
        <v>0</v>
      </c>
      <c r="T139" s="37">
        <v>0</v>
      </c>
      <c r="U139" s="37">
        <v>51.72</v>
      </c>
      <c r="V139" s="37">
        <v>24.14</v>
      </c>
      <c r="W139" s="37">
        <v>24.14</v>
      </c>
      <c r="X139" s="37">
        <v>72.73</v>
      </c>
      <c r="Y139" s="37">
        <v>9.09</v>
      </c>
      <c r="Z139" s="37">
        <v>18.18</v>
      </c>
      <c r="AA139" s="37">
        <v>53.33</v>
      </c>
      <c r="AB139" s="37">
        <v>66.67</v>
      </c>
      <c r="AC139" s="24">
        <f t="shared" ref="AC139:AC170" si="17">(+R139*$R$8)+(S139*$S$8)-(T139*$T$8)+(U139*$U$8)+(V139*$V$8)-(W139*$W$8)-(X139*$X$8)-(Y139*$Y$8)+(Z139*$Z$8)</f>
        <v>-3.8890000000000002</v>
      </c>
      <c r="AD139" s="25">
        <f t="shared" ref="AD139:AD170" si="18">(-R139*$R$8)+(S139*$S$8)+(T139*$T$8)-(U139*$U$8)-(V139*$V$8)+(W139*$W$8)+(X139*$X$8)+(Y139*$Y$8)-(Z139*$Z$8)</f>
        <v>3.8890000000000002</v>
      </c>
      <c r="AE139" s="23" t="str">
        <f t="shared" ref="AE139:AE170" si="19">IF(G139&gt;H139,"Win","Loss")</f>
        <v>Win</v>
      </c>
      <c r="AF139" s="23" t="str">
        <f t="shared" ref="AF139:AF170" si="20">IF(G139=H139,"Win","Loss")</f>
        <v>Loss</v>
      </c>
      <c r="AG139" s="23" t="str">
        <f t="shared" ref="AG139:AG170" si="21">IF(G139&lt;H139,"Win","Loss")</f>
        <v>Loss</v>
      </c>
      <c r="AH139" s="23">
        <f t="shared" ref="AH139:AH170" si="22">IF(AE139="Win",(I139*$B$2)-$B$2,-$B$2)</f>
        <v>179.99999999999997</v>
      </c>
      <c r="AI139" s="23">
        <f t="shared" ref="AI139:AI170" si="23">IF(AF139="Win",(J139*$B$2)-$B$2,-$B$2)</f>
        <v>-50</v>
      </c>
      <c r="AJ139" s="23">
        <f t="shared" ref="AJ139:AJ170" si="24">IF(AG139="Win",(K139*$B$2)-$B$2,-$B$2)</f>
        <v>-50</v>
      </c>
    </row>
    <row r="140" spans="1:36" x14ac:dyDescent="0.2">
      <c r="A140" s="36">
        <v>43614</v>
      </c>
      <c r="B140" s="37" t="s">
        <v>496</v>
      </c>
      <c r="C140" s="37" t="s">
        <v>571</v>
      </c>
      <c r="D140" s="37" t="s">
        <v>572</v>
      </c>
      <c r="E140" s="37" t="s">
        <v>573</v>
      </c>
      <c r="F140" s="37" t="s">
        <v>574</v>
      </c>
      <c r="G140" s="37">
        <v>1</v>
      </c>
      <c r="H140" s="37">
        <v>0</v>
      </c>
      <c r="I140" s="37">
        <v>1.63</v>
      </c>
      <c r="J140" s="37">
        <v>3.96</v>
      </c>
      <c r="K140" s="37">
        <v>4.74</v>
      </c>
      <c r="L140" s="37">
        <v>-3.11</v>
      </c>
      <c r="M140" s="37">
        <v>30</v>
      </c>
      <c r="N140" s="37">
        <v>31</v>
      </c>
      <c r="O140" s="37">
        <v>1</v>
      </c>
      <c r="P140" s="37">
        <v>14</v>
      </c>
      <c r="Q140" s="37">
        <v>16</v>
      </c>
      <c r="R140" s="37">
        <v>0</v>
      </c>
      <c r="S140" s="37">
        <v>100</v>
      </c>
      <c r="T140" s="37">
        <v>0</v>
      </c>
      <c r="U140" s="37">
        <v>60</v>
      </c>
      <c r="V140" s="37">
        <v>26.67</v>
      </c>
      <c r="W140" s="37">
        <v>13.33</v>
      </c>
      <c r="X140" s="37">
        <v>48.39</v>
      </c>
      <c r="Y140" s="37">
        <v>25.81</v>
      </c>
      <c r="Z140" s="37">
        <v>25.81</v>
      </c>
      <c r="AA140" s="37">
        <v>78.569999999999993</v>
      </c>
      <c r="AB140" s="37">
        <v>50</v>
      </c>
      <c r="AC140" s="24">
        <f t="shared" si="17"/>
        <v>14.904</v>
      </c>
      <c r="AD140" s="25">
        <f t="shared" si="18"/>
        <v>5.096000000000001</v>
      </c>
      <c r="AE140" s="23" t="str">
        <f t="shared" si="19"/>
        <v>Win</v>
      </c>
      <c r="AF140" s="23" t="str">
        <f t="shared" si="20"/>
        <v>Loss</v>
      </c>
      <c r="AG140" s="23" t="str">
        <f t="shared" si="21"/>
        <v>Loss</v>
      </c>
      <c r="AH140" s="23">
        <f t="shared" si="22"/>
        <v>31.5</v>
      </c>
      <c r="AI140" s="23">
        <f t="shared" si="23"/>
        <v>-50</v>
      </c>
      <c r="AJ140" s="23">
        <f t="shared" si="24"/>
        <v>-50</v>
      </c>
    </row>
    <row r="141" spans="1:36" x14ac:dyDescent="0.2">
      <c r="A141" s="36">
        <v>43614</v>
      </c>
      <c r="B141" s="37" t="s">
        <v>496</v>
      </c>
      <c r="C141" s="37" t="s">
        <v>571</v>
      </c>
      <c r="D141" s="37" t="s">
        <v>575</v>
      </c>
      <c r="E141" s="37" t="s">
        <v>576</v>
      </c>
      <c r="F141" s="37" t="s">
        <v>577</v>
      </c>
      <c r="G141" s="37">
        <v>3</v>
      </c>
      <c r="H141" s="37">
        <v>0</v>
      </c>
      <c r="I141" s="37">
        <v>1.51</v>
      </c>
      <c r="J141" s="37">
        <v>4.41</v>
      </c>
      <c r="K141" s="37">
        <v>5.38</v>
      </c>
      <c r="L141" s="37">
        <v>-3.87</v>
      </c>
      <c r="M141" s="37">
        <v>31</v>
      </c>
      <c r="N141" s="37">
        <v>30</v>
      </c>
      <c r="O141" s="37">
        <v>1</v>
      </c>
      <c r="P141" s="37">
        <v>14</v>
      </c>
      <c r="Q141" s="37">
        <v>15</v>
      </c>
      <c r="R141" s="37">
        <v>0</v>
      </c>
      <c r="S141" s="37">
        <v>100</v>
      </c>
      <c r="T141" s="37">
        <v>0</v>
      </c>
      <c r="U141" s="37">
        <v>45.16</v>
      </c>
      <c r="V141" s="37">
        <v>22.58</v>
      </c>
      <c r="W141" s="37">
        <v>32.26</v>
      </c>
      <c r="X141" s="37">
        <v>23.33</v>
      </c>
      <c r="Y141" s="37">
        <v>23.33</v>
      </c>
      <c r="Z141" s="37">
        <v>53.33</v>
      </c>
      <c r="AA141" s="37">
        <v>57.14</v>
      </c>
      <c r="AB141" s="37">
        <v>20</v>
      </c>
      <c r="AC141" s="24">
        <f t="shared" si="17"/>
        <v>18.505000000000003</v>
      </c>
      <c r="AD141" s="25">
        <f t="shared" si="18"/>
        <v>1.4949999999999992</v>
      </c>
      <c r="AE141" s="23" t="str">
        <f t="shared" si="19"/>
        <v>Win</v>
      </c>
      <c r="AF141" s="23" t="str">
        <f t="shared" si="20"/>
        <v>Loss</v>
      </c>
      <c r="AG141" s="23" t="str">
        <f t="shared" si="21"/>
        <v>Loss</v>
      </c>
      <c r="AH141" s="23">
        <f t="shared" si="22"/>
        <v>25.5</v>
      </c>
      <c r="AI141" s="23">
        <f t="shared" si="23"/>
        <v>-50</v>
      </c>
      <c r="AJ141" s="23">
        <f t="shared" si="24"/>
        <v>-50</v>
      </c>
    </row>
    <row r="142" spans="1:36" x14ac:dyDescent="0.2">
      <c r="A142" s="36">
        <v>43614</v>
      </c>
      <c r="B142" s="37" t="s">
        <v>496</v>
      </c>
      <c r="C142" s="37" t="s">
        <v>571</v>
      </c>
      <c r="D142" s="37" t="s">
        <v>578</v>
      </c>
      <c r="E142" s="37" t="s">
        <v>579</v>
      </c>
      <c r="F142" s="37" t="s">
        <v>580</v>
      </c>
      <c r="G142" s="37">
        <v>0</v>
      </c>
      <c r="H142" s="37">
        <v>1</v>
      </c>
      <c r="I142" s="37">
        <v>6.38</v>
      </c>
      <c r="J142" s="37">
        <v>4.8</v>
      </c>
      <c r="K142" s="37">
        <v>1.4</v>
      </c>
      <c r="L142" s="37">
        <v>4.9800000000000004</v>
      </c>
      <c r="M142" s="37">
        <v>29</v>
      </c>
      <c r="N142" s="37">
        <v>31</v>
      </c>
      <c r="O142" s="37">
        <v>1</v>
      </c>
      <c r="P142" s="37">
        <v>14</v>
      </c>
      <c r="Q142" s="37">
        <v>16</v>
      </c>
      <c r="R142" s="37">
        <v>100</v>
      </c>
      <c r="S142" s="37">
        <v>0</v>
      </c>
      <c r="T142" s="37">
        <v>0</v>
      </c>
      <c r="U142" s="37">
        <v>44.83</v>
      </c>
      <c r="V142" s="37">
        <v>6.9</v>
      </c>
      <c r="W142" s="37">
        <v>48.28</v>
      </c>
      <c r="X142" s="37">
        <v>58.06</v>
      </c>
      <c r="Y142" s="37">
        <v>29.03</v>
      </c>
      <c r="Z142" s="37">
        <v>12.9</v>
      </c>
      <c r="AA142" s="37">
        <v>35.71</v>
      </c>
      <c r="AB142" s="37">
        <v>56.25</v>
      </c>
      <c r="AC142" s="24">
        <f t="shared" si="17"/>
        <v>18.064999999999998</v>
      </c>
      <c r="AD142" s="25">
        <f t="shared" si="18"/>
        <v>-18.064999999999998</v>
      </c>
      <c r="AE142" s="23" t="str">
        <f t="shared" si="19"/>
        <v>Loss</v>
      </c>
      <c r="AF142" s="23" t="str">
        <f t="shared" si="20"/>
        <v>Loss</v>
      </c>
      <c r="AG142" s="23" t="str">
        <f t="shared" si="21"/>
        <v>Win</v>
      </c>
      <c r="AH142" s="23">
        <f t="shared" si="22"/>
        <v>-50</v>
      </c>
      <c r="AI142" s="23">
        <f t="shared" si="23"/>
        <v>-50</v>
      </c>
      <c r="AJ142" s="23">
        <f t="shared" si="24"/>
        <v>20</v>
      </c>
    </row>
    <row r="143" spans="1:36" x14ac:dyDescent="0.2">
      <c r="A143" s="36">
        <v>43614</v>
      </c>
      <c r="B143" s="37" t="s">
        <v>496</v>
      </c>
      <c r="C143" s="37" t="s">
        <v>571</v>
      </c>
      <c r="D143" s="37" t="s">
        <v>581</v>
      </c>
      <c r="E143" s="37" t="s">
        <v>582</v>
      </c>
      <c r="F143" s="37" t="s">
        <v>583</v>
      </c>
      <c r="G143" s="37">
        <v>2</v>
      </c>
      <c r="H143" s="37">
        <v>2</v>
      </c>
      <c r="I143" s="37">
        <v>2.2799999999999998</v>
      </c>
      <c r="J143" s="37">
        <v>3.44</v>
      </c>
      <c r="K143" s="37">
        <v>2.91</v>
      </c>
      <c r="L143" s="37">
        <v>-0.63</v>
      </c>
      <c r="M143" s="37">
        <v>32</v>
      </c>
      <c r="N143" s="37">
        <v>31</v>
      </c>
      <c r="O143" s="37">
        <v>1</v>
      </c>
      <c r="P143" s="37">
        <v>15</v>
      </c>
      <c r="Q143" s="37">
        <v>16</v>
      </c>
      <c r="R143" s="37">
        <v>0</v>
      </c>
      <c r="S143" s="37">
        <v>100</v>
      </c>
      <c r="T143" s="37">
        <v>0</v>
      </c>
      <c r="U143" s="37">
        <v>46.88</v>
      </c>
      <c r="V143" s="37">
        <v>21.88</v>
      </c>
      <c r="W143" s="37">
        <v>31.25</v>
      </c>
      <c r="X143" s="37">
        <v>32.26</v>
      </c>
      <c r="Y143" s="37">
        <v>25.81</v>
      </c>
      <c r="Z143" s="37">
        <v>41.94</v>
      </c>
      <c r="AA143" s="37">
        <v>40</v>
      </c>
      <c r="AB143" s="37">
        <v>43.75</v>
      </c>
      <c r="AC143" s="24">
        <f t="shared" si="17"/>
        <v>14.669</v>
      </c>
      <c r="AD143" s="25">
        <f t="shared" si="18"/>
        <v>5.3309999999999977</v>
      </c>
      <c r="AE143" s="23" t="str">
        <f t="shared" si="19"/>
        <v>Loss</v>
      </c>
      <c r="AF143" s="23" t="str">
        <f t="shared" si="20"/>
        <v>Win</v>
      </c>
      <c r="AG143" s="23" t="str">
        <f t="shared" si="21"/>
        <v>Loss</v>
      </c>
      <c r="AH143" s="23">
        <f t="shared" si="22"/>
        <v>-50</v>
      </c>
      <c r="AI143" s="23">
        <f t="shared" si="23"/>
        <v>122</v>
      </c>
      <c r="AJ143" s="23">
        <f t="shared" si="24"/>
        <v>-50</v>
      </c>
    </row>
    <row r="144" spans="1:36" x14ac:dyDescent="0.2">
      <c r="A144" s="36">
        <v>43614</v>
      </c>
      <c r="B144" s="37" t="s">
        <v>496</v>
      </c>
      <c r="C144" s="37" t="s">
        <v>571</v>
      </c>
      <c r="D144" s="37" t="s">
        <v>584</v>
      </c>
      <c r="E144" s="37" t="s">
        <v>585</v>
      </c>
      <c r="F144" s="37" t="s">
        <v>586</v>
      </c>
      <c r="G144" s="37">
        <v>1</v>
      </c>
      <c r="H144" s="37">
        <v>1</v>
      </c>
      <c r="I144" s="37">
        <v>2.95</v>
      </c>
      <c r="J144" s="37">
        <v>3.95</v>
      </c>
      <c r="K144" s="37">
        <v>2.1</v>
      </c>
      <c r="L144" s="37">
        <v>0.85</v>
      </c>
      <c r="M144" s="37">
        <v>28</v>
      </c>
      <c r="N144" s="37">
        <v>28</v>
      </c>
      <c r="O144" s="37">
        <v>1</v>
      </c>
      <c r="P144" s="37">
        <v>14</v>
      </c>
      <c r="Q144" s="37">
        <v>14</v>
      </c>
      <c r="R144" s="37">
        <v>0</v>
      </c>
      <c r="S144" s="37">
        <v>0</v>
      </c>
      <c r="T144" s="37">
        <v>100</v>
      </c>
      <c r="U144" s="37">
        <v>35.71</v>
      </c>
      <c r="V144" s="37">
        <v>35.71</v>
      </c>
      <c r="W144" s="37">
        <v>28.57</v>
      </c>
      <c r="X144" s="37">
        <v>35.71</v>
      </c>
      <c r="Y144" s="37">
        <v>10.71</v>
      </c>
      <c r="Z144" s="37">
        <v>53.57</v>
      </c>
      <c r="AA144" s="37">
        <v>35.71</v>
      </c>
      <c r="AB144" s="37">
        <v>28.57</v>
      </c>
      <c r="AC144" s="24">
        <f t="shared" si="17"/>
        <v>-22.5</v>
      </c>
      <c r="AD144" s="25">
        <f t="shared" si="18"/>
        <v>22.5</v>
      </c>
      <c r="AE144" s="23" t="str">
        <f t="shared" si="19"/>
        <v>Loss</v>
      </c>
      <c r="AF144" s="23" t="str">
        <f t="shared" si="20"/>
        <v>Win</v>
      </c>
      <c r="AG144" s="23" t="str">
        <f t="shared" si="21"/>
        <v>Loss</v>
      </c>
      <c r="AH144" s="23">
        <f t="shared" si="22"/>
        <v>-50</v>
      </c>
      <c r="AI144" s="23">
        <f t="shared" si="23"/>
        <v>147.5</v>
      </c>
      <c r="AJ144" s="23">
        <f t="shared" si="24"/>
        <v>-50</v>
      </c>
    </row>
    <row r="145" spans="1:36" x14ac:dyDescent="0.2">
      <c r="A145" s="36">
        <v>43614</v>
      </c>
      <c r="B145" s="37" t="s">
        <v>496</v>
      </c>
      <c r="C145" s="37" t="s">
        <v>571</v>
      </c>
      <c r="D145" s="37" t="s">
        <v>587</v>
      </c>
      <c r="E145" s="37" t="s">
        <v>588</v>
      </c>
      <c r="F145" s="37" t="s">
        <v>589</v>
      </c>
      <c r="G145" s="37">
        <v>2</v>
      </c>
      <c r="H145" s="37">
        <v>1</v>
      </c>
      <c r="I145" s="37">
        <v>1.33</v>
      </c>
      <c r="J145" s="37">
        <v>5.2</v>
      </c>
      <c r="K145" s="37">
        <v>7.44</v>
      </c>
      <c r="L145" s="37">
        <v>-6.11</v>
      </c>
      <c r="M145" s="37">
        <v>32</v>
      </c>
      <c r="N145" s="37">
        <v>30</v>
      </c>
      <c r="O145" s="37">
        <v>1</v>
      </c>
      <c r="P145" s="37">
        <v>15</v>
      </c>
      <c r="Q145" s="37">
        <v>16</v>
      </c>
      <c r="R145" s="37">
        <v>0</v>
      </c>
      <c r="S145" s="37">
        <v>0</v>
      </c>
      <c r="T145" s="37">
        <v>100</v>
      </c>
      <c r="U145" s="37">
        <v>31.25</v>
      </c>
      <c r="V145" s="37">
        <v>40.630000000000003</v>
      </c>
      <c r="W145" s="37">
        <v>28.13</v>
      </c>
      <c r="X145" s="37">
        <v>20</v>
      </c>
      <c r="Y145" s="37">
        <v>20</v>
      </c>
      <c r="Z145" s="37">
        <v>60</v>
      </c>
      <c r="AA145" s="37">
        <v>40</v>
      </c>
      <c r="AB145" s="37">
        <v>18.75</v>
      </c>
      <c r="AC145" s="24">
        <f t="shared" si="17"/>
        <v>-19.312999999999999</v>
      </c>
      <c r="AD145" s="25">
        <f t="shared" si="18"/>
        <v>19.312999999999999</v>
      </c>
      <c r="AE145" s="23" t="str">
        <f t="shared" si="19"/>
        <v>Win</v>
      </c>
      <c r="AF145" s="23" t="str">
        <f t="shared" si="20"/>
        <v>Loss</v>
      </c>
      <c r="AG145" s="23" t="str">
        <f t="shared" si="21"/>
        <v>Loss</v>
      </c>
      <c r="AH145" s="23">
        <f t="shared" si="22"/>
        <v>16.5</v>
      </c>
      <c r="AI145" s="23">
        <f t="shared" si="23"/>
        <v>-50</v>
      </c>
      <c r="AJ145" s="23">
        <f t="shared" si="24"/>
        <v>-50</v>
      </c>
    </row>
    <row r="146" spans="1:36" x14ac:dyDescent="0.2">
      <c r="A146" s="36">
        <v>43614</v>
      </c>
      <c r="B146" s="37" t="s">
        <v>496</v>
      </c>
      <c r="C146" s="37" t="s">
        <v>571</v>
      </c>
      <c r="D146" s="37" t="s">
        <v>590</v>
      </c>
      <c r="E146" s="37" t="s">
        <v>591</v>
      </c>
      <c r="F146" s="37" t="s">
        <v>592</v>
      </c>
      <c r="G146" s="37">
        <v>1</v>
      </c>
      <c r="H146" s="37">
        <v>5</v>
      </c>
      <c r="I146" s="37">
        <v>2.2599999999999998</v>
      </c>
      <c r="J146" s="37">
        <v>3.82</v>
      </c>
      <c r="K146" s="37">
        <v>2.71</v>
      </c>
      <c r="L146" s="37">
        <v>-0.45</v>
      </c>
      <c r="M146" s="37">
        <v>28</v>
      </c>
      <c r="N146" s="37">
        <v>29</v>
      </c>
      <c r="O146" s="37">
        <v>1</v>
      </c>
      <c r="P146" s="37">
        <v>14</v>
      </c>
      <c r="Q146" s="37">
        <v>15</v>
      </c>
      <c r="R146" s="37">
        <v>100</v>
      </c>
      <c r="S146" s="37">
        <v>0</v>
      </c>
      <c r="T146" s="37">
        <v>0</v>
      </c>
      <c r="U146" s="37">
        <v>46.43</v>
      </c>
      <c r="V146" s="37">
        <v>10.71</v>
      </c>
      <c r="W146" s="37">
        <v>42.86</v>
      </c>
      <c r="X146" s="37">
        <v>27.59</v>
      </c>
      <c r="Y146" s="37">
        <v>20.69</v>
      </c>
      <c r="Z146" s="37">
        <v>51.72</v>
      </c>
      <c r="AA146" s="37">
        <v>64.290000000000006</v>
      </c>
      <c r="AB146" s="37">
        <v>26.67</v>
      </c>
      <c r="AC146" s="24">
        <f t="shared" si="17"/>
        <v>34.542000000000002</v>
      </c>
      <c r="AD146" s="25">
        <f t="shared" si="18"/>
        <v>-34.542000000000002</v>
      </c>
      <c r="AE146" s="23" t="str">
        <f t="shared" si="19"/>
        <v>Loss</v>
      </c>
      <c r="AF146" s="23" t="str">
        <f t="shared" si="20"/>
        <v>Loss</v>
      </c>
      <c r="AG146" s="23" t="str">
        <f t="shared" si="21"/>
        <v>Win</v>
      </c>
      <c r="AH146" s="23">
        <f t="shared" si="22"/>
        <v>-50</v>
      </c>
      <c r="AI146" s="23">
        <f t="shared" si="23"/>
        <v>-50</v>
      </c>
      <c r="AJ146" s="23">
        <f t="shared" si="24"/>
        <v>85.5</v>
      </c>
    </row>
    <row r="147" spans="1:36" x14ac:dyDescent="0.2">
      <c r="A147" s="36">
        <v>43614</v>
      </c>
      <c r="B147" s="37" t="s">
        <v>496</v>
      </c>
      <c r="C147" s="37" t="s">
        <v>571</v>
      </c>
      <c r="D147" s="37" t="s">
        <v>593</v>
      </c>
      <c r="E147" s="37" t="s">
        <v>594</v>
      </c>
      <c r="F147" s="37" t="s">
        <v>595</v>
      </c>
      <c r="G147" s="37">
        <v>1</v>
      </c>
      <c r="H147" s="37">
        <v>2</v>
      </c>
      <c r="I147" s="37">
        <v>2.17</v>
      </c>
      <c r="J147" s="37">
        <v>3.59</v>
      </c>
      <c r="K147" s="37">
        <v>3.02</v>
      </c>
      <c r="L147" s="37">
        <v>-0.85</v>
      </c>
      <c r="M147" s="37">
        <v>28</v>
      </c>
      <c r="N147" s="37">
        <v>31</v>
      </c>
      <c r="O147" s="37">
        <v>1</v>
      </c>
      <c r="P147" s="37">
        <v>14</v>
      </c>
      <c r="Q147" s="37">
        <v>17</v>
      </c>
      <c r="R147" s="37">
        <v>0</v>
      </c>
      <c r="S147" s="37">
        <v>100</v>
      </c>
      <c r="T147" s="37">
        <v>0</v>
      </c>
      <c r="U147" s="37">
        <v>28.57</v>
      </c>
      <c r="V147" s="37">
        <v>25</v>
      </c>
      <c r="W147" s="37">
        <v>46.43</v>
      </c>
      <c r="X147" s="37">
        <v>35.479999999999997</v>
      </c>
      <c r="Y147" s="37">
        <v>25.81</v>
      </c>
      <c r="Z147" s="37">
        <v>38.71</v>
      </c>
      <c r="AA147" s="37">
        <v>35.71</v>
      </c>
      <c r="AB147" s="37">
        <v>41.18</v>
      </c>
      <c r="AC147" s="24">
        <f t="shared" si="17"/>
        <v>6.9930000000000003</v>
      </c>
      <c r="AD147" s="25">
        <f t="shared" si="18"/>
        <v>13.006999999999998</v>
      </c>
      <c r="AE147" s="23" t="str">
        <f t="shared" si="19"/>
        <v>Loss</v>
      </c>
      <c r="AF147" s="23" t="str">
        <f t="shared" si="20"/>
        <v>Loss</v>
      </c>
      <c r="AG147" s="23" t="str">
        <f t="shared" si="21"/>
        <v>Win</v>
      </c>
      <c r="AH147" s="23">
        <f t="shared" si="22"/>
        <v>-50</v>
      </c>
      <c r="AI147" s="23">
        <f t="shared" si="23"/>
        <v>-50</v>
      </c>
      <c r="AJ147" s="23">
        <f t="shared" si="24"/>
        <v>101</v>
      </c>
    </row>
    <row r="148" spans="1:36" x14ac:dyDescent="0.2">
      <c r="A148" s="36">
        <v>43614</v>
      </c>
      <c r="B148" s="37" t="s">
        <v>596</v>
      </c>
      <c r="C148" s="37" t="s">
        <v>597</v>
      </c>
      <c r="D148" s="37" t="s">
        <v>598</v>
      </c>
      <c r="E148" s="37" t="s">
        <v>599</v>
      </c>
      <c r="F148" s="37" t="s">
        <v>600</v>
      </c>
      <c r="G148" s="37">
        <v>1</v>
      </c>
      <c r="H148" s="37">
        <v>1</v>
      </c>
      <c r="I148" s="37">
        <v>1.61</v>
      </c>
      <c r="J148" s="37">
        <v>4.16</v>
      </c>
      <c r="K148" s="37">
        <v>3.98</v>
      </c>
      <c r="L148" s="37">
        <v>-2.37</v>
      </c>
      <c r="M148" s="37">
        <v>30</v>
      </c>
      <c r="N148" s="37">
        <v>27</v>
      </c>
      <c r="O148" s="37">
        <v>0</v>
      </c>
      <c r="P148" s="37">
        <v>14</v>
      </c>
      <c r="Q148" s="37">
        <v>13</v>
      </c>
      <c r="R148" s="37">
        <v>0</v>
      </c>
      <c r="S148" s="37">
        <v>0</v>
      </c>
      <c r="T148" s="37">
        <v>0</v>
      </c>
      <c r="U148" s="37">
        <v>60</v>
      </c>
      <c r="V148" s="37">
        <v>13.33</v>
      </c>
      <c r="W148" s="37">
        <v>26.67</v>
      </c>
      <c r="X148" s="37">
        <v>92.59</v>
      </c>
      <c r="Y148" s="37">
        <v>3.7</v>
      </c>
      <c r="Z148" s="37">
        <v>3.7</v>
      </c>
      <c r="AA148" s="37">
        <v>57.14</v>
      </c>
      <c r="AB148" s="37">
        <v>92.31</v>
      </c>
      <c r="AC148" s="24">
        <f t="shared" si="17"/>
        <v>-10.149000000000001</v>
      </c>
      <c r="AD148" s="25">
        <f t="shared" si="18"/>
        <v>10.149000000000001</v>
      </c>
      <c r="AE148" s="23" t="str">
        <f t="shared" si="19"/>
        <v>Loss</v>
      </c>
      <c r="AF148" s="23" t="str">
        <f t="shared" si="20"/>
        <v>Win</v>
      </c>
      <c r="AG148" s="23" t="str">
        <f t="shared" si="21"/>
        <v>Loss</v>
      </c>
      <c r="AH148" s="23">
        <f t="shared" si="22"/>
        <v>-50</v>
      </c>
      <c r="AI148" s="23">
        <f t="shared" si="23"/>
        <v>158</v>
      </c>
      <c r="AJ148" s="23">
        <f t="shared" si="24"/>
        <v>-50</v>
      </c>
    </row>
    <row r="149" spans="1:36" x14ac:dyDescent="0.2">
      <c r="A149" s="36">
        <v>43614</v>
      </c>
      <c r="B149" s="37" t="s">
        <v>596</v>
      </c>
      <c r="C149" s="37" t="s">
        <v>601</v>
      </c>
      <c r="D149" s="37" t="s">
        <v>602</v>
      </c>
      <c r="E149" s="37" t="s">
        <v>603</v>
      </c>
      <c r="F149" s="37" t="s">
        <v>604</v>
      </c>
      <c r="G149" s="37">
        <v>0</v>
      </c>
      <c r="H149" s="37">
        <v>1</v>
      </c>
      <c r="I149" s="37">
        <v>4.12</v>
      </c>
      <c r="J149" s="37">
        <v>3.87</v>
      </c>
      <c r="K149" s="37">
        <v>1.71</v>
      </c>
      <c r="L149" s="37">
        <v>2.41</v>
      </c>
      <c r="M149" s="37">
        <v>28</v>
      </c>
      <c r="N149" s="37">
        <v>34</v>
      </c>
      <c r="O149" s="37">
        <v>0</v>
      </c>
      <c r="P149" s="37">
        <v>14</v>
      </c>
      <c r="Q149" s="37">
        <v>17</v>
      </c>
      <c r="R149" s="37">
        <v>0</v>
      </c>
      <c r="S149" s="37">
        <v>0</v>
      </c>
      <c r="T149" s="37">
        <v>0</v>
      </c>
      <c r="U149" s="37">
        <v>57.14</v>
      </c>
      <c r="V149" s="37">
        <v>14.29</v>
      </c>
      <c r="W149" s="37">
        <v>28.57</v>
      </c>
      <c r="X149" s="37">
        <v>32.35</v>
      </c>
      <c r="Y149" s="37">
        <v>20.59</v>
      </c>
      <c r="Z149" s="37">
        <v>47.06</v>
      </c>
      <c r="AA149" s="37">
        <v>71.430000000000007</v>
      </c>
      <c r="AB149" s="37">
        <v>23.53</v>
      </c>
      <c r="AC149" s="24">
        <f t="shared" si="17"/>
        <v>8.0259999999999998</v>
      </c>
      <c r="AD149" s="25">
        <f t="shared" si="18"/>
        <v>-8.0259999999999998</v>
      </c>
      <c r="AE149" s="23" t="str">
        <f t="shared" si="19"/>
        <v>Loss</v>
      </c>
      <c r="AF149" s="23" t="str">
        <f t="shared" si="20"/>
        <v>Loss</v>
      </c>
      <c r="AG149" s="23" t="str">
        <f t="shared" si="21"/>
        <v>Win</v>
      </c>
      <c r="AH149" s="23">
        <f t="shared" si="22"/>
        <v>-50</v>
      </c>
      <c r="AI149" s="23">
        <f t="shared" si="23"/>
        <v>-50</v>
      </c>
      <c r="AJ149" s="23">
        <f t="shared" si="24"/>
        <v>35.5</v>
      </c>
    </row>
    <row r="150" spans="1:36" x14ac:dyDescent="0.2">
      <c r="A150" s="36">
        <v>43614</v>
      </c>
      <c r="B150" s="37" t="s">
        <v>531</v>
      </c>
      <c r="C150" s="37" t="s">
        <v>532</v>
      </c>
      <c r="D150" s="37" t="s">
        <v>605</v>
      </c>
      <c r="E150" s="37" t="s">
        <v>606</v>
      </c>
      <c r="F150" s="37" t="s">
        <v>607</v>
      </c>
      <c r="G150" s="37">
        <v>0</v>
      </c>
      <c r="H150" s="37">
        <v>3</v>
      </c>
      <c r="I150" s="37">
        <v>4.93</v>
      </c>
      <c r="J150" s="37">
        <v>4.22</v>
      </c>
      <c r="K150" s="37">
        <v>1.54</v>
      </c>
      <c r="L150" s="37">
        <v>3.39</v>
      </c>
      <c r="M150" s="37">
        <v>38</v>
      </c>
      <c r="N150" s="37">
        <v>41</v>
      </c>
      <c r="O150" s="37">
        <v>2</v>
      </c>
      <c r="P150" s="37">
        <v>19</v>
      </c>
      <c r="Q150" s="37">
        <v>21</v>
      </c>
      <c r="R150" s="37">
        <v>0</v>
      </c>
      <c r="S150" s="37">
        <v>0</v>
      </c>
      <c r="T150" s="37">
        <v>100</v>
      </c>
      <c r="U150" s="37">
        <v>34.21</v>
      </c>
      <c r="V150" s="37">
        <v>21.05</v>
      </c>
      <c r="W150" s="37">
        <v>44.74</v>
      </c>
      <c r="X150" s="37">
        <v>51.22</v>
      </c>
      <c r="Y150" s="37">
        <v>29.27</v>
      </c>
      <c r="Z150" s="37">
        <v>19.510000000000002</v>
      </c>
      <c r="AA150" s="37">
        <v>57.89</v>
      </c>
      <c r="AB150" s="37">
        <v>52.38</v>
      </c>
      <c r="AC150" s="24">
        <f t="shared" si="17"/>
        <v>-39.270000000000003</v>
      </c>
      <c r="AD150" s="25">
        <f t="shared" si="18"/>
        <v>39.270000000000003</v>
      </c>
      <c r="AE150" s="23" t="str">
        <f t="shared" si="19"/>
        <v>Loss</v>
      </c>
      <c r="AF150" s="23" t="str">
        <f t="shared" si="20"/>
        <v>Loss</v>
      </c>
      <c r="AG150" s="23" t="str">
        <f t="shared" si="21"/>
        <v>Win</v>
      </c>
      <c r="AH150" s="23">
        <f t="shared" si="22"/>
        <v>-50</v>
      </c>
      <c r="AI150" s="23">
        <f t="shared" si="23"/>
        <v>-50</v>
      </c>
      <c r="AJ150" s="23">
        <f t="shared" si="24"/>
        <v>27</v>
      </c>
    </row>
    <row r="151" spans="1:36" x14ac:dyDescent="0.2">
      <c r="A151" s="36">
        <v>43614</v>
      </c>
      <c r="B151" s="37" t="s">
        <v>531</v>
      </c>
      <c r="C151" s="37" t="s">
        <v>536</v>
      </c>
      <c r="D151" s="37" t="s">
        <v>608</v>
      </c>
      <c r="E151" s="37" t="s">
        <v>609</v>
      </c>
      <c r="F151" s="37" t="s">
        <v>610</v>
      </c>
      <c r="G151" s="37">
        <v>2</v>
      </c>
      <c r="H151" s="37">
        <v>0</v>
      </c>
      <c r="I151" s="37">
        <v>2.65</v>
      </c>
      <c r="J151" s="37">
        <v>3.39</v>
      </c>
      <c r="K151" s="37">
        <v>2.39</v>
      </c>
      <c r="L151" s="37">
        <v>0.26</v>
      </c>
      <c r="M151" s="37">
        <v>40</v>
      </c>
      <c r="N151" s="37">
        <v>30</v>
      </c>
      <c r="O151" s="37">
        <v>0</v>
      </c>
      <c r="P151" s="37">
        <v>19</v>
      </c>
      <c r="Q151" s="37">
        <v>13</v>
      </c>
      <c r="R151" s="37">
        <v>0</v>
      </c>
      <c r="S151" s="37">
        <v>0</v>
      </c>
      <c r="T151" s="37">
        <v>0</v>
      </c>
      <c r="U151" s="37">
        <v>65</v>
      </c>
      <c r="V151" s="37">
        <v>25</v>
      </c>
      <c r="W151" s="37">
        <v>10</v>
      </c>
      <c r="X151" s="37">
        <v>66.67</v>
      </c>
      <c r="Y151" s="37">
        <v>16.670000000000002</v>
      </c>
      <c r="Z151" s="37">
        <v>16.670000000000002</v>
      </c>
      <c r="AA151" s="37">
        <v>73.680000000000007</v>
      </c>
      <c r="AB151" s="37">
        <v>76.92</v>
      </c>
      <c r="AC151" s="24">
        <f t="shared" si="17"/>
        <v>1.8329999999999989</v>
      </c>
      <c r="AD151" s="25">
        <f t="shared" si="18"/>
        <v>-1.8329999999999989</v>
      </c>
      <c r="AE151" s="23" t="str">
        <f t="shared" si="19"/>
        <v>Win</v>
      </c>
      <c r="AF151" s="23" t="str">
        <f t="shared" si="20"/>
        <v>Loss</v>
      </c>
      <c r="AG151" s="23" t="str">
        <f t="shared" si="21"/>
        <v>Loss</v>
      </c>
      <c r="AH151" s="23">
        <f t="shared" si="22"/>
        <v>82.5</v>
      </c>
      <c r="AI151" s="23">
        <f t="shared" si="23"/>
        <v>-50</v>
      </c>
      <c r="AJ151" s="23">
        <f t="shared" si="24"/>
        <v>-50</v>
      </c>
    </row>
    <row r="152" spans="1:36" x14ac:dyDescent="0.2">
      <c r="A152" s="36">
        <v>43614</v>
      </c>
      <c r="B152" s="37" t="s">
        <v>531</v>
      </c>
      <c r="C152" s="37" t="s">
        <v>543</v>
      </c>
      <c r="D152" s="37" t="s">
        <v>611</v>
      </c>
      <c r="E152" s="37" t="s">
        <v>612</v>
      </c>
      <c r="F152" s="37" t="s">
        <v>613</v>
      </c>
      <c r="G152" s="37">
        <v>1</v>
      </c>
      <c r="H152" s="37">
        <v>2</v>
      </c>
      <c r="I152" s="37">
        <v>1.78</v>
      </c>
      <c r="J152" s="37">
        <v>3.87</v>
      </c>
      <c r="K152" s="37">
        <v>3.54</v>
      </c>
      <c r="L152" s="37">
        <v>-1.76</v>
      </c>
      <c r="M152" s="37">
        <v>55</v>
      </c>
      <c r="N152" s="37">
        <v>34</v>
      </c>
      <c r="O152" s="37">
        <v>2</v>
      </c>
      <c r="P152" s="37">
        <v>27</v>
      </c>
      <c r="Q152" s="37">
        <v>18</v>
      </c>
      <c r="R152" s="37">
        <v>50</v>
      </c>
      <c r="S152" s="37">
        <v>50</v>
      </c>
      <c r="T152" s="37">
        <v>0</v>
      </c>
      <c r="U152" s="37">
        <v>50.91</v>
      </c>
      <c r="V152" s="37">
        <v>18.18</v>
      </c>
      <c r="W152" s="37">
        <v>30.91</v>
      </c>
      <c r="X152" s="37">
        <v>50</v>
      </c>
      <c r="Y152" s="37">
        <v>23.53</v>
      </c>
      <c r="Z152" s="37">
        <v>26.47</v>
      </c>
      <c r="AA152" s="37">
        <v>70.37</v>
      </c>
      <c r="AB152" s="37">
        <v>38.89</v>
      </c>
      <c r="AC152" s="24">
        <f t="shared" si="17"/>
        <v>18.759</v>
      </c>
      <c r="AD152" s="25">
        <f t="shared" si="18"/>
        <v>-8.7590000000000039</v>
      </c>
      <c r="AE152" s="23" t="str">
        <f t="shared" si="19"/>
        <v>Loss</v>
      </c>
      <c r="AF152" s="23" t="str">
        <f t="shared" si="20"/>
        <v>Loss</v>
      </c>
      <c r="AG152" s="23" t="str">
        <f t="shared" si="21"/>
        <v>Win</v>
      </c>
      <c r="AH152" s="23">
        <f t="shared" si="22"/>
        <v>-50</v>
      </c>
      <c r="AI152" s="23">
        <f t="shared" si="23"/>
        <v>-50</v>
      </c>
      <c r="AJ152" s="23">
        <f t="shared" si="24"/>
        <v>127</v>
      </c>
    </row>
    <row r="153" spans="1:36" x14ac:dyDescent="0.2">
      <c r="A153" s="36">
        <v>43614</v>
      </c>
      <c r="B153" s="37" t="s">
        <v>531</v>
      </c>
      <c r="C153" s="37" t="s">
        <v>543</v>
      </c>
      <c r="D153" s="37" t="s">
        <v>614</v>
      </c>
      <c r="E153" s="37" t="s">
        <v>615</v>
      </c>
      <c r="F153" s="37" t="s">
        <v>616</v>
      </c>
      <c r="G153" s="37">
        <v>2</v>
      </c>
      <c r="H153" s="37">
        <v>1</v>
      </c>
      <c r="I153" s="37">
        <v>2.02</v>
      </c>
      <c r="J153" s="37">
        <v>3.8</v>
      </c>
      <c r="K153" s="37">
        <v>2.89</v>
      </c>
      <c r="L153" s="37">
        <v>-0.87</v>
      </c>
      <c r="M153" s="37">
        <v>8</v>
      </c>
      <c r="N153" s="37">
        <v>34</v>
      </c>
      <c r="O153" s="37">
        <v>0</v>
      </c>
      <c r="P153" s="37">
        <v>4</v>
      </c>
      <c r="Q153" s="37">
        <v>17</v>
      </c>
      <c r="R153" s="37">
        <v>0</v>
      </c>
      <c r="S153" s="37">
        <v>0</v>
      </c>
      <c r="T153" s="37">
        <v>0</v>
      </c>
      <c r="U153" s="37">
        <v>37.5</v>
      </c>
      <c r="V153" s="37">
        <v>37.5</v>
      </c>
      <c r="W153" s="37">
        <v>25</v>
      </c>
      <c r="X153" s="37">
        <v>32.35</v>
      </c>
      <c r="Y153" s="37">
        <v>14.71</v>
      </c>
      <c r="Z153" s="37">
        <v>52.94</v>
      </c>
      <c r="AA153" s="37">
        <v>50</v>
      </c>
      <c r="AB153" s="37">
        <v>29.41</v>
      </c>
      <c r="AC153" s="24">
        <f t="shared" si="17"/>
        <v>8.8970000000000002</v>
      </c>
      <c r="AD153" s="25">
        <f t="shared" si="18"/>
        <v>-8.8970000000000002</v>
      </c>
      <c r="AE153" s="23" t="str">
        <f t="shared" si="19"/>
        <v>Win</v>
      </c>
      <c r="AF153" s="23" t="str">
        <f t="shared" si="20"/>
        <v>Loss</v>
      </c>
      <c r="AG153" s="23" t="str">
        <f t="shared" si="21"/>
        <v>Loss</v>
      </c>
      <c r="AH153" s="23">
        <f t="shared" si="22"/>
        <v>51</v>
      </c>
      <c r="AI153" s="23">
        <f t="shared" si="23"/>
        <v>-50</v>
      </c>
      <c r="AJ153" s="23">
        <f t="shared" si="24"/>
        <v>-50</v>
      </c>
    </row>
    <row r="154" spans="1:36" x14ac:dyDescent="0.2">
      <c r="A154" s="36">
        <v>43614</v>
      </c>
      <c r="B154" s="37" t="s">
        <v>531</v>
      </c>
      <c r="C154" s="37" t="s">
        <v>617</v>
      </c>
      <c r="D154" s="37" t="s">
        <v>618</v>
      </c>
      <c r="E154" s="37" t="s">
        <v>619</v>
      </c>
      <c r="F154" s="37" t="s">
        <v>620</v>
      </c>
      <c r="G154" s="37">
        <v>2</v>
      </c>
      <c r="H154" s="37">
        <v>1</v>
      </c>
      <c r="I154" s="37">
        <v>1.22</v>
      </c>
      <c r="J154" s="37">
        <v>5.56</v>
      </c>
      <c r="K154" s="37">
        <v>8.5299999999999994</v>
      </c>
      <c r="L154" s="37">
        <v>-7.31</v>
      </c>
      <c r="M154" s="37">
        <v>33</v>
      </c>
      <c r="N154" s="37">
        <v>33</v>
      </c>
      <c r="O154" s="37">
        <v>0</v>
      </c>
      <c r="P154" s="37">
        <v>16</v>
      </c>
      <c r="Q154" s="37">
        <v>16</v>
      </c>
      <c r="R154" s="37">
        <v>0</v>
      </c>
      <c r="S154" s="37">
        <v>0</v>
      </c>
      <c r="T154" s="37">
        <v>0</v>
      </c>
      <c r="U154" s="37">
        <v>57.58</v>
      </c>
      <c r="V154" s="37">
        <v>24.24</v>
      </c>
      <c r="W154" s="37">
        <v>18.18</v>
      </c>
      <c r="X154" s="37">
        <v>24.24</v>
      </c>
      <c r="Y154" s="37">
        <v>27.27</v>
      </c>
      <c r="Z154" s="37">
        <v>48.48</v>
      </c>
      <c r="AA154" s="37">
        <v>75</v>
      </c>
      <c r="AB154" s="37">
        <v>18.75</v>
      </c>
      <c r="AC154" s="24">
        <f t="shared" si="17"/>
        <v>12.424999999999997</v>
      </c>
      <c r="AD154" s="25">
        <f t="shared" si="18"/>
        <v>-12.424999999999997</v>
      </c>
      <c r="AE154" s="23" t="str">
        <f t="shared" si="19"/>
        <v>Win</v>
      </c>
      <c r="AF154" s="23" t="str">
        <f t="shared" si="20"/>
        <v>Loss</v>
      </c>
      <c r="AG154" s="23" t="str">
        <f t="shared" si="21"/>
        <v>Loss</v>
      </c>
      <c r="AH154" s="23">
        <f t="shared" si="22"/>
        <v>11</v>
      </c>
      <c r="AI154" s="23">
        <f t="shared" si="23"/>
        <v>-50</v>
      </c>
      <c r="AJ154" s="23">
        <f t="shared" si="24"/>
        <v>-50</v>
      </c>
    </row>
    <row r="155" spans="1:36" x14ac:dyDescent="0.2">
      <c r="A155" s="36">
        <v>43614</v>
      </c>
      <c r="B155" s="37" t="s">
        <v>531</v>
      </c>
      <c r="C155" s="37" t="s">
        <v>621</v>
      </c>
      <c r="D155" s="37" t="s">
        <v>622</v>
      </c>
      <c r="E155" s="37" t="s">
        <v>623</v>
      </c>
      <c r="F155" s="37" t="s">
        <v>624</v>
      </c>
      <c r="G155" s="37">
        <v>1</v>
      </c>
      <c r="H155" s="37">
        <v>7</v>
      </c>
      <c r="I155" s="37">
        <v>3.7</v>
      </c>
      <c r="J155" s="37">
        <v>3.92</v>
      </c>
      <c r="K155" s="37">
        <v>1.68</v>
      </c>
      <c r="L155" s="37">
        <v>2.02</v>
      </c>
      <c r="M155" s="37">
        <v>47</v>
      </c>
      <c r="N155" s="37">
        <v>25</v>
      </c>
      <c r="O155" s="37">
        <v>0</v>
      </c>
      <c r="P155" s="37">
        <v>24</v>
      </c>
      <c r="Q155" s="37">
        <v>13</v>
      </c>
      <c r="R155" s="37">
        <v>0</v>
      </c>
      <c r="S155" s="37">
        <v>0</v>
      </c>
      <c r="T155" s="37">
        <v>0</v>
      </c>
      <c r="U155" s="37">
        <v>51.06</v>
      </c>
      <c r="V155" s="37">
        <v>19.149999999999999</v>
      </c>
      <c r="W155" s="37">
        <v>29.79</v>
      </c>
      <c r="X155" s="37">
        <v>60</v>
      </c>
      <c r="Y155" s="37">
        <v>20</v>
      </c>
      <c r="Z155" s="37">
        <v>20</v>
      </c>
      <c r="AA155" s="37">
        <v>58.33</v>
      </c>
      <c r="AB155" s="37">
        <v>46.15</v>
      </c>
      <c r="AC155" s="24">
        <f t="shared" si="17"/>
        <v>-3.8309999999999977</v>
      </c>
      <c r="AD155" s="25">
        <f t="shared" si="18"/>
        <v>3.8309999999999977</v>
      </c>
      <c r="AE155" s="23" t="str">
        <f t="shared" si="19"/>
        <v>Loss</v>
      </c>
      <c r="AF155" s="23" t="str">
        <f t="shared" si="20"/>
        <v>Loss</v>
      </c>
      <c r="AG155" s="23" t="str">
        <f t="shared" si="21"/>
        <v>Win</v>
      </c>
      <c r="AH155" s="23">
        <f t="shared" si="22"/>
        <v>-50</v>
      </c>
      <c r="AI155" s="23">
        <f t="shared" si="23"/>
        <v>-50</v>
      </c>
      <c r="AJ155" s="23">
        <f t="shared" si="24"/>
        <v>34</v>
      </c>
    </row>
    <row r="156" spans="1:36" x14ac:dyDescent="0.2">
      <c r="A156" s="36">
        <v>43614</v>
      </c>
      <c r="B156" s="37" t="s">
        <v>531</v>
      </c>
      <c r="C156" s="37" t="s">
        <v>625</v>
      </c>
      <c r="D156" s="37" t="s">
        <v>626</v>
      </c>
      <c r="E156" s="37" t="s">
        <v>627</v>
      </c>
      <c r="F156" s="37" t="s">
        <v>628</v>
      </c>
      <c r="G156" s="37">
        <v>2</v>
      </c>
      <c r="H156" s="37">
        <v>0</v>
      </c>
      <c r="I156" s="37">
        <v>1.36</v>
      </c>
      <c r="J156" s="37">
        <v>4.47</v>
      </c>
      <c r="K156" s="37">
        <v>6.75</v>
      </c>
      <c r="L156" s="37">
        <v>-5.39</v>
      </c>
      <c r="M156" s="37">
        <v>38</v>
      </c>
      <c r="N156" s="37">
        <v>35</v>
      </c>
      <c r="O156" s="37">
        <v>0</v>
      </c>
      <c r="P156" s="37">
        <v>18</v>
      </c>
      <c r="Q156" s="37">
        <v>17</v>
      </c>
      <c r="R156" s="37">
        <v>0</v>
      </c>
      <c r="S156" s="37">
        <v>0</v>
      </c>
      <c r="T156" s="37">
        <v>0</v>
      </c>
      <c r="U156" s="37">
        <v>31.58</v>
      </c>
      <c r="V156" s="37">
        <v>15.79</v>
      </c>
      <c r="W156" s="37">
        <v>52.63</v>
      </c>
      <c r="X156" s="37">
        <v>37.14</v>
      </c>
      <c r="Y156" s="37">
        <v>34.29</v>
      </c>
      <c r="Z156" s="37">
        <v>28.57</v>
      </c>
      <c r="AA156" s="37">
        <v>27.78</v>
      </c>
      <c r="AB156" s="37">
        <v>23.53</v>
      </c>
      <c r="AC156" s="24">
        <f t="shared" si="17"/>
        <v>-7.7740000000000027</v>
      </c>
      <c r="AD156" s="25">
        <f t="shared" si="18"/>
        <v>7.7740000000000027</v>
      </c>
      <c r="AE156" s="23" t="str">
        <f t="shared" si="19"/>
        <v>Win</v>
      </c>
      <c r="AF156" s="23" t="str">
        <f t="shared" si="20"/>
        <v>Loss</v>
      </c>
      <c r="AG156" s="23" t="str">
        <f t="shared" si="21"/>
        <v>Loss</v>
      </c>
      <c r="AH156" s="23">
        <f t="shared" si="22"/>
        <v>18</v>
      </c>
      <c r="AI156" s="23">
        <f t="shared" si="23"/>
        <v>-50</v>
      </c>
      <c r="AJ156" s="23">
        <f t="shared" si="24"/>
        <v>-50</v>
      </c>
    </row>
    <row r="157" spans="1:36" x14ac:dyDescent="0.2">
      <c r="A157" s="36">
        <v>43614</v>
      </c>
      <c r="B157" s="37" t="s">
        <v>531</v>
      </c>
      <c r="C157" s="37" t="s">
        <v>550</v>
      </c>
      <c r="D157" s="37" t="s">
        <v>629</v>
      </c>
      <c r="E157" s="37" t="s">
        <v>630</v>
      </c>
      <c r="F157" s="37" t="s">
        <v>631</v>
      </c>
      <c r="G157" s="37">
        <v>2</v>
      </c>
      <c r="H157" s="37">
        <v>2</v>
      </c>
      <c r="I157" s="37">
        <v>1.56</v>
      </c>
      <c r="J157" s="37">
        <v>4.0199999999999996</v>
      </c>
      <c r="K157" s="37">
        <v>4.6500000000000004</v>
      </c>
      <c r="L157" s="37">
        <v>-3.09</v>
      </c>
      <c r="M157" s="37">
        <v>28</v>
      </c>
      <c r="N157" s="37">
        <v>27</v>
      </c>
      <c r="O157" s="37">
        <v>2</v>
      </c>
      <c r="P157" s="37">
        <v>15</v>
      </c>
      <c r="Q157" s="37">
        <v>13</v>
      </c>
      <c r="R157" s="37">
        <v>50</v>
      </c>
      <c r="S157" s="37">
        <v>0</v>
      </c>
      <c r="T157" s="37">
        <v>50</v>
      </c>
      <c r="U157" s="37">
        <v>46.43</v>
      </c>
      <c r="V157" s="37">
        <v>14.29</v>
      </c>
      <c r="W157" s="37">
        <v>39.29</v>
      </c>
      <c r="X157" s="37">
        <v>33.33</v>
      </c>
      <c r="Y157" s="37">
        <v>33.33</v>
      </c>
      <c r="Z157" s="37">
        <v>33.33</v>
      </c>
      <c r="AA157" s="37">
        <v>33.33</v>
      </c>
      <c r="AB157" s="37">
        <v>46.15</v>
      </c>
      <c r="AC157" s="24">
        <f t="shared" si="17"/>
        <v>-0.47600000000000087</v>
      </c>
      <c r="AD157" s="25">
        <f t="shared" si="18"/>
        <v>0.47600000000000087</v>
      </c>
      <c r="AE157" s="23" t="str">
        <f t="shared" si="19"/>
        <v>Loss</v>
      </c>
      <c r="AF157" s="23" t="str">
        <f t="shared" si="20"/>
        <v>Win</v>
      </c>
      <c r="AG157" s="23" t="str">
        <f t="shared" si="21"/>
        <v>Loss</v>
      </c>
      <c r="AH157" s="23">
        <f t="shared" si="22"/>
        <v>-50</v>
      </c>
      <c r="AI157" s="23">
        <f t="shared" si="23"/>
        <v>150.99999999999997</v>
      </c>
      <c r="AJ157" s="23">
        <f t="shared" si="24"/>
        <v>-50</v>
      </c>
    </row>
    <row r="158" spans="1:36" x14ac:dyDescent="0.2">
      <c r="A158" s="36">
        <v>43614</v>
      </c>
      <c r="B158" s="37" t="s">
        <v>632</v>
      </c>
      <c r="C158" s="37" t="s">
        <v>633</v>
      </c>
      <c r="D158" s="37" t="s">
        <v>634</v>
      </c>
      <c r="E158" s="37" t="s">
        <v>635</v>
      </c>
      <c r="F158" s="37" t="s">
        <v>636</v>
      </c>
      <c r="G158" s="37">
        <v>1</v>
      </c>
      <c r="H158" s="37">
        <v>3</v>
      </c>
      <c r="I158" s="37">
        <v>2.58</v>
      </c>
      <c r="J158" s="37">
        <v>4.0999999999999996</v>
      </c>
      <c r="K158" s="37">
        <v>2.13</v>
      </c>
      <c r="L158" s="37">
        <v>0.45</v>
      </c>
      <c r="M158" s="37">
        <v>0</v>
      </c>
      <c r="N158" s="37">
        <v>0</v>
      </c>
      <c r="O158" s="37">
        <v>0</v>
      </c>
      <c r="P158" s="37">
        <v>0</v>
      </c>
      <c r="Q158" s="37">
        <v>0</v>
      </c>
      <c r="R158" s="37">
        <v>0</v>
      </c>
      <c r="S158" s="37">
        <v>0</v>
      </c>
      <c r="T158" s="37">
        <v>0</v>
      </c>
      <c r="U158" s="37">
        <v>0</v>
      </c>
      <c r="V158" s="37">
        <v>0</v>
      </c>
      <c r="W158" s="37">
        <v>0</v>
      </c>
      <c r="X158" s="37">
        <v>0</v>
      </c>
      <c r="Y158" s="37">
        <v>0</v>
      </c>
      <c r="Z158" s="37">
        <v>0</v>
      </c>
      <c r="AA158" s="37">
        <v>0</v>
      </c>
      <c r="AB158" s="37">
        <v>0</v>
      </c>
      <c r="AC158" s="24">
        <f t="shared" si="17"/>
        <v>0</v>
      </c>
      <c r="AD158" s="25">
        <f t="shared" si="18"/>
        <v>0</v>
      </c>
      <c r="AE158" s="23" t="str">
        <f t="shared" si="19"/>
        <v>Loss</v>
      </c>
      <c r="AF158" s="23" t="str">
        <f t="shared" si="20"/>
        <v>Loss</v>
      </c>
      <c r="AG158" s="23" t="str">
        <f t="shared" si="21"/>
        <v>Win</v>
      </c>
      <c r="AH158" s="23">
        <f t="shared" si="22"/>
        <v>-50</v>
      </c>
      <c r="AI158" s="23">
        <f t="shared" si="23"/>
        <v>-50</v>
      </c>
      <c r="AJ158" s="23">
        <f t="shared" si="24"/>
        <v>56.5</v>
      </c>
    </row>
    <row r="159" spans="1:36" x14ac:dyDescent="0.2">
      <c r="A159" s="36">
        <v>43614</v>
      </c>
      <c r="B159" s="37" t="s">
        <v>632</v>
      </c>
      <c r="C159" s="37" t="s">
        <v>633</v>
      </c>
      <c r="D159" s="37" t="s">
        <v>637</v>
      </c>
      <c r="E159" s="37" t="s">
        <v>638</v>
      </c>
      <c r="F159" s="37" t="s">
        <v>639</v>
      </c>
      <c r="G159" s="37">
        <v>2</v>
      </c>
      <c r="H159" s="37">
        <v>1</v>
      </c>
      <c r="I159" s="37">
        <v>2.2799999999999998</v>
      </c>
      <c r="J159" s="37">
        <v>3.94</v>
      </c>
      <c r="K159" s="37">
        <v>2.46</v>
      </c>
      <c r="L159" s="37">
        <v>-0.18</v>
      </c>
      <c r="M159" s="37">
        <v>4</v>
      </c>
      <c r="N159" s="37">
        <v>2</v>
      </c>
      <c r="O159" s="37">
        <v>0</v>
      </c>
      <c r="P159" s="37">
        <v>0</v>
      </c>
      <c r="Q159" s="37">
        <v>1</v>
      </c>
      <c r="R159" s="37">
        <v>0</v>
      </c>
      <c r="S159" s="37">
        <v>0</v>
      </c>
      <c r="T159" s="37">
        <v>0</v>
      </c>
      <c r="U159" s="37">
        <v>75</v>
      </c>
      <c r="V159" s="37">
        <v>0</v>
      </c>
      <c r="W159" s="37">
        <v>25</v>
      </c>
      <c r="X159" s="37">
        <v>50</v>
      </c>
      <c r="Y159" s="37">
        <v>0</v>
      </c>
      <c r="Z159" s="37">
        <v>50</v>
      </c>
      <c r="AA159" s="37">
        <v>0</v>
      </c>
      <c r="AB159" s="37">
        <v>100</v>
      </c>
      <c r="AC159" s="24">
        <f t="shared" si="17"/>
        <v>10</v>
      </c>
      <c r="AD159" s="25">
        <f t="shared" si="18"/>
        <v>-10</v>
      </c>
      <c r="AE159" s="23" t="str">
        <f t="shared" si="19"/>
        <v>Win</v>
      </c>
      <c r="AF159" s="23" t="str">
        <f t="shared" si="20"/>
        <v>Loss</v>
      </c>
      <c r="AG159" s="23" t="str">
        <f t="shared" si="21"/>
        <v>Loss</v>
      </c>
      <c r="AH159" s="23">
        <f t="shared" si="22"/>
        <v>63.999999999999986</v>
      </c>
      <c r="AI159" s="23">
        <f t="shared" si="23"/>
        <v>-50</v>
      </c>
      <c r="AJ159" s="23">
        <f t="shared" si="24"/>
        <v>-50</v>
      </c>
    </row>
    <row r="160" spans="1:36" x14ac:dyDescent="0.2">
      <c r="A160" s="36">
        <v>43614</v>
      </c>
      <c r="B160" s="37" t="s">
        <v>531</v>
      </c>
      <c r="C160" s="37" t="s">
        <v>617</v>
      </c>
      <c r="D160" s="37" t="s">
        <v>640</v>
      </c>
      <c r="E160" s="37" t="s">
        <v>641</v>
      </c>
      <c r="F160" s="37" t="s">
        <v>642</v>
      </c>
      <c r="G160" s="37">
        <v>2</v>
      </c>
      <c r="H160" s="37">
        <v>5</v>
      </c>
      <c r="I160" s="37">
        <v>1.84</v>
      </c>
      <c r="J160" s="37">
        <v>3.8</v>
      </c>
      <c r="K160" s="37">
        <v>3.23</v>
      </c>
      <c r="L160" s="37">
        <v>-1.39</v>
      </c>
      <c r="M160" s="37">
        <v>8</v>
      </c>
      <c r="N160" s="37">
        <v>35</v>
      </c>
      <c r="O160" s="37">
        <v>0</v>
      </c>
      <c r="P160" s="37">
        <v>4</v>
      </c>
      <c r="Q160" s="37">
        <v>17</v>
      </c>
      <c r="R160" s="37">
        <v>0</v>
      </c>
      <c r="S160" s="37">
        <v>0</v>
      </c>
      <c r="T160" s="37">
        <v>0</v>
      </c>
      <c r="U160" s="37">
        <v>50</v>
      </c>
      <c r="V160" s="37">
        <v>12.5</v>
      </c>
      <c r="W160" s="37">
        <v>37.5</v>
      </c>
      <c r="X160" s="37">
        <v>31.43</v>
      </c>
      <c r="Y160" s="37">
        <v>22.86</v>
      </c>
      <c r="Z160" s="37">
        <v>45.71</v>
      </c>
      <c r="AA160" s="37">
        <v>50</v>
      </c>
      <c r="AB160" s="37">
        <v>29.41</v>
      </c>
      <c r="AC160" s="24">
        <f t="shared" si="17"/>
        <v>4.32</v>
      </c>
      <c r="AD160" s="25">
        <f t="shared" si="18"/>
        <v>-4.32</v>
      </c>
      <c r="AE160" s="23" t="str">
        <f t="shared" si="19"/>
        <v>Loss</v>
      </c>
      <c r="AF160" s="23" t="str">
        <f t="shared" si="20"/>
        <v>Loss</v>
      </c>
      <c r="AG160" s="23" t="str">
        <f t="shared" si="21"/>
        <v>Win</v>
      </c>
      <c r="AH160" s="23">
        <f t="shared" si="22"/>
        <v>-50</v>
      </c>
      <c r="AI160" s="23">
        <f t="shared" si="23"/>
        <v>-50</v>
      </c>
      <c r="AJ160" s="23">
        <f t="shared" si="24"/>
        <v>111.5</v>
      </c>
    </row>
    <row r="161" spans="1:36" x14ac:dyDescent="0.2">
      <c r="A161" s="36">
        <v>43614</v>
      </c>
      <c r="B161" s="37" t="s">
        <v>643</v>
      </c>
      <c r="C161" s="37" t="s">
        <v>644</v>
      </c>
      <c r="D161" s="37" t="s">
        <v>645</v>
      </c>
      <c r="E161" s="37" t="s">
        <v>646</v>
      </c>
      <c r="F161" s="37" t="s">
        <v>647</v>
      </c>
      <c r="G161" s="37">
        <v>0</v>
      </c>
      <c r="H161" s="37">
        <v>0</v>
      </c>
      <c r="I161" s="37">
        <v>2.08</v>
      </c>
      <c r="J161" s="37">
        <v>3.36</v>
      </c>
      <c r="K161" s="37">
        <v>3.47</v>
      </c>
      <c r="L161" s="37">
        <v>-1.39</v>
      </c>
      <c r="M161" s="37">
        <v>7</v>
      </c>
      <c r="N161" s="37">
        <v>6</v>
      </c>
      <c r="O161" s="37">
        <v>1</v>
      </c>
      <c r="P161" s="37">
        <v>3</v>
      </c>
      <c r="Q161" s="37">
        <v>2</v>
      </c>
      <c r="R161" s="37">
        <v>100</v>
      </c>
      <c r="S161" s="37">
        <v>0</v>
      </c>
      <c r="T161" s="37">
        <v>0</v>
      </c>
      <c r="U161" s="37">
        <v>71.430000000000007</v>
      </c>
      <c r="V161" s="37">
        <v>28.57</v>
      </c>
      <c r="W161" s="37">
        <v>0</v>
      </c>
      <c r="X161" s="37">
        <v>66.67</v>
      </c>
      <c r="Y161" s="37">
        <v>0</v>
      </c>
      <c r="Z161" s="37">
        <v>33.33</v>
      </c>
      <c r="AA161" s="37">
        <v>66.67</v>
      </c>
      <c r="AB161" s="37">
        <v>50</v>
      </c>
      <c r="AC161" s="24">
        <f t="shared" si="17"/>
        <v>40.474999999999994</v>
      </c>
      <c r="AD161" s="25">
        <f t="shared" si="18"/>
        <v>-40.474999999999994</v>
      </c>
      <c r="AE161" s="23" t="str">
        <f t="shared" si="19"/>
        <v>Loss</v>
      </c>
      <c r="AF161" s="23" t="str">
        <f t="shared" si="20"/>
        <v>Win</v>
      </c>
      <c r="AG161" s="23" t="str">
        <f t="shared" si="21"/>
        <v>Loss</v>
      </c>
      <c r="AH161" s="23">
        <f t="shared" si="22"/>
        <v>-50</v>
      </c>
      <c r="AI161" s="23">
        <f t="shared" si="23"/>
        <v>118</v>
      </c>
      <c r="AJ161" s="23">
        <f t="shared" si="24"/>
        <v>-50</v>
      </c>
    </row>
    <row r="162" spans="1:36" x14ac:dyDescent="0.2">
      <c r="A162" s="36">
        <v>43614</v>
      </c>
      <c r="B162" s="37" t="s">
        <v>648</v>
      </c>
      <c r="C162" s="37" t="s">
        <v>649</v>
      </c>
      <c r="D162" s="37" t="s">
        <v>650</v>
      </c>
      <c r="E162" s="37" t="s">
        <v>651</v>
      </c>
      <c r="F162" s="37" t="s">
        <v>652</v>
      </c>
      <c r="G162" s="37">
        <v>1</v>
      </c>
      <c r="H162" s="37">
        <v>1</v>
      </c>
      <c r="I162" s="37">
        <v>2.41</v>
      </c>
      <c r="J162" s="37">
        <v>3.02</v>
      </c>
      <c r="K162" s="37">
        <v>2.98</v>
      </c>
      <c r="L162" s="37">
        <v>-0.56999999999999995</v>
      </c>
      <c r="M162" s="37">
        <v>82</v>
      </c>
      <c r="N162" s="37">
        <v>39</v>
      </c>
      <c r="O162" s="37">
        <v>2</v>
      </c>
      <c r="P162" s="37">
        <v>42</v>
      </c>
      <c r="Q162" s="37">
        <v>20</v>
      </c>
      <c r="R162" s="37">
        <v>0</v>
      </c>
      <c r="S162" s="37">
        <v>0</v>
      </c>
      <c r="T162" s="37">
        <v>100</v>
      </c>
      <c r="U162" s="37">
        <v>42.68</v>
      </c>
      <c r="V162" s="37">
        <v>25.61</v>
      </c>
      <c r="W162" s="37">
        <v>31.71</v>
      </c>
      <c r="X162" s="37">
        <v>48.72</v>
      </c>
      <c r="Y162" s="37">
        <v>28.21</v>
      </c>
      <c r="Z162" s="37">
        <v>23.08</v>
      </c>
      <c r="AA162" s="37">
        <v>47.62</v>
      </c>
      <c r="AB162" s="37">
        <v>35</v>
      </c>
      <c r="AC162" s="24">
        <f t="shared" si="17"/>
        <v>-33.193999999999996</v>
      </c>
      <c r="AD162" s="25">
        <f t="shared" si="18"/>
        <v>33.193999999999996</v>
      </c>
      <c r="AE162" s="23" t="str">
        <f t="shared" si="19"/>
        <v>Loss</v>
      </c>
      <c r="AF162" s="23" t="str">
        <f t="shared" si="20"/>
        <v>Win</v>
      </c>
      <c r="AG162" s="23" t="str">
        <f t="shared" si="21"/>
        <v>Loss</v>
      </c>
      <c r="AH162" s="23">
        <f t="shared" si="22"/>
        <v>-50</v>
      </c>
      <c r="AI162" s="23">
        <f t="shared" si="23"/>
        <v>101</v>
      </c>
      <c r="AJ162" s="23">
        <f t="shared" si="24"/>
        <v>-50</v>
      </c>
    </row>
    <row r="163" spans="1:36" x14ac:dyDescent="0.2">
      <c r="A163" s="36">
        <v>43614</v>
      </c>
      <c r="B163" s="37" t="s">
        <v>648</v>
      </c>
      <c r="C163" s="37" t="s">
        <v>649</v>
      </c>
      <c r="D163" s="37" t="s">
        <v>653</v>
      </c>
      <c r="E163" s="37" t="s">
        <v>654</v>
      </c>
      <c r="F163" s="37" t="s">
        <v>655</v>
      </c>
      <c r="G163" s="37">
        <v>0</v>
      </c>
      <c r="H163" s="37">
        <v>2</v>
      </c>
      <c r="I163" s="37">
        <v>2.63</v>
      </c>
      <c r="J163" s="37">
        <v>3.01</v>
      </c>
      <c r="K163" s="37">
        <v>2.71</v>
      </c>
      <c r="L163" s="37">
        <v>-0.08</v>
      </c>
      <c r="M163" s="37">
        <v>50</v>
      </c>
      <c r="N163" s="37">
        <v>40</v>
      </c>
      <c r="O163" s="37">
        <v>0</v>
      </c>
      <c r="P163" s="37">
        <v>26</v>
      </c>
      <c r="Q163" s="37">
        <v>20</v>
      </c>
      <c r="R163" s="37">
        <v>0</v>
      </c>
      <c r="S163" s="37">
        <v>0</v>
      </c>
      <c r="T163" s="37">
        <v>0</v>
      </c>
      <c r="U163" s="37">
        <v>44</v>
      </c>
      <c r="V163" s="37">
        <v>38</v>
      </c>
      <c r="W163" s="37">
        <v>18</v>
      </c>
      <c r="X163" s="37">
        <v>57.5</v>
      </c>
      <c r="Y163" s="37">
        <v>20</v>
      </c>
      <c r="Z163" s="37">
        <v>22.5</v>
      </c>
      <c r="AA163" s="37">
        <v>57.69</v>
      </c>
      <c r="AB163" s="37">
        <v>45</v>
      </c>
      <c r="AC163" s="24">
        <f t="shared" si="17"/>
        <v>0</v>
      </c>
      <c r="AD163" s="25">
        <f t="shared" si="18"/>
        <v>0</v>
      </c>
      <c r="AE163" s="23" t="str">
        <f t="shared" si="19"/>
        <v>Loss</v>
      </c>
      <c r="AF163" s="23" t="str">
        <f t="shared" si="20"/>
        <v>Loss</v>
      </c>
      <c r="AG163" s="23" t="str">
        <f t="shared" si="21"/>
        <v>Win</v>
      </c>
      <c r="AH163" s="23">
        <f t="shared" si="22"/>
        <v>-50</v>
      </c>
      <c r="AI163" s="23">
        <f t="shared" si="23"/>
        <v>-50</v>
      </c>
      <c r="AJ163" s="23">
        <f t="shared" si="24"/>
        <v>85.5</v>
      </c>
    </row>
    <row r="164" spans="1:36" x14ac:dyDescent="0.2">
      <c r="A164" s="36">
        <v>43614</v>
      </c>
      <c r="B164" s="37" t="s">
        <v>648</v>
      </c>
      <c r="C164" s="37" t="s">
        <v>649</v>
      </c>
      <c r="D164" s="37" t="s">
        <v>656</v>
      </c>
      <c r="E164" s="37" t="s">
        <v>657</v>
      </c>
      <c r="F164" s="37" t="s">
        <v>658</v>
      </c>
      <c r="G164" s="37">
        <v>2</v>
      </c>
      <c r="H164" s="37">
        <v>2</v>
      </c>
      <c r="I164" s="37">
        <v>1.99</v>
      </c>
      <c r="J164" s="37">
        <v>3.15</v>
      </c>
      <c r="K164" s="37">
        <v>3.85</v>
      </c>
      <c r="L164" s="37">
        <v>-1.86</v>
      </c>
      <c r="M164" s="37">
        <v>47</v>
      </c>
      <c r="N164" s="37">
        <v>71</v>
      </c>
      <c r="O164" s="37">
        <v>2</v>
      </c>
      <c r="P164" s="37">
        <v>24</v>
      </c>
      <c r="Q164" s="37">
        <v>34</v>
      </c>
      <c r="R164" s="37">
        <v>50</v>
      </c>
      <c r="S164" s="37">
        <v>0</v>
      </c>
      <c r="T164" s="37">
        <v>50</v>
      </c>
      <c r="U164" s="37">
        <v>48.94</v>
      </c>
      <c r="V164" s="37">
        <v>25.53</v>
      </c>
      <c r="W164" s="37">
        <v>25.53</v>
      </c>
      <c r="X164" s="37">
        <v>54.93</v>
      </c>
      <c r="Y164" s="37">
        <v>22.54</v>
      </c>
      <c r="Z164" s="37">
        <v>22.54</v>
      </c>
      <c r="AA164" s="37">
        <v>70.83</v>
      </c>
      <c r="AB164" s="37">
        <v>32.35</v>
      </c>
      <c r="AC164" s="24">
        <f t="shared" si="17"/>
        <v>-1.4970000000000008</v>
      </c>
      <c r="AD164" s="25">
        <f t="shared" si="18"/>
        <v>1.4970000000000008</v>
      </c>
      <c r="AE164" s="23" t="str">
        <f t="shared" si="19"/>
        <v>Loss</v>
      </c>
      <c r="AF164" s="23" t="str">
        <f t="shared" si="20"/>
        <v>Win</v>
      </c>
      <c r="AG164" s="23" t="str">
        <f t="shared" si="21"/>
        <v>Loss</v>
      </c>
      <c r="AH164" s="23">
        <f t="shared" si="22"/>
        <v>-50</v>
      </c>
      <c r="AI164" s="23">
        <f t="shared" si="23"/>
        <v>107.5</v>
      </c>
      <c r="AJ164" s="23">
        <f t="shared" si="24"/>
        <v>-50</v>
      </c>
    </row>
    <row r="165" spans="1:36" x14ac:dyDescent="0.2">
      <c r="A165" s="36">
        <v>43614</v>
      </c>
      <c r="B165" s="37" t="s">
        <v>648</v>
      </c>
      <c r="C165" s="37" t="s">
        <v>649</v>
      </c>
      <c r="D165" s="37" t="s">
        <v>659</v>
      </c>
      <c r="E165" s="37" t="s">
        <v>660</v>
      </c>
      <c r="F165" s="37" t="s">
        <v>661</v>
      </c>
      <c r="G165" s="37">
        <v>2</v>
      </c>
      <c r="H165" s="37">
        <v>3</v>
      </c>
      <c r="I165" s="37">
        <v>2.66</v>
      </c>
      <c r="J165" s="37">
        <v>2.91</v>
      </c>
      <c r="K165" s="37">
        <v>2.75</v>
      </c>
      <c r="L165" s="37">
        <v>-0.09</v>
      </c>
      <c r="M165" s="37">
        <v>39</v>
      </c>
      <c r="N165" s="37">
        <v>81</v>
      </c>
      <c r="O165" s="37">
        <v>2</v>
      </c>
      <c r="P165" s="37">
        <v>20</v>
      </c>
      <c r="Q165" s="37">
        <v>41</v>
      </c>
      <c r="R165" s="37">
        <v>50</v>
      </c>
      <c r="S165" s="37">
        <v>50</v>
      </c>
      <c r="T165" s="37">
        <v>0</v>
      </c>
      <c r="U165" s="37">
        <v>38.46</v>
      </c>
      <c r="V165" s="37">
        <v>46.15</v>
      </c>
      <c r="W165" s="37">
        <v>15.38</v>
      </c>
      <c r="X165" s="37">
        <v>46.91</v>
      </c>
      <c r="Y165" s="37">
        <v>29.63</v>
      </c>
      <c r="Z165" s="37">
        <v>23.46</v>
      </c>
      <c r="AA165" s="37">
        <v>40</v>
      </c>
      <c r="AB165" s="37">
        <v>43.9</v>
      </c>
      <c r="AC165" s="24">
        <f t="shared" si="17"/>
        <v>21.578000000000003</v>
      </c>
      <c r="AD165" s="25">
        <f t="shared" si="18"/>
        <v>-11.578000000000003</v>
      </c>
      <c r="AE165" s="23" t="str">
        <f t="shared" si="19"/>
        <v>Loss</v>
      </c>
      <c r="AF165" s="23" t="str">
        <f t="shared" si="20"/>
        <v>Loss</v>
      </c>
      <c r="AG165" s="23" t="str">
        <f t="shared" si="21"/>
        <v>Win</v>
      </c>
      <c r="AH165" s="23">
        <f t="shared" si="22"/>
        <v>-50</v>
      </c>
      <c r="AI165" s="23">
        <f t="shared" si="23"/>
        <v>-50</v>
      </c>
      <c r="AJ165" s="23">
        <f t="shared" si="24"/>
        <v>87.5</v>
      </c>
    </row>
    <row r="166" spans="1:36" x14ac:dyDescent="0.2">
      <c r="A166" s="36">
        <v>43614</v>
      </c>
      <c r="B166" s="37" t="s">
        <v>488</v>
      </c>
      <c r="C166" s="37" t="s">
        <v>489</v>
      </c>
      <c r="D166" s="37" t="s">
        <v>662</v>
      </c>
      <c r="E166" s="37" t="s">
        <v>663</v>
      </c>
      <c r="F166" s="37" t="s">
        <v>664</v>
      </c>
      <c r="G166" s="37">
        <v>0</v>
      </c>
      <c r="H166" s="37">
        <v>0</v>
      </c>
      <c r="I166" s="37">
        <v>3.14</v>
      </c>
      <c r="J166" s="37">
        <v>2.82</v>
      </c>
      <c r="K166" s="37">
        <v>2.54</v>
      </c>
      <c r="L166" s="37">
        <v>0.6</v>
      </c>
      <c r="M166" s="37">
        <v>6</v>
      </c>
      <c r="N166" s="37">
        <v>2</v>
      </c>
      <c r="O166" s="37">
        <v>0</v>
      </c>
      <c r="P166" s="37">
        <v>3</v>
      </c>
      <c r="Q166" s="37">
        <v>0</v>
      </c>
      <c r="R166" s="37">
        <v>0</v>
      </c>
      <c r="S166" s="37">
        <v>0</v>
      </c>
      <c r="T166" s="37">
        <v>0</v>
      </c>
      <c r="U166" s="37">
        <v>50</v>
      </c>
      <c r="V166" s="37">
        <v>16.670000000000002</v>
      </c>
      <c r="W166" s="37">
        <v>33.33</v>
      </c>
      <c r="X166" s="37">
        <v>50</v>
      </c>
      <c r="Y166" s="37">
        <v>0</v>
      </c>
      <c r="Z166" s="37">
        <v>50</v>
      </c>
      <c r="AA166" s="37">
        <v>33.33</v>
      </c>
      <c r="AB166" s="37">
        <v>0</v>
      </c>
      <c r="AC166" s="24">
        <f t="shared" si="17"/>
        <v>5.0009999999999994</v>
      </c>
      <c r="AD166" s="25">
        <f t="shared" si="18"/>
        <v>-5.0009999999999994</v>
      </c>
      <c r="AE166" s="23" t="str">
        <f t="shared" si="19"/>
        <v>Loss</v>
      </c>
      <c r="AF166" s="23" t="str">
        <f t="shared" si="20"/>
        <v>Win</v>
      </c>
      <c r="AG166" s="23" t="str">
        <f t="shared" si="21"/>
        <v>Loss</v>
      </c>
      <c r="AH166" s="23">
        <f t="shared" si="22"/>
        <v>-50</v>
      </c>
      <c r="AI166" s="23">
        <f t="shared" si="23"/>
        <v>91</v>
      </c>
      <c r="AJ166" s="23">
        <f t="shared" si="24"/>
        <v>-50</v>
      </c>
    </row>
    <row r="167" spans="1:36" x14ac:dyDescent="0.2">
      <c r="A167" s="36">
        <v>43614</v>
      </c>
      <c r="B167" s="37" t="s">
        <v>488</v>
      </c>
      <c r="C167" s="37" t="s">
        <v>489</v>
      </c>
      <c r="D167" s="37" t="s">
        <v>665</v>
      </c>
      <c r="E167" s="37" t="s">
        <v>666</v>
      </c>
      <c r="F167" s="37" t="s">
        <v>667</v>
      </c>
      <c r="G167" s="37">
        <v>6</v>
      </c>
      <c r="H167" s="37">
        <v>0</v>
      </c>
      <c r="I167" s="37">
        <v>1.01</v>
      </c>
      <c r="J167" s="37">
        <v>18.940000000000001</v>
      </c>
      <c r="K167" s="37">
        <v>50.63</v>
      </c>
      <c r="L167" s="37">
        <v>-49.62</v>
      </c>
      <c r="M167" s="37">
        <v>2</v>
      </c>
      <c r="N167" s="37">
        <v>2</v>
      </c>
      <c r="O167" s="37">
        <v>0</v>
      </c>
      <c r="P167" s="37">
        <v>0</v>
      </c>
      <c r="Q167" s="37">
        <v>1</v>
      </c>
      <c r="R167" s="37">
        <v>0</v>
      </c>
      <c r="S167" s="37">
        <v>0</v>
      </c>
      <c r="T167" s="37">
        <v>0</v>
      </c>
      <c r="U167" s="37">
        <v>50</v>
      </c>
      <c r="V167" s="37">
        <v>0</v>
      </c>
      <c r="W167" s="37">
        <v>50</v>
      </c>
      <c r="X167" s="37">
        <v>0</v>
      </c>
      <c r="Y167" s="37">
        <v>0</v>
      </c>
      <c r="Z167" s="37">
        <v>100</v>
      </c>
      <c r="AA167" s="37">
        <v>0</v>
      </c>
      <c r="AB167" s="37">
        <v>0</v>
      </c>
      <c r="AC167" s="24">
        <f t="shared" si="17"/>
        <v>20</v>
      </c>
      <c r="AD167" s="25">
        <f t="shared" si="18"/>
        <v>-20</v>
      </c>
      <c r="AE167" s="23" t="str">
        <f t="shared" si="19"/>
        <v>Win</v>
      </c>
      <c r="AF167" s="23" t="str">
        <f t="shared" si="20"/>
        <v>Loss</v>
      </c>
      <c r="AG167" s="23" t="str">
        <f t="shared" si="21"/>
        <v>Loss</v>
      </c>
      <c r="AH167" s="23">
        <f t="shared" si="22"/>
        <v>0.5</v>
      </c>
      <c r="AI167" s="23">
        <f t="shared" si="23"/>
        <v>-50</v>
      </c>
      <c r="AJ167" s="23">
        <f t="shared" si="24"/>
        <v>-50</v>
      </c>
    </row>
    <row r="168" spans="1:36" x14ac:dyDescent="0.2">
      <c r="A168" s="36">
        <v>43614</v>
      </c>
      <c r="B168" s="37" t="s">
        <v>668</v>
      </c>
      <c r="C168" s="37" t="s">
        <v>669</v>
      </c>
      <c r="D168" s="37" t="s">
        <v>670</v>
      </c>
      <c r="E168" s="37" t="s">
        <v>671</v>
      </c>
      <c r="F168" s="37" t="s">
        <v>672</v>
      </c>
      <c r="G168" s="37">
        <v>1</v>
      </c>
      <c r="H168" s="37">
        <v>1</v>
      </c>
      <c r="I168" s="37">
        <v>1.83</v>
      </c>
      <c r="J168" s="37">
        <v>3.4</v>
      </c>
      <c r="K168" s="37">
        <v>3.75</v>
      </c>
      <c r="L168" s="37">
        <v>-1.92</v>
      </c>
      <c r="M168" s="37">
        <v>11</v>
      </c>
      <c r="N168" s="37">
        <v>0</v>
      </c>
      <c r="O168" s="37">
        <v>0</v>
      </c>
      <c r="P168" s="37">
        <v>6</v>
      </c>
      <c r="Q168" s="37">
        <v>0</v>
      </c>
      <c r="R168" s="37">
        <v>0</v>
      </c>
      <c r="S168" s="37">
        <v>0</v>
      </c>
      <c r="T168" s="37">
        <v>0</v>
      </c>
      <c r="U168" s="37">
        <v>0</v>
      </c>
      <c r="V168" s="37">
        <v>18.18</v>
      </c>
      <c r="W168" s="37">
        <v>81.819999999999993</v>
      </c>
      <c r="X168" s="37">
        <v>0</v>
      </c>
      <c r="Y168" s="37">
        <v>0</v>
      </c>
      <c r="Z168" s="37">
        <v>0</v>
      </c>
      <c r="AA168" s="37">
        <v>0</v>
      </c>
      <c r="AB168" s="37">
        <v>0</v>
      </c>
      <c r="AC168" s="24">
        <f t="shared" si="17"/>
        <v>-14.546000000000001</v>
      </c>
      <c r="AD168" s="25">
        <f t="shared" si="18"/>
        <v>14.546000000000001</v>
      </c>
      <c r="AE168" s="23" t="str">
        <f t="shared" si="19"/>
        <v>Loss</v>
      </c>
      <c r="AF168" s="23" t="str">
        <f t="shared" si="20"/>
        <v>Win</v>
      </c>
      <c r="AG168" s="23" t="str">
        <f t="shared" si="21"/>
        <v>Loss</v>
      </c>
      <c r="AH168" s="23">
        <f t="shared" si="22"/>
        <v>-50</v>
      </c>
      <c r="AI168" s="23">
        <f t="shared" si="23"/>
        <v>120</v>
      </c>
      <c r="AJ168" s="23">
        <f t="shared" si="24"/>
        <v>-50</v>
      </c>
    </row>
    <row r="169" spans="1:36" x14ac:dyDescent="0.2">
      <c r="A169" s="36">
        <v>43614</v>
      </c>
      <c r="B169" s="37" t="s">
        <v>673</v>
      </c>
      <c r="C169" s="37" t="s">
        <v>674</v>
      </c>
      <c r="D169" s="37" t="s">
        <v>675</v>
      </c>
      <c r="E169" s="37" t="s">
        <v>676</v>
      </c>
      <c r="F169" s="37" t="s">
        <v>677</v>
      </c>
      <c r="G169" s="37">
        <v>4</v>
      </c>
      <c r="H169" s="37">
        <v>1</v>
      </c>
      <c r="I169" s="37">
        <v>2.2000000000000002</v>
      </c>
      <c r="J169" s="37">
        <v>3.48</v>
      </c>
      <c r="K169" s="37">
        <v>3.46</v>
      </c>
      <c r="L169" s="37">
        <v>-1.26</v>
      </c>
      <c r="M169" s="37">
        <v>16</v>
      </c>
      <c r="N169" s="37">
        <v>16</v>
      </c>
      <c r="O169" s="37">
        <v>0</v>
      </c>
      <c r="P169" s="37">
        <v>7</v>
      </c>
      <c r="Q169" s="37">
        <v>7</v>
      </c>
      <c r="R169" s="37">
        <v>0</v>
      </c>
      <c r="S169" s="37">
        <v>0</v>
      </c>
      <c r="T169" s="37">
        <v>0</v>
      </c>
      <c r="U169" s="37">
        <v>75</v>
      </c>
      <c r="V169" s="37">
        <v>12.5</v>
      </c>
      <c r="W169" s="37">
        <v>12.5</v>
      </c>
      <c r="X169" s="37">
        <v>75</v>
      </c>
      <c r="Y169" s="37">
        <v>6.25</v>
      </c>
      <c r="Z169" s="37">
        <v>18.75</v>
      </c>
      <c r="AA169" s="37">
        <v>100</v>
      </c>
      <c r="AB169" s="37">
        <v>71.430000000000007</v>
      </c>
      <c r="AC169" s="24">
        <f t="shared" si="17"/>
        <v>1.875</v>
      </c>
      <c r="AD169" s="25">
        <f t="shared" si="18"/>
        <v>-1.875</v>
      </c>
      <c r="AE169" s="23" t="str">
        <f t="shared" si="19"/>
        <v>Win</v>
      </c>
      <c r="AF169" s="23" t="str">
        <f t="shared" si="20"/>
        <v>Loss</v>
      </c>
      <c r="AG169" s="23" t="str">
        <f t="shared" si="21"/>
        <v>Loss</v>
      </c>
      <c r="AH169" s="23">
        <f t="shared" si="22"/>
        <v>60.000000000000014</v>
      </c>
      <c r="AI169" s="23">
        <f t="shared" si="23"/>
        <v>-50</v>
      </c>
      <c r="AJ169" s="23">
        <f t="shared" si="24"/>
        <v>-50</v>
      </c>
    </row>
    <row r="170" spans="1:36" x14ac:dyDescent="0.2">
      <c r="A170" s="36">
        <v>43614</v>
      </c>
      <c r="B170" s="37" t="s">
        <v>106</v>
      </c>
      <c r="C170" s="37" t="s">
        <v>678</v>
      </c>
      <c r="D170" s="37" t="s">
        <v>679</v>
      </c>
      <c r="E170" s="37" t="s">
        <v>680</v>
      </c>
      <c r="F170" s="37" t="s">
        <v>681</v>
      </c>
      <c r="G170" s="37">
        <v>3</v>
      </c>
      <c r="H170" s="37">
        <v>2</v>
      </c>
      <c r="I170" s="37">
        <v>2.68</v>
      </c>
      <c r="J170" s="37">
        <v>3.28</v>
      </c>
      <c r="K170" s="37">
        <v>2.33</v>
      </c>
      <c r="L170" s="37">
        <v>0.35</v>
      </c>
      <c r="M170" s="37">
        <v>2</v>
      </c>
      <c r="N170" s="37">
        <v>6</v>
      </c>
      <c r="O170" s="37">
        <v>0</v>
      </c>
      <c r="P170" s="37">
        <v>1</v>
      </c>
      <c r="Q170" s="37">
        <v>2</v>
      </c>
      <c r="R170" s="37">
        <v>0</v>
      </c>
      <c r="S170" s="37">
        <v>0</v>
      </c>
      <c r="T170" s="37">
        <v>0</v>
      </c>
      <c r="U170" s="37">
        <v>50</v>
      </c>
      <c r="V170" s="37">
        <v>0</v>
      </c>
      <c r="W170" s="37">
        <v>50</v>
      </c>
      <c r="X170" s="37">
        <v>83.33</v>
      </c>
      <c r="Y170" s="37">
        <v>16.670000000000002</v>
      </c>
      <c r="Z170" s="37">
        <v>0</v>
      </c>
      <c r="AA170" s="37">
        <v>100</v>
      </c>
      <c r="AB170" s="37">
        <v>50</v>
      </c>
      <c r="AC170" s="24">
        <f t="shared" si="17"/>
        <v>-18.333000000000002</v>
      </c>
      <c r="AD170" s="25">
        <f t="shared" si="18"/>
        <v>18.333000000000002</v>
      </c>
      <c r="AE170" s="23" t="str">
        <f t="shared" si="19"/>
        <v>Win</v>
      </c>
      <c r="AF170" s="23" t="str">
        <f t="shared" si="20"/>
        <v>Loss</v>
      </c>
      <c r="AG170" s="23" t="str">
        <f t="shared" si="21"/>
        <v>Loss</v>
      </c>
      <c r="AH170" s="23">
        <f t="shared" si="22"/>
        <v>84</v>
      </c>
      <c r="AI170" s="23">
        <f t="shared" si="23"/>
        <v>-50</v>
      </c>
      <c r="AJ170" s="23">
        <f t="shared" si="24"/>
        <v>-50</v>
      </c>
    </row>
    <row r="171" spans="1:36" x14ac:dyDescent="0.2">
      <c r="A171" s="36"/>
      <c r="AC171" s="24"/>
      <c r="AD171" s="25"/>
    </row>
    <row r="172" spans="1:36" x14ac:dyDescent="0.2">
      <c r="A172" s="36"/>
      <c r="AC172" s="24"/>
      <c r="AD172" s="25"/>
    </row>
    <row r="173" spans="1:36" x14ac:dyDescent="0.2">
      <c r="A173" s="36"/>
      <c r="AC173" s="24"/>
      <c r="AD173" s="25"/>
    </row>
    <row r="174" spans="1:36" x14ac:dyDescent="0.2">
      <c r="A174" s="36"/>
      <c r="AC174" s="24"/>
      <c r="AD174" s="25"/>
    </row>
    <row r="175" spans="1:36" x14ac:dyDescent="0.2">
      <c r="A175" s="36"/>
      <c r="AC175" s="24"/>
      <c r="AD175" s="25"/>
    </row>
    <row r="176" spans="1:36" x14ac:dyDescent="0.2">
      <c r="A176" s="36"/>
      <c r="AC176" s="24"/>
      <c r="AD176" s="25"/>
    </row>
    <row r="177" spans="1:30" x14ac:dyDescent="0.2">
      <c r="A177" s="36"/>
      <c r="AC177" s="24"/>
      <c r="AD177" s="25"/>
    </row>
    <row r="178" spans="1:30" x14ac:dyDescent="0.2">
      <c r="A178" s="36"/>
      <c r="AC178" s="24"/>
      <c r="AD178" s="25"/>
    </row>
    <row r="179" spans="1:30" x14ac:dyDescent="0.2">
      <c r="A179" s="36"/>
      <c r="AC179" s="24"/>
      <c r="AD179" s="25"/>
    </row>
    <row r="180" spans="1:30" x14ac:dyDescent="0.2">
      <c r="A180" s="36"/>
      <c r="AC180" s="24"/>
      <c r="AD180" s="25"/>
    </row>
    <row r="181" spans="1:30" x14ac:dyDescent="0.2">
      <c r="A181" s="36"/>
      <c r="AC181" s="24"/>
      <c r="AD181" s="25"/>
    </row>
    <row r="182" spans="1:30" x14ac:dyDescent="0.2">
      <c r="A182" s="36"/>
      <c r="AC182" s="24"/>
      <c r="AD182" s="25"/>
    </row>
    <row r="183" spans="1:30" x14ac:dyDescent="0.2">
      <c r="A183" s="36"/>
      <c r="AC183" s="24"/>
      <c r="AD183" s="25"/>
    </row>
    <row r="184" spans="1:30" x14ac:dyDescent="0.2">
      <c r="A184" s="36"/>
      <c r="AC184" s="24"/>
      <c r="AD184" s="25"/>
    </row>
    <row r="185" spans="1:30" x14ac:dyDescent="0.2">
      <c r="A185" s="36"/>
      <c r="AC185" s="24"/>
      <c r="AD185" s="25"/>
    </row>
    <row r="186" spans="1:30" x14ac:dyDescent="0.2">
      <c r="A186" s="36"/>
      <c r="AC186" s="24"/>
      <c r="AD186" s="25"/>
    </row>
    <row r="187" spans="1:30" x14ac:dyDescent="0.2">
      <c r="A187" s="36"/>
      <c r="AC187" s="24"/>
      <c r="AD187" s="25"/>
    </row>
    <row r="188" spans="1:30" x14ac:dyDescent="0.2">
      <c r="A188" s="36"/>
      <c r="AC188" s="24"/>
      <c r="AD188" s="25"/>
    </row>
    <row r="189" spans="1:30" x14ac:dyDescent="0.2">
      <c r="A189" s="36"/>
      <c r="AC189" s="24"/>
      <c r="AD189" s="25"/>
    </row>
    <row r="190" spans="1:30" x14ac:dyDescent="0.2">
      <c r="A190" s="36"/>
      <c r="AC190" s="24"/>
      <c r="AD190" s="25"/>
    </row>
    <row r="191" spans="1:30" x14ac:dyDescent="0.2">
      <c r="A191" s="36"/>
      <c r="AC191" s="24"/>
      <c r="AD191" s="25"/>
    </row>
    <row r="192" spans="1:30" x14ac:dyDescent="0.2">
      <c r="A192" s="36"/>
      <c r="AC192" s="24"/>
      <c r="AD192" s="25"/>
    </row>
    <row r="193" spans="1:30" x14ac:dyDescent="0.2">
      <c r="A193" s="36"/>
      <c r="AC193" s="24"/>
      <c r="AD193" s="25"/>
    </row>
    <row r="194" spans="1:30" x14ac:dyDescent="0.2">
      <c r="A194" s="36"/>
      <c r="AC194" s="24"/>
      <c r="AD194" s="25"/>
    </row>
    <row r="195" spans="1:30" x14ac:dyDescent="0.2">
      <c r="A195" s="36"/>
      <c r="AC195" s="24"/>
      <c r="AD195" s="25"/>
    </row>
    <row r="196" spans="1:30" x14ac:dyDescent="0.2">
      <c r="A196" s="36"/>
      <c r="AC196" s="24"/>
      <c r="AD196" s="25"/>
    </row>
    <row r="197" spans="1:30" x14ac:dyDescent="0.2">
      <c r="A197" s="36"/>
      <c r="AC197" s="24"/>
      <c r="AD197" s="25"/>
    </row>
    <row r="198" spans="1:30" x14ac:dyDescent="0.2">
      <c r="A198" s="36"/>
      <c r="AC198" s="24"/>
      <c r="AD198" s="25"/>
    </row>
    <row r="199" spans="1:30" x14ac:dyDescent="0.2">
      <c r="A199" s="36"/>
      <c r="AC199" s="24"/>
      <c r="AD199" s="25"/>
    </row>
    <row r="200" spans="1:30" x14ac:dyDescent="0.2">
      <c r="A200" s="36"/>
      <c r="AC200" s="24"/>
      <c r="AD200" s="25"/>
    </row>
    <row r="201" spans="1:30" x14ac:dyDescent="0.2">
      <c r="A201" s="36"/>
      <c r="AC201" s="24"/>
      <c r="AD201" s="25"/>
    </row>
    <row r="202" spans="1:30" x14ac:dyDescent="0.2">
      <c r="A202" s="36"/>
      <c r="AC202" s="24"/>
      <c r="AD202" s="25"/>
    </row>
    <row r="203" spans="1:30" x14ac:dyDescent="0.2">
      <c r="A203" s="36"/>
      <c r="AC203" s="24"/>
      <c r="AD203" s="25"/>
    </row>
    <row r="204" spans="1:30" x14ac:dyDescent="0.2">
      <c r="A204" s="36"/>
      <c r="AC204" s="24"/>
      <c r="AD204" s="25"/>
    </row>
    <row r="205" spans="1:30" x14ac:dyDescent="0.2">
      <c r="A205" s="36"/>
      <c r="AC205" s="24"/>
      <c r="AD205" s="25"/>
    </row>
    <row r="206" spans="1:30" x14ac:dyDescent="0.2">
      <c r="A206" s="36"/>
      <c r="AC206" s="24"/>
      <c r="AD206" s="25"/>
    </row>
    <row r="207" spans="1:30" x14ac:dyDescent="0.2">
      <c r="A207" s="36"/>
      <c r="AC207" s="24"/>
      <c r="AD207" s="25"/>
    </row>
    <row r="208" spans="1:30" x14ac:dyDescent="0.2">
      <c r="A208" s="36"/>
      <c r="AC208" s="24"/>
      <c r="AD208" s="25"/>
    </row>
    <row r="209" spans="1:30" x14ac:dyDescent="0.2">
      <c r="A209" s="36"/>
      <c r="AC209" s="24"/>
      <c r="AD209" s="25"/>
    </row>
    <row r="210" spans="1:30" x14ac:dyDescent="0.2">
      <c r="A210" s="36"/>
      <c r="AC210" s="24"/>
      <c r="AD210" s="25"/>
    </row>
    <row r="211" spans="1:30" x14ac:dyDescent="0.2">
      <c r="A211" s="36"/>
      <c r="AC211" s="24"/>
      <c r="AD211" s="25"/>
    </row>
    <row r="212" spans="1:30" x14ac:dyDescent="0.2">
      <c r="A212" s="36"/>
      <c r="AC212" s="24"/>
      <c r="AD212" s="25"/>
    </row>
    <row r="213" spans="1:30" x14ac:dyDescent="0.2">
      <c r="A213" s="36"/>
      <c r="AC213" s="24"/>
      <c r="AD213" s="25"/>
    </row>
    <row r="214" spans="1:30" x14ac:dyDescent="0.2">
      <c r="A214" s="36"/>
      <c r="AC214" s="24"/>
      <c r="AD214" s="25"/>
    </row>
    <row r="215" spans="1:30" x14ac:dyDescent="0.2">
      <c r="A215" s="36"/>
      <c r="AC215" s="24"/>
      <c r="AD215" s="25"/>
    </row>
    <row r="216" spans="1:30" x14ac:dyDescent="0.2">
      <c r="A216" s="36"/>
      <c r="AC216" s="24"/>
      <c r="AD216" s="25"/>
    </row>
    <row r="217" spans="1:30" x14ac:dyDescent="0.2">
      <c r="A217" s="36"/>
      <c r="AC217" s="24"/>
      <c r="AD217" s="25"/>
    </row>
    <row r="218" spans="1:30" x14ac:dyDescent="0.2">
      <c r="A218" s="36"/>
      <c r="AC218" s="24"/>
      <c r="AD218" s="25"/>
    </row>
    <row r="219" spans="1:30" x14ac:dyDescent="0.2">
      <c r="A219" s="36"/>
      <c r="AC219" s="24"/>
      <c r="AD219" s="25"/>
    </row>
    <row r="220" spans="1:30" x14ac:dyDescent="0.2">
      <c r="A220" s="36"/>
      <c r="AC220" s="24"/>
      <c r="AD220" s="25"/>
    </row>
    <row r="221" spans="1:30" x14ac:dyDescent="0.2">
      <c r="A221" s="36"/>
      <c r="AC221" s="24"/>
      <c r="AD221" s="25"/>
    </row>
    <row r="222" spans="1:30" x14ac:dyDescent="0.2">
      <c r="A222" s="36"/>
      <c r="AC222" s="24"/>
      <c r="AD222" s="25"/>
    </row>
    <row r="223" spans="1:30" x14ac:dyDescent="0.2">
      <c r="A223" s="36"/>
      <c r="AC223" s="24"/>
      <c r="AD223" s="25"/>
    </row>
    <row r="224" spans="1:30" x14ac:dyDescent="0.2">
      <c r="A224" s="36"/>
      <c r="AC224" s="24"/>
      <c r="AD224" s="25"/>
    </row>
    <row r="225" spans="1:30" x14ac:dyDescent="0.2">
      <c r="A225" s="36"/>
      <c r="AC225" s="24"/>
      <c r="AD225" s="25"/>
    </row>
    <row r="226" spans="1:30" x14ac:dyDescent="0.2">
      <c r="A226" s="36"/>
      <c r="AC226" s="24"/>
      <c r="AD226" s="25"/>
    </row>
    <row r="227" spans="1:30" x14ac:dyDescent="0.2">
      <c r="A227" s="36"/>
      <c r="AC227" s="24"/>
      <c r="AD227" s="25"/>
    </row>
    <row r="228" spans="1:30" x14ac:dyDescent="0.2">
      <c r="A228" s="36"/>
      <c r="AC228" s="24"/>
      <c r="AD228" s="25"/>
    </row>
    <row r="229" spans="1:30" x14ac:dyDescent="0.2">
      <c r="A229" s="36"/>
      <c r="AC229" s="24"/>
      <c r="AD229" s="25"/>
    </row>
    <row r="230" spans="1:30" x14ac:dyDescent="0.2">
      <c r="A230" s="36"/>
      <c r="AC230" s="24"/>
      <c r="AD230" s="25"/>
    </row>
    <row r="231" spans="1:30" x14ac:dyDescent="0.2">
      <c r="A231" s="36"/>
      <c r="AC231" s="24"/>
      <c r="AD231" s="25"/>
    </row>
    <row r="232" spans="1:30" x14ac:dyDescent="0.2">
      <c r="A232" s="36"/>
      <c r="AC232" s="24"/>
      <c r="AD232" s="25"/>
    </row>
    <row r="233" spans="1:30" x14ac:dyDescent="0.2">
      <c r="A233" s="36"/>
      <c r="AC233" s="24"/>
      <c r="AD233" s="25"/>
    </row>
    <row r="234" spans="1:30" x14ac:dyDescent="0.2">
      <c r="A234" s="36"/>
      <c r="AC234" s="24"/>
      <c r="AD234" s="25"/>
    </row>
    <row r="235" spans="1:30" x14ac:dyDescent="0.2">
      <c r="A235" s="36"/>
      <c r="AC235" s="24"/>
      <c r="AD235" s="25"/>
    </row>
    <row r="236" spans="1:30" x14ac:dyDescent="0.2">
      <c r="A236" s="36"/>
      <c r="AC236" s="24"/>
      <c r="AD236" s="25"/>
    </row>
    <row r="237" spans="1:30" x14ac:dyDescent="0.2">
      <c r="A237" s="36"/>
      <c r="AC237" s="24"/>
      <c r="AD237" s="25"/>
    </row>
    <row r="238" spans="1:30" x14ac:dyDescent="0.2">
      <c r="A238" s="36"/>
      <c r="AC238" s="24"/>
      <c r="AD238" s="25"/>
    </row>
    <row r="239" spans="1:30" x14ac:dyDescent="0.2">
      <c r="A239" s="36"/>
      <c r="AC239" s="24"/>
      <c r="AD239" s="25"/>
    </row>
    <row r="240" spans="1:30" x14ac:dyDescent="0.2">
      <c r="A240" s="36"/>
      <c r="AC240" s="24"/>
      <c r="AD240" s="25"/>
    </row>
    <row r="241" spans="1:30" x14ac:dyDescent="0.2">
      <c r="A241" s="36"/>
      <c r="AC241" s="24"/>
      <c r="AD241" s="25"/>
    </row>
    <row r="242" spans="1:30" x14ac:dyDescent="0.2">
      <c r="A242" s="36"/>
      <c r="AC242" s="24"/>
      <c r="AD242" s="25"/>
    </row>
    <row r="243" spans="1:30" x14ac:dyDescent="0.2">
      <c r="A243" s="36"/>
      <c r="AC243" s="24"/>
      <c r="AD243" s="25"/>
    </row>
    <row r="244" spans="1:30" x14ac:dyDescent="0.2">
      <c r="A244" s="36"/>
      <c r="AC244" s="24"/>
      <c r="AD244" s="25"/>
    </row>
    <row r="245" spans="1:30" x14ac:dyDescent="0.2">
      <c r="A245" s="36"/>
      <c r="AC245" s="24"/>
      <c r="AD245" s="25"/>
    </row>
    <row r="246" spans="1:30" x14ac:dyDescent="0.2">
      <c r="A246" s="36"/>
      <c r="AC246" s="24"/>
      <c r="AD246" s="25"/>
    </row>
    <row r="247" spans="1:30" x14ac:dyDescent="0.2">
      <c r="A247" s="36"/>
      <c r="AC247" s="24"/>
      <c r="AD247" s="25"/>
    </row>
    <row r="248" spans="1:30" x14ac:dyDescent="0.2">
      <c r="A248" s="36"/>
      <c r="AC248" s="24"/>
      <c r="AD248" s="25"/>
    </row>
    <row r="249" spans="1:30" x14ac:dyDescent="0.2">
      <c r="A249" s="36"/>
      <c r="AC249" s="24"/>
      <c r="AD249" s="25"/>
    </row>
    <row r="250" spans="1:30" x14ac:dyDescent="0.2">
      <c r="A250" s="36"/>
      <c r="AC250" s="24"/>
      <c r="AD250" s="25"/>
    </row>
    <row r="251" spans="1:30" x14ac:dyDescent="0.2">
      <c r="A251" s="36"/>
      <c r="AC251" s="24"/>
      <c r="AD251" s="25"/>
    </row>
    <row r="252" spans="1:30" x14ac:dyDescent="0.2">
      <c r="A252" s="36"/>
      <c r="AC252" s="24"/>
      <c r="AD252" s="25"/>
    </row>
    <row r="253" spans="1:30" x14ac:dyDescent="0.2">
      <c r="A253" s="36"/>
      <c r="AC253" s="24"/>
      <c r="AD253" s="25"/>
    </row>
    <row r="254" spans="1:30" x14ac:dyDescent="0.2">
      <c r="A254" s="36"/>
      <c r="AC254" s="24"/>
      <c r="AD254" s="25"/>
    </row>
    <row r="255" spans="1:30" x14ac:dyDescent="0.2">
      <c r="A255" s="36"/>
      <c r="AC255" s="24"/>
      <c r="AD255" s="25"/>
    </row>
    <row r="256" spans="1:30" x14ac:dyDescent="0.2">
      <c r="A256" s="36"/>
      <c r="AC256" s="24"/>
      <c r="AD256" s="25"/>
    </row>
    <row r="257" spans="1:30" x14ac:dyDescent="0.2">
      <c r="A257" s="36"/>
      <c r="AC257" s="24"/>
      <c r="AD257" s="25"/>
    </row>
    <row r="258" spans="1:30" x14ac:dyDescent="0.2">
      <c r="A258" s="36"/>
      <c r="AC258" s="24"/>
      <c r="AD258" s="25"/>
    </row>
    <row r="259" spans="1:30" x14ac:dyDescent="0.2">
      <c r="A259" s="36"/>
      <c r="AC259" s="24"/>
      <c r="AD259" s="25"/>
    </row>
    <row r="260" spans="1:30" x14ac:dyDescent="0.2">
      <c r="A260" s="36"/>
      <c r="AC260" s="24"/>
      <c r="AD260" s="25"/>
    </row>
    <row r="261" spans="1:30" x14ac:dyDescent="0.2">
      <c r="A261" s="36"/>
      <c r="AC261" s="24"/>
      <c r="AD261" s="25"/>
    </row>
    <row r="262" spans="1:30" x14ac:dyDescent="0.2">
      <c r="A262" s="36"/>
      <c r="AC262" s="24"/>
      <c r="AD262" s="25"/>
    </row>
    <row r="263" spans="1:30" x14ac:dyDescent="0.2">
      <c r="A263" s="36"/>
      <c r="AC263" s="24"/>
      <c r="AD263" s="25"/>
    </row>
    <row r="264" spans="1:30" x14ac:dyDescent="0.2">
      <c r="A264" s="36"/>
      <c r="AC264" s="24"/>
      <c r="AD264" s="25"/>
    </row>
    <row r="265" spans="1:30" x14ac:dyDescent="0.2">
      <c r="A265" s="36"/>
      <c r="AC265" s="24"/>
      <c r="AD265" s="25"/>
    </row>
    <row r="266" spans="1:30" x14ac:dyDescent="0.2">
      <c r="A266" s="36"/>
      <c r="AC266" s="24"/>
      <c r="AD266" s="25"/>
    </row>
    <row r="267" spans="1:30" x14ac:dyDescent="0.2">
      <c r="A267" s="36"/>
      <c r="AC267" s="24"/>
      <c r="AD267" s="25"/>
    </row>
    <row r="268" spans="1:30" x14ac:dyDescent="0.2">
      <c r="A268" s="36"/>
      <c r="AC268" s="24"/>
      <c r="AD268" s="25"/>
    </row>
    <row r="269" spans="1:30" x14ac:dyDescent="0.2">
      <c r="A269" s="36"/>
      <c r="AC269" s="24"/>
      <c r="AD269" s="25"/>
    </row>
    <row r="270" spans="1:30" x14ac:dyDescent="0.2">
      <c r="A270" s="36"/>
      <c r="AC270" s="24"/>
      <c r="AD270" s="25"/>
    </row>
    <row r="271" spans="1:30" x14ac:dyDescent="0.2">
      <c r="A271" s="36"/>
      <c r="AC271" s="24"/>
      <c r="AD271" s="25"/>
    </row>
    <row r="272" spans="1:30" x14ac:dyDescent="0.2">
      <c r="A272" s="36"/>
      <c r="AC272" s="24"/>
      <c r="AD272" s="25"/>
    </row>
    <row r="273" spans="1:30" x14ac:dyDescent="0.2">
      <c r="A273" s="36"/>
      <c r="AC273" s="24"/>
      <c r="AD273" s="25"/>
    </row>
    <row r="274" spans="1:30" x14ac:dyDescent="0.2">
      <c r="A274" s="36"/>
      <c r="AC274" s="24"/>
      <c r="AD274" s="25"/>
    </row>
    <row r="275" spans="1:30" x14ac:dyDescent="0.2">
      <c r="A275" s="36"/>
      <c r="AC275" s="24"/>
      <c r="AD275" s="25"/>
    </row>
    <row r="276" spans="1:30" x14ac:dyDescent="0.2">
      <c r="A276" s="36"/>
      <c r="AC276" s="24"/>
      <c r="AD276" s="25"/>
    </row>
    <row r="277" spans="1:30" x14ac:dyDescent="0.2">
      <c r="A277" s="36"/>
      <c r="AC277" s="24"/>
      <c r="AD277" s="25"/>
    </row>
    <row r="278" spans="1:30" x14ac:dyDescent="0.2">
      <c r="A278" s="36"/>
      <c r="AC278" s="24"/>
      <c r="AD278" s="25"/>
    </row>
    <row r="279" spans="1:30" x14ac:dyDescent="0.2">
      <c r="A279" s="36"/>
      <c r="AC279" s="24"/>
      <c r="AD279" s="25"/>
    </row>
    <row r="280" spans="1:30" x14ac:dyDescent="0.2">
      <c r="A280" s="36"/>
      <c r="AC280" s="24"/>
      <c r="AD280" s="25"/>
    </row>
    <row r="281" spans="1:30" x14ac:dyDescent="0.2">
      <c r="A281" s="36"/>
      <c r="AC281" s="24"/>
      <c r="AD281" s="25"/>
    </row>
    <row r="282" spans="1:30" x14ac:dyDescent="0.2">
      <c r="A282" s="36"/>
      <c r="AC282" s="24"/>
      <c r="AD282" s="25"/>
    </row>
    <row r="283" spans="1:30" x14ac:dyDescent="0.2">
      <c r="A283" s="36"/>
      <c r="AC283" s="24"/>
      <c r="AD283" s="25"/>
    </row>
    <row r="284" spans="1:30" x14ac:dyDescent="0.2">
      <c r="A284" s="36"/>
      <c r="AC284" s="24"/>
      <c r="AD284" s="25"/>
    </row>
    <row r="285" spans="1:30" x14ac:dyDescent="0.2">
      <c r="A285" s="36"/>
      <c r="AC285" s="24"/>
      <c r="AD285" s="25"/>
    </row>
    <row r="286" spans="1:30" x14ac:dyDescent="0.2">
      <c r="A286" s="36"/>
      <c r="AC286" s="24"/>
      <c r="AD286" s="25"/>
    </row>
    <row r="287" spans="1:30" x14ac:dyDescent="0.2">
      <c r="A287" s="36"/>
      <c r="AC287" s="24"/>
      <c r="AD287" s="25"/>
    </row>
    <row r="288" spans="1:30" x14ac:dyDescent="0.2">
      <c r="A288" s="36"/>
      <c r="AC288" s="24"/>
      <c r="AD288" s="25"/>
    </row>
    <row r="289" spans="1:30" x14ac:dyDescent="0.2">
      <c r="A289" s="36"/>
      <c r="AC289" s="24"/>
      <c r="AD289" s="25"/>
    </row>
    <row r="290" spans="1:30" x14ac:dyDescent="0.2">
      <c r="A290" s="36"/>
      <c r="AC290" s="24"/>
      <c r="AD290" s="25"/>
    </row>
    <row r="291" spans="1:30" x14ac:dyDescent="0.2">
      <c r="A291" s="36"/>
      <c r="AC291" s="24"/>
      <c r="AD291" s="25"/>
    </row>
    <row r="292" spans="1:30" x14ac:dyDescent="0.2">
      <c r="A292" s="36"/>
      <c r="AC292" s="24"/>
      <c r="AD292" s="25"/>
    </row>
    <row r="293" spans="1:30" x14ac:dyDescent="0.2">
      <c r="A293" s="36"/>
      <c r="AC293" s="24"/>
      <c r="AD293" s="25"/>
    </row>
    <row r="294" spans="1:30" x14ac:dyDescent="0.2">
      <c r="A294" s="36"/>
      <c r="AC294" s="24"/>
      <c r="AD294" s="25"/>
    </row>
    <row r="295" spans="1:30" x14ac:dyDescent="0.2">
      <c r="A295" s="36"/>
      <c r="AC295" s="24"/>
      <c r="AD295" s="25"/>
    </row>
    <row r="296" spans="1:30" x14ac:dyDescent="0.2">
      <c r="A296" s="36"/>
      <c r="AC296" s="24"/>
      <c r="AD296" s="25"/>
    </row>
    <row r="297" spans="1:30" x14ac:dyDescent="0.2">
      <c r="A297" s="36"/>
      <c r="AC297" s="24"/>
      <c r="AD297" s="25"/>
    </row>
    <row r="298" spans="1:30" x14ac:dyDescent="0.2">
      <c r="A298" s="36"/>
      <c r="AC298" s="24"/>
      <c r="AD298" s="25"/>
    </row>
    <row r="299" spans="1:30" x14ac:dyDescent="0.2">
      <c r="A299" s="36"/>
      <c r="AC299" s="24"/>
      <c r="AD299" s="25"/>
    </row>
    <row r="300" spans="1:30" x14ac:dyDescent="0.2">
      <c r="A300" s="36"/>
      <c r="AC300" s="24"/>
      <c r="AD300" s="25"/>
    </row>
    <row r="301" spans="1:30" x14ac:dyDescent="0.2">
      <c r="A301" s="36"/>
      <c r="AC301" s="24"/>
      <c r="AD301" s="25"/>
    </row>
    <row r="302" spans="1:30" x14ac:dyDescent="0.2">
      <c r="A302" s="36"/>
      <c r="AC302" s="24"/>
      <c r="AD302" s="25"/>
    </row>
    <row r="303" spans="1:30" x14ac:dyDescent="0.2">
      <c r="A303" s="36"/>
      <c r="AC303" s="24"/>
      <c r="AD303" s="25"/>
    </row>
    <row r="304" spans="1:30" x14ac:dyDescent="0.2">
      <c r="A304" s="36"/>
      <c r="AC304" s="24"/>
      <c r="AD304" s="25"/>
    </row>
    <row r="305" spans="1:30" x14ac:dyDescent="0.2">
      <c r="A305" s="36"/>
      <c r="AC305" s="24"/>
      <c r="AD305" s="25"/>
    </row>
    <row r="306" spans="1:30" x14ac:dyDescent="0.2">
      <c r="A306" s="36"/>
      <c r="AC306" s="24"/>
      <c r="AD306" s="25"/>
    </row>
    <row r="307" spans="1:30" x14ac:dyDescent="0.2">
      <c r="A307" s="36"/>
      <c r="AC307" s="24"/>
      <c r="AD307" s="25"/>
    </row>
    <row r="308" spans="1:30" x14ac:dyDescent="0.2">
      <c r="A308" s="36"/>
      <c r="AC308" s="24"/>
      <c r="AD308" s="25"/>
    </row>
    <row r="309" spans="1:30" x14ac:dyDescent="0.2">
      <c r="A309" s="36"/>
      <c r="AC309" s="24"/>
      <c r="AD309" s="25"/>
    </row>
    <row r="310" spans="1:30" x14ac:dyDescent="0.2">
      <c r="A310" s="36"/>
      <c r="AC310" s="24"/>
      <c r="AD310" s="25"/>
    </row>
    <row r="311" spans="1:30" x14ac:dyDescent="0.2">
      <c r="A311" s="36"/>
      <c r="AC311" s="24"/>
      <c r="AD311" s="25"/>
    </row>
    <row r="312" spans="1:30" x14ac:dyDescent="0.2">
      <c r="A312" s="36"/>
      <c r="AC312" s="24"/>
      <c r="AD312" s="25"/>
    </row>
    <row r="313" spans="1:30" x14ac:dyDescent="0.2">
      <c r="A313" s="36"/>
      <c r="AC313" s="24"/>
      <c r="AD313" s="25"/>
    </row>
    <row r="314" spans="1:30" x14ac:dyDescent="0.2">
      <c r="A314" s="36"/>
      <c r="AC314" s="24"/>
      <c r="AD314" s="25"/>
    </row>
    <row r="315" spans="1:30" x14ac:dyDescent="0.2">
      <c r="A315" s="36"/>
      <c r="AC315" s="24"/>
      <c r="AD315" s="25"/>
    </row>
    <row r="316" spans="1:30" x14ac:dyDescent="0.2">
      <c r="A316" s="36"/>
      <c r="AC316" s="24"/>
      <c r="AD316" s="25"/>
    </row>
    <row r="317" spans="1:30" x14ac:dyDescent="0.2">
      <c r="A317" s="36"/>
      <c r="AC317" s="24"/>
      <c r="AD317" s="25"/>
    </row>
    <row r="318" spans="1:30" x14ac:dyDescent="0.2">
      <c r="A318" s="36"/>
      <c r="AC318" s="24"/>
      <c r="AD318" s="25"/>
    </row>
    <row r="319" spans="1:30" x14ac:dyDescent="0.2">
      <c r="A319" s="36"/>
      <c r="AC319" s="24"/>
      <c r="AD319" s="25"/>
    </row>
    <row r="320" spans="1:30" x14ac:dyDescent="0.2">
      <c r="A320" s="36"/>
      <c r="AC320" s="24"/>
      <c r="AD320" s="25"/>
    </row>
    <row r="321" spans="1:30" x14ac:dyDescent="0.2">
      <c r="A321" s="36"/>
      <c r="AC321" s="24"/>
      <c r="AD321" s="25"/>
    </row>
    <row r="322" spans="1:30" x14ac:dyDescent="0.2">
      <c r="A322" s="36"/>
      <c r="AC322" s="24"/>
      <c r="AD322" s="25"/>
    </row>
    <row r="323" spans="1:30" x14ac:dyDescent="0.2">
      <c r="A323" s="36"/>
      <c r="AC323" s="24"/>
      <c r="AD323" s="25"/>
    </row>
    <row r="324" spans="1:30" x14ac:dyDescent="0.2">
      <c r="A324" s="36"/>
      <c r="AC324" s="24"/>
      <c r="AD324" s="25"/>
    </row>
    <row r="325" spans="1:30" x14ac:dyDescent="0.2">
      <c r="A325" s="36"/>
      <c r="AC325" s="24"/>
      <c r="AD325" s="25"/>
    </row>
    <row r="326" spans="1:30" x14ac:dyDescent="0.2">
      <c r="A326" s="36"/>
      <c r="AC326" s="24"/>
      <c r="AD326" s="25"/>
    </row>
    <row r="327" spans="1:30" x14ac:dyDescent="0.2">
      <c r="A327" s="36"/>
      <c r="AC327" s="24"/>
      <c r="AD327" s="25"/>
    </row>
    <row r="328" spans="1:30" x14ac:dyDescent="0.2">
      <c r="A328" s="36"/>
      <c r="AC328" s="24"/>
      <c r="AD328" s="25"/>
    </row>
    <row r="329" spans="1:30" x14ac:dyDescent="0.2">
      <c r="A329" s="36"/>
      <c r="AC329" s="24"/>
      <c r="AD329" s="25"/>
    </row>
    <row r="330" spans="1:30" x14ac:dyDescent="0.2">
      <c r="A330" s="36"/>
      <c r="AC330" s="24"/>
      <c r="AD330" s="25"/>
    </row>
    <row r="331" spans="1:30" x14ac:dyDescent="0.2">
      <c r="A331" s="36"/>
      <c r="AC331" s="24"/>
      <c r="AD331" s="25"/>
    </row>
    <row r="332" spans="1:30" x14ac:dyDescent="0.2">
      <c r="A332" s="36"/>
      <c r="AC332" s="24"/>
      <c r="AD332" s="25"/>
    </row>
    <row r="333" spans="1:30" x14ac:dyDescent="0.2">
      <c r="A333" s="36"/>
      <c r="AC333" s="24"/>
      <c r="AD333" s="25"/>
    </row>
    <row r="334" spans="1:30" x14ac:dyDescent="0.2">
      <c r="A334" s="36"/>
      <c r="AC334" s="24"/>
      <c r="AD334" s="25"/>
    </row>
    <row r="335" spans="1:30" x14ac:dyDescent="0.2">
      <c r="A335" s="36"/>
      <c r="AC335" s="24"/>
      <c r="AD335" s="25"/>
    </row>
    <row r="336" spans="1:30" x14ac:dyDescent="0.2">
      <c r="A336" s="36"/>
      <c r="AC336" s="24"/>
      <c r="AD336" s="25"/>
    </row>
    <row r="337" spans="1:30" x14ac:dyDescent="0.2">
      <c r="A337" s="36"/>
      <c r="AC337" s="24"/>
      <c r="AD337" s="25"/>
    </row>
    <row r="338" spans="1:30" x14ac:dyDescent="0.2">
      <c r="A338" s="36"/>
      <c r="AC338" s="24"/>
      <c r="AD338" s="25"/>
    </row>
    <row r="339" spans="1:30" x14ac:dyDescent="0.2">
      <c r="A339" s="36"/>
      <c r="AC339" s="24"/>
      <c r="AD339" s="25"/>
    </row>
    <row r="340" spans="1:30" x14ac:dyDescent="0.2">
      <c r="A340" s="36"/>
      <c r="AC340" s="24"/>
      <c r="AD340" s="25"/>
    </row>
    <row r="341" spans="1:30" x14ac:dyDescent="0.2">
      <c r="A341" s="36"/>
      <c r="AC341" s="24"/>
      <c r="AD341" s="25"/>
    </row>
    <row r="342" spans="1:30" x14ac:dyDescent="0.2">
      <c r="A342" s="36"/>
      <c r="AC342" s="24"/>
      <c r="AD342" s="25"/>
    </row>
    <row r="343" spans="1:30" x14ac:dyDescent="0.2">
      <c r="A343" s="36"/>
      <c r="AC343" s="24"/>
      <c r="AD343" s="25"/>
    </row>
    <row r="344" spans="1:30" x14ac:dyDescent="0.2">
      <c r="A344" s="36"/>
      <c r="AC344" s="24"/>
      <c r="AD344" s="25"/>
    </row>
    <row r="345" spans="1:30" x14ac:dyDescent="0.2">
      <c r="A345" s="36"/>
      <c r="AC345" s="24"/>
      <c r="AD345" s="25"/>
    </row>
    <row r="346" spans="1:30" x14ac:dyDescent="0.2">
      <c r="A346" s="36"/>
      <c r="AC346" s="24"/>
      <c r="AD346" s="25"/>
    </row>
    <row r="347" spans="1:30" x14ac:dyDescent="0.2">
      <c r="A347" s="36"/>
      <c r="AC347" s="24"/>
      <c r="AD347" s="25"/>
    </row>
    <row r="348" spans="1:30" x14ac:dyDescent="0.2">
      <c r="A348" s="36"/>
      <c r="AC348" s="24"/>
      <c r="AD348" s="25"/>
    </row>
    <row r="349" spans="1:30" x14ac:dyDescent="0.2">
      <c r="A349" s="36"/>
      <c r="AC349" s="24"/>
      <c r="AD349" s="25"/>
    </row>
    <row r="350" spans="1:30" x14ac:dyDescent="0.2">
      <c r="A350" s="36"/>
      <c r="AC350" s="24"/>
      <c r="AD350" s="25"/>
    </row>
    <row r="351" spans="1:30" x14ac:dyDescent="0.2">
      <c r="A351" s="36"/>
      <c r="AC351" s="24"/>
      <c r="AD351" s="25"/>
    </row>
    <row r="352" spans="1:30" x14ac:dyDescent="0.2">
      <c r="A352" s="36"/>
      <c r="AC352" s="24"/>
      <c r="AD352" s="25"/>
    </row>
    <row r="353" spans="1:30" x14ac:dyDescent="0.2">
      <c r="A353" s="36"/>
      <c r="AC353" s="24"/>
      <c r="AD353" s="25"/>
    </row>
    <row r="354" spans="1:30" x14ac:dyDescent="0.2">
      <c r="A354" s="36"/>
      <c r="AC354" s="24"/>
      <c r="AD354" s="25"/>
    </row>
    <row r="355" spans="1:30" x14ac:dyDescent="0.2">
      <c r="A355" s="36"/>
      <c r="AC355" s="24"/>
      <c r="AD355" s="25"/>
    </row>
    <row r="356" spans="1:30" x14ac:dyDescent="0.2">
      <c r="A356" s="36"/>
      <c r="AC356" s="24"/>
      <c r="AD356" s="25"/>
    </row>
    <row r="357" spans="1:30" x14ac:dyDescent="0.2">
      <c r="A357" s="36"/>
      <c r="AC357" s="24"/>
      <c r="AD357" s="25"/>
    </row>
    <row r="358" spans="1:30" x14ac:dyDescent="0.2">
      <c r="A358" s="36"/>
      <c r="AC358" s="24"/>
      <c r="AD358" s="25"/>
    </row>
    <row r="359" spans="1:30" x14ac:dyDescent="0.2">
      <c r="A359" s="36"/>
      <c r="AC359" s="24"/>
      <c r="AD359" s="25"/>
    </row>
    <row r="360" spans="1:30" x14ac:dyDescent="0.2">
      <c r="A360" s="36"/>
      <c r="AC360" s="24"/>
      <c r="AD360" s="25"/>
    </row>
    <row r="361" spans="1:30" x14ac:dyDescent="0.2">
      <c r="A361" s="36"/>
      <c r="AC361" s="24"/>
      <c r="AD361" s="25"/>
    </row>
    <row r="362" spans="1:30" x14ac:dyDescent="0.2">
      <c r="A362" s="36"/>
      <c r="AC362" s="24"/>
      <c r="AD362" s="25"/>
    </row>
    <row r="363" spans="1:30" x14ac:dyDescent="0.2">
      <c r="A363" s="36"/>
      <c r="AC363" s="24"/>
      <c r="AD363" s="25"/>
    </row>
    <row r="364" spans="1:30" x14ac:dyDescent="0.2">
      <c r="A364" s="36"/>
      <c r="AC364" s="24"/>
      <c r="AD364" s="25"/>
    </row>
    <row r="365" spans="1:30" x14ac:dyDescent="0.2">
      <c r="A365" s="36"/>
      <c r="AC365" s="24"/>
      <c r="AD365" s="25"/>
    </row>
    <row r="366" spans="1:30" x14ac:dyDescent="0.2">
      <c r="A366" s="36"/>
      <c r="AC366" s="24"/>
      <c r="AD366" s="25"/>
    </row>
    <row r="367" spans="1:30" x14ac:dyDescent="0.2">
      <c r="A367" s="36"/>
      <c r="AC367" s="24"/>
      <c r="AD367" s="25"/>
    </row>
    <row r="368" spans="1:30" x14ac:dyDescent="0.2">
      <c r="A368" s="36"/>
      <c r="AC368" s="24"/>
      <c r="AD368" s="25"/>
    </row>
    <row r="369" spans="1:30" x14ac:dyDescent="0.2">
      <c r="A369" s="36"/>
      <c r="AC369" s="24"/>
      <c r="AD369" s="25"/>
    </row>
    <row r="370" spans="1:30" x14ac:dyDescent="0.2">
      <c r="A370" s="36"/>
      <c r="AC370" s="24"/>
      <c r="AD370" s="25"/>
    </row>
    <row r="371" spans="1:30" x14ac:dyDescent="0.2">
      <c r="A371" s="36"/>
      <c r="AC371" s="24"/>
      <c r="AD371" s="25"/>
    </row>
    <row r="372" spans="1:30" x14ac:dyDescent="0.2">
      <c r="A372" s="36"/>
      <c r="AC372" s="24"/>
      <c r="AD372" s="25"/>
    </row>
    <row r="373" spans="1:30" x14ac:dyDescent="0.2">
      <c r="A373" s="36"/>
      <c r="AC373" s="24"/>
      <c r="AD373" s="25"/>
    </row>
    <row r="374" spans="1:30" x14ac:dyDescent="0.2">
      <c r="A374" s="36"/>
      <c r="AC374" s="24"/>
      <c r="AD374" s="25"/>
    </row>
    <row r="375" spans="1:30" x14ac:dyDescent="0.2">
      <c r="A375" s="36"/>
      <c r="AC375" s="24"/>
      <c r="AD375" s="25"/>
    </row>
    <row r="376" spans="1:30" x14ac:dyDescent="0.2">
      <c r="A376" s="36"/>
      <c r="AC376" s="24"/>
      <c r="AD376" s="25"/>
    </row>
    <row r="377" spans="1:30" x14ac:dyDescent="0.2">
      <c r="A377" s="36"/>
      <c r="AC377" s="24"/>
      <c r="AD377" s="25"/>
    </row>
    <row r="378" spans="1:30" x14ac:dyDescent="0.2">
      <c r="A378" s="36"/>
      <c r="AC378" s="24"/>
      <c r="AD378" s="25"/>
    </row>
    <row r="379" spans="1:30" x14ac:dyDescent="0.2">
      <c r="A379" s="36"/>
      <c r="AC379" s="24"/>
      <c r="AD379" s="25"/>
    </row>
    <row r="380" spans="1:30" x14ac:dyDescent="0.2">
      <c r="A380" s="36"/>
      <c r="AC380" s="24"/>
      <c r="AD380" s="25"/>
    </row>
    <row r="381" spans="1:30" x14ac:dyDescent="0.2">
      <c r="A381" s="36"/>
      <c r="AC381" s="24"/>
      <c r="AD381" s="25"/>
    </row>
    <row r="382" spans="1:30" x14ac:dyDescent="0.2">
      <c r="A382" s="36"/>
      <c r="AC382" s="24"/>
      <c r="AD382" s="25"/>
    </row>
    <row r="383" spans="1:30" x14ac:dyDescent="0.2">
      <c r="A383" s="36"/>
      <c r="AC383" s="24"/>
      <c r="AD383" s="25"/>
    </row>
    <row r="384" spans="1:30" x14ac:dyDescent="0.2">
      <c r="A384" s="36"/>
      <c r="AC384" s="24"/>
      <c r="AD384" s="25"/>
    </row>
    <row r="385" spans="1:30" x14ac:dyDescent="0.2">
      <c r="A385" s="36"/>
      <c r="AC385" s="24"/>
      <c r="AD385" s="25"/>
    </row>
    <row r="386" spans="1:30" x14ac:dyDescent="0.2">
      <c r="A386" s="36"/>
      <c r="AC386" s="24"/>
      <c r="AD386" s="25"/>
    </row>
    <row r="387" spans="1:30" x14ac:dyDescent="0.2">
      <c r="A387" s="36"/>
      <c r="AC387" s="24"/>
      <c r="AD387" s="25"/>
    </row>
    <row r="388" spans="1:30" x14ac:dyDescent="0.2">
      <c r="A388" s="36"/>
      <c r="AC388" s="24"/>
      <c r="AD388" s="25"/>
    </row>
    <row r="389" spans="1:30" x14ac:dyDescent="0.2">
      <c r="A389" s="36"/>
      <c r="AC389" s="24"/>
      <c r="AD389" s="25"/>
    </row>
    <row r="390" spans="1:30" x14ac:dyDescent="0.2">
      <c r="A390" s="36"/>
      <c r="AC390" s="24"/>
      <c r="AD390" s="25"/>
    </row>
    <row r="391" spans="1:30" x14ac:dyDescent="0.2">
      <c r="A391" s="36"/>
      <c r="AC391" s="24"/>
      <c r="AD391" s="25"/>
    </row>
    <row r="392" spans="1:30" x14ac:dyDescent="0.2">
      <c r="A392" s="36"/>
      <c r="AC392" s="24"/>
      <c r="AD392" s="25"/>
    </row>
    <row r="393" spans="1:30" x14ac:dyDescent="0.2">
      <c r="A393" s="36"/>
      <c r="AC393" s="24"/>
      <c r="AD393" s="25"/>
    </row>
    <row r="394" spans="1:30" x14ac:dyDescent="0.2">
      <c r="A394" s="36"/>
      <c r="AC394" s="24"/>
      <c r="AD394" s="25"/>
    </row>
    <row r="395" spans="1:30" x14ac:dyDescent="0.2">
      <c r="A395" s="36"/>
      <c r="AC395" s="24"/>
      <c r="AD395" s="25"/>
    </row>
    <row r="396" spans="1:30" x14ac:dyDescent="0.2">
      <c r="A396" s="36"/>
      <c r="AC396" s="24"/>
      <c r="AD396" s="25"/>
    </row>
    <row r="397" spans="1:30" x14ac:dyDescent="0.2">
      <c r="A397" s="36"/>
      <c r="AC397" s="24"/>
      <c r="AD397" s="25"/>
    </row>
    <row r="398" spans="1:30" x14ac:dyDescent="0.2">
      <c r="A398" s="36"/>
      <c r="AC398" s="24"/>
      <c r="AD398" s="25"/>
    </row>
    <row r="399" spans="1:30" x14ac:dyDescent="0.2">
      <c r="A399" s="36"/>
      <c r="AC399" s="24"/>
      <c r="AD399" s="25"/>
    </row>
    <row r="400" spans="1:30" x14ac:dyDescent="0.2">
      <c r="A400" s="36"/>
      <c r="AC400" s="24"/>
      <c r="AD400" s="25"/>
    </row>
    <row r="401" spans="1:30" x14ac:dyDescent="0.2">
      <c r="A401" s="36"/>
      <c r="AC401" s="24"/>
      <c r="AD401" s="25"/>
    </row>
    <row r="402" spans="1:30" x14ac:dyDescent="0.2">
      <c r="A402" s="36"/>
      <c r="AC402" s="24"/>
      <c r="AD402" s="25"/>
    </row>
    <row r="403" spans="1:30" x14ac:dyDescent="0.2">
      <c r="A403" s="36"/>
      <c r="AC403" s="24"/>
      <c r="AD403" s="25"/>
    </row>
    <row r="404" spans="1:30" x14ac:dyDescent="0.2">
      <c r="A404" s="36"/>
      <c r="AC404" s="24"/>
      <c r="AD404" s="25"/>
    </row>
    <row r="405" spans="1:30" x14ac:dyDescent="0.2">
      <c r="A405" s="36"/>
      <c r="AC405" s="24"/>
      <c r="AD405" s="25"/>
    </row>
    <row r="406" spans="1:30" x14ac:dyDescent="0.2">
      <c r="A406" s="36"/>
      <c r="AC406" s="24"/>
      <c r="AD406" s="25"/>
    </row>
    <row r="407" spans="1:30" x14ac:dyDescent="0.2">
      <c r="A407" s="36"/>
      <c r="AC407" s="24"/>
      <c r="AD407" s="25"/>
    </row>
    <row r="408" spans="1:30" x14ac:dyDescent="0.2">
      <c r="A408" s="36"/>
      <c r="AC408" s="24"/>
      <c r="AD408" s="25"/>
    </row>
    <row r="409" spans="1:30" x14ac:dyDescent="0.2">
      <c r="A409" s="36"/>
      <c r="AC409" s="24"/>
      <c r="AD409" s="25"/>
    </row>
    <row r="410" spans="1:30" x14ac:dyDescent="0.2">
      <c r="A410" s="36"/>
      <c r="AC410" s="24"/>
      <c r="AD410" s="25"/>
    </row>
    <row r="411" spans="1:30" x14ac:dyDescent="0.2">
      <c r="A411" s="36"/>
      <c r="AC411" s="24"/>
      <c r="AD411" s="25"/>
    </row>
    <row r="412" spans="1:30" x14ac:dyDescent="0.2">
      <c r="A412" s="36"/>
      <c r="AC412" s="24"/>
      <c r="AD412" s="25"/>
    </row>
    <row r="413" spans="1:30" x14ac:dyDescent="0.2">
      <c r="A413" s="36"/>
      <c r="AC413" s="24"/>
      <c r="AD413" s="25"/>
    </row>
    <row r="414" spans="1:30" x14ac:dyDescent="0.2">
      <c r="A414" s="36"/>
      <c r="AC414" s="24"/>
      <c r="AD414" s="25"/>
    </row>
    <row r="415" spans="1:30" x14ac:dyDescent="0.2">
      <c r="A415" s="36"/>
      <c r="AC415" s="24"/>
      <c r="AD415" s="25"/>
    </row>
    <row r="416" spans="1:30" x14ac:dyDescent="0.2">
      <c r="A416" s="36"/>
      <c r="AC416" s="24"/>
      <c r="AD416" s="25"/>
    </row>
    <row r="417" spans="1:30" x14ac:dyDescent="0.2">
      <c r="A417" s="36"/>
      <c r="AC417" s="24"/>
      <c r="AD417" s="25"/>
    </row>
    <row r="418" spans="1:30" x14ac:dyDescent="0.2">
      <c r="A418" s="36"/>
      <c r="AC418" s="24"/>
      <c r="AD418" s="25"/>
    </row>
    <row r="419" spans="1:30" x14ac:dyDescent="0.2">
      <c r="A419" s="36"/>
      <c r="AC419" s="24"/>
      <c r="AD419" s="25"/>
    </row>
    <row r="420" spans="1:30" x14ac:dyDescent="0.2">
      <c r="A420" s="36"/>
      <c r="AC420" s="24"/>
      <c r="AD420" s="25"/>
    </row>
    <row r="421" spans="1:30" x14ac:dyDescent="0.2">
      <c r="A421" s="36"/>
      <c r="AC421" s="24"/>
      <c r="AD421" s="25"/>
    </row>
    <row r="422" spans="1:30" x14ac:dyDescent="0.2">
      <c r="A422" s="36"/>
      <c r="AC422" s="24"/>
      <c r="AD422" s="25"/>
    </row>
    <row r="423" spans="1:30" x14ac:dyDescent="0.2">
      <c r="A423" s="36"/>
      <c r="AC423" s="24"/>
      <c r="AD423" s="25"/>
    </row>
    <row r="424" spans="1:30" x14ac:dyDescent="0.2">
      <c r="A424" s="36"/>
      <c r="AC424" s="24"/>
      <c r="AD424" s="25"/>
    </row>
    <row r="425" spans="1:30" x14ac:dyDescent="0.2">
      <c r="A425" s="36"/>
      <c r="AC425" s="24"/>
      <c r="AD425" s="25"/>
    </row>
    <row r="426" spans="1:30" x14ac:dyDescent="0.2">
      <c r="A426" s="36"/>
      <c r="AC426" s="24"/>
      <c r="AD426" s="25"/>
    </row>
    <row r="427" spans="1:30" x14ac:dyDescent="0.2">
      <c r="A427" s="36"/>
      <c r="AC427" s="24"/>
      <c r="AD427" s="25"/>
    </row>
    <row r="428" spans="1:30" x14ac:dyDescent="0.2">
      <c r="A428" s="36"/>
      <c r="AC428" s="24"/>
      <c r="AD428" s="25"/>
    </row>
    <row r="429" spans="1:30" x14ac:dyDescent="0.2">
      <c r="A429" s="36"/>
      <c r="AC429" s="24"/>
      <c r="AD429" s="25"/>
    </row>
    <row r="430" spans="1:30" x14ac:dyDescent="0.2">
      <c r="A430" s="36"/>
      <c r="AC430" s="24"/>
      <c r="AD430" s="25"/>
    </row>
    <row r="431" spans="1:30" x14ac:dyDescent="0.2">
      <c r="A431" s="36"/>
      <c r="AC431" s="24"/>
      <c r="AD431" s="25"/>
    </row>
    <row r="432" spans="1:30" x14ac:dyDescent="0.2">
      <c r="A432" s="36"/>
      <c r="AC432" s="24"/>
      <c r="AD432" s="25"/>
    </row>
    <row r="433" spans="1:30" x14ac:dyDescent="0.2">
      <c r="A433" s="36"/>
      <c r="AC433" s="24"/>
      <c r="AD433" s="25"/>
    </row>
    <row r="434" spans="1:30" x14ac:dyDescent="0.2">
      <c r="A434" s="36"/>
      <c r="AC434" s="24"/>
      <c r="AD434" s="25"/>
    </row>
    <row r="435" spans="1:30" x14ac:dyDescent="0.2">
      <c r="A435" s="36"/>
      <c r="AC435" s="24"/>
      <c r="AD435" s="25"/>
    </row>
    <row r="436" spans="1:30" x14ac:dyDescent="0.2">
      <c r="A436" s="36"/>
      <c r="AC436" s="24"/>
      <c r="AD436" s="25"/>
    </row>
    <row r="437" spans="1:30" x14ac:dyDescent="0.2">
      <c r="A437" s="36"/>
      <c r="AC437" s="24"/>
      <c r="AD437" s="25"/>
    </row>
    <row r="438" spans="1:30" x14ac:dyDescent="0.2">
      <c r="A438" s="36"/>
      <c r="AC438" s="24"/>
      <c r="AD438" s="25"/>
    </row>
    <row r="439" spans="1:30" x14ac:dyDescent="0.2">
      <c r="A439" s="36"/>
      <c r="AC439" s="24"/>
      <c r="AD439" s="25"/>
    </row>
    <row r="440" spans="1:30" x14ac:dyDescent="0.2">
      <c r="A440" s="36"/>
      <c r="AC440" s="24"/>
      <c r="AD440" s="25"/>
    </row>
    <row r="441" spans="1:30" x14ac:dyDescent="0.2">
      <c r="A441" s="36"/>
      <c r="AC441" s="24"/>
      <c r="AD441" s="25"/>
    </row>
    <row r="442" spans="1:30" x14ac:dyDescent="0.2">
      <c r="A442" s="36"/>
      <c r="AC442" s="24"/>
      <c r="AD442" s="25"/>
    </row>
    <row r="443" spans="1:30" x14ac:dyDescent="0.2">
      <c r="A443" s="36"/>
      <c r="AC443" s="24"/>
      <c r="AD443" s="25"/>
    </row>
    <row r="444" spans="1:30" x14ac:dyDescent="0.2">
      <c r="A444" s="36"/>
      <c r="AC444" s="24"/>
      <c r="AD444" s="25"/>
    </row>
    <row r="445" spans="1:30" x14ac:dyDescent="0.2">
      <c r="A445" s="36"/>
      <c r="AC445" s="24"/>
      <c r="AD445" s="25"/>
    </row>
    <row r="446" spans="1:30" x14ac:dyDescent="0.2">
      <c r="A446" s="36"/>
      <c r="AC446" s="24"/>
      <c r="AD446" s="25"/>
    </row>
    <row r="447" spans="1:30" x14ac:dyDescent="0.2">
      <c r="A447" s="36"/>
      <c r="AC447" s="24"/>
      <c r="AD447" s="25"/>
    </row>
    <row r="448" spans="1:30" x14ac:dyDescent="0.2">
      <c r="A448" s="36"/>
      <c r="AC448" s="24"/>
      <c r="AD448" s="25"/>
    </row>
    <row r="449" spans="1:30" x14ac:dyDescent="0.2">
      <c r="A449" s="36"/>
      <c r="AC449" s="24"/>
      <c r="AD449" s="25"/>
    </row>
    <row r="450" spans="1:30" x14ac:dyDescent="0.2">
      <c r="A450" s="36"/>
      <c r="AC450" s="24"/>
      <c r="AD450" s="25"/>
    </row>
    <row r="451" spans="1:30" x14ac:dyDescent="0.2">
      <c r="A451" s="36"/>
      <c r="AC451" s="24"/>
      <c r="AD451" s="25"/>
    </row>
    <row r="452" spans="1:30" x14ac:dyDescent="0.2">
      <c r="A452" s="36"/>
      <c r="AC452" s="24"/>
      <c r="AD452" s="25"/>
    </row>
    <row r="453" spans="1:30" x14ac:dyDescent="0.2">
      <c r="A453" s="36"/>
      <c r="AC453" s="24"/>
      <c r="AD453" s="25"/>
    </row>
    <row r="454" spans="1:30" x14ac:dyDescent="0.2">
      <c r="A454" s="36"/>
      <c r="AC454" s="24"/>
      <c r="AD454" s="25"/>
    </row>
    <row r="455" spans="1:30" x14ac:dyDescent="0.2">
      <c r="A455" s="36"/>
      <c r="AC455" s="24"/>
      <c r="AD455" s="25"/>
    </row>
    <row r="456" spans="1:30" x14ac:dyDescent="0.2">
      <c r="A456" s="36"/>
      <c r="AC456" s="24"/>
      <c r="AD456" s="25"/>
    </row>
    <row r="457" spans="1:30" x14ac:dyDescent="0.2">
      <c r="A457" s="36"/>
      <c r="AC457" s="24"/>
      <c r="AD457" s="25"/>
    </row>
    <row r="458" spans="1:30" x14ac:dyDescent="0.2">
      <c r="A458" s="36"/>
      <c r="AC458" s="24"/>
      <c r="AD458" s="25"/>
    </row>
    <row r="459" spans="1:30" x14ac:dyDescent="0.2">
      <c r="A459" s="36"/>
      <c r="AC459" s="24"/>
      <c r="AD459" s="25"/>
    </row>
    <row r="460" spans="1:30" x14ac:dyDescent="0.2">
      <c r="A460" s="36"/>
      <c r="AC460" s="24"/>
      <c r="AD460" s="25"/>
    </row>
    <row r="461" spans="1:30" x14ac:dyDescent="0.2">
      <c r="A461" s="36"/>
      <c r="AC461" s="24"/>
      <c r="AD461" s="25"/>
    </row>
    <row r="462" spans="1:30" x14ac:dyDescent="0.2">
      <c r="A462" s="36"/>
      <c r="AC462" s="24"/>
      <c r="AD462" s="25"/>
    </row>
    <row r="463" spans="1:30" x14ac:dyDescent="0.2">
      <c r="A463" s="36"/>
      <c r="AC463" s="24"/>
      <c r="AD463" s="25"/>
    </row>
    <row r="464" spans="1:30" x14ac:dyDescent="0.2">
      <c r="A464" s="36"/>
      <c r="AC464" s="24"/>
      <c r="AD464" s="25"/>
    </row>
    <row r="465" spans="1:30" x14ac:dyDescent="0.2">
      <c r="A465" s="36"/>
      <c r="AC465" s="24"/>
      <c r="AD465" s="25"/>
    </row>
    <row r="466" spans="1:30" x14ac:dyDescent="0.2">
      <c r="A466" s="36"/>
      <c r="AC466" s="24"/>
      <c r="AD466" s="25"/>
    </row>
    <row r="467" spans="1:30" x14ac:dyDescent="0.2">
      <c r="A467" s="36"/>
      <c r="AC467" s="24"/>
      <c r="AD467" s="25"/>
    </row>
    <row r="468" spans="1:30" x14ac:dyDescent="0.2">
      <c r="A468" s="36"/>
      <c r="AC468" s="24"/>
      <c r="AD468" s="25"/>
    </row>
    <row r="469" spans="1:30" x14ac:dyDescent="0.2">
      <c r="A469" s="36"/>
      <c r="AC469" s="24"/>
      <c r="AD469" s="25"/>
    </row>
    <row r="470" spans="1:30" x14ac:dyDescent="0.2">
      <c r="A470" s="36"/>
      <c r="AC470" s="24"/>
      <c r="AD470" s="25"/>
    </row>
    <row r="471" spans="1:30" x14ac:dyDescent="0.2">
      <c r="A471" s="36"/>
      <c r="AC471" s="24"/>
      <c r="AD471" s="25"/>
    </row>
    <row r="472" spans="1:30" x14ac:dyDescent="0.2">
      <c r="A472" s="36"/>
      <c r="AC472" s="24"/>
      <c r="AD472" s="25"/>
    </row>
    <row r="473" spans="1:30" x14ac:dyDescent="0.2">
      <c r="A473" s="36"/>
      <c r="AC473" s="24"/>
      <c r="AD473" s="25"/>
    </row>
    <row r="474" spans="1:30" x14ac:dyDescent="0.2">
      <c r="A474" s="36"/>
      <c r="AC474" s="24"/>
      <c r="AD474" s="25"/>
    </row>
    <row r="475" spans="1:30" x14ac:dyDescent="0.2">
      <c r="A475" s="36"/>
      <c r="AC475" s="24"/>
      <c r="AD475" s="25"/>
    </row>
    <row r="476" spans="1:30" x14ac:dyDescent="0.2">
      <c r="A476" s="36"/>
      <c r="AC476" s="24"/>
      <c r="AD476" s="25"/>
    </row>
    <row r="477" spans="1:30" x14ac:dyDescent="0.2">
      <c r="A477" s="36"/>
      <c r="AC477" s="24"/>
      <c r="AD477" s="25"/>
    </row>
    <row r="478" spans="1:30" x14ac:dyDescent="0.2">
      <c r="A478" s="36"/>
      <c r="AC478" s="24"/>
      <c r="AD478" s="25"/>
    </row>
    <row r="479" spans="1:30" x14ac:dyDescent="0.2">
      <c r="A479" s="36"/>
      <c r="AC479" s="24"/>
      <c r="AD479" s="25"/>
    </row>
    <row r="480" spans="1:30" x14ac:dyDescent="0.2">
      <c r="A480" s="36"/>
      <c r="AC480" s="24"/>
      <c r="AD480" s="25"/>
    </row>
    <row r="481" spans="1:30" x14ac:dyDescent="0.2">
      <c r="A481" s="36"/>
      <c r="AC481" s="24"/>
      <c r="AD481" s="25"/>
    </row>
    <row r="482" spans="1:30" x14ac:dyDescent="0.2">
      <c r="A482" s="36"/>
      <c r="AC482" s="24"/>
      <c r="AD482" s="25"/>
    </row>
    <row r="483" spans="1:30" x14ac:dyDescent="0.2">
      <c r="A483" s="36"/>
      <c r="AC483" s="24"/>
      <c r="AD483" s="25"/>
    </row>
    <row r="484" spans="1:30" x14ac:dyDescent="0.2">
      <c r="A484" s="36"/>
      <c r="AC484" s="24"/>
      <c r="AD484" s="25"/>
    </row>
    <row r="485" spans="1:30" x14ac:dyDescent="0.2">
      <c r="A485" s="36"/>
      <c r="AC485" s="24"/>
      <c r="AD485" s="25"/>
    </row>
    <row r="486" spans="1:30" x14ac:dyDescent="0.2">
      <c r="A486" s="36"/>
      <c r="AC486" s="24"/>
      <c r="AD486" s="25"/>
    </row>
    <row r="487" spans="1:30" x14ac:dyDescent="0.2">
      <c r="A487" s="36"/>
      <c r="AC487" s="24"/>
      <c r="AD487" s="25"/>
    </row>
    <row r="488" spans="1:30" x14ac:dyDescent="0.2">
      <c r="A488" s="36"/>
      <c r="AC488" s="24"/>
      <c r="AD488" s="25"/>
    </row>
    <row r="489" spans="1:30" x14ac:dyDescent="0.2">
      <c r="A489" s="36"/>
      <c r="AC489" s="24"/>
      <c r="AD489" s="25"/>
    </row>
    <row r="490" spans="1:30" x14ac:dyDescent="0.2">
      <c r="A490" s="36"/>
      <c r="AC490" s="24"/>
      <c r="AD490" s="25"/>
    </row>
    <row r="491" spans="1:30" x14ac:dyDescent="0.2">
      <c r="A491" s="36"/>
      <c r="AC491" s="24"/>
      <c r="AD491" s="25"/>
    </row>
    <row r="492" spans="1:30" x14ac:dyDescent="0.2">
      <c r="A492" s="36"/>
      <c r="AC492" s="24"/>
      <c r="AD492" s="25"/>
    </row>
    <row r="493" spans="1:30" x14ac:dyDescent="0.2">
      <c r="A493" s="36"/>
      <c r="AC493" s="24"/>
      <c r="AD493" s="25"/>
    </row>
    <row r="494" spans="1:30" x14ac:dyDescent="0.2">
      <c r="A494" s="36"/>
      <c r="AC494" s="24"/>
      <c r="AD494" s="25"/>
    </row>
    <row r="495" spans="1:30" x14ac:dyDescent="0.2">
      <c r="A495" s="36"/>
      <c r="AC495" s="24"/>
      <c r="AD495" s="25"/>
    </row>
    <row r="496" spans="1:30" x14ac:dyDescent="0.2">
      <c r="A496" s="36"/>
      <c r="AC496" s="24"/>
      <c r="AD496" s="25"/>
    </row>
    <row r="497" spans="1:30" x14ac:dyDescent="0.2">
      <c r="A497" s="36"/>
      <c r="AC497" s="24"/>
      <c r="AD497" s="25"/>
    </row>
    <row r="498" spans="1:30" x14ac:dyDescent="0.2">
      <c r="A498" s="36"/>
      <c r="AC498" s="24"/>
      <c r="AD498" s="25"/>
    </row>
    <row r="499" spans="1:30" x14ac:dyDescent="0.2">
      <c r="A499" s="36"/>
      <c r="AC499" s="24"/>
      <c r="AD499" s="25"/>
    </row>
    <row r="500" spans="1:30" x14ac:dyDescent="0.2">
      <c r="A500" s="36"/>
      <c r="AC500" s="24"/>
      <c r="AD500" s="25"/>
    </row>
    <row r="501" spans="1:30" x14ac:dyDescent="0.2">
      <c r="A501" s="36"/>
      <c r="AC501" s="24"/>
      <c r="AD501" s="25"/>
    </row>
    <row r="502" spans="1:30" x14ac:dyDescent="0.2">
      <c r="A502" s="36"/>
      <c r="AC502" s="24"/>
      <c r="AD502" s="25"/>
    </row>
    <row r="503" spans="1:30" x14ac:dyDescent="0.2">
      <c r="A503" s="36"/>
      <c r="AC503" s="24"/>
      <c r="AD503" s="25"/>
    </row>
    <row r="504" spans="1:30" x14ac:dyDescent="0.2">
      <c r="A504" s="36"/>
      <c r="AC504" s="24"/>
      <c r="AD504" s="25"/>
    </row>
    <row r="505" spans="1:30" x14ac:dyDescent="0.2">
      <c r="A505" s="36"/>
      <c r="AC505" s="24"/>
      <c r="AD505" s="25"/>
    </row>
    <row r="506" spans="1:30" x14ac:dyDescent="0.2">
      <c r="A506" s="36"/>
      <c r="AC506" s="24"/>
      <c r="AD506" s="25"/>
    </row>
    <row r="507" spans="1:30" x14ac:dyDescent="0.2">
      <c r="A507" s="36"/>
      <c r="AC507" s="24"/>
      <c r="AD507" s="25"/>
    </row>
    <row r="508" spans="1:30" x14ac:dyDescent="0.2">
      <c r="A508" s="36"/>
      <c r="AC508" s="24"/>
      <c r="AD508" s="25"/>
    </row>
    <row r="509" spans="1:30" x14ac:dyDescent="0.2">
      <c r="A509" s="36"/>
      <c r="AC509" s="24"/>
      <c r="AD509" s="25"/>
    </row>
    <row r="510" spans="1:30" x14ac:dyDescent="0.2">
      <c r="A510" s="36"/>
      <c r="AC510" s="24"/>
      <c r="AD510" s="25"/>
    </row>
    <row r="511" spans="1:30" x14ac:dyDescent="0.2">
      <c r="A511" s="36"/>
      <c r="AC511" s="24"/>
      <c r="AD511" s="25"/>
    </row>
    <row r="512" spans="1:30" x14ac:dyDescent="0.2">
      <c r="A512" s="36"/>
      <c r="AC512" s="24"/>
      <c r="AD512" s="25"/>
    </row>
    <row r="513" spans="1:30" x14ac:dyDescent="0.2">
      <c r="A513" s="36"/>
      <c r="AC513" s="24"/>
      <c r="AD513" s="25"/>
    </row>
    <row r="514" spans="1:30" x14ac:dyDescent="0.2">
      <c r="A514" s="36"/>
      <c r="AC514" s="24"/>
      <c r="AD514" s="25"/>
    </row>
    <row r="515" spans="1:30" x14ac:dyDescent="0.2">
      <c r="A515" s="36"/>
      <c r="AC515" s="24"/>
      <c r="AD515" s="25"/>
    </row>
    <row r="516" spans="1:30" x14ac:dyDescent="0.2">
      <c r="A516" s="36"/>
      <c r="AC516" s="24"/>
      <c r="AD516" s="25"/>
    </row>
    <row r="517" spans="1:30" x14ac:dyDescent="0.2">
      <c r="A517" s="36"/>
      <c r="AC517" s="24"/>
      <c r="AD517" s="25"/>
    </row>
    <row r="518" spans="1:30" x14ac:dyDescent="0.2">
      <c r="A518" s="36"/>
      <c r="AC518" s="24"/>
      <c r="AD518" s="25"/>
    </row>
    <row r="519" spans="1:30" x14ac:dyDescent="0.2">
      <c r="A519" s="36"/>
      <c r="AC519" s="24"/>
      <c r="AD519" s="25"/>
    </row>
    <row r="520" spans="1:30" x14ac:dyDescent="0.2">
      <c r="A520" s="36"/>
      <c r="AC520" s="24"/>
      <c r="AD520" s="25"/>
    </row>
    <row r="521" spans="1:30" x14ac:dyDescent="0.2">
      <c r="A521" s="36"/>
      <c r="AC521" s="24"/>
      <c r="AD521" s="25"/>
    </row>
    <row r="522" spans="1:30" x14ac:dyDescent="0.2">
      <c r="A522" s="36"/>
      <c r="AC522" s="24"/>
      <c r="AD522" s="25"/>
    </row>
    <row r="523" spans="1:30" x14ac:dyDescent="0.2">
      <c r="A523" s="36"/>
      <c r="AC523" s="24"/>
      <c r="AD523" s="25"/>
    </row>
    <row r="524" spans="1:30" x14ac:dyDescent="0.2">
      <c r="A524" s="36"/>
      <c r="AC524" s="24"/>
      <c r="AD524" s="25"/>
    </row>
    <row r="525" spans="1:30" x14ac:dyDescent="0.2">
      <c r="A525" s="36"/>
      <c r="AC525" s="24"/>
      <c r="AD525" s="25"/>
    </row>
    <row r="526" spans="1:30" x14ac:dyDescent="0.2">
      <c r="A526" s="36"/>
      <c r="AC526" s="24"/>
      <c r="AD526" s="25"/>
    </row>
    <row r="527" spans="1:30" x14ac:dyDescent="0.2">
      <c r="A527" s="36"/>
      <c r="AC527" s="24"/>
      <c r="AD527" s="25"/>
    </row>
    <row r="528" spans="1:30" x14ac:dyDescent="0.2">
      <c r="A528" s="36"/>
      <c r="AC528" s="24"/>
      <c r="AD528" s="25"/>
    </row>
    <row r="529" spans="1:30" x14ac:dyDescent="0.2">
      <c r="A529" s="36"/>
      <c r="AC529" s="24"/>
      <c r="AD529" s="25"/>
    </row>
    <row r="530" spans="1:30" x14ac:dyDescent="0.2">
      <c r="A530" s="36"/>
      <c r="AC530" s="24"/>
      <c r="AD530" s="25"/>
    </row>
    <row r="531" spans="1:30" x14ac:dyDescent="0.2">
      <c r="A531" s="36"/>
      <c r="AC531" s="24"/>
      <c r="AD531" s="25"/>
    </row>
    <row r="532" spans="1:30" x14ac:dyDescent="0.2">
      <c r="A532" s="36"/>
      <c r="AC532" s="24"/>
      <c r="AD532" s="25"/>
    </row>
    <row r="533" spans="1:30" x14ac:dyDescent="0.2">
      <c r="A533" s="36"/>
      <c r="AC533" s="24"/>
      <c r="AD533" s="25"/>
    </row>
    <row r="534" spans="1:30" x14ac:dyDescent="0.2">
      <c r="A534" s="36"/>
      <c r="AC534" s="24"/>
      <c r="AD534" s="25"/>
    </row>
    <row r="535" spans="1:30" x14ac:dyDescent="0.2">
      <c r="A535" s="36"/>
      <c r="AC535" s="24"/>
      <c r="AD535" s="25"/>
    </row>
    <row r="536" spans="1:30" x14ac:dyDescent="0.2">
      <c r="A536" s="36"/>
      <c r="AC536" s="24"/>
      <c r="AD536" s="25"/>
    </row>
    <row r="537" spans="1:30" x14ac:dyDescent="0.2">
      <c r="A537" s="36"/>
      <c r="AC537" s="24"/>
      <c r="AD537" s="25"/>
    </row>
    <row r="538" spans="1:30" x14ac:dyDescent="0.2">
      <c r="A538" s="36"/>
      <c r="AC538" s="24"/>
      <c r="AD538" s="25"/>
    </row>
    <row r="539" spans="1:30" x14ac:dyDescent="0.2">
      <c r="A539" s="36"/>
      <c r="AC539" s="24"/>
      <c r="AD539" s="25"/>
    </row>
    <row r="540" spans="1:30" x14ac:dyDescent="0.2">
      <c r="A540" s="36"/>
      <c r="AC540" s="24"/>
      <c r="AD540" s="25"/>
    </row>
    <row r="541" spans="1:30" x14ac:dyDescent="0.2">
      <c r="A541" s="36"/>
      <c r="AC541" s="24"/>
      <c r="AD541" s="25"/>
    </row>
    <row r="542" spans="1:30" x14ac:dyDescent="0.2">
      <c r="A542" s="36"/>
      <c r="AC542" s="24"/>
      <c r="AD542" s="25"/>
    </row>
    <row r="543" spans="1:30" x14ac:dyDescent="0.2">
      <c r="A543" s="36"/>
      <c r="AC543" s="24"/>
      <c r="AD543" s="25"/>
    </row>
    <row r="544" spans="1:30" x14ac:dyDescent="0.2">
      <c r="A544" s="36"/>
      <c r="AC544" s="24"/>
      <c r="AD544" s="25"/>
    </row>
    <row r="545" spans="1:30" x14ac:dyDescent="0.2">
      <c r="A545" s="36"/>
      <c r="AC545" s="24"/>
      <c r="AD545" s="25"/>
    </row>
    <row r="546" spans="1:30" x14ac:dyDescent="0.2">
      <c r="A546" s="36"/>
      <c r="AC546" s="24"/>
      <c r="AD546" s="25"/>
    </row>
    <row r="547" spans="1:30" x14ac:dyDescent="0.2">
      <c r="A547" s="36"/>
      <c r="AC547" s="24"/>
      <c r="AD547" s="25"/>
    </row>
    <row r="548" spans="1:30" x14ac:dyDescent="0.2">
      <c r="A548" s="36"/>
      <c r="AC548" s="24"/>
      <c r="AD548" s="25"/>
    </row>
    <row r="549" spans="1:30" x14ac:dyDescent="0.2">
      <c r="A549" s="36"/>
      <c r="AC549" s="24"/>
      <c r="AD549" s="25"/>
    </row>
    <row r="550" spans="1:30" x14ac:dyDescent="0.2">
      <c r="A550" s="36"/>
      <c r="AC550" s="24"/>
      <c r="AD550" s="25"/>
    </row>
    <row r="551" spans="1:30" x14ac:dyDescent="0.2">
      <c r="A551" s="36"/>
      <c r="AC551" s="24"/>
      <c r="AD551" s="25"/>
    </row>
    <row r="552" spans="1:30" x14ac:dyDescent="0.2">
      <c r="A552" s="36"/>
      <c r="AC552" s="24"/>
      <c r="AD552" s="25"/>
    </row>
    <row r="553" spans="1:30" x14ac:dyDescent="0.2">
      <c r="A553" s="36"/>
      <c r="AC553" s="24"/>
      <c r="AD553" s="25"/>
    </row>
    <row r="554" spans="1:30" x14ac:dyDescent="0.2">
      <c r="A554" s="36"/>
      <c r="AC554" s="24"/>
      <c r="AD554" s="25"/>
    </row>
    <row r="555" spans="1:30" x14ac:dyDescent="0.2">
      <c r="A555" s="36"/>
      <c r="AC555" s="24"/>
      <c r="AD555" s="25"/>
    </row>
    <row r="556" spans="1:30" x14ac:dyDescent="0.2">
      <c r="A556" s="36"/>
      <c r="AC556" s="24"/>
      <c r="AD556" s="25"/>
    </row>
    <row r="557" spans="1:30" x14ac:dyDescent="0.2">
      <c r="A557" s="36"/>
      <c r="AC557" s="24"/>
      <c r="AD557" s="25"/>
    </row>
    <row r="558" spans="1:30" x14ac:dyDescent="0.2">
      <c r="A558" s="36"/>
      <c r="AC558" s="24"/>
      <c r="AD558" s="25"/>
    </row>
    <row r="559" spans="1:30" x14ac:dyDescent="0.2">
      <c r="A559" s="36"/>
      <c r="AC559" s="24"/>
      <c r="AD559" s="25"/>
    </row>
    <row r="560" spans="1:30" x14ac:dyDescent="0.2">
      <c r="A560" s="36"/>
      <c r="AC560" s="24"/>
      <c r="AD560" s="25"/>
    </row>
    <row r="561" spans="1:30" x14ac:dyDescent="0.2">
      <c r="A561" s="36"/>
      <c r="AC561" s="24"/>
      <c r="AD561" s="25"/>
    </row>
    <row r="562" spans="1:30" x14ac:dyDescent="0.2">
      <c r="A562" s="36"/>
      <c r="AC562" s="24"/>
      <c r="AD562" s="25"/>
    </row>
    <row r="563" spans="1:30" x14ac:dyDescent="0.2">
      <c r="A563" s="36"/>
      <c r="AC563" s="24"/>
      <c r="AD563" s="25"/>
    </row>
    <row r="564" spans="1:30" x14ac:dyDescent="0.2">
      <c r="A564" s="36"/>
      <c r="AC564" s="24"/>
      <c r="AD564" s="25"/>
    </row>
    <row r="565" spans="1:30" x14ac:dyDescent="0.2">
      <c r="A565" s="36"/>
      <c r="AC565" s="24"/>
      <c r="AD565" s="25"/>
    </row>
    <row r="566" spans="1:30" x14ac:dyDescent="0.2">
      <c r="A566" s="36"/>
      <c r="AC566" s="24"/>
      <c r="AD566" s="25"/>
    </row>
    <row r="567" spans="1:30" x14ac:dyDescent="0.2">
      <c r="A567" s="36"/>
      <c r="AC567" s="24"/>
      <c r="AD567" s="25"/>
    </row>
    <row r="568" spans="1:30" x14ac:dyDescent="0.2">
      <c r="A568" s="36"/>
      <c r="AC568" s="24"/>
      <c r="AD568" s="25"/>
    </row>
    <row r="569" spans="1:30" x14ac:dyDescent="0.2">
      <c r="A569" s="36"/>
      <c r="AC569" s="24"/>
      <c r="AD569" s="25"/>
    </row>
    <row r="570" spans="1:30" x14ac:dyDescent="0.2">
      <c r="A570" s="36"/>
      <c r="AC570" s="24"/>
      <c r="AD570" s="25"/>
    </row>
    <row r="571" spans="1:30" x14ac:dyDescent="0.2">
      <c r="A571" s="36"/>
      <c r="AC571" s="24"/>
      <c r="AD571" s="25"/>
    </row>
    <row r="572" spans="1:30" x14ac:dyDescent="0.2">
      <c r="A572" s="36"/>
      <c r="AC572" s="24"/>
      <c r="AD572" s="25"/>
    </row>
    <row r="573" spans="1:30" x14ac:dyDescent="0.2">
      <c r="A573" s="36"/>
      <c r="AC573" s="24"/>
      <c r="AD573" s="25"/>
    </row>
    <row r="574" spans="1:30" x14ac:dyDescent="0.2">
      <c r="A574" s="36"/>
      <c r="AC574" s="24"/>
      <c r="AD574" s="25"/>
    </row>
    <row r="575" spans="1:30" x14ac:dyDescent="0.2">
      <c r="A575" s="36"/>
      <c r="AC575" s="24"/>
      <c r="AD575" s="25"/>
    </row>
    <row r="576" spans="1:30" x14ac:dyDescent="0.2">
      <c r="A576" s="36"/>
      <c r="AC576" s="24"/>
      <c r="AD576" s="25"/>
    </row>
    <row r="577" spans="1:30" x14ac:dyDescent="0.2">
      <c r="A577" s="36"/>
      <c r="AC577" s="24"/>
      <c r="AD577" s="25"/>
    </row>
    <row r="578" spans="1:30" x14ac:dyDescent="0.2">
      <c r="A578" s="36"/>
      <c r="AC578" s="24"/>
      <c r="AD578" s="25"/>
    </row>
    <row r="579" spans="1:30" x14ac:dyDescent="0.2">
      <c r="A579" s="36"/>
      <c r="AC579" s="24"/>
      <c r="AD579" s="25"/>
    </row>
    <row r="580" spans="1:30" x14ac:dyDescent="0.2">
      <c r="A580" s="36"/>
      <c r="AC580" s="24"/>
      <c r="AD580" s="25"/>
    </row>
    <row r="581" spans="1:30" x14ac:dyDescent="0.2">
      <c r="A581" s="36"/>
      <c r="AC581" s="24"/>
      <c r="AD581" s="25"/>
    </row>
    <row r="582" spans="1:30" x14ac:dyDescent="0.2">
      <c r="A582" s="36"/>
      <c r="AC582" s="24"/>
      <c r="AD582" s="25"/>
    </row>
    <row r="583" spans="1:30" x14ac:dyDescent="0.2">
      <c r="A583" s="36"/>
      <c r="AC583" s="24"/>
      <c r="AD583" s="25"/>
    </row>
    <row r="584" spans="1:30" x14ac:dyDescent="0.2">
      <c r="A584" s="36"/>
      <c r="AC584" s="24"/>
      <c r="AD584" s="25"/>
    </row>
    <row r="585" spans="1:30" x14ac:dyDescent="0.2">
      <c r="A585" s="36"/>
      <c r="AC585" s="24"/>
      <c r="AD585" s="25"/>
    </row>
    <row r="586" spans="1:30" x14ac:dyDescent="0.2">
      <c r="A586" s="36"/>
      <c r="AC586" s="24"/>
      <c r="AD586" s="25"/>
    </row>
    <row r="587" spans="1:30" x14ac:dyDescent="0.2">
      <c r="A587" s="36"/>
      <c r="AC587" s="24"/>
      <c r="AD587" s="25"/>
    </row>
    <row r="588" spans="1:30" x14ac:dyDescent="0.2">
      <c r="A588" s="36"/>
      <c r="AC588" s="24"/>
      <c r="AD588" s="25"/>
    </row>
    <row r="589" spans="1:30" x14ac:dyDescent="0.2">
      <c r="A589" s="36"/>
      <c r="AC589" s="24"/>
      <c r="AD589" s="25"/>
    </row>
    <row r="590" spans="1:30" x14ac:dyDescent="0.2">
      <c r="A590" s="36"/>
      <c r="AC590" s="24"/>
      <c r="AD590" s="25"/>
    </row>
    <row r="591" spans="1:30" x14ac:dyDescent="0.2">
      <c r="A591" s="36"/>
      <c r="AC591" s="24"/>
      <c r="AD591" s="25"/>
    </row>
    <row r="592" spans="1:30" x14ac:dyDescent="0.2">
      <c r="A592" s="36"/>
      <c r="AC592" s="24"/>
      <c r="AD592" s="25"/>
    </row>
    <row r="593" spans="1:30" x14ac:dyDescent="0.2">
      <c r="A593" s="36"/>
      <c r="AC593" s="24"/>
      <c r="AD593" s="25"/>
    </row>
    <row r="594" spans="1:30" x14ac:dyDescent="0.2">
      <c r="A594" s="36"/>
      <c r="AC594" s="24"/>
      <c r="AD594" s="25"/>
    </row>
    <row r="595" spans="1:30" x14ac:dyDescent="0.2">
      <c r="A595" s="36"/>
      <c r="AC595" s="24"/>
      <c r="AD595" s="25"/>
    </row>
    <row r="596" spans="1:30" x14ac:dyDescent="0.2">
      <c r="A596" s="36"/>
      <c r="AC596" s="24"/>
      <c r="AD596" s="25"/>
    </row>
    <row r="597" spans="1:30" x14ac:dyDescent="0.2">
      <c r="A597" s="36"/>
      <c r="AC597" s="24"/>
      <c r="AD597" s="25"/>
    </row>
    <row r="598" spans="1:30" x14ac:dyDescent="0.2">
      <c r="A598" s="36"/>
      <c r="AC598" s="24"/>
      <c r="AD598" s="25"/>
    </row>
    <row r="599" spans="1:30" x14ac:dyDescent="0.2">
      <c r="A599" s="36"/>
      <c r="AC599" s="24"/>
      <c r="AD599" s="25"/>
    </row>
    <row r="600" spans="1:30" x14ac:dyDescent="0.2">
      <c r="A600" s="36"/>
      <c r="AC600" s="24"/>
      <c r="AD600" s="25"/>
    </row>
    <row r="601" spans="1:30" x14ac:dyDescent="0.2">
      <c r="A601" s="36"/>
      <c r="AC601" s="24"/>
      <c r="AD601" s="25"/>
    </row>
    <row r="602" spans="1:30" x14ac:dyDescent="0.2">
      <c r="A602" s="36"/>
      <c r="AC602" s="24"/>
      <c r="AD602" s="25"/>
    </row>
    <row r="603" spans="1:30" x14ac:dyDescent="0.2">
      <c r="A603" s="36"/>
      <c r="AC603" s="24"/>
      <c r="AD603" s="25"/>
    </row>
    <row r="604" spans="1:30" x14ac:dyDescent="0.2">
      <c r="A604" s="36"/>
      <c r="AC604" s="24"/>
      <c r="AD604" s="25"/>
    </row>
    <row r="605" spans="1:30" x14ac:dyDescent="0.2">
      <c r="A605" s="36"/>
      <c r="AC605" s="24"/>
      <c r="AD605" s="25"/>
    </row>
    <row r="606" spans="1:30" x14ac:dyDescent="0.2">
      <c r="A606" s="36"/>
      <c r="AC606" s="24"/>
      <c r="AD606" s="25"/>
    </row>
    <row r="607" spans="1:30" x14ac:dyDescent="0.2">
      <c r="A607" s="36"/>
      <c r="AC607" s="24"/>
      <c r="AD607" s="25"/>
    </row>
    <row r="608" spans="1:30" x14ac:dyDescent="0.2">
      <c r="A608" s="36"/>
      <c r="AC608" s="24"/>
      <c r="AD608" s="25"/>
    </row>
    <row r="609" spans="1:30" x14ac:dyDescent="0.2">
      <c r="A609" s="36"/>
      <c r="AC609" s="24"/>
      <c r="AD609" s="25"/>
    </row>
    <row r="610" spans="1:30" x14ac:dyDescent="0.2">
      <c r="A610" s="36"/>
      <c r="AC610" s="24"/>
      <c r="AD610" s="25"/>
    </row>
    <row r="611" spans="1:30" x14ac:dyDescent="0.2">
      <c r="A611" s="36"/>
      <c r="AC611" s="24"/>
      <c r="AD611" s="25"/>
    </row>
    <row r="612" spans="1:30" x14ac:dyDescent="0.2">
      <c r="A612" s="36"/>
      <c r="AC612" s="24"/>
      <c r="AD612" s="25"/>
    </row>
    <row r="613" spans="1:30" x14ac:dyDescent="0.2">
      <c r="A613" s="36"/>
      <c r="AC613" s="24"/>
      <c r="AD613" s="25"/>
    </row>
    <row r="614" spans="1:30" x14ac:dyDescent="0.2">
      <c r="A614" s="36"/>
      <c r="AC614" s="24"/>
      <c r="AD614" s="25"/>
    </row>
    <row r="615" spans="1:30" x14ac:dyDescent="0.2">
      <c r="A615" s="36"/>
      <c r="AC615" s="24"/>
      <c r="AD615" s="25"/>
    </row>
    <row r="616" spans="1:30" x14ac:dyDescent="0.2">
      <c r="A616" s="36"/>
      <c r="AC616" s="24"/>
      <c r="AD616" s="25"/>
    </row>
    <row r="617" spans="1:30" x14ac:dyDescent="0.2">
      <c r="A617" s="36"/>
      <c r="AC617" s="24"/>
      <c r="AD617" s="25"/>
    </row>
    <row r="618" spans="1:30" x14ac:dyDescent="0.2">
      <c r="A618" s="36"/>
      <c r="AC618" s="24"/>
      <c r="AD618" s="25"/>
    </row>
    <row r="619" spans="1:30" x14ac:dyDescent="0.2">
      <c r="A619" s="36"/>
      <c r="AC619" s="24"/>
      <c r="AD619" s="25"/>
    </row>
    <row r="620" spans="1:30" x14ac:dyDescent="0.2">
      <c r="A620" s="36"/>
      <c r="AC620" s="24"/>
      <c r="AD620" s="25"/>
    </row>
    <row r="621" spans="1:30" x14ac:dyDescent="0.2">
      <c r="A621" s="36"/>
      <c r="AC621" s="24"/>
      <c r="AD621" s="25"/>
    </row>
    <row r="622" spans="1:30" x14ac:dyDescent="0.2">
      <c r="A622" s="36"/>
      <c r="AC622" s="24"/>
      <c r="AD622" s="25"/>
    </row>
    <row r="623" spans="1:30" x14ac:dyDescent="0.2">
      <c r="A623" s="36"/>
      <c r="AC623" s="24"/>
      <c r="AD623" s="25"/>
    </row>
    <row r="624" spans="1:30" x14ac:dyDescent="0.2">
      <c r="A624" s="36"/>
      <c r="AC624" s="24"/>
      <c r="AD624" s="25"/>
    </row>
    <row r="625" spans="1:30" x14ac:dyDescent="0.2">
      <c r="A625" s="36"/>
      <c r="AC625" s="24"/>
      <c r="AD625" s="25"/>
    </row>
    <row r="626" spans="1:30" x14ac:dyDescent="0.2">
      <c r="A626" s="36"/>
      <c r="AC626" s="24"/>
      <c r="AD626" s="25"/>
    </row>
    <row r="627" spans="1:30" x14ac:dyDescent="0.2">
      <c r="A627" s="36"/>
      <c r="AC627" s="24"/>
      <c r="AD627" s="25"/>
    </row>
    <row r="628" spans="1:30" x14ac:dyDescent="0.2">
      <c r="A628" s="36"/>
      <c r="AC628" s="24"/>
      <c r="AD628" s="25"/>
    </row>
    <row r="629" spans="1:30" x14ac:dyDescent="0.2">
      <c r="A629" s="36"/>
      <c r="AC629" s="24"/>
      <c r="AD629" s="25"/>
    </row>
    <row r="630" spans="1:30" x14ac:dyDescent="0.2">
      <c r="A630" s="36"/>
      <c r="AC630" s="24"/>
      <c r="AD630" s="25"/>
    </row>
    <row r="631" spans="1:30" x14ac:dyDescent="0.2">
      <c r="A631" s="36"/>
      <c r="AC631" s="24"/>
      <c r="AD631" s="25"/>
    </row>
    <row r="632" spans="1:30" x14ac:dyDescent="0.2">
      <c r="A632" s="36"/>
      <c r="AC632" s="24"/>
      <c r="AD632" s="25"/>
    </row>
    <row r="633" spans="1:30" x14ac:dyDescent="0.2">
      <c r="A633" s="36"/>
      <c r="AC633" s="24"/>
      <c r="AD633" s="25"/>
    </row>
    <row r="634" spans="1:30" x14ac:dyDescent="0.2">
      <c r="A634" s="36"/>
      <c r="AC634" s="24"/>
      <c r="AD634" s="25"/>
    </row>
    <row r="635" spans="1:30" x14ac:dyDescent="0.2">
      <c r="A635" s="36"/>
      <c r="AC635" s="24"/>
      <c r="AD635" s="25"/>
    </row>
    <row r="636" spans="1:30" x14ac:dyDescent="0.2">
      <c r="A636" s="36"/>
      <c r="AC636" s="24"/>
      <c r="AD636" s="25"/>
    </row>
    <row r="637" spans="1:30" x14ac:dyDescent="0.2">
      <c r="A637" s="36"/>
      <c r="AC637" s="24"/>
      <c r="AD637" s="25"/>
    </row>
    <row r="638" spans="1:30" x14ac:dyDescent="0.2">
      <c r="A638" s="36"/>
      <c r="AC638" s="24"/>
      <c r="AD638" s="25"/>
    </row>
    <row r="639" spans="1:30" x14ac:dyDescent="0.2">
      <c r="A639" s="36"/>
      <c r="AC639" s="24"/>
      <c r="AD639" s="25"/>
    </row>
    <row r="640" spans="1:30" x14ac:dyDescent="0.2">
      <c r="A640" s="36"/>
      <c r="AC640" s="24"/>
      <c r="AD640" s="25"/>
    </row>
    <row r="641" spans="1:30" x14ac:dyDescent="0.2">
      <c r="A641" s="36"/>
      <c r="AC641" s="24"/>
      <c r="AD641" s="25"/>
    </row>
    <row r="642" spans="1:30" x14ac:dyDescent="0.2">
      <c r="A642" s="36"/>
      <c r="AC642" s="24"/>
      <c r="AD642" s="25"/>
    </row>
    <row r="643" spans="1:30" x14ac:dyDescent="0.2">
      <c r="A643" s="36"/>
      <c r="AC643" s="24"/>
      <c r="AD643" s="25"/>
    </row>
    <row r="644" spans="1:30" x14ac:dyDescent="0.2">
      <c r="A644" s="36"/>
      <c r="AC644" s="24"/>
      <c r="AD644" s="25"/>
    </row>
    <row r="645" spans="1:30" x14ac:dyDescent="0.2">
      <c r="A645" s="36"/>
      <c r="AC645" s="24"/>
      <c r="AD645" s="25"/>
    </row>
    <row r="646" spans="1:30" x14ac:dyDescent="0.2">
      <c r="A646" s="36"/>
      <c r="AC646" s="24"/>
      <c r="AD646" s="25"/>
    </row>
    <row r="647" spans="1:30" x14ac:dyDescent="0.2">
      <c r="A647" s="36"/>
      <c r="AC647" s="24"/>
      <c r="AD647" s="25"/>
    </row>
    <row r="648" spans="1:30" x14ac:dyDescent="0.2">
      <c r="A648" s="36"/>
      <c r="AC648" s="24"/>
      <c r="AD648" s="25"/>
    </row>
    <row r="649" spans="1:30" x14ac:dyDescent="0.2">
      <c r="A649" s="36"/>
      <c r="AC649" s="24"/>
      <c r="AD649" s="25"/>
    </row>
    <row r="650" spans="1:30" x14ac:dyDescent="0.2">
      <c r="A650" s="36"/>
      <c r="AC650" s="24"/>
      <c r="AD650" s="25"/>
    </row>
    <row r="651" spans="1:30" x14ac:dyDescent="0.2">
      <c r="A651" s="36"/>
      <c r="AC651" s="24"/>
      <c r="AD651" s="25"/>
    </row>
    <row r="652" spans="1:30" x14ac:dyDescent="0.2">
      <c r="A652" s="36"/>
      <c r="AC652" s="24"/>
      <c r="AD652" s="25"/>
    </row>
    <row r="653" spans="1:30" x14ac:dyDescent="0.2">
      <c r="A653" s="36"/>
      <c r="AC653" s="24"/>
      <c r="AD653" s="25"/>
    </row>
    <row r="654" spans="1:30" x14ac:dyDescent="0.2">
      <c r="A654" s="36"/>
      <c r="AC654" s="24"/>
      <c r="AD654" s="25"/>
    </row>
    <row r="655" spans="1:30" x14ac:dyDescent="0.2">
      <c r="A655" s="36"/>
      <c r="AC655" s="24"/>
      <c r="AD655" s="25"/>
    </row>
    <row r="656" spans="1:30" x14ac:dyDescent="0.2">
      <c r="A656" s="36"/>
      <c r="AC656" s="24"/>
      <c r="AD656" s="25"/>
    </row>
    <row r="657" spans="1:30" x14ac:dyDescent="0.2">
      <c r="A657" s="36"/>
      <c r="AC657" s="24"/>
      <c r="AD657" s="25"/>
    </row>
    <row r="658" spans="1:30" x14ac:dyDescent="0.2">
      <c r="A658" s="36"/>
      <c r="AC658" s="24"/>
      <c r="AD658" s="25"/>
    </row>
    <row r="659" spans="1:30" x14ac:dyDescent="0.2">
      <c r="A659" s="36"/>
      <c r="AC659" s="24"/>
      <c r="AD659" s="25"/>
    </row>
    <row r="660" spans="1:30" x14ac:dyDescent="0.2">
      <c r="A660" s="36"/>
      <c r="AC660" s="24"/>
      <c r="AD660" s="25"/>
    </row>
    <row r="661" spans="1:30" x14ac:dyDescent="0.2">
      <c r="A661" s="36"/>
      <c r="AC661" s="24"/>
      <c r="AD661" s="25"/>
    </row>
    <row r="662" spans="1:30" x14ac:dyDescent="0.2">
      <c r="A662" s="36"/>
      <c r="AC662" s="24"/>
      <c r="AD662" s="25"/>
    </row>
    <row r="663" spans="1:30" x14ac:dyDescent="0.2">
      <c r="A663" s="36"/>
      <c r="AC663" s="24"/>
      <c r="AD663" s="25"/>
    </row>
    <row r="664" spans="1:30" x14ac:dyDescent="0.2">
      <c r="A664" s="36"/>
      <c r="AC664" s="24"/>
      <c r="AD664" s="25"/>
    </row>
    <row r="665" spans="1:30" x14ac:dyDescent="0.2">
      <c r="A665" s="36"/>
      <c r="AC665" s="24"/>
      <c r="AD665" s="25"/>
    </row>
    <row r="666" spans="1:30" x14ac:dyDescent="0.2">
      <c r="A666" s="36"/>
      <c r="AC666" s="24"/>
      <c r="AD666" s="25"/>
    </row>
    <row r="667" spans="1:30" x14ac:dyDescent="0.2">
      <c r="A667" s="36"/>
      <c r="AC667" s="24"/>
      <c r="AD667" s="25"/>
    </row>
    <row r="668" spans="1:30" x14ac:dyDescent="0.2">
      <c r="A668" s="36"/>
      <c r="AC668" s="24"/>
      <c r="AD668" s="25"/>
    </row>
    <row r="669" spans="1:30" x14ac:dyDescent="0.2">
      <c r="A669" s="36"/>
      <c r="AC669" s="24"/>
      <c r="AD669" s="25"/>
    </row>
    <row r="670" spans="1:30" x14ac:dyDescent="0.2">
      <c r="A670" s="36"/>
      <c r="AC670" s="24"/>
      <c r="AD670" s="25"/>
    </row>
    <row r="671" spans="1:30" x14ac:dyDescent="0.2">
      <c r="A671" s="36"/>
      <c r="AC671" s="24"/>
      <c r="AD671" s="25"/>
    </row>
    <row r="672" spans="1:30" x14ac:dyDescent="0.2">
      <c r="A672" s="36"/>
      <c r="AC672" s="24"/>
      <c r="AD672" s="25"/>
    </row>
    <row r="673" spans="1:30" x14ac:dyDescent="0.2">
      <c r="A673" s="36"/>
      <c r="AC673" s="24"/>
      <c r="AD673" s="25"/>
    </row>
    <row r="674" spans="1:30" x14ac:dyDescent="0.2">
      <c r="A674" s="36"/>
      <c r="AC674" s="24"/>
      <c r="AD674" s="25"/>
    </row>
    <row r="675" spans="1:30" x14ac:dyDescent="0.2">
      <c r="A675" s="36"/>
      <c r="AC675" s="24"/>
      <c r="AD675" s="25"/>
    </row>
    <row r="676" spans="1:30" x14ac:dyDescent="0.2">
      <c r="A676" s="36"/>
      <c r="AC676" s="24"/>
      <c r="AD676" s="25"/>
    </row>
    <row r="677" spans="1:30" x14ac:dyDescent="0.2">
      <c r="A677" s="36"/>
      <c r="AC677" s="24"/>
      <c r="AD677" s="25"/>
    </row>
    <row r="678" spans="1:30" x14ac:dyDescent="0.2">
      <c r="A678" s="36"/>
      <c r="AC678" s="24"/>
      <c r="AD678" s="25"/>
    </row>
    <row r="679" spans="1:30" x14ac:dyDescent="0.2">
      <c r="A679" s="36"/>
      <c r="AC679" s="24"/>
      <c r="AD679" s="25"/>
    </row>
    <row r="680" spans="1:30" x14ac:dyDescent="0.2">
      <c r="A680" s="36"/>
      <c r="AC680" s="24"/>
      <c r="AD680" s="25"/>
    </row>
    <row r="681" spans="1:30" x14ac:dyDescent="0.2">
      <c r="A681" s="36"/>
      <c r="AC681" s="24"/>
      <c r="AD681" s="25"/>
    </row>
    <row r="682" spans="1:30" x14ac:dyDescent="0.2">
      <c r="A682" s="36"/>
      <c r="AC682" s="24"/>
      <c r="AD682" s="25"/>
    </row>
    <row r="683" spans="1:30" x14ac:dyDescent="0.2">
      <c r="A683" s="36"/>
      <c r="AC683" s="24"/>
      <c r="AD683" s="25"/>
    </row>
    <row r="684" spans="1:30" x14ac:dyDescent="0.2">
      <c r="A684" s="36"/>
      <c r="AC684" s="24"/>
      <c r="AD684" s="25"/>
    </row>
    <row r="685" spans="1:30" x14ac:dyDescent="0.2">
      <c r="A685" s="36"/>
      <c r="AC685" s="24"/>
      <c r="AD685" s="25"/>
    </row>
    <row r="686" spans="1:30" x14ac:dyDescent="0.2">
      <c r="A686" s="36"/>
      <c r="AC686" s="24"/>
      <c r="AD686" s="25"/>
    </row>
    <row r="687" spans="1:30" x14ac:dyDescent="0.2">
      <c r="A687" s="36"/>
      <c r="AC687" s="24"/>
      <c r="AD687" s="25"/>
    </row>
    <row r="688" spans="1:30" x14ac:dyDescent="0.2">
      <c r="A688" s="36"/>
      <c r="AC688" s="24"/>
      <c r="AD688" s="25"/>
    </row>
    <row r="689" spans="1:30" x14ac:dyDescent="0.2">
      <c r="A689" s="36"/>
      <c r="AC689" s="24"/>
      <c r="AD689" s="25"/>
    </row>
    <row r="690" spans="1:30" x14ac:dyDescent="0.2">
      <c r="A690" s="36"/>
      <c r="AC690" s="24"/>
      <c r="AD690" s="25"/>
    </row>
    <row r="691" spans="1:30" x14ac:dyDescent="0.2">
      <c r="A691" s="36"/>
      <c r="AC691" s="24"/>
      <c r="AD691" s="25"/>
    </row>
    <row r="692" spans="1:30" x14ac:dyDescent="0.2">
      <c r="A692" s="36"/>
      <c r="AC692" s="24"/>
      <c r="AD692" s="25"/>
    </row>
    <row r="693" spans="1:30" x14ac:dyDescent="0.2">
      <c r="A693" s="36"/>
      <c r="AC693" s="24"/>
      <c r="AD693" s="25"/>
    </row>
    <row r="694" spans="1:30" x14ac:dyDescent="0.2">
      <c r="A694" s="36"/>
      <c r="AC694" s="24"/>
      <c r="AD694" s="25"/>
    </row>
    <row r="695" spans="1:30" x14ac:dyDescent="0.2">
      <c r="A695" s="36"/>
      <c r="AC695" s="24"/>
      <c r="AD695" s="25"/>
    </row>
    <row r="696" spans="1:30" x14ac:dyDescent="0.2">
      <c r="A696" s="36"/>
      <c r="AC696" s="24"/>
      <c r="AD696" s="25"/>
    </row>
    <row r="697" spans="1:30" x14ac:dyDescent="0.2">
      <c r="A697" s="36"/>
      <c r="AC697" s="24"/>
      <c r="AD697" s="25"/>
    </row>
    <row r="698" spans="1:30" x14ac:dyDescent="0.2">
      <c r="A698" s="36"/>
      <c r="AC698" s="24"/>
      <c r="AD698" s="25"/>
    </row>
    <row r="699" spans="1:30" x14ac:dyDescent="0.2">
      <c r="A699" s="36"/>
      <c r="AC699" s="24"/>
      <c r="AD699" s="25"/>
    </row>
    <row r="700" spans="1:30" x14ac:dyDescent="0.2">
      <c r="A700" s="36"/>
      <c r="AC700" s="24"/>
      <c r="AD700" s="25"/>
    </row>
    <row r="701" spans="1:30" x14ac:dyDescent="0.2">
      <c r="A701" s="36"/>
      <c r="AC701" s="24"/>
      <c r="AD701" s="25"/>
    </row>
    <row r="702" spans="1:30" x14ac:dyDescent="0.2">
      <c r="A702" s="36"/>
      <c r="AC702" s="24"/>
      <c r="AD702" s="25"/>
    </row>
    <row r="703" spans="1:30" x14ac:dyDescent="0.2">
      <c r="A703" s="36"/>
      <c r="AC703" s="24"/>
      <c r="AD703" s="25"/>
    </row>
    <row r="704" spans="1:30" x14ac:dyDescent="0.2">
      <c r="A704" s="36"/>
      <c r="AC704" s="24"/>
      <c r="AD704" s="25"/>
    </row>
    <row r="705" spans="1:30" x14ac:dyDescent="0.2">
      <c r="A705" s="36"/>
      <c r="AC705" s="24"/>
      <c r="AD705" s="25"/>
    </row>
    <row r="706" spans="1:30" x14ac:dyDescent="0.2">
      <c r="A706" s="36"/>
      <c r="AC706" s="24"/>
      <c r="AD706" s="25"/>
    </row>
    <row r="707" spans="1:30" x14ac:dyDescent="0.2">
      <c r="A707" s="36"/>
      <c r="AC707" s="24"/>
      <c r="AD707" s="25"/>
    </row>
    <row r="708" spans="1:30" x14ac:dyDescent="0.2">
      <c r="A708" s="36"/>
      <c r="AC708" s="24"/>
      <c r="AD708" s="25"/>
    </row>
    <row r="709" spans="1:30" x14ac:dyDescent="0.2">
      <c r="A709" s="36"/>
      <c r="AC709" s="24"/>
      <c r="AD709" s="25"/>
    </row>
    <row r="710" spans="1:30" x14ac:dyDescent="0.2">
      <c r="A710" s="36"/>
      <c r="AC710" s="24"/>
      <c r="AD710" s="25"/>
    </row>
    <row r="711" spans="1:30" x14ac:dyDescent="0.2">
      <c r="A711" s="36"/>
      <c r="AC711" s="24"/>
      <c r="AD711" s="25"/>
    </row>
    <row r="712" spans="1:30" x14ac:dyDescent="0.2">
      <c r="A712" s="36"/>
      <c r="AC712" s="24"/>
      <c r="AD712" s="25"/>
    </row>
    <row r="713" spans="1:30" x14ac:dyDescent="0.2">
      <c r="A713" s="36"/>
      <c r="AC713" s="24"/>
      <c r="AD713" s="25"/>
    </row>
    <row r="714" spans="1:30" x14ac:dyDescent="0.2">
      <c r="A714" s="36"/>
      <c r="AC714" s="24"/>
      <c r="AD714" s="25"/>
    </row>
    <row r="715" spans="1:30" x14ac:dyDescent="0.2">
      <c r="A715" s="36"/>
      <c r="AC715" s="24"/>
      <c r="AD715" s="25"/>
    </row>
    <row r="716" spans="1:30" x14ac:dyDescent="0.2">
      <c r="A716" s="36"/>
      <c r="AC716" s="24"/>
      <c r="AD716" s="25"/>
    </row>
    <row r="717" spans="1:30" x14ac:dyDescent="0.2">
      <c r="A717" s="36"/>
      <c r="AC717" s="24"/>
      <c r="AD717" s="25"/>
    </row>
    <row r="718" spans="1:30" x14ac:dyDescent="0.2">
      <c r="A718" s="36"/>
      <c r="AC718" s="24"/>
      <c r="AD718" s="25"/>
    </row>
    <row r="719" spans="1:30" x14ac:dyDescent="0.2">
      <c r="A719" s="36"/>
      <c r="AC719" s="24"/>
      <c r="AD719" s="25"/>
    </row>
    <row r="720" spans="1:30" x14ac:dyDescent="0.2">
      <c r="A720" s="36"/>
      <c r="AC720" s="24"/>
      <c r="AD720" s="25"/>
    </row>
    <row r="721" spans="1:30" x14ac:dyDescent="0.2">
      <c r="A721" s="36"/>
      <c r="AC721" s="24"/>
      <c r="AD721" s="25"/>
    </row>
    <row r="722" spans="1:30" x14ac:dyDescent="0.2">
      <c r="A722" s="36"/>
      <c r="AC722" s="24"/>
      <c r="AD722" s="25"/>
    </row>
    <row r="723" spans="1:30" x14ac:dyDescent="0.2">
      <c r="A723" s="36"/>
      <c r="AC723" s="24"/>
      <c r="AD723" s="25"/>
    </row>
    <row r="724" spans="1:30" x14ac:dyDescent="0.2">
      <c r="A724" s="36"/>
      <c r="AC724" s="24"/>
      <c r="AD724" s="25"/>
    </row>
    <row r="725" spans="1:30" x14ac:dyDescent="0.2">
      <c r="A725" s="36"/>
      <c r="AC725" s="24"/>
      <c r="AD725" s="25"/>
    </row>
    <row r="726" spans="1:30" x14ac:dyDescent="0.2">
      <c r="A726" s="36"/>
      <c r="AC726" s="24"/>
      <c r="AD726" s="25"/>
    </row>
    <row r="727" spans="1:30" x14ac:dyDescent="0.2">
      <c r="A727" s="36"/>
      <c r="AC727" s="24"/>
      <c r="AD727" s="25"/>
    </row>
    <row r="728" spans="1:30" x14ac:dyDescent="0.2">
      <c r="A728" s="36"/>
      <c r="AC728" s="24"/>
      <c r="AD728" s="25"/>
    </row>
    <row r="729" spans="1:30" x14ac:dyDescent="0.2">
      <c r="A729" s="36"/>
      <c r="AC729" s="24"/>
      <c r="AD729" s="25"/>
    </row>
    <row r="730" spans="1:30" x14ac:dyDescent="0.2">
      <c r="A730" s="36"/>
      <c r="AC730" s="24"/>
      <c r="AD730" s="25"/>
    </row>
    <row r="731" spans="1:30" x14ac:dyDescent="0.2">
      <c r="A731" s="36"/>
      <c r="AC731" s="24"/>
      <c r="AD731" s="25"/>
    </row>
    <row r="732" spans="1:30" x14ac:dyDescent="0.2">
      <c r="A732" s="36"/>
      <c r="AC732" s="24"/>
      <c r="AD732" s="25"/>
    </row>
    <row r="733" spans="1:30" x14ac:dyDescent="0.2">
      <c r="A733" s="36"/>
      <c r="AC733" s="24"/>
      <c r="AD733" s="25"/>
    </row>
    <row r="734" spans="1:30" x14ac:dyDescent="0.2">
      <c r="A734" s="36"/>
      <c r="AC734" s="24"/>
      <c r="AD734" s="25"/>
    </row>
    <row r="735" spans="1:30" x14ac:dyDescent="0.2">
      <c r="A735" s="36"/>
      <c r="AC735" s="24"/>
      <c r="AD735" s="25"/>
    </row>
    <row r="736" spans="1:30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BetList!betanalysis_2019_05_28T21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2019-05-30T06:13:24Z</dcterms:modified>
</cp:coreProperties>
</file>