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BetList!$A$10:$AJ$1082</definedName>
    <definedName name="betanalysis_2019_05_29T21" localSheetId="1">BetList!$B$11:$AB$185</definedName>
  </definedNames>
  <calcPr calcId="145621"/>
</workbook>
</file>

<file path=xl/calcChain.xml><?xml version="1.0" encoding="utf-8"?>
<calcChain xmlns="http://schemas.openxmlformats.org/spreadsheetml/2006/main">
  <c r="AG185" i="1" l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H92" i="1"/>
  <c r="AG92" i="1"/>
  <c r="AJ92" i="1" s="1"/>
  <c r="AF92" i="1"/>
  <c r="AI92" i="1" s="1"/>
  <c r="AE92" i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H21" i="1"/>
  <c r="AG21" i="1"/>
  <c r="AJ21" i="1" s="1"/>
  <c r="AF21" i="1"/>
  <c r="AI21" i="1" s="1"/>
  <c r="AE21" i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C6" i="1" l="1"/>
  <c r="AH4" i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29T21" type="6" refreshedVersion="4" background="1" saveData="1">
    <textPr sourceFile="D:\PunterTips\extracts - Analysis\betanalysis_2019-05-29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<sst xmlns="http://schemas.openxmlformats.org/spreadsheetml/2006/main" count="1006" uniqueCount="724">
  <si>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</si>
  <si>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</si>
  <si>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</si>
  <si>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</si>
  <si>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</si>
  <si>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</si>
  <si>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</si>
  <si>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</si>
  <si>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</si>
  <si>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</si>
  <si>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</si>
  <si>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</si>
  <si>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</si>
  <si>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</si>
  <si>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</si>
  <si>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</si>
  <si>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</si>
  <si>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</si>
  <si>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</si>
  <si>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</si>
  <si>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</si>
  <si>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</si>
  <si>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</si>
  <si>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</si>
  <si>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</si>
  <si>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</si>
  <si>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</si>
  <si>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</si>
  <si>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</si>
  <si>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</si>
  <si>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</si>
  <si>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</si>
  <si>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</si>
  <si>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</si>
  <si>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</si>
  <si>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</si>
  <si>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</si>
  <si>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</si>
  <si>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</si>
  <si>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</si>
  <si>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</si>
  <si>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</si>
  <si>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</si>
  <si>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</si>
  <si>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</si>
  <si>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</si>
  <si>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</si>
  <si>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</si>
  <si>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</si>
  <si>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</si>
  <si>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</si>
  <si>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</si>
  <si>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</si>
  <si>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</si>
  <si>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</si>
  <si>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</si>
  <si>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</si>
  <si>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</si>
  <si>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</si>
  <si>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</si>
  <si>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</si>
  <si>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</si>
  <si>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</si>
  <si>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</si>
  <si>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</si>
  <si>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</si>
  <si>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</si>
  <si>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</si>
  <si>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</si>
  <si>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</si>
  <si>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</si>
  <si>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</si>
  <si>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</si>
  <si>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</si>
  <si>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</si>
  <si>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</si>
  <si>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</si>
  <si>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</si>
  <si>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</si>
  <si>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</si>
  <si>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</si>
  <si>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</si>
  <si>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</si>
  <si>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</si>
  <si>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</si>
  <si>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</si>
  <si>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</si>
  <si>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</si>
  <si>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</si>
  <si>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</si>
  <si>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</si>
  <si>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</si>
  <si>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</si>
  <si>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</si>
  <si>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</si>
  <si>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</si>
  <si>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</si>
  <si>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</si>
  <si>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</si>
  <si>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</si>
  <si>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</si>
  <si>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</si>
  <si>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</si>
  <si>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</si>
  <si>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</si>
  <si>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</si>
  <si>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Canada</t>
  </si>
  <si>
    <t>Canadian Premier League</t>
  </si>
  <si>
    <t>HFX Wanderers-York 9</t>
  </si>
  <si>
    <t>HFX Wanderers</t>
  </si>
  <si>
    <t>York 9</t>
  </si>
  <si>
    <t>Brazil</t>
  </si>
  <si>
    <t>Copa do Brasil</t>
  </si>
  <si>
    <t>Paysandu PA-Internacional</t>
  </si>
  <si>
    <t>Paysandu PA</t>
  </si>
  <si>
    <t>Internacional</t>
  </si>
  <si>
    <t>South America</t>
  </si>
  <si>
    <t>Copa Sudamericana</t>
  </si>
  <si>
    <t>Palestino (Chi) -Zulia (Ven)</t>
  </si>
  <si>
    <t>Palestino (Chi)</t>
  </si>
  <si>
    <t>Zulia (Ven)</t>
  </si>
  <si>
    <t>Botafogo RJ (Bra) -Sol de America (Par)</t>
  </si>
  <si>
    <t>Botafogo RJ (Bra)</t>
  </si>
  <si>
    <t>Sol de America (Par)</t>
  </si>
  <si>
    <t>Penarol (Uru) -Dep. Cali (Col)</t>
  </si>
  <si>
    <t>Penarol (Uru)</t>
  </si>
  <si>
    <t>Dep. Cali (Col)</t>
  </si>
  <si>
    <t>USA</t>
  </si>
  <si>
    <t>USL League Two 2019</t>
  </si>
  <si>
    <t>Weston-Florida Elite</t>
  </si>
  <si>
    <t>Weston</t>
  </si>
  <si>
    <t>Florida Elite</t>
  </si>
  <si>
    <t>Copa do Nordeste 2019</t>
  </si>
  <si>
    <t>Botafogo PB-Fortaleza</t>
  </si>
  <si>
    <t>Botafogo PB</t>
  </si>
  <si>
    <t>Fortaleza</t>
  </si>
  <si>
    <t>Forge-Edmonton</t>
  </si>
  <si>
    <t>Forge</t>
  </si>
  <si>
    <t>Edmonton</t>
  </si>
  <si>
    <t>MLS</t>
  </si>
  <si>
    <t>Atlanta United-Minnesota United</t>
  </si>
  <si>
    <t>Atlanta United</t>
  </si>
  <si>
    <t>Minnesota United</t>
  </si>
  <si>
    <t>US Open Cup</t>
  </si>
  <si>
    <t>North Carolina-Florida Soccer Soldiers</t>
  </si>
  <si>
    <t>North Carolina</t>
  </si>
  <si>
    <t>Florida Soccer Soldiers</t>
  </si>
  <si>
    <t>Tobacco Road-Wake FC</t>
  </si>
  <si>
    <t>Tobacco Road</t>
  </si>
  <si>
    <t>Wake FC</t>
  </si>
  <si>
    <t>Montreal Impact-Real Salt Lake</t>
  </si>
  <si>
    <t>Montreal Impact</t>
  </si>
  <si>
    <t>Real Salt Lake</t>
  </si>
  <si>
    <t>Pittsburgh-Indy Eleven</t>
  </si>
  <si>
    <t>Pittsburgh</t>
  </si>
  <si>
    <t>Indy Eleven</t>
  </si>
  <si>
    <t>DC United-Chicago Fire</t>
  </si>
  <si>
    <t>DC United</t>
  </si>
  <si>
    <t>Chicago Fire</t>
  </si>
  <si>
    <t>Memphis-Hartford Athletic</t>
  </si>
  <si>
    <t>Memphis</t>
  </si>
  <si>
    <t>Hartford Athletic</t>
  </si>
  <si>
    <t>Boston Bolts-Western Mass Pioneers</t>
  </si>
  <si>
    <t>Boston Bolts</t>
  </si>
  <si>
    <t>Western Mass Pioneers</t>
  </si>
  <si>
    <t>Bahia-Sao Paulo</t>
  </si>
  <si>
    <t>Bahia</t>
  </si>
  <si>
    <t>Sao Paulo</t>
  </si>
  <si>
    <t>Gremio-Juventude</t>
  </si>
  <si>
    <t>Gremio</t>
  </si>
  <si>
    <t>Juventude</t>
  </si>
  <si>
    <t>Colombia</t>
  </si>
  <si>
    <t>Torneo Aguila</t>
  </si>
  <si>
    <t>Barranquilla-Cartagena</t>
  </si>
  <si>
    <t>Barranquilla</t>
  </si>
  <si>
    <t>Cartagena</t>
  </si>
  <si>
    <t>Cortulua-Leones</t>
  </si>
  <si>
    <t>Cortulua</t>
  </si>
  <si>
    <t>Leones</t>
  </si>
  <si>
    <t>Macara (Ecu) -Royal Pari (Bol)</t>
  </si>
  <si>
    <t>Macara (Ecu)</t>
  </si>
  <si>
    <t>Royal Pari (Bol)</t>
  </si>
  <si>
    <t>Deportivo Santani (Par) -La Equidad (Col)</t>
  </si>
  <si>
    <t>Deportivo Santani (Par)</t>
  </si>
  <si>
    <t>La Equidad (Col)</t>
  </si>
  <si>
    <t>Atl. Nacional (Col) -Fluminense (Bra)</t>
  </si>
  <si>
    <t>Atl. Nacional (Col)</t>
  </si>
  <si>
    <t>Fluminense (Bra)</t>
  </si>
  <si>
    <t>Philadelphia Union-Colorado Rapids</t>
  </si>
  <si>
    <t>Philadelphia Union</t>
  </si>
  <si>
    <t>Colorado Rapids</t>
  </si>
  <si>
    <t>Sporting Kansas City-Los Angeles Galaxy</t>
  </si>
  <si>
    <t>Sporting Kansas City</t>
  </si>
  <si>
    <t>Los Angeles Galaxy</t>
  </si>
  <si>
    <t>Saint Louis FC-Forward Madison</t>
  </si>
  <si>
    <t>Saint Louis FC</t>
  </si>
  <si>
    <t>Forward Madison</t>
  </si>
  <si>
    <t>Nashville SC-Charleston</t>
  </si>
  <si>
    <t>Nashville SC</t>
  </si>
  <si>
    <t>Charleston</t>
  </si>
  <si>
    <t>Austin Bold-San Antonio</t>
  </si>
  <si>
    <t>Austin Bold</t>
  </si>
  <si>
    <t>San Antonio</t>
  </si>
  <si>
    <t>Colorado Springs-New Mexico</t>
  </si>
  <si>
    <t>Colorado Springs</t>
  </si>
  <si>
    <t>New Mexico</t>
  </si>
  <si>
    <t>USL Championship</t>
  </si>
  <si>
    <t>Portland 2-Real Monarchs</t>
  </si>
  <si>
    <t>Portland 2</t>
  </si>
  <si>
    <t>Real Monarchs</t>
  </si>
  <si>
    <t>Sacramento Republic-Fresno</t>
  </si>
  <si>
    <t>Sacramento Republic</t>
  </si>
  <si>
    <t>Fresno</t>
  </si>
  <si>
    <t>Las Vegas Lights-Orange County FC</t>
  </si>
  <si>
    <t>Las Vegas Lights</t>
  </si>
  <si>
    <t>Orange County FC</t>
  </si>
  <si>
    <t>LA Galaxy 2-Tacoma Defiance</t>
  </si>
  <si>
    <t>LA Galaxy 2</t>
  </si>
  <si>
    <t>Tacoma Defiance</t>
  </si>
  <si>
    <t>Vietnam</t>
  </si>
  <si>
    <t>V.League 1</t>
  </si>
  <si>
    <t>Thanh Hoa-Nam Dinh</t>
  </si>
  <si>
    <t>Thanh Hoa</t>
  </si>
  <si>
    <t>Nam Dinh</t>
  </si>
  <si>
    <t>Da Nang-Ho Chi Minh</t>
  </si>
  <si>
    <t>Da Nang</t>
  </si>
  <si>
    <t>Ho Chi Minh</t>
  </si>
  <si>
    <t>Finland</t>
  </si>
  <si>
    <t>Liiga Women</t>
  </si>
  <si>
    <t>Jypk W-TPS W</t>
  </si>
  <si>
    <t>Jypk W</t>
  </si>
  <si>
    <t>TPS W</t>
  </si>
  <si>
    <t>HJK W-ONS Oulu W</t>
  </si>
  <si>
    <t>HJK W</t>
  </si>
  <si>
    <t>ONS Oulu W</t>
  </si>
  <si>
    <t>Sweden</t>
  </si>
  <si>
    <t>Division 2 - Ã–stra GÃ¶taland</t>
  </si>
  <si>
    <t>Nassjo-IFK Hassleholm</t>
  </si>
  <si>
    <t>Nassjo</t>
  </si>
  <si>
    <t>IFK Hassleholm</t>
  </si>
  <si>
    <t>Division 2 - VÃ¤stra GÃ¶taland</t>
  </si>
  <si>
    <t>Stafsinge-Halmia</t>
  </si>
  <si>
    <t>Stafsinge</t>
  </si>
  <si>
    <t>Halmia</t>
  </si>
  <si>
    <t>Elitettan Women 2019</t>
  </si>
  <si>
    <t>Sundsvall W-Mallbackens W</t>
  </si>
  <si>
    <t>Sundsvall W</t>
  </si>
  <si>
    <t>Mallbackens W</t>
  </si>
  <si>
    <t>IF Brommapojkarna W-Assi W</t>
  </si>
  <si>
    <t>IF Brommapojkarna W</t>
  </si>
  <si>
    <t>Assi W</t>
  </si>
  <si>
    <t>China</t>
  </si>
  <si>
    <t>FA Cup</t>
  </si>
  <si>
    <t>Shanghai Shenxin-Tianjin Teda</t>
  </si>
  <si>
    <t>Shanghai Shenxin</t>
  </si>
  <si>
    <t>Tianjin Teda</t>
  </si>
  <si>
    <t>Kakkonen Group A</t>
  </si>
  <si>
    <t>Sudet-JIPPO</t>
  </si>
  <si>
    <t>Sudet</t>
  </si>
  <si>
    <t>JIPPO</t>
  </si>
  <si>
    <t>JaPS-Viikingit</t>
  </si>
  <si>
    <t>JaPS</t>
  </si>
  <si>
    <t>Viikingit</t>
  </si>
  <si>
    <t>Mikkelin-Klubi 04</t>
  </si>
  <si>
    <t>Mikkelin</t>
  </si>
  <si>
    <t>Klubi 04</t>
  </si>
  <si>
    <t>NJS-VJS</t>
  </si>
  <si>
    <t>NJS</t>
  </si>
  <si>
    <t>VJS</t>
  </si>
  <si>
    <t>Kakkonen Group B</t>
  </si>
  <si>
    <t>Tampere Utd-Espoo</t>
  </si>
  <si>
    <t>Tampere Utd</t>
  </si>
  <si>
    <t>Espoo</t>
  </si>
  <si>
    <t>P Iirot Rauma-Gnistan</t>
  </si>
  <si>
    <t>P Iirot Rauma</t>
  </si>
  <si>
    <t>Gnistan</t>
  </si>
  <si>
    <t>KaPa-GrIFK</t>
  </si>
  <si>
    <t>KaPa</t>
  </si>
  <si>
    <t>GrIFK</t>
  </si>
  <si>
    <t>EPS-Jazz Pori</t>
  </si>
  <si>
    <t>EPS</t>
  </si>
  <si>
    <t>Jazz Pori</t>
  </si>
  <si>
    <t>KaaPo-Ilves 2</t>
  </si>
  <si>
    <t>KaaPo</t>
  </si>
  <si>
    <t>Ilves 2</t>
  </si>
  <si>
    <t>Kakkonen Group C</t>
  </si>
  <si>
    <t>PK 37-VPS 2</t>
  </si>
  <si>
    <t>PK 37</t>
  </si>
  <si>
    <t>VPS 2</t>
  </si>
  <si>
    <t>GBK Kokkola-OLS Oulu</t>
  </si>
  <si>
    <t>GBK Kokkola</t>
  </si>
  <si>
    <t>OLS Oulu</t>
  </si>
  <si>
    <t>Hercules-KuFu 98</t>
  </si>
  <si>
    <t>Hercules</t>
  </si>
  <si>
    <t>KuFu 98</t>
  </si>
  <si>
    <t>VIFK-Kajaanin Haka</t>
  </si>
  <si>
    <t>VIFK</t>
  </si>
  <si>
    <t>Kajaanin Haka</t>
  </si>
  <si>
    <t>Ykkonen</t>
  </si>
  <si>
    <t>Ekenas-AC Kajaani</t>
  </si>
  <si>
    <t>Ekenas</t>
  </si>
  <si>
    <t>AC Kajaani</t>
  </si>
  <si>
    <t>Jaro-TPV</t>
  </si>
  <si>
    <t>Jaro</t>
  </si>
  <si>
    <t>TPV</t>
  </si>
  <si>
    <t>Germany</t>
  </si>
  <si>
    <t>Oberliga Play Offs</t>
  </si>
  <si>
    <t>Rochling-Alzenau</t>
  </si>
  <si>
    <t>Rochling</t>
  </si>
  <si>
    <t>Alzenau</t>
  </si>
  <si>
    <t>Regionalliga Bayern</t>
  </si>
  <si>
    <t>Gebenbach-Rosenheim</t>
  </si>
  <si>
    <t>Gebenbach</t>
  </si>
  <si>
    <t>Rosenheim</t>
  </si>
  <si>
    <t>Rain/Lech-Heimstetten</t>
  </si>
  <si>
    <t>Rain/Lech</t>
  </si>
  <si>
    <t>Heimstetten</t>
  </si>
  <si>
    <t>Norway</t>
  </si>
  <si>
    <t>Division 3 - Group 3 2019</t>
  </si>
  <si>
    <t>Staal Jorpeland-Brodd</t>
  </si>
  <si>
    <t>Staal Jorpeland</t>
  </si>
  <si>
    <t>Brodd</t>
  </si>
  <si>
    <t>Division 1 - SÃ¶dra</t>
  </si>
  <si>
    <t>Tvaakers-Skovde AIK</t>
  </si>
  <si>
    <t>Tvaakers</t>
  </si>
  <si>
    <t>Skovde AIK</t>
  </si>
  <si>
    <t>Division 2 - Norra GÃ¶taland</t>
  </si>
  <si>
    <t>Torslanda-Amal</t>
  </si>
  <si>
    <t>Torslanda</t>
  </si>
  <si>
    <t>Amal</t>
  </si>
  <si>
    <t>Division 2 - Norra Svealand</t>
  </si>
  <si>
    <t>Sundbybergs-Taby</t>
  </si>
  <si>
    <t>Sundbybergs</t>
  </si>
  <si>
    <t>Taby</t>
  </si>
  <si>
    <t>IFK Stocksund-Gute</t>
  </si>
  <si>
    <t>IFK Stocksund</t>
  </si>
  <si>
    <t>Gute</t>
  </si>
  <si>
    <t>Mora-Skiljebo</t>
  </si>
  <si>
    <t>Mora</t>
  </si>
  <si>
    <t>Skiljebo</t>
  </si>
  <si>
    <t>Lidingo IFK-Enkopings SK</t>
  </si>
  <si>
    <t>Lidingo IFK</t>
  </si>
  <si>
    <t>Enkopings SK</t>
  </si>
  <si>
    <t>Division 2 - Norrland</t>
  </si>
  <si>
    <t>Skelleftea-Ytterhogdals</t>
  </si>
  <si>
    <t>Skelleftea</t>
  </si>
  <si>
    <t>Ytterhogdals</t>
  </si>
  <si>
    <t>Timra-Kramfors Alliansen</t>
  </si>
  <si>
    <t>Timra</t>
  </si>
  <si>
    <t>Kramfors Alliansen</t>
  </si>
  <si>
    <t>IFK Lulea-Gottne IF</t>
  </si>
  <si>
    <t>IFK Lulea</t>
  </si>
  <si>
    <t>Gottne IF</t>
  </si>
  <si>
    <t>Friska Viljor-Anundsjo</t>
  </si>
  <si>
    <t>Friska Viljor</t>
  </si>
  <si>
    <t>Anundsjo</t>
  </si>
  <si>
    <t>Karlskrona-Rappe GOIF</t>
  </si>
  <si>
    <t>Karlskrona</t>
  </si>
  <si>
    <t>Rappe GOIF</t>
  </si>
  <si>
    <t>Hassleholms IF-Almeboda/Linneryd</t>
  </si>
  <si>
    <t>Hassleholms IF</t>
  </si>
  <si>
    <t>Almeboda/Linneryd</t>
  </si>
  <si>
    <t>Raslatts-Nosaby IF</t>
  </si>
  <si>
    <t>Raslatts</t>
  </si>
  <si>
    <t>Nosaby IF</t>
  </si>
  <si>
    <t>Division 2 - SÃ¶dra Svealand</t>
  </si>
  <si>
    <t>Enskede-Newroz</t>
  </si>
  <si>
    <t>Enskede</t>
  </si>
  <si>
    <t>Newroz</t>
  </si>
  <si>
    <t>Assyriska BK-IFK Malmo</t>
  </si>
  <si>
    <t>Assyriska BK</t>
  </si>
  <si>
    <t>IFK Malmo</t>
  </si>
  <si>
    <t>Onsala-Prespa Birlik</t>
  </si>
  <si>
    <t>Onsala</t>
  </si>
  <si>
    <t>Prespa Birlik</t>
  </si>
  <si>
    <t>Uppsala W-Borgeby W</t>
  </si>
  <si>
    <t>Uppsala W</t>
  </si>
  <si>
    <t>Borgeby W</t>
  </si>
  <si>
    <t>The Cong-Than Quang Ninh</t>
  </si>
  <si>
    <t>The Cong</t>
  </si>
  <si>
    <t>Than Quang Ninh</t>
  </si>
  <si>
    <t>Armenia</t>
  </si>
  <si>
    <t>Premier League</t>
  </si>
  <si>
    <t>Ararat Yerevan-Gandzasar</t>
  </si>
  <si>
    <t>Ararat Yerevan</t>
  </si>
  <si>
    <t>Gandzasar</t>
  </si>
  <si>
    <t>Lori-Alashkert</t>
  </si>
  <si>
    <t>Lori</t>
  </si>
  <si>
    <t>Alashkert</t>
  </si>
  <si>
    <t>Banants Yerevan-Ararat Armenia</t>
  </si>
  <si>
    <t>Banants Yerevan</t>
  </si>
  <si>
    <t>Ararat Armenia</t>
  </si>
  <si>
    <t>Artsakh-Shirak Gyumri</t>
  </si>
  <si>
    <t>Artsakh</t>
  </si>
  <si>
    <t>Shirak Gyumri</t>
  </si>
  <si>
    <t>Belgium</t>
  </si>
  <si>
    <t>Second Amateur Division Play Offs</t>
  </si>
  <si>
    <t>Vise-Ronse</t>
  </si>
  <si>
    <t>Vise</t>
  </si>
  <si>
    <t>Ronse</t>
  </si>
  <si>
    <t>Honka W-KuPS W</t>
  </si>
  <si>
    <t>Honka W</t>
  </si>
  <si>
    <t>KuPS W</t>
  </si>
  <si>
    <t>Ilves W-Myran W</t>
  </si>
  <si>
    <t>Ilves W</t>
  </si>
  <si>
    <t>Myran W</t>
  </si>
  <si>
    <t>Oberliga Baden-WÃ¼rttemberg</t>
  </si>
  <si>
    <t>Bahlinger-Goppinger SV</t>
  </si>
  <si>
    <t>Bahlinger</t>
  </si>
  <si>
    <t>Goppinger SV</t>
  </si>
  <si>
    <t>Normannia Gmund-Oberachern</t>
  </si>
  <si>
    <t>Normannia Gmund</t>
  </si>
  <si>
    <t>Oberachern</t>
  </si>
  <si>
    <t>Bissingen-Stutt. Kickers</t>
  </si>
  <si>
    <t>Bissingen</t>
  </si>
  <si>
    <t>Stutt. Kickers</t>
  </si>
  <si>
    <t>TSV Ilshofen-Spielberg</t>
  </si>
  <si>
    <t>TSV Ilshofen</t>
  </si>
  <si>
    <t>Spielberg</t>
  </si>
  <si>
    <t>Linx-Villingen</t>
  </si>
  <si>
    <t>Linx</t>
  </si>
  <si>
    <t>Villingen</t>
  </si>
  <si>
    <t>Backnang-Ravensburg</t>
  </si>
  <si>
    <t>Backnang</t>
  </si>
  <si>
    <t>Ravensburg</t>
  </si>
  <si>
    <t>Division 3 - Group 1 2019</t>
  </si>
  <si>
    <t>Spjelkavik-Sunndal</t>
  </si>
  <si>
    <t>Spjelkavik</t>
  </si>
  <si>
    <t>Sunndal</t>
  </si>
  <si>
    <t>Bryne 2-Vindbjart</t>
  </si>
  <si>
    <t>Bryne 2</t>
  </si>
  <si>
    <t>Vindbjart</t>
  </si>
  <si>
    <t>Division 1 - Norra</t>
  </si>
  <si>
    <t>Gefle-Team TG FF</t>
  </si>
  <si>
    <t>Gefle</t>
  </si>
  <si>
    <t>Team TG FF</t>
  </si>
  <si>
    <t>Linkoping City-Vasalunds</t>
  </si>
  <si>
    <t>Linkoping City</t>
  </si>
  <si>
    <t>Vasalunds</t>
  </si>
  <si>
    <t>Eskilsminne-Oskarshamns</t>
  </si>
  <si>
    <t>Eskilsminne</t>
  </si>
  <si>
    <t>Oskarshamns</t>
  </si>
  <si>
    <t>Orebro Syr.-Lidkopings FK</t>
  </si>
  <si>
    <t>Orebro Syr.</t>
  </si>
  <si>
    <t>Lidkopings FK</t>
  </si>
  <si>
    <t>Grebbestads-Nordvarmland</t>
  </si>
  <si>
    <t>Grebbestads</t>
  </si>
  <si>
    <t>Nordvarmland</t>
  </si>
  <si>
    <t>Kvarnsvedens-Karlbergs</t>
  </si>
  <si>
    <t>Kvarnsvedens</t>
  </si>
  <si>
    <t>Karlbergs</t>
  </si>
  <si>
    <t>Taftea IK-IFK Umea</t>
  </si>
  <si>
    <t>Taftea IK</t>
  </si>
  <si>
    <t>IFK Umea</t>
  </si>
  <si>
    <t>IFK Ostersund-Sandviks</t>
  </si>
  <si>
    <t>IFK Ostersund</t>
  </si>
  <si>
    <t>Sandviks</t>
  </si>
  <si>
    <t>Dalstorps-Osterlen FF</t>
  </si>
  <si>
    <t>Dalstorps</t>
  </si>
  <si>
    <t>Osterlen FF</t>
  </si>
  <si>
    <t>Asarums-IFK Berga</t>
  </si>
  <si>
    <t>Asarums</t>
  </si>
  <si>
    <t>IFK Berga</t>
  </si>
  <si>
    <t>Sodertalje FK-Motala</t>
  </si>
  <si>
    <t>Sodertalje FK</t>
  </si>
  <si>
    <t>Motala</t>
  </si>
  <si>
    <t>Assyriska IF-Huddinge</t>
  </si>
  <si>
    <t>Assyriska IF</t>
  </si>
  <si>
    <t>Huddinge</t>
  </si>
  <si>
    <t>Svenska Cupen 2018/2019</t>
  </si>
  <si>
    <t>Hacken-AFC Eskilstuna</t>
  </si>
  <si>
    <t>Hacken</t>
  </si>
  <si>
    <t>AFC Eskilstuna</t>
  </si>
  <si>
    <t>Indonesia</t>
  </si>
  <si>
    <t>Liga 1</t>
  </si>
  <si>
    <t>Persebaya-PSIS Semarang</t>
  </si>
  <si>
    <t>Persebaya</t>
  </si>
  <si>
    <t>PSIS Semarang</t>
  </si>
  <si>
    <t>Poland</t>
  </si>
  <si>
    <t>Central Youth League 2018/2019</t>
  </si>
  <si>
    <t>Legia U18-Korona Kielce U18</t>
  </si>
  <si>
    <t>Legia U18</t>
  </si>
  <si>
    <t>Korona Kielce U18</t>
  </si>
  <si>
    <t>Bodens-Sollentuna</t>
  </si>
  <si>
    <t>Bodens</t>
  </si>
  <si>
    <t>Sollentuna</t>
  </si>
  <si>
    <t>Albania</t>
  </si>
  <si>
    <t>Super League</t>
  </si>
  <si>
    <t>Luftetari Gjirokastra-Partizani</t>
  </si>
  <si>
    <t>Luftetari Gjirokastra</t>
  </si>
  <si>
    <t>Partizani</t>
  </si>
  <si>
    <t>Kukesi-Kastrioti</t>
  </si>
  <si>
    <t>Kukesi</t>
  </si>
  <si>
    <t>Kastrioti</t>
  </si>
  <si>
    <t>Teuta-Laci</t>
  </si>
  <si>
    <t>Teuta</t>
  </si>
  <si>
    <t>Laci</t>
  </si>
  <si>
    <t>KF Tirana-Flamurtari</t>
  </si>
  <si>
    <t>KF Tirana</t>
  </si>
  <si>
    <t>Flamurtari</t>
  </si>
  <si>
    <t>Denmark</t>
  </si>
  <si>
    <t>Superliga</t>
  </si>
  <si>
    <t>Lyngby-Vendsyssel</t>
  </si>
  <si>
    <t>Lyngby</t>
  </si>
  <si>
    <t>Vendsyssel</t>
  </si>
  <si>
    <t>SJK Akatemia-JBK</t>
  </si>
  <si>
    <t>SJK Akatemia</t>
  </si>
  <si>
    <t>JBK</t>
  </si>
  <si>
    <t>Vaajakoski-Rovaniemi 2</t>
  </si>
  <si>
    <t>Vaajakoski</t>
  </si>
  <si>
    <t>Rovaniemi 2</t>
  </si>
  <si>
    <t>Aland Utd W-TiPS W</t>
  </si>
  <si>
    <t>Aland Utd W</t>
  </si>
  <si>
    <t>TiPS W</t>
  </si>
  <si>
    <t>Iceland</t>
  </si>
  <si>
    <t>Icelandic Cup</t>
  </si>
  <si>
    <t>Volsungur-KR Reykjavik</t>
  </si>
  <si>
    <t>Volsungur</t>
  </si>
  <si>
    <t>KR Reykjavik</t>
  </si>
  <si>
    <t>Kosovo</t>
  </si>
  <si>
    <t>Gjilani-Besa Peje</t>
  </si>
  <si>
    <t>Gjilani</t>
  </si>
  <si>
    <t>Besa Peje</t>
  </si>
  <si>
    <t>Moldova</t>
  </si>
  <si>
    <t>Divizia Nationala</t>
  </si>
  <si>
    <t>Codru Lozova-Petrocub</t>
  </si>
  <si>
    <t>Codru Lozova</t>
  </si>
  <si>
    <t>Petrocub</t>
  </si>
  <si>
    <t>Division 3 - Group 4 2019</t>
  </si>
  <si>
    <t>Bergen Nord-Stord</t>
  </si>
  <si>
    <t>Bergen Nord</t>
  </si>
  <si>
    <t>Stord</t>
  </si>
  <si>
    <t>Division 3 - Group 5 2019</t>
  </si>
  <si>
    <t>Verdal-Orkla</t>
  </si>
  <si>
    <t>Verdal</t>
  </si>
  <si>
    <t>Orkla</t>
  </si>
  <si>
    <t>Russia</t>
  </si>
  <si>
    <t>Ufa-Tomsk</t>
  </si>
  <si>
    <t>Ufa</t>
  </si>
  <si>
    <t>Tomsk</t>
  </si>
  <si>
    <t>Nykopings-Karlstad</t>
  </si>
  <si>
    <t>Nykopings</t>
  </si>
  <si>
    <t>Karlstad</t>
  </si>
  <si>
    <t>Sylvia-Sandvikens</t>
  </si>
  <si>
    <t>Sylvia</t>
  </si>
  <si>
    <t>Sandvikens</t>
  </si>
  <si>
    <t>Lunds-Atvidabergs</t>
  </si>
  <si>
    <t>Lunds</t>
  </si>
  <si>
    <t>Atvidabergs</t>
  </si>
  <si>
    <t>Landskrona-Assyriska IK</t>
  </si>
  <si>
    <t>Landskrona</t>
  </si>
  <si>
    <t>Assyriska IK</t>
  </si>
  <si>
    <t>AIK W-Kvarnsvedens W</t>
  </si>
  <si>
    <t>AIK W</t>
  </si>
  <si>
    <t>Kvarnsvedens W</t>
  </si>
  <si>
    <t>Tunisia</t>
  </si>
  <si>
    <t>Ligue Professionnelle 1</t>
  </si>
  <si>
    <t>US Tataouine-Monastir</t>
  </si>
  <si>
    <t>US Tataouine</t>
  </si>
  <si>
    <t>Monastir</t>
  </si>
  <si>
    <t>Sfaxien-Gabes</t>
  </si>
  <si>
    <t>Sfaxien</t>
  </si>
  <si>
    <t>Gabes</t>
  </si>
  <si>
    <t>Stade Gabesien-Hammam Lif</t>
  </si>
  <si>
    <t>Stade Gabesien</t>
  </si>
  <si>
    <t>Hammam Lif</t>
  </si>
  <si>
    <t>Bizertin-Metlaoui</t>
  </si>
  <si>
    <t>Bizertin</t>
  </si>
  <si>
    <t>Metlaoui</t>
  </si>
  <si>
    <t>Club Africain-JS Kairouan</t>
  </si>
  <si>
    <t>Club Africain</t>
  </si>
  <si>
    <t>JS Kairouan</t>
  </si>
  <si>
    <t>Ukraine</t>
  </si>
  <si>
    <t>Mariupol-FK Zorya Luhansk</t>
  </si>
  <si>
    <t>Mariupol</t>
  </si>
  <si>
    <t>FK Zorya Luhansk</t>
  </si>
  <si>
    <t>Austria</t>
  </si>
  <si>
    <t>Tipico Bundesliga</t>
  </si>
  <si>
    <t>Rapid Vienna-Sturm Graz</t>
  </si>
  <si>
    <t>Rapid Vienna</t>
  </si>
  <si>
    <t>Sturm Graz</t>
  </si>
  <si>
    <t>Karlslunds-Umea FC</t>
  </si>
  <si>
    <t>Karlslunds</t>
  </si>
  <si>
    <t>Umea FC</t>
  </si>
  <si>
    <t>Oddevold-Kristianstads</t>
  </si>
  <si>
    <t>Oddevold</t>
  </si>
  <si>
    <t>Kristianstads</t>
  </si>
  <si>
    <t>Africa</t>
  </si>
  <si>
    <t>COSAFA Cup</t>
  </si>
  <si>
    <t>Mozambique-Malawi</t>
  </si>
  <si>
    <t>Mozambique</t>
  </si>
  <si>
    <t>Malawi</t>
  </si>
  <si>
    <t>Namibia-Seychelles</t>
  </si>
  <si>
    <t>Namibia</t>
  </si>
  <si>
    <t>Seychelles</t>
  </si>
  <si>
    <t>Estonia</t>
  </si>
  <si>
    <t>Esiliiga</t>
  </si>
  <si>
    <t>Rakvere-Elva</t>
  </si>
  <si>
    <t>Rakvere</t>
  </si>
  <si>
    <t>Elva</t>
  </si>
  <si>
    <t>Tammeka U21-Levadia U21</t>
  </si>
  <si>
    <t>Tammeka U21</t>
  </si>
  <si>
    <t>Levadia U21</t>
  </si>
  <si>
    <t>Regionalliga East</t>
  </si>
  <si>
    <t>Admira (Am)-Schwechat</t>
  </si>
  <si>
    <t>Admira (Am)</t>
  </si>
  <si>
    <t>Schwechat</t>
  </si>
  <si>
    <t>Hobro-Viborg</t>
  </si>
  <si>
    <t>Hobro</t>
  </si>
  <si>
    <t>Viborg</t>
  </si>
  <si>
    <t>JK Jarve-Parnu JK Vaprus</t>
  </si>
  <si>
    <t>JK Jarve</t>
  </si>
  <si>
    <t>Parnu JK Vaprus</t>
  </si>
  <si>
    <t>Legion-Tallinna Kalev U21</t>
  </si>
  <si>
    <t>Legion</t>
  </si>
  <si>
    <t>Tallinna Kalev U21</t>
  </si>
  <si>
    <t>Hafnarfjordur-Akranes</t>
  </si>
  <si>
    <t>Hafnarfjordur</t>
  </si>
  <si>
    <t>Akranes</t>
  </si>
  <si>
    <t>Inkasso-deildin</t>
  </si>
  <si>
    <t>Magni-Haukar</t>
  </si>
  <si>
    <t>Magni</t>
  </si>
  <si>
    <t>Haukar</t>
  </si>
  <si>
    <t>Lithuania</t>
  </si>
  <si>
    <t>I Lyga</t>
  </si>
  <si>
    <t>Nevezis Kedainiai-Vilniaus Vytis</t>
  </si>
  <si>
    <t>Nevezis Kedainiai</t>
  </si>
  <si>
    <t>Vilniaus Vytis</t>
  </si>
  <si>
    <t>Speranta Nisporeni-Dinamo Auto</t>
  </si>
  <si>
    <t>Speranta Nisporeni</t>
  </si>
  <si>
    <t>Dinamo Auto</t>
  </si>
  <si>
    <t>Nizhny Novgorod-FK Krylya Sovetov Samara</t>
  </si>
  <si>
    <t>Nizhny Novgorod</t>
  </si>
  <si>
    <t>FK Krylya Sovetov Samara</t>
  </si>
  <si>
    <t>World</t>
  </si>
  <si>
    <t>World Cup U20</t>
  </si>
  <si>
    <t>Norway U20-Honduras U20</t>
  </si>
  <si>
    <t>Norway U20</t>
  </si>
  <si>
    <t>Honduras U20</t>
  </si>
  <si>
    <t>New Zealand U20-Uruguay U20</t>
  </si>
  <si>
    <t>New Zealand U20</t>
  </si>
  <si>
    <t>Uruguay U20</t>
  </si>
  <si>
    <t>Tartu Welco-Flora U21</t>
  </si>
  <si>
    <t>Tartu Welco</t>
  </si>
  <si>
    <t>Flora U21</t>
  </si>
  <si>
    <t>Oleksandriya-Dyn. Kyiv</t>
  </si>
  <si>
    <t>Oleksandriya</t>
  </si>
  <si>
    <t>Dyn. Kyiv</t>
  </si>
  <si>
    <t>Lviv-Shakhtar Donetsk</t>
  </si>
  <si>
    <t>Lviv</t>
  </si>
  <si>
    <t>Shakhtar Donetsk</t>
  </si>
  <si>
    <t>Bulgaria</t>
  </si>
  <si>
    <t>Parva Liga</t>
  </si>
  <si>
    <t>Bistritsa-Montana</t>
  </si>
  <si>
    <t>Bistritsa</t>
  </si>
  <si>
    <t>Montana</t>
  </si>
  <si>
    <t>Stockholm Internazionale-Assyriska FF</t>
  </si>
  <si>
    <t>Stockholm Internazionale</t>
  </si>
  <si>
    <t>Assyriska FF</t>
  </si>
  <si>
    <t>AFK Linkopings-Tyreso</t>
  </si>
  <si>
    <t>AFK Linkopings</t>
  </si>
  <si>
    <t>Tyreso</t>
  </si>
  <si>
    <t>Kalmar W-Asarum W</t>
  </si>
  <si>
    <t>Kalmar W</t>
  </si>
  <si>
    <t>Asarum W</t>
  </si>
  <si>
    <t>Switzerland</t>
  </si>
  <si>
    <t>Xamax-Aarau</t>
  </si>
  <si>
    <t>Xamax</t>
  </si>
  <si>
    <t>Aarau</t>
  </si>
  <si>
    <t>Slovenia</t>
  </si>
  <si>
    <t>Slovenian Cup</t>
  </si>
  <si>
    <t>NK Olimpija Ljubljana-Maribor</t>
  </si>
  <si>
    <t>NK Olimpija Ljubljana</t>
  </si>
  <si>
    <t>Maribor</t>
  </si>
  <si>
    <t>Montenegro</t>
  </si>
  <si>
    <t>Montenegrin Cup</t>
  </si>
  <si>
    <t>Lovcen-Buducnost</t>
  </si>
  <si>
    <t>Lovcen</t>
  </si>
  <si>
    <t>Buducnost</t>
  </si>
  <si>
    <t>USA U20-Qatar U20</t>
  </si>
  <si>
    <t>USA U20</t>
  </si>
  <si>
    <t>Qatar U20</t>
  </si>
  <si>
    <t>Nigeria U20-Ukraine U20</t>
  </si>
  <si>
    <t>Nigeria U20</t>
  </si>
  <si>
    <t>Ukraine U20</t>
  </si>
  <si>
    <t>France</t>
  </si>
  <si>
    <t>Ligue 1</t>
  </si>
  <si>
    <t>Lens-Dijon</t>
  </si>
  <si>
    <t>Lens</t>
  </si>
  <si>
    <t>Dijon</t>
  </si>
  <si>
    <t>Turkey</t>
  </si>
  <si>
    <t>1. Lig</t>
  </si>
  <si>
    <t>Hatayspor-Gaziantep</t>
  </si>
  <si>
    <t>Hatayspor</t>
  </si>
  <si>
    <t>Gaziantep</t>
  </si>
  <si>
    <t>Italy</t>
  </si>
  <si>
    <t>Serie B</t>
  </si>
  <si>
    <t>Cittadella-Verona</t>
  </si>
  <si>
    <t>Cittadella</t>
  </si>
  <si>
    <t>Verona</t>
  </si>
  <si>
    <t>Throttur-Fylkir</t>
  </si>
  <si>
    <t>Throttur</t>
  </si>
  <si>
    <t>Fylkir</t>
  </si>
  <si>
    <t>Breidablik-Kopavogur</t>
  </si>
  <si>
    <t>Breidablik</t>
  </si>
  <si>
    <t>Kopavogur</t>
  </si>
  <si>
    <t>Llaneros-Quindio</t>
  </si>
  <si>
    <t>Llaneros</t>
  </si>
  <si>
    <t>Quindio</t>
  </si>
  <si>
    <t>Egypt</t>
  </si>
  <si>
    <t>Zamalek-El Entag El-Harby</t>
  </si>
  <si>
    <t>Zamalek</t>
  </si>
  <si>
    <t>El Entag El-Harby</t>
  </si>
  <si>
    <t>Haras El Hodood-Pyramids</t>
  </si>
  <si>
    <t>Haras El Hodood</t>
  </si>
  <si>
    <t>Pyramids</t>
  </si>
  <si>
    <t>Lara (Ven) -Corinthians (Bra)</t>
  </si>
  <si>
    <t>Lara (Ven)</t>
  </si>
  <si>
    <t>Corinthians (Bra)</t>
  </si>
  <si>
    <t>Gambia</t>
  </si>
  <si>
    <t>GFA League</t>
  </si>
  <si>
    <t>Tallinding United-Fortune</t>
  </si>
  <si>
    <t>Tallinding United</t>
  </si>
  <si>
    <t>Fortune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</si>
</sst>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10" fontId="4" fillId="0" borderId="0" xfId="2" applyNumberFormat="1" applyFont="1" applyFill="1"/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5-29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3" activePane="bottomLeft" state="frozen"/>
      <selection pane="bottomLeft" activeCell="U21" sqref="U21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175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7" t="s">
        <v>4</v>
      </c>
      <c r="AI1" s="58"/>
      <c r="AJ1" s="59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175</v>
      </c>
      <c r="AF2" s="11">
        <f>SUBTOTAL(2,AI11:AI30387)</f>
        <v>175</v>
      </c>
      <c r="AG2" s="11">
        <f>SUBTOTAL(2,AJ11:AJ30387)</f>
        <v>175</v>
      </c>
      <c r="AH2" s="12">
        <f>SUBTOTAL(2,AH11:AH30387)*$B$2</f>
        <v>8750</v>
      </c>
      <c r="AI2" s="12">
        <f>SUBTOTAL(2,AI11:AI30387)*$B$2</f>
        <v>8750</v>
      </c>
      <c r="AJ2" s="12">
        <f>SUBTOTAL(2,AJ11:AJ30387)*$B$2</f>
        <v>8750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79</v>
      </c>
      <c r="AF3" s="11">
        <f ca="1">SUMPRODUCT(SUBTOTAL(3,OFFSET(AF11:AF30387,ROW(AF11:AF30387)-MIN(ROW(AF11:AF30387)),,1)), --(AF11:AF30387=$AD$3))</f>
        <v>39</v>
      </c>
      <c r="AG3" s="11">
        <f ca="1">SUMPRODUCT(SUBTOTAL(3,OFFSET(AG11:AG30387,ROW(AG11:AG30387)-MIN(ROW(AG11:AG30387)),,1)), --(AG11:AG30387=$AD$3))</f>
        <v>57</v>
      </c>
      <c r="AH3" s="12">
        <f>SUBTOTAL(9,AH11:AH30387)</f>
        <v>-1360</v>
      </c>
      <c r="AI3" s="12">
        <f>SUBTOTAL(9,AI11:AI30387)</f>
        <v>-1419.5</v>
      </c>
      <c r="AJ3" s="12">
        <f>SUBTOTAL(9,AJ11:AJ30387)</f>
        <v>-630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0.4514285714285714</v>
      </c>
      <c r="AF4" s="14">
        <f t="shared" ca="1" si="0"/>
        <v>0.22285714285714286</v>
      </c>
      <c r="AG4" s="14">
        <f t="shared" ca="1" si="0"/>
        <v>0.32571428571428573</v>
      </c>
      <c r="AH4" s="14">
        <f t="shared" si="0"/>
        <v>-0.15542857142857142</v>
      </c>
      <c r="AI4" s="14">
        <f t="shared" si="0"/>
        <v>-0.16222857142857142</v>
      </c>
      <c r="AJ4" s="14">
        <f t="shared" si="0"/>
        <v>-7.1999999999999995E-2</v>
      </c>
    </row>
    <row r="5" spans="1:39" s="3" customFormat="1" x14ac:dyDescent="0.2">
      <c r="B5" s="15"/>
      <c r="C5" s="16"/>
      <c r="D5" s="9"/>
      <c r="H5" s="5"/>
      <c r="I5" s="6"/>
      <c r="AD5" s="55">
        <f>+AH5+AJ5</f>
        <v>700</v>
      </c>
      <c r="AH5" s="12">
        <v>250</v>
      </c>
      <c r="AJ5" s="12">
        <v>450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56">
        <f>+AD6/AD5</f>
        <v>0.74642857142857144</v>
      </c>
      <c r="AD6" s="55">
        <f>+AH6+AJ6</f>
        <v>522.5</v>
      </c>
      <c r="AH6" s="12">
        <v>-5</v>
      </c>
      <c r="AJ6" s="12">
        <v>527.5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43615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1</v>
      </c>
      <c r="H11" s="37">
        <v>1</v>
      </c>
      <c r="I11" s="37">
        <v>2.4</v>
      </c>
      <c r="J11" s="37">
        <v>3.58</v>
      </c>
      <c r="K11" s="37">
        <v>2.39</v>
      </c>
      <c r="L11" s="37">
        <v>0.01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0</v>
      </c>
      <c r="S11" s="37">
        <v>0</v>
      </c>
      <c r="T11" s="37">
        <v>0</v>
      </c>
      <c r="U11" s="37">
        <v>0</v>
      </c>
      <c r="V11" s="37">
        <v>0</v>
      </c>
      <c r="W11" s="37">
        <v>0</v>
      </c>
      <c r="X11" s="37">
        <v>0</v>
      </c>
      <c r="Y11" s="37">
        <v>0</v>
      </c>
      <c r="Z11" s="37">
        <v>0</v>
      </c>
      <c r="AA11" s="37">
        <v>0</v>
      </c>
      <c r="AB11" s="37">
        <v>0</v>
      </c>
      <c r="AC11" s="24">
        <f t="shared" ref="AC11:AC74" si="1">(+R11*$R$8)+(S11*$S$8)-(T11*$T$8)+(U11*$U$8)+(V11*$V$8)-(W11*$W$8)-(X11*$X$8)-(Y11*$Y$8)+(Z11*$Z$8)</f>
        <v>0</v>
      </c>
      <c r="AD11" s="25">
        <f t="shared" ref="AD11:AD74" si="2">(-R11*$R$8)+(S11*$S$8)+(T11*$T$8)-(U11*$U$8)-(V11*$V$8)+(W11*$W$8)+(X11*$X$8)+(Y11*$Y$8)-(Z11*$Z$8)</f>
        <v>0</v>
      </c>
      <c r="AE11" s="23" t="str">
        <f t="shared" ref="AE11:AE74" si="3">IF(G11&gt;H11,"Win","Loss")</f>
        <v>Loss</v>
      </c>
      <c r="AF11" s="23" t="str">
        <f t="shared" ref="AF11:AF74" si="4">IF(G11=H11,"Win","Loss")</f>
        <v>Win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-50</v>
      </c>
      <c r="AI11" s="23">
        <f t="shared" ref="AI11:AI74" si="7">IF(AF11="Win",(J11*$B$2)-$B$2,-$B$2)</f>
        <v>129</v>
      </c>
      <c r="AJ11" s="23">
        <f t="shared" ref="AJ11:AJ74" si="8">IF(AG11="Win",(K11*$B$2)-$B$2,-$B$2)</f>
        <v>-50</v>
      </c>
    </row>
    <row r="12" spans="1:39" x14ac:dyDescent="0.2">
      <c r="A12" s="36">
        <v>43615</v>
      </c>
      <c r="B12" s="37" t="s">
        <v>111</v>
      </c>
      <c r="C12" s="37" t="s">
        <v>112</v>
      </c>
      <c r="D12" s="37" t="s">
        <v>113</v>
      </c>
      <c r="E12" s="37" t="s">
        <v>114</v>
      </c>
      <c r="F12" s="37" t="s">
        <v>115</v>
      </c>
      <c r="G12" s="37">
        <v>0</v>
      </c>
      <c r="H12" s="37">
        <v>1</v>
      </c>
      <c r="I12" s="37">
        <v>3.86</v>
      </c>
      <c r="J12" s="37">
        <v>3.36</v>
      </c>
      <c r="K12" s="37">
        <v>1.93</v>
      </c>
      <c r="L12" s="37">
        <v>1.93</v>
      </c>
      <c r="M12" s="37">
        <v>62</v>
      </c>
      <c r="N12" s="37">
        <v>58</v>
      </c>
      <c r="O12" s="37">
        <v>1</v>
      </c>
      <c r="P12" s="37">
        <v>30</v>
      </c>
      <c r="Q12" s="37">
        <v>30</v>
      </c>
      <c r="R12" s="37">
        <v>0</v>
      </c>
      <c r="S12" s="37">
        <v>0</v>
      </c>
      <c r="T12" s="37">
        <v>100</v>
      </c>
      <c r="U12" s="37">
        <v>37.1</v>
      </c>
      <c r="V12" s="37">
        <v>32.26</v>
      </c>
      <c r="W12" s="37">
        <v>30.65</v>
      </c>
      <c r="X12" s="37">
        <v>56.9</v>
      </c>
      <c r="Y12" s="37">
        <v>20.69</v>
      </c>
      <c r="Z12" s="37">
        <v>22.41</v>
      </c>
      <c r="AA12" s="37">
        <v>46.67</v>
      </c>
      <c r="AB12" s="37">
        <v>36.67</v>
      </c>
      <c r="AC12" s="24">
        <f t="shared" si="1"/>
        <v>-34.451000000000001</v>
      </c>
      <c r="AD12" s="25">
        <f t="shared" si="2"/>
        <v>34.451000000000001</v>
      </c>
      <c r="AE12" s="23" t="str">
        <f t="shared" si="3"/>
        <v>Loss</v>
      </c>
      <c r="AF12" s="23" t="str">
        <f t="shared" si="4"/>
        <v>Loss</v>
      </c>
      <c r="AG12" s="23" t="str">
        <f t="shared" si="5"/>
        <v>Win</v>
      </c>
      <c r="AH12" s="23">
        <f t="shared" si="6"/>
        <v>-50</v>
      </c>
      <c r="AI12" s="23">
        <f t="shared" si="7"/>
        <v>-50</v>
      </c>
      <c r="AJ12" s="23">
        <f t="shared" si="8"/>
        <v>46.5</v>
      </c>
    </row>
    <row r="13" spans="1:39" x14ac:dyDescent="0.2">
      <c r="A13" s="36">
        <v>43615</v>
      </c>
      <c r="B13" s="37" t="s">
        <v>116</v>
      </c>
      <c r="C13" s="37" t="s">
        <v>117</v>
      </c>
      <c r="D13" s="37" t="s">
        <v>118</v>
      </c>
      <c r="E13" s="37" t="s">
        <v>119</v>
      </c>
      <c r="F13" s="37" t="s">
        <v>120</v>
      </c>
      <c r="G13" s="37">
        <v>0</v>
      </c>
      <c r="H13" s="37">
        <v>1</v>
      </c>
      <c r="I13" s="37">
        <v>1.24</v>
      </c>
      <c r="J13" s="37">
        <v>5.56</v>
      </c>
      <c r="K13" s="37">
        <v>11.5</v>
      </c>
      <c r="L13" s="37">
        <v>-10.26</v>
      </c>
      <c r="M13" s="37">
        <v>11</v>
      </c>
      <c r="N13" s="37">
        <v>3</v>
      </c>
      <c r="O13" s="37">
        <v>1</v>
      </c>
      <c r="P13" s="37">
        <v>5</v>
      </c>
      <c r="Q13" s="37">
        <v>1</v>
      </c>
      <c r="R13" s="37">
        <v>0</v>
      </c>
      <c r="S13" s="37">
        <v>0</v>
      </c>
      <c r="T13" s="37">
        <v>100</v>
      </c>
      <c r="U13" s="37">
        <v>36.36</v>
      </c>
      <c r="V13" s="37">
        <v>27.27</v>
      </c>
      <c r="W13" s="37">
        <v>36.36</v>
      </c>
      <c r="X13" s="37">
        <v>66.67</v>
      </c>
      <c r="Y13" s="37">
        <v>33.33</v>
      </c>
      <c r="Z13" s="37">
        <v>0</v>
      </c>
      <c r="AA13" s="37">
        <v>40</v>
      </c>
      <c r="AB13" s="37">
        <v>100</v>
      </c>
      <c r="AC13" s="24">
        <f t="shared" si="1"/>
        <v>-43.940000000000005</v>
      </c>
      <c r="AD13" s="25">
        <f t="shared" si="2"/>
        <v>43.940000000000005</v>
      </c>
      <c r="AE13" s="23" t="str">
        <f t="shared" si="3"/>
        <v>Loss</v>
      </c>
      <c r="AF13" s="23" t="str">
        <f t="shared" si="4"/>
        <v>Loss</v>
      </c>
      <c r="AG13" s="23" t="str">
        <f t="shared" si="5"/>
        <v>Win</v>
      </c>
      <c r="AH13" s="23">
        <f t="shared" si="6"/>
        <v>-50</v>
      </c>
      <c r="AI13" s="23">
        <f t="shared" si="7"/>
        <v>-50</v>
      </c>
      <c r="AJ13" s="23">
        <f t="shared" si="8"/>
        <v>525</v>
      </c>
    </row>
    <row r="14" spans="1:39" x14ac:dyDescent="0.2">
      <c r="A14" s="36">
        <v>43615</v>
      </c>
      <c r="B14" s="37" t="s">
        <v>116</v>
      </c>
      <c r="C14" s="37" t="s">
        <v>117</v>
      </c>
      <c r="D14" s="37" t="s">
        <v>121</v>
      </c>
      <c r="E14" s="37" t="s">
        <v>122</v>
      </c>
      <c r="F14" s="37" t="s">
        <v>123</v>
      </c>
      <c r="G14" s="37">
        <v>4</v>
      </c>
      <c r="H14" s="37">
        <v>0</v>
      </c>
      <c r="I14" s="37">
        <v>1.55</v>
      </c>
      <c r="J14" s="37">
        <v>3.9</v>
      </c>
      <c r="K14" s="37">
        <v>5.83</v>
      </c>
      <c r="L14" s="37">
        <v>-4.28</v>
      </c>
      <c r="M14" s="37">
        <v>3</v>
      </c>
      <c r="N14" s="37">
        <v>3</v>
      </c>
      <c r="O14" s="37">
        <v>1</v>
      </c>
      <c r="P14" s="37">
        <v>1</v>
      </c>
      <c r="Q14" s="37">
        <v>1</v>
      </c>
      <c r="R14" s="37">
        <v>100</v>
      </c>
      <c r="S14" s="37">
        <v>0</v>
      </c>
      <c r="T14" s="37">
        <v>0</v>
      </c>
      <c r="U14" s="37">
        <v>100</v>
      </c>
      <c r="V14" s="37">
        <v>0</v>
      </c>
      <c r="W14" s="37">
        <v>0</v>
      </c>
      <c r="X14" s="37">
        <v>33.33</v>
      </c>
      <c r="Y14" s="37">
        <v>0</v>
      </c>
      <c r="Z14" s="37">
        <v>66.67</v>
      </c>
      <c r="AA14" s="37">
        <v>100</v>
      </c>
      <c r="AB14" s="37">
        <v>0</v>
      </c>
      <c r="AC14" s="24">
        <f t="shared" si="1"/>
        <v>56.668000000000006</v>
      </c>
      <c r="AD14" s="25">
        <f t="shared" si="2"/>
        <v>-56.668000000000006</v>
      </c>
      <c r="AE14" s="23" t="str">
        <f t="shared" si="3"/>
        <v>Win</v>
      </c>
      <c r="AF14" s="23" t="str">
        <f t="shared" si="4"/>
        <v>Loss</v>
      </c>
      <c r="AG14" s="23" t="str">
        <f t="shared" si="5"/>
        <v>Loss</v>
      </c>
      <c r="AH14" s="23">
        <f t="shared" si="6"/>
        <v>27.5</v>
      </c>
      <c r="AI14" s="23">
        <f t="shared" si="7"/>
        <v>-50</v>
      </c>
      <c r="AJ14" s="23">
        <f t="shared" si="8"/>
        <v>-50</v>
      </c>
    </row>
    <row r="15" spans="1:39" x14ac:dyDescent="0.2">
      <c r="A15" s="36">
        <v>43615</v>
      </c>
      <c r="B15" s="37" t="s">
        <v>116</v>
      </c>
      <c r="C15" s="37" t="s">
        <v>117</v>
      </c>
      <c r="D15" s="37" t="s">
        <v>124</v>
      </c>
      <c r="E15" s="37" t="s">
        <v>125</v>
      </c>
      <c r="F15" s="37" t="s">
        <v>126</v>
      </c>
      <c r="G15" s="37">
        <v>2</v>
      </c>
      <c r="H15" s="37">
        <v>0</v>
      </c>
      <c r="I15" s="37">
        <v>1.64</v>
      </c>
      <c r="J15" s="37">
        <v>3.39</v>
      </c>
      <c r="K15" s="37">
        <v>6.12</v>
      </c>
      <c r="L15" s="37">
        <v>-4.4800000000000004</v>
      </c>
      <c r="M15" s="37">
        <v>7</v>
      </c>
      <c r="N15" s="37">
        <v>3</v>
      </c>
      <c r="O15" s="37">
        <v>1</v>
      </c>
      <c r="P15" s="37">
        <v>3</v>
      </c>
      <c r="Q15" s="37">
        <v>1</v>
      </c>
      <c r="R15" s="37">
        <v>0</v>
      </c>
      <c r="S15" s="37">
        <v>100</v>
      </c>
      <c r="T15" s="37">
        <v>0</v>
      </c>
      <c r="U15" s="37">
        <v>42.86</v>
      </c>
      <c r="V15" s="37">
        <v>28.57</v>
      </c>
      <c r="W15" s="37">
        <v>28.57</v>
      </c>
      <c r="X15" s="37">
        <v>33.33</v>
      </c>
      <c r="Y15" s="37">
        <v>66.67</v>
      </c>
      <c r="Z15" s="37">
        <v>0</v>
      </c>
      <c r="AA15" s="37">
        <v>66.67</v>
      </c>
      <c r="AB15" s="37">
        <v>0</v>
      </c>
      <c r="AC15" s="24">
        <f t="shared" si="1"/>
        <v>2.3820000000000006</v>
      </c>
      <c r="AD15" s="25">
        <f t="shared" si="2"/>
        <v>17.618000000000002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32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43615</v>
      </c>
      <c r="B16" s="37" t="s">
        <v>127</v>
      </c>
      <c r="C16" s="37" t="s">
        <v>128</v>
      </c>
      <c r="D16" s="37" t="s">
        <v>129</v>
      </c>
      <c r="E16" s="37" t="s">
        <v>130</v>
      </c>
      <c r="F16" s="37" t="s">
        <v>131</v>
      </c>
      <c r="G16" s="37">
        <v>0</v>
      </c>
      <c r="H16" s="37">
        <v>3</v>
      </c>
      <c r="I16" s="37">
        <v>4.62</v>
      </c>
      <c r="J16" s="37">
        <v>4.16</v>
      </c>
      <c r="K16" s="37">
        <v>1.52</v>
      </c>
      <c r="L16" s="37">
        <v>3.1</v>
      </c>
      <c r="M16" s="37">
        <v>3</v>
      </c>
      <c r="N16" s="37">
        <v>0</v>
      </c>
      <c r="O16" s="37">
        <v>0</v>
      </c>
      <c r="P16" s="37">
        <v>3</v>
      </c>
      <c r="Q16" s="37">
        <v>0</v>
      </c>
      <c r="R16" s="37">
        <v>0</v>
      </c>
      <c r="S16" s="37">
        <v>0</v>
      </c>
      <c r="T16" s="37">
        <v>0</v>
      </c>
      <c r="U16" s="37">
        <v>0</v>
      </c>
      <c r="V16" s="37">
        <v>0</v>
      </c>
      <c r="W16" s="37">
        <v>100</v>
      </c>
      <c r="X16" s="37">
        <v>0</v>
      </c>
      <c r="Y16" s="37">
        <v>0</v>
      </c>
      <c r="Z16" s="37">
        <v>0</v>
      </c>
      <c r="AA16" s="37">
        <v>0</v>
      </c>
      <c r="AB16" s="37">
        <v>0</v>
      </c>
      <c r="AC16" s="24">
        <f t="shared" si="1"/>
        <v>-20</v>
      </c>
      <c r="AD16" s="25">
        <f t="shared" si="2"/>
        <v>20</v>
      </c>
      <c r="AE16" s="23" t="str">
        <f t="shared" si="3"/>
        <v>Loss</v>
      </c>
      <c r="AF16" s="23" t="str">
        <f t="shared" si="4"/>
        <v>Loss</v>
      </c>
      <c r="AG16" s="23" t="str">
        <f t="shared" si="5"/>
        <v>Win</v>
      </c>
      <c r="AH16" s="23">
        <f t="shared" si="6"/>
        <v>-50</v>
      </c>
      <c r="AI16" s="23">
        <f t="shared" si="7"/>
        <v>-50</v>
      </c>
      <c r="AJ16" s="23">
        <f t="shared" si="8"/>
        <v>26</v>
      </c>
    </row>
    <row r="17" spans="1:36" x14ac:dyDescent="0.2">
      <c r="A17" s="36">
        <v>43615</v>
      </c>
      <c r="B17" s="37" t="s">
        <v>111</v>
      </c>
      <c r="C17" s="37" t="s">
        <v>132</v>
      </c>
      <c r="D17" s="37" t="s">
        <v>133</v>
      </c>
      <c r="E17" s="37" t="s">
        <v>134</v>
      </c>
      <c r="F17" s="37" t="s">
        <v>135</v>
      </c>
      <c r="G17" s="37">
        <v>0</v>
      </c>
      <c r="H17" s="37">
        <v>1</v>
      </c>
      <c r="I17" s="37">
        <v>2.68</v>
      </c>
      <c r="J17" s="37">
        <v>2.99</v>
      </c>
      <c r="K17" s="37">
        <v>2.69</v>
      </c>
      <c r="L17" s="37">
        <v>-0.01</v>
      </c>
      <c r="M17" s="37">
        <v>54</v>
      </c>
      <c r="N17" s="37">
        <v>67</v>
      </c>
      <c r="O17" s="37">
        <v>2</v>
      </c>
      <c r="P17" s="37">
        <v>27</v>
      </c>
      <c r="Q17" s="37">
        <v>31</v>
      </c>
      <c r="R17" s="37">
        <v>50</v>
      </c>
      <c r="S17" s="37">
        <v>0</v>
      </c>
      <c r="T17" s="37">
        <v>50</v>
      </c>
      <c r="U17" s="37">
        <v>55.56</v>
      </c>
      <c r="V17" s="37">
        <v>27.78</v>
      </c>
      <c r="W17" s="37">
        <v>16.670000000000002</v>
      </c>
      <c r="X17" s="37">
        <v>53.73</v>
      </c>
      <c r="Y17" s="37">
        <v>23.88</v>
      </c>
      <c r="Z17" s="37">
        <v>22.39</v>
      </c>
      <c r="AA17" s="37">
        <v>70.37</v>
      </c>
      <c r="AB17" s="37">
        <v>41.94</v>
      </c>
      <c r="AC17" s="24">
        <f t="shared" si="1"/>
        <v>1.9000000000000012</v>
      </c>
      <c r="AD17" s="25">
        <f t="shared" si="2"/>
        <v>-1.9000000000000012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84.5</v>
      </c>
    </row>
    <row r="18" spans="1:36" x14ac:dyDescent="0.2">
      <c r="A18" s="36">
        <v>43615</v>
      </c>
      <c r="B18" s="37" t="s">
        <v>106</v>
      </c>
      <c r="C18" s="37" t="s">
        <v>107</v>
      </c>
      <c r="D18" s="37" t="s">
        <v>136</v>
      </c>
      <c r="E18" s="37" t="s">
        <v>137</v>
      </c>
      <c r="F18" s="37" t="s">
        <v>138</v>
      </c>
      <c r="G18" s="37">
        <v>2</v>
      </c>
      <c r="H18" s="37">
        <v>0</v>
      </c>
      <c r="I18" s="37">
        <v>2</v>
      </c>
      <c r="J18" s="37">
        <v>3.77</v>
      </c>
      <c r="K18" s="37">
        <v>2.88</v>
      </c>
      <c r="L18" s="37">
        <v>-0.88</v>
      </c>
      <c r="M18" s="37">
        <v>1</v>
      </c>
      <c r="N18" s="37">
        <v>0</v>
      </c>
      <c r="O18" s="37">
        <v>0</v>
      </c>
      <c r="P18" s="37">
        <v>0</v>
      </c>
      <c r="Q18" s="37">
        <v>0</v>
      </c>
      <c r="R18" s="37">
        <v>0</v>
      </c>
      <c r="S18" s="37">
        <v>0</v>
      </c>
      <c r="T18" s="37">
        <v>0</v>
      </c>
      <c r="U18" s="37">
        <v>100</v>
      </c>
      <c r="V18" s="37">
        <v>0</v>
      </c>
      <c r="W18" s="37">
        <v>0</v>
      </c>
      <c r="X18" s="37">
        <v>0</v>
      </c>
      <c r="Y18" s="37">
        <v>0</v>
      </c>
      <c r="Z18" s="37">
        <v>0</v>
      </c>
      <c r="AA18" s="37">
        <v>0</v>
      </c>
      <c r="AB18" s="37">
        <v>0</v>
      </c>
      <c r="AC18" s="24">
        <f t="shared" si="1"/>
        <v>20</v>
      </c>
      <c r="AD18" s="25">
        <f t="shared" si="2"/>
        <v>-20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50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43615</v>
      </c>
      <c r="B19" s="37" t="s">
        <v>127</v>
      </c>
      <c r="C19" s="37" t="s">
        <v>139</v>
      </c>
      <c r="D19" s="37" t="s">
        <v>140</v>
      </c>
      <c r="E19" s="37" t="s">
        <v>141</v>
      </c>
      <c r="F19" s="37" t="s">
        <v>142</v>
      </c>
      <c r="G19" s="37">
        <v>3</v>
      </c>
      <c r="H19" s="37">
        <v>0</v>
      </c>
      <c r="I19" s="37">
        <v>1.5</v>
      </c>
      <c r="J19" s="37">
        <v>4.25</v>
      </c>
      <c r="K19" s="37">
        <v>6.43</v>
      </c>
      <c r="L19" s="37">
        <v>-4.93</v>
      </c>
      <c r="M19" s="37">
        <v>15</v>
      </c>
      <c r="N19" s="37">
        <v>47</v>
      </c>
      <c r="O19" s="37">
        <v>0</v>
      </c>
      <c r="P19" s="37">
        <v>8</v>
      </c>
      <c r="Q19" s="37">
        <v>25</v>
      </c>
      <c r="R19" s="37">
        <v>0</v>
      </c>
      <c r="S19" s="37">
        <v>0</v>
      </c>
      <c r="T19" s="37">
        <v>0</v>
      </c>
      <c r="U19" s="37">
        <v>46.67</v>
      </c>
      <c r="V19" s="37">
        <v>13.33</v>
      </c>
      <c r="W19" s="37">
        <v>40</v>
      </c>
      <c r="X19" s="37">
        <v>38.299999999999997</v>
      </c>
      <c r="Y19" s="37">
        <v>23.4</v>
      </c>
      <c r="Z19" s="37">
        <v>38.299999999999997</v>
      </c>
      <c r="AA19" s="37">
        <v>50</v>
      </c>
      <c r="AB19" s="37">
        <v>36</v>
      </c>
      <c r="AC19" s="24">
        <f t="shared" si="1"/>
        <v>0.32700000000000173</v>
      </c>
      <c r="AD19" s="25">
        <f t="shared" si="2"/>
        <v>-0.32700000000000173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25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43615</v>
      </c>
      <c r="B20" s="37" t="s">
        <v>127</v>
      </c>
      <c r="C20" s="37" t="s">
        <v>143</v>
      </c>
      <c r="D20" s="37" t="s">
        <v>144</v>
      </c>
      <c r="E20" s="37" t="s">
        <v>145</v>
      </c>
      <c r="F20" s="37" t="s">
        <v>146</v>
      </c>
      <c r="G20" s="37">
        <v>1</v>
      </c>
      <c r="H20" s="37">
        <v>0</v>
      </c>
      <c r="I20" s="37">
        <v>1.5</v>
      </c>
      <c r="J20" s="37">
        <v>4.09</v>
      </c>
      <c r="K20" s="37">
        <v>5.2</v>
      </c>
      <c r="L20" s="37">
        <v>-3.7</v>
      </c>
      <c r="M20" s="37">
        <v>82</v>
      </c>
      <c r="N20" s="37">
        <v>2</v>
      </c>
      <c r="O20" s="37">
        <v>0</v>
      </c>
      <c r="P20" s="37">
        <v>41</v>
      </c>
      <c r="Q20" s="37">
        <v>2</v>
      </c>
      <c r="R20" s="37">
        <v>0</v>
      </c>
      <c r="S20" s="37">
        <v>0</v>
      </c>
      <c r="T20" s="37">
        <v>0</v>
      </c>
      <c r="U20" s="37">
        <v>39.020000000000003</v>
      </c>
      <c r="V20" s="37">
        <v>31.71</v>
      </c>
      <c r="W20" s="37">
        <v>29.27</v>
      </c>
      <c r="X20" s="37">
        <v>100</v>
      </c>
      <c r="Y20" s="37">
        <v>0</v>
      </c>
      <c r="Z20" s="37">
        <v>0</v>
      </c>
      <c r="AA20" s="37">
        <v>41.46</v>
      </c>
      <c r="AB20" s="37">
        <v>100</v>
      </c>
      <c r="AC20" s="24">
        <f t="shared" si="1"/>
        <v>-14.878999999999998</v>
      </c>
      <c r="AD20" s="25">
        <f t="shared" si="2"/>
        <v>14.878999999999998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25</v>
      </c>
      <c r="AI20" s="23">
        <f t="shared" si="7"/>
        <v>-50</v>
      </c>
      <c r="AJ20" s="23">
        <f t="shared" si="8"/>
        <v>-50</v>
      </c>
    </row>
    <row r="21" spans="1:36" x14ac:dyDescent="0.2">
      <c r="A21" s="36">
        <v>43615</v>
      </c>
      <c r="B21" s="37" t="s">
        <v>127</v>
      </c>
      <c r="C21" s="37" t="s">
        <v>128</v>
      </c>
      <c r="D21" s="37" t="s">
        <v>147</v>
      </c>
      <c r="E21" s="37" t="s">
        <v>148</v>
      </c>
      <c r="F21" s="37" t="s">
        <v>149</v>
      </c>
      <c r="G21" s="37">
        <v>4</v>
      </c>
      <c r="H21" s="37">
        <v>1</v>
      </c>
      <c r="I21" s="37">
        <v>3.01</v>
      </c>
      <c r="J21" s="37">
        <v>3.61</v>
      </c>
      <c r="K21" s="37">
        <v>1.97</v>
      </c>
      <c r="L21" s="37">
        <v>1.04</v>
      </c>
      <c r="M21" s="37">
        <v>1</v>
      </c>
      <c r="N21" s="37">
        <v>0</v>
      </c>
      <c r="O21" s="37">
        <v>0</v>
      </c>
      <c r="P21" s="37">
        <v>1</v>
      </c>
      <c r="Q21" s="37">
        <v>0</v>
      </c>
      <c r="R21" s="37">
        <v>0</v>
      </c>
      <c r="S21" s="37">
        <v>0</v>
      </c>
      <c r="T21" s="37">
        <v>0</v>
      </c>
      <c r="U21" s="37">
        <v>0</v>
      </c>
      <c r="V21" s="37">
        <v>100</v>
      </c>
      <c r="W21" s="37">
        <v>0</v>
      </c>
      <c r="X21" s="37">
        <v>0</v>
      </c>
      <c r="Y21" s="37">
        <v>0</v>
      </c>
      <c r="Z21" s="37">
        <v>0</v>
      </c>
      <c r="AA21" s="37">
        <v>0</v>
      </c>
      <c r="AB21" s="37">
        <v>0</v>
      </c>
      <c r="AC21" s="24">
        <f t="shared" si="1"/>
        <v>10</v>
      </c>
      <c r="AD21" s="25">
        <f t="shared" si="2"/>
        <v>-10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100.5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43615</v>
      </c>
      <c r="B22" s="37" t="s">
        <v>127</v>
      </c>
      <c r="C22" s="37" t="s">
        <v>139</v>
      </c>
      <c r="D22" s="37" t="s">
        <v>150</v>
      </c>
      <c r="E22" s="37" t="s">
        <v>151</v>
      </c>
      <c r="F22" s="37" t="s">
        <v>152</v>
      </c>
      <c r="G22" s="37">
        <v>2</v>
      </c>
      <c r="H22" s="37">
        <v>1</v>
      </c>
      <c r="I22" s="37">
        <v>1.81</v>
      </c>
      <c r="J22" s="37">
        <v>3.73</v>
      </c>
      <c r="K22" s="37">
        <v>4.25</v>
      </c>
      <c r="L22" s="37">
        <v>-2.44</v>
      </c>
      <c r="M22" s="37">
        <v>49</v>
      </c>
      <c r="N22" s="37">
        <v>14</v>
      </c>
      <c r="O22" s="37">
        <v>0</v>
      </c>
      <c r="P22" s="37">
        <v>21</v>
      </c>
      <c r="Q22" s="37">
        <v>7</v>
      </c>
      <c r="R22" s="37">
        <v>0</v>
      </c>
      <c r="S22" s="37">
        <v>0</v>
      </c>
      <c r="T22" s="37">
        <v>0</v>
      </c>
      <c r="U22" s="37">
        <v>42.86</v>
      </c>
      <c r="V22" s="37">
        <v>20.41</v>
      </c>
      <c r="W22" s="37">
        <v>36.729999999999997</v>
      </c>
      <c r="X22" s="37">
        <v>42.86</v>
      </c>
      <c r="Y22" s="37">
        <v>7.14</v>
      </c>
      <c r="Z22" s="37">
        <v>50</v>
      </c>
      <c r="AA22" s="37">
        <v>52.38</v>
      </c>
      <c r="AB22" s="37">
        <v>28.57</v>
      </c>
      <c r="AC22" s="24">
        <f t="shared" si="1"/>
        <v>3.9809999999999999</v>
      </c>
      <c r="AD22" s="25">
        <f t="shared" si="2"/>
        <v>-3.9809999999999999</v>
      </c>
      <c r="AE22" s="23" t="str">
        <f t="shared" si="3"/>
        <v>Win</v>
      </c>
      <c r="AF22" s="23" t="str">
        <f t="shared" si="4"/>
        <v>Loss</v>
      </c>
      <c r="AG22" s="23" t="str">
        <f t="shared" si="5"/>
        <v>Loss</v>
      </c>
      <c r="AH22" s="23">
        <f t="shared" si="6"/>
        <v>40.5</v>
      </c>
      <c r="AI22" s="23">
        <f t="shared" si="7"/>
        <v>-50</v>
      </c>
      <c r="AJ22" s="23">
        <f t="shared" si="8"/>
        <v>-50</v>
      </c>
    </row>
    <row r="23" spans="1:36" x14ac:dyDescent="0.2">
      <c r="A23" s="36">
        <v>43615</v>
      </c>
      <c r="B23" s="37" t="s">
        <v>127</v>
      </c>
      <c r="C23" s="37" t="s">
        <v>143</v>
      </c>
      <c r="D23" s="37" t="s">
        <v>153</v>
      </c>
      <c r="E23" s="37" t="s">
        <v>154</v>
      </c>
      <c r="F23" s="37" t="s">
        <v>155</v>
      </c>
      <c r="G23" s="37">
        <v>1</v>
      </c>
      <c r="H23" s="37">
        <v>0</v>
      </c>
      <c r="I23" s="37">
        <v>2.35</v>
      </c>
      <c r="J23" s="37">
        <v>3.26</v>
      </c>
      <c r="K23" s="37">
        <v>2.78</v>
      </c>
      <c r="L23" s="37">
        <v>-0.43</v>
      </c>
      <c r="M23" s="37">
        <v>10</v>
      </c>
      <c r="N23" s="37">
        <v>43</v>
      </c>
      <c r="O23" s="37">
        <v>0</v>
      </c>
      <c r="P23" s="37">
        <v>5</v>
      </c>
      <c r="Q23" s="37">
        <v>20</v>
      </c>
      <c r="R23" s="37">
        <v>0</v>
      </c>
      <c r="S23" s="37">
        <v>0</v>
      </c>
      <c r="T23" s="37">
        <v>0</v>
      </c>
      <c r="U23" s="37">
        <v>20</v>
      </c>
      <c r="V23" s="37">
        <v>60</v>
      </c>
      <c r="W23" s="37">
        <v>20</v>
      </c>
      <c r="X23" s="37">
        <v>30.23</v>
      </c>
      <c r="Y23" s="37">
        <v>34.880000000000003</v>
      </c>
      <c r="Z23" s="37">
        <v>34.880000000000003</v>
      </c>
      <c r="AA23" s="37">
        <v>20</v>
      </c>
      <c r="AB23" s="37">
        <v>25</v>
      </c>
      <c r="AC23" s="24">
        <f t="shared" si="1"/>
        <v>3.4420000000000002</v>
      </c>
      <c r="AD23" s="25">
        <f t="shared" si="2"/>
        <v>-3.4420000000000002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23">
        <f t="shared" si="6"/>
        <v>67.5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43615</v>
      </c>
      <c r="B24" s="37" t="s">
        <v>127</v>
      </c>
      <c r="C24" s="37" t="s">
        <v>139</v>
      </c>
      <c r="D24" s="37" t="s">
        <v>156</v>
      </c>
      <c r="E24" s="37" t="s">
        <v>157</v>
      </c>
      <c r="F24" s="37" t="s">
        <v>158</v>
      </c>
      <c r="G24" s="37">
        <v>3</v>
      </c>
      <c r="H24" s="37">
        <v>3</v>
      </c>
      <c r="I24" s="37">
        <v>2.4900000000000002</v>
      </c>
      <c r="J24" s="37">
        <v>3.39</v>
      </c>
      <c r="K24" s="37">
        <v>2.81</v>
      </c>
      <c r="L24" s="37">
        <v>-0.32</v>
      </c>
      <c r="M24" s="37">
        <v>17</v>
      </c>
      <c r="N24" s="37">
        <v>21</v>
      </c>
      <c r="O24" s="37">
        <v>0</v>
      </c>
      <c r="P24" s="37">
        <v>9</v>
      </c>
      <c r="Q24" s="37">
        <v>11</v>
      </c>
      <c r="R24" s="37">
        <v>0</v>
      </c>
      <c r="S24" s="37">
        <v>0</v>
      </c>
      <c r="T24" s="37">
        <v>0</v>
      </c>
      <c r="U24" s="37">
        <v>47.06</v>
      </c>
      <c r="V24" s="37">
        <v>23.53</v>
      </c>
      <c r="W24" s="37">
        <v>29.41</v>
      </c>
      <c r="X24" s="37">
        <v>38.1</v>
      </c>
      <c r="Y24" s="37">
        <v>33.33</v>
      </c>
      <c r="Z24" s="37">
        <v>28.57</v>
      </c>
      <c r="AA24" s="37">
        <v>55.56</v>
      </c>
      <c r="AB24" s="37">
        <v>27.27</v>
      </c>
      <c r="AC24" s="24">
        <f t="shared" si="1"/>
        <v>0.64399999999999924</v>
      </c>
      <c r="AD24" s="25">
        <f t="shared" si="2"/>
        <v>-0.64399999999999924</v>
      </c>
      <c r="AE24" s="23" t="str">
        <f t="shared" si="3"/>
        <v>Loss</v>
      </c>
      <c r="AF24" s="23" t="str">
        <f t="shared" si="4"/>
        <v>Win</v>
      </c>
      <c r="AG24" s="23" t="str">
        <f t="shared" si="5"/>
        <v>Loss</v>
      </c>
      <c r="AH24" s="23">
        <f t="shared" si="6"/>
        <v>-50</v>
      </c>
      <c r="AI24" s="23">
        <f t="shared" si="7"/>
        <v>119.5</v>
      </c>
      <c r="AJ24" s="23">
        <f t="shared" si="8"/>
        <v>-50</v>
      </c>
    </row>
    <row r="25" spans="1:36" x14ac:dyDescent="0.2">
      <c r="A25" s="36">
        <v>43615</v>
      </c>
      <c r="B25" s="37" t="s">
        <v>127</v>
      </c>
      <c r="C25" s="37" t="s">
        <v>143</v>
      </c>
      <c r="D25" s="37" t="s">
        <v>159</v>
      </c>
      <c r="E25" s="37" t="s">
        <v>160</v>
      </c>
      <c r="F25" s="37" t="s">
        <v>161</v>
      </c>
      <c r="G25" s="37">
        <v>4</v>
      </c>
      <c r="H25" s="37">
        <v>0</v>
      </c>
      <c r="I25" s="37">
        <v>1.89</v>
      </c>
      <c r="J25" s="37">
        <v>3.41</v>
      </c>
      <c r="K25" s="37">
        <v>3.65</v>
      </c>
      <c r="L25" s="37">
        <v>-1.76</v>
      </c>
      <c r="M25" s="37">
        <v>11</v>
      </c>
      <c r="N25" s="37">
        <v>2</v>
      </c>
      <c r="O25" s="37">
        <v>0</v>
      </c>
      <c r="P25" s="37">
        <v>4</v>
      </c>
      <c r="Q25" s="37">
        <v>1</v>
      </c>
      <c r="R25" s="37">
        <v>0</v>
      </c>
      <c r="S25" s="37">
        <v>0</v>
      </c>
      <c r="T25" s="37">
        <v>0</v>
      </c>
      <c r="U25" s="37">
        <v>18.18</v>
      </c>
      <c r="V25" s="37">
        <v>27.27</v>
      </c>
      <c r="W25" s="37">
        <v>54.55</v>
      </c>
      <c r="X25" s="37">
        <v>50</v>
      </c>
      <c r="Y25" s="37">
        <v>50</v>
      </c>
      <c r="Z25" s="37">
        <v>0</v>
      </c>
      <c r="AA25" s="37">
        <v>0</v>
      </c>
      <c r="AB25" s="37">
        <v>100</v>
      </c>
      <c r="AC25" s="24">
        <f t="shared" si="1"/>
        <v>-19.547000000000001</v>
      </c>
      <c r="AD25" s="25">
        <f t="shared" si="2"/>
        <v>19.547000000000001</v>
      </c>
      <c r="AE25" s="23" t="str">
        <f t="shared" si="3"/>
        <v>Win</v>
      </c>
      <c r="AF25" s="23" t="str">
        <f t="shared" si="4"/>
        <v>Loss</v>
      </c>
      <c r="AG25" s="23" t="str">
        <f t="shared" si="5"/>
        <v>Loss</v>
      </c>
      <c r="AH25" s="23">
        <f t="shared" si="6"/>
        <v>44.5</v>
      </c>
      <c r="AI25" s="23">
        <f t="shared" si="7"/>
        <v>-50</v>
      </c>
      <c r="AJ25" s="23">
        <f t="shared" si="8"/>
        <v>-50</v>
      </c>
    </row>
    <row r="26" spans="1:36" x14ac:dyDescent="0.2">
      <c r="A26" s="36">
        <v>43615</v>
      </c>
      <c r="B26" s="37" t="s">
        <v>127</v>
      </c>
      <c r="C26" s="37" t="s">
        <v>128</v>
      </c>
      <c r="D26" s="37" t="s">
        <v>162</v>
      </c>
      <c r="E26" s="37" t="s">
        <v>163</v>
      </c>
      <c r="F26" s="37" t="s">
        <v>164</v>
      </c>
      <c r="G26" s="37">
        <v>0</v>
      </c>
      <c r="H26" s="37">
        <v>4</v>
      </c>
      <c r="I26" s="37">
        <v>2.13</v>
      </c>
      <c r="J26" s="37">
        <v>3.87</v>
      </c>
      <c r="K26" s="37">
        <v>2.73</v>
      </c>
      <c r="L26" s="37">
        <v>-0.6</v>
      </c>
      <c r="M26" s="37">
        <v>3</v>
      </c>
      <c r="N26" s="37">
        <v>2</v>
      </c>
      <c r="O26" s="37">
        <v>0</v>
      </c>
      <c r="P26" s="37">
        <v>3</v>
      </c>
      <c r="Q26" s="37">
        <v>2</v>
      </c>
      <c r="R26" s="37">
        <v>0</v>
      </c>
      <c r="S26" s="37">
        <v>0</v>
      </c>
      <c r="T26" s="37">
        <v>0</v>
      </c>
      <c r="U26" s="37">
        <v>33.33</v>
      </c>
      <c r="V26" s="37">
        <v>0</v>
      </c>
      <c r="W26" s="37">
        <v>66.67</v>
      </c>
      <c r="X26" s="37">
        <v>50</v>
      </c>
      <c r="Y26" s="37">
        <v>50</v>
      </c>
      <c r="Z26" s="37">
        <v>0</v>
      </c>
      <c r="AA26" s="37">
        <v>33.33</v>
      </c>
      <c r="AB26" s="37">
        <v>50</v>
      </c>
      <c r="AC26" s="24">
        <f t="shared" si="1"/>
        <v>-21.667999999999999</v>
      </c>
      <c r="AD26" s="25">
        <f t="shared" si="2"/>
        <v>21.667999999999999</v>
      </c>
      <c r="AE26" s="23" t="str">
        <f t="shared" si="3"/>
        <v>Loss</v>
      </c>
      <c r="AF26" s="23" t="str">
        <f t="shared" si="4"/>
        <v>Loss</v>
      </c>
      <c r="AG26" s="23" t="str">
        <f t="shared" si="5"/>
        <v>Win</v>
      </c>
      <c r="AH26" s="23">
        <f t="shared" si="6"/>
        <v>-50</v>
      </c>
      <c r="AI26" s="23">
        <f t="shared" si="7"/>
        <v>-50</v>
      </c>
      <c r="AJ26" s="23">
        <f t="shared" si="8"/>
        <v>86.5</v>
      </c>
    </row>
    <row r="27" spans="1:36" x14ac:dyDescent="0.2">
      <c r="A27" s="36">
        <v>43615</v>
      </c>
      <c r="B27" s="37" t="s">
        <v>111</v>
      </c>
      <c r="C27" s="37" t="s">
        <v>112</v>
      </c>
      <c r="D27" s="37" t="s">
        <v>165</v>
      </c>
      <c r="E27" s="37" t="s">
        <v>166</v>
      </c>
      <c r="F27" s="37" t="s">
        <v>167</v>
      </c>
      <c r="G27" s="37">
        <v>1</v>
      </c>
      <c r="H27" s="37">
        <v>0</v>
      </c>
      <c r="I27" s="37">
        <v>2.4700000000000002</v>
      </c>
      <c r="J27" s="37">
        <v>2.9</v>
      </c>
      <c r="K27" s="37">
        <v>3.09</v>
      </c>
      <c r="L27" s="37">
        <v>-0.62</v>
      </c>
      <c r="M27" s="37">
        <v>67</v>
      </c>
      <c r="N27" s="37">
        <v>58</v>
      </c>
      <c r="O27" s="37">
        <v>4</v>
      </c>
      <c r="P27" s="37">
        <v>33</v>
      </c>
      <c r="Q27" s="37">
        <v>28</v>
      </c>
      <c r="R27" s="37">
        <v>25</v>
      </c>
      <c r="S27" s="37">
        <v>50</v>
      </c>
      <c r="T27" s="37">
        <v>25</v>
      </c>
      <c r="U27" s="37">
        <v>40.299999999999997</v>
      </c>
      <c r="V27" s="37">
        <v>29.85</v>
      </c>
      <c r="W27" s="37">
        <v>29.85</v>
      </c>
      <c r="X27" s="37">
        <v>43.1</v>
      </c>
      <c r="Y27" s="37">
        <v>32.76</v>
      </c>
      <c r="Z27" s="37">
        <v>24.14</v>
      </c>
      <c r="AA27" s="37">
        <v>57.58</v>
      </c>
      <c r="AB27" s="37">
        <v>39.29</v>
      </c>
      <c r="AC27" s="24">
        <f t="shared" si="1"/>
        <v>3.0070000000000006</v>
      </c>
      <c r="AD27" s="25">
        <f t="shared" si="2"/>
        <v>6.9930000000000012</v>
      </c>
      <c r="AE27" s="23" t="str">
        <f t="shared" si="3"/>
        <v>Win</v>
      </c>
      <c r="AF27" s="23" t="str">
        <f t="shared" si="4"/>
        <v>Loss</v>
      </c>
      <c r="AG27" s="23" t="str">
        <f t="shared" si="5"/>
        <v>Loss</v>
      </c>
      <c r="AH27" s="23">
        <f t="shared" si="6"/>
        <v>73.500000000000014</v>
      </c>
      <c r="AI27" s="23">
        <f t="shared" si="7"/>
        <v>-50</v>
      </c>
      <c r="AJ27" s="23">
        <f t="shared" si="8"/>
        <v>-50</v>
      </c>
    </row>
    <row r="28" spans="1:36" x14ac:dyDescent="0.2">
      <c r="A28" s="36">
        <v>43615</v>
      </c>
      <c r="B28" s="37" t="s">
        <v>111</v>
      </c>
      <c r="C28" s="37" t="s">
        <v>112</v>
      </c>
      <c r="D28" s="37" t="s">
        <v>168</v>
      </c>
      <c r="E28" s="37" t="s">
        <v>169</v>
      </c>
      <c r="F28" s="37" t="s">
        <v>170</v>
      </c>
      <c r="G28" s="37">
        <v>3</v>
      </c>
      <c r="H28" s="37">
        <v>0</v>
      </c>
      <c r="I28" s="37">
        <v>1.17</v>
      </c>
      <c r="J28" s="37">
        <v>6.31</v>
      </c>
      <c r="K28" s="37">
        <v>15.78</v>
      </c>
      <c r="L28" s="37">
        <v>-14.61</v>
      </c>
      <c r="M28" s="37">
        <v>61</v>
      </c>
      <c r="N28" s="37">
        <v>62</v>
      </c>
      <c r="O28" s="37">
        <v>4</v>
      </c>
      <c r="P28" s="37">
        <v>31</v>
      </c>
      <c r="Q28" s="37">
        <v>31</v>
      </c>
      <c r="R28" s="37">
        <v>50</v>
      </c>
      <c r="S28" s="37">
        <v>50</v>
      </c>
      <c r="T28" s="37">
        <v>0</v>
      </c>
      <c r="U28" s="37">
        <v>49.18</v>
      </c>
      <c r="V28" s="37">
        <v>32.79</v>
      </c>
      <c r="W28" s="37">
        <v>18.03</v>
      </c>
      <c r="X28" s="37">
        <v>25.81</v>
      </c>
      <c r="Y28" s="37">
        <v>37.1</v>
      </c>
      <c r="Z28" s="37">
        <v>37.1</v>
      </c>
      <c r="AA28" s="37">
        <v>67.739999999999995</v>
      </c>
      <c r="AB28" s="37">
        <v>32.26</v>
      </c>
      <c r="AC28" s="24">
        <f t="shared" si="1"/>
        <v>28.056999999999995</v>
      </c>
      <c r="AD28" s="25">
        <f t="shared" si="2"/>
        <v>-18.056999999999999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8.5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43615</v>
      </c>
      <c r="B29" s="37" t="s">
        <v>171</v>
      </c>
      <c r="C29" s="37" t="s">
        <v>172</v>
      </c>
      <c r="D29" s="37" t="s">
        <v>173</v>
      </c>
      <c r="E29" s="37" t="s">
        <v>174</v>
      </c>
      <c r="F29" s="37" t="s">
        <v>175</v>
      </c>
      <c r="G29" s="37">
        <v>1</v>
      </c>
      <c r="H29" s="37">
        <v>3</v>
      </c>
      <c r="I29" s="37">
        <v>4.22</v>
      </c>
      <c r="J29" s="37">
        <v>3.35</v>
      </c>
      <c r="K29" s="37">
        <v>1.81</v>
      </c>
      <c r="L29" s="37">
        <v>2.41</v>
      </c>
      <c r="M29" s="37">
        <v>25</v>
      </c>
      <c r="N29" s="37">
        <v>27</v>
      </c>
      <c r="O29" s="37">
        <v>4</v>
      </c>
      <c r="P29" s="37">
        <v>12</v>
      </c>
      <c r="Q29" s="37">
        <v>13</v>
      </c>
      <c r="R29" s="37">
        <v>25</v>
      </c>
      <c r="S29" s="37">
        <v>25</v>
      </c>
      <c r="T29" s="37">
        <v>50</v>
      </c>
      <c r="U29" s="37">
        <v>36</v>
      </c>
      <c r="V29" s="37">
        <v>24</v>
      </c>
      <c r="W29" s="37">
        <v>40</v>
      </c>
      <c r="X29" s="37">
        <v>44.44</v>
      </c>
      <c r="Y29" s="37">
        <v>33.33</v>
      </c>
      <c r="Z29" s="37">
        <v>22.22</v>
      </c>
      <c r="AA29" s="37">
        <v>58.33</v>
      </c>
      <c r="AB29" s="37">
        <v>15.38</v>
      </c>
      <c r="AC29" s="24">
        <f t="shared" si="1"/>
        <v>-11.177</v>
      </c>
      <c r="AD29" s="25">
        <f t="shared" si="2"/>
        <v>16.176999999999996</v>
      </c>
      <c r="AE29" s="23" t="str">
        <f t="shared" si="3"/>
        <v>Loss</v>
      </c>
      <c r="AF29" s="23" t="str">
        <f t="shared" si="4"/>
        <v>Loss</v>
      </c>
      <c r="AG29" s="23" t="str">
        <f t="shared" si="5"/>
        <v>Win</v>
      </c>
      <c r="AH29" s="23">
        <f t="shared" si="6"/>
        <v>-50</v>
      </c>
      <c r="AI29" s="23">
        <f t="shared" si="7"/>
        <v>-50</v>
      </c>
      <c r="AJ29" s="23">
        <f t="shared" si="8"/>
        <v>40.5</v>
      </c>
    </row>
    <row r="30" spans="1:36" x14ac:dyDescent="0.2">
      <c r="A30" s="36">
        <v>43615</v>
      </c>
      <c r="B30" s="37" t="s">
        <v>171</v>
      </c>
      <c r="C30" s="37" t="s">
        <v>172</v>
      </c>
      <c r="D30" s="37" t="s">
        <v>176</v>
      </c>
      <c r="E30" s="37" t="s">
        <v>177</v>
      </c>
      <c r="F30" s="37" t="s">
        <v>178</v>
      </c>
      <c r="G30" s="37">
        <v>3</v>
      </c>
      <c r="H30" s="37">
        <v>0</v>
      </c>
      <c r="I30" s="37">
        <v>1.48</v>
      </c>
      <c r="J30" s="37">
        <v>3.92</v>
      </c>
      <c r="K30" s="37">
        <v>6.3</v>
      </c>
      <c r="L30" s="37">
        <v>-4.82</v>
      </c>
      <c r="M30" s="37">
        <v>28</v>
      </c>
      <c r="N30" s="37">
        <v>25</v>
      </c>
      <c r="O30" s="37">
        <v>2</v>
      </c>
      <c r="P30" s="37">
        <v>14</v>
      </c>
      <c r="Q30" s="37">
        <v>12</v>
      </c>
      <c r="R30" s="37">
        <v>0</v>
      </c>
      <c r="S30" s="37">
        <v>0</v>
      </c>
      <c r="T30" s="37">
        <v>100</v>
      </c>
      <c r="U30" s="37">
        <v>42.86</v>
      </c>
      <c r="V30" s="37">
        <v>25</v>
      </c>
      <c r="W30" s="37">
        <v>32.14</v>
      </c>
      <c r="X30" s="37">
        <v>36</v>
      </c>
      <c r="Y30" s="37">
        <v>36</v>
      </c>
      <c r="Z30" s="37">
        <v>28</v>
      </c>
      <c r="AA30" s="37">
        <v>64.290000000000006</v>
      </c>
      <c r="AB30" s="37">
        <v>25</v>
      </c>
      <c r="AC30" s="24">
        <f t="shared" si="1"/>
        <v>-30.555999999999997</v>
      </c>
      <c r="AD30" s="25">
        <f t="shared" si="2"/>
        <v>30.555999999999997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24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43615</v>
      </c>
      <c r="B31" s="37" t="s">
        <v>116</v>
      </c>
      <c r="C31" s="37" t="s">
        <v>117</v>
      </c>
      <c r="D31" s="37" t="s">
        <v>179</v>
      </c>
      <c r="E31" s="37" t="s">
        <v>180</v>
      </c>
      <c r="F31" s="37" t="s">
        <v>181</v>
      </c>
      <c r="G31" s="37">
        <v>3</v>
      </c>
      <c r="H31" s="37">
        <v>2</v>
      </c>
      <c r="I31" s="37">
        <v>1.24</v>
      </c>
      <c r="J31" s="37">
        <v>5.56</v>
      </c>
      <c r="K31" s="37">
        <v>11.41</v>
      </c>
      <c r="L31" s="37">
        <v>-10.17</v>
      </c>
      <c r="M31" s="37">
        <v>2</v>
      </c>
      <c r="N31" s="37">
        <v>3</v>
      </c>
      <c r="O31" s="37">
        <v>1</v>
      </c>
      <c r="P31" s="37">
        <v>1</v>
      </c>
      <c r="Q31" s="37">
        <v>1</v>
      </c>
      <c r="R31" s="37">
        <v>0</v>
      </c>
      <c r="S31" s="37">
        <v>0</v>
      </c>
      <c r="T31" s="37">
        <v>100</v>
      </c>
      <c r="U31" s="37">
        <v>50</v>
      </c>
      <c r="V31" s="37">
        <v>0</v>
      </c>
      <c r="W31" s="37">
        <v>50</v>
      </c>
      <c r="X31" s="37">
        <v>66.67</v>
      </c>
      <c r="Y31" s="37">
        <v>33.33</v>
      </c>
      <c r="Z31" s="37">
        <v>0</v>
      </c>
      <c r="AA31" s="37">
        <v>100</v>
      </c>
      <c r="AB31" s="37">
        <v>0</v>
      </c>
      <c r="AC31" s="24">
        <f t="shared" si="1"/>
        <v>-46.667000000000002</v>
      </c>
      <c r="AD31" s="25">
        <f t="shared" si="2"/>
        <v>46.667000000000002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12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43615</v>
      </c>
      <c r="B32" s="37" t="s">
        <v>116</v>
      </c>
      <c r="C32" s="37" t="s">
        <v>117</v>
      </c>
      <c r="D32" s="37" t="s">
        <v>182</v>
      </c>
      <c r="E32" s="37" t="s">
        <v>183</v>
      </c>
      <c r="F32" s="37" t="s">
        <v>184</v>
      </c>
      <c r="G32" s="37">
        <v>1</v>
      </c>
      <c r="H32" s="37">
        <v>2</v>
      </c>
      <c r="I32" s="37">
        <v>2.86</v>
      </c>
      <c r="J32" s="37">
        <v>2.91</v>
      </c>
      <c r="K32" s="37">
        <v>2.68</v>
      </c>
      <c r="L32" s="37">
        <v>0.18</v>
      </c>
      <c r="M32" s="37">
        <v>3</v>
      </c>
      <c r="N32" s="37">
        <v>3</v>
      </c>
      <c r="O32" s="37">
        <v>1</v>
      </c>
      <c r="P32" s="37">
        <v>1</v>
      </c>
      <c r="Q32" s="37">
        <v>1</v>
      </c>
      <c r="R32" s="37">
        <v>0</v>
      </c>
      <c r="S32" s="37">
        <v>0</v>
      </c>
      <c r="T32" s="37">
        <v>100</v>
      </c>
      <c r="U32" s="37">
        <v>33.33</v>
      </c>
      <c r="V32" s="37">
        <v>33.33</v>
      </c>
      <c r="W32" s="37">
        <v>33.33</v>
      </c>
      <c r="X32" s="37">
        <v>66.67</v>
      </c>
      <c r="Y32" s="37">
        <v>33.33</v>
      </c>
      <c r="Z32" s="37">
        <v>0</v>
      </c>
      <c r="AA32" s="37">
        <v>0</v>
      </c>
      <c r="AB32" s="37">
        <v>0</v>
      </c>
      <c r="AC32" s="24">
        <f t="shared" si="1"/>
        <v>-43.333999999999996</v>
      </c>
      <c r="AD32" s="25">
        <f t="shared" si="2"/>
        <v>43.333999999999996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84</v>
      </c>
    </row>
    <row r="33" spans="1:36" x14ac:dyDescent="0.2">
      <c r="A33" s="36">
        <v>43615</v>
      </c>
      <c r="B33" s="37" t="s">
        <v>116</v>
      </c>
      <c r="C33" s="37" t="s">
        <v>117</v>
      </c>
      <c r="D33" s="37" t="s">
        <v>185</v>
      </c>
      <c r="E33" s="37" t="s">
        <v>186</v>
      </c>
      <c r="F33" s="37" t="s">
        <v>187</v>
      </c>
      <c r="G33" s="37">
        <v>1</v>
      </c>
      <c r="H33" s="37">
        <v>0</v>
      </c>
      <c r="I33" s="37">
        <v>2.16</v>
      </c>
      <c r="J33" s="37">
        <v>3.37</v>
      </c>
      <c r="K33" s="37">
        <v>3.26</v>
      </c>
      <c r="L33" s="37">
        <v>-1.1000000000000001</v>
      </c>
      <c r="M33" s="37">
        <v>4</v>
      </c>
      <c r="N33" s="37">
        <v>3</v>
      </c>
      <c r="O33" s="37">
        <v>1</v>
      </c>
      <c r="P33" s="37">
        <v>1</v>
      </c>
      <c r="Q33" s="37">
        <v>1</v>
      </c>
      <c r="R33" s="37">
        <v>0</v>
      </c>
      <c r="S33" s="37">
        <v>0</v>
      </c>
      <c r="T33" s="37">
        <v>100</v>
      </c>
      <c r="U33" s="37">
        <v>25</v>
      </c>
      <c r="V33" s="37">
        <v>25</v>
      </c>
      <c r="W33" s="37">
        <v>50</v>
      </c>
      <c r="X33" s="37">
        <v>66.67</v>
      </c>
      <c r="Y33" s="37">
        <v>33.33</v>
      </c>
      <c r="Z33" s="37">
        <v>0</v>
      </c>
      <c r="AA33" s="37">
        <v>0</v>
      </c>
      <c r="AB33" s="37">
        <v>100</v>
      </c>
      <c r="AC33" s="24">
        <f t="shared" si="1"/>
        <v>-49.167000000000002</v>
      </c>
      <c r="AD33" s="25">
        <f t="shared" si="2"/>
        <v>49.167000000000002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58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43615</v>
      </c>
      <c r="B34" s="37" t="s">
        <v>127</v>
      </c>
      <c r="C34" s="37" t="s">
        <v>139</v>
      </c>
      <c r="D34" s="37" t="s">
        <v>188</v>
      </c>
      <c r="E34" s="37" t="s">
        <v>189</v>
      </c>
      <c r="F34" s="37" t="s">
        <v>190</v>
      </c>
      <c r="G34" s="37">
        <v>1</v>
      </c>
      <c r="H34" s="37">
        <v>1</v>
      </c>
      <c r="I34" s="37">
        <v>1.36</v>
      </c>
      <c r="J34" s="37">
        <v>5</v>
      </c>
      <c r="K34" s="37">
        <v>7.35</v>
      </c>
      <c r="L34" s="37">
        <v>-5.99</v>
      </c>
      <c r="M34" s="37">
        <v>19</v>
      </c>
      <c r="N34" s="37">
        <v>14</v>
      </c>
      <c r="O34" s="37">
        <v>0</v>
      </c>
      <c r="P34" s="37">
        <v>12</v>
      </c>
      <c r="Q34" s="37">
        <v>7</v>
      </c>
      <c r="R34" s="37">
        <v>0</v>
      </c>
      <c r="S34" s="37">
        <v>0</v>
      </c>
      <c r="T34" s="37">
        <v>0</v>
      </c>
      <c r="U34" s="37">
        <v>57.89</v>
      </c>
      <c r="V34" s="37">
        <v>15.79</v>
      </c>
      <c r="W34" s="37">
        <v>26.32</v>
      </c>
      <c r="X34" s="37">
        <v>14.29</v>
      </c>
      <c r="Y34" s="37">
        <v>14.29</v>
      </c>
      <c r="Z34" s="37">
        <v>71.430000000000007</v>
      </c>
      <c r="AA34" s="37">
        <v>75</v>
      </c>
      <c r="AB34" s="37">
        <v>14.29</v>
      </c>
      <c r="AC34" s="24">
        <f t="shared" si="1"/>
        <v>17.892000000000003</v>
      </c>
      <c r="AD34" s="25">
        <f t="shared" si="2"/>
        <v>-17.892000000000003</v>
      </c>
      <c r="AE34" s="23" t="str">
        <f t="shared" si="3"/>
        <v>Loss</v>
      </c>
      <c r="AF34" s="23" t="str">
        <f t="shared" si="4"/>
        <v>Win</v>
      </c>
      <c r="AG34" s="23" t="str">
        <f t="shared" si="5"/>
        <v>Loss</v>
      </c>
      <c r="AH34" s="23">
        <f t="shared" si="6"/>
        <v>-50</v>
      </c>
      <c r="AI34" s="23">
        <f t="shared" si="7"/>
        <v>200</v>
      </c>
      <c r="AJ34" s="23">
        <f t="shared" si="8"/>
        <v>-50</v>
      </c>
    </row>
    <row r="35" spans="1:36" x14ac:dyDescent="0.2">
      <c r="A35" s="36">
        <v>43615</v>
      </c>
      <c r="B35" s="37" t="s">
        <v>127</v>
      </c>
      <c r="C35" s="37" t="s">
        <v>139</v>
      </c>
      <c r="D35" s="37" t="s">
        <v>191</v>
      </c>
      <c r="E35" s="37" t="s">
        <v>192</v>
      </c>
      <c r="F35" s="37" t="s">
        <v>193</v>
      </c>
      <c r="G35" s="37">
        <v>0</v>
      </c>
      <c r="H35" s="37">
        <v>2</v>
      </c>
      <c r="I35" s="37">
        <v>1.74</v>
      </c>
      <c r="J35" s="37">
        <v>4.0999999999999996</v>
      </c>
      <c r="K35" s="37">
        <v>4.25</v>
      </c>
      <c r="L35" s="37">
        <v>-2.5099999999999998</v>
      </c>
      <c r="M35" s="37">
        <v>15</v>
      </c>
      <c r="N35" s="37">
        <v>15</v>
      </c>
      <c r="O35" s="37">
        <v>0</v>
      </c>
      <c r="P35" s="37">
        <v>8</v>
      </c>
      <c r="Q35" s="37">
        <v>6</v>
      </c>
      <c r="R35" s="37">
        <v>0</v>
      </c>
      <c r="S35" s="37">
        <v>0</v>
      </c>
      <c r="T35" s="37">
        <v>0</v>
      </c>
      <c r="U35" s="37">
        <v>33.33</v>
      </c>
      <c r="V35" s="37">
        <v>33.33</v>
      </c>
      <c r="W35" s="37">
        <v>33.33</v>
      </c>
      <c r="X35" s="37">
        <v>53.33</v>
      </c>
      <c r="Y35" s="37">
        <v>6.67</v>
      </c>
      <c r="Z35" s="37">
        <v>40</v>
      </c>
      <c r="AA35" s="37">
        <v>50</v>
      </c>
      <c r="AB35" s="37">
        <v>16.670000000000002</v>
      </c>
      <c r="AC35" s="24">
        <f t="shared" si="1"/>
        <v>0</v>
      </c>
      <c r="AD35" s="25">
        <f t="shared" si="2"/>
        <v>0</v>
      </c>
      <c r="AE35" s="23" t="str">
        <f t="shared" si="3"/>
        <v>Loss</v>
      </c>
      <c r="AF35" s="23" t="str">
        <f t="shared" si="4"/>
        <v>Loss</v>
      </c>
      <c r="AG35" s="23" t="str">
        <f t="shared" si="5"/>
        <v>Win</v>
      </c>
      <c r="AH35" s="23">
        <f t="shared" si="6"/>
        <v>-50</v>
      </c>
      <c r="AI35" s="23">
        <f t="shared" si="7"/>
        <v>-50</v>
      </c>
      <c r="AJ35" s="23">
        <f t="shared" si="8"/>
        <v>162.5</v>
      </c>
    </row>
    <row r="36" spans="1:36" x14ac:dyDescent="0.2">
      <c r="A36" s="36">
        <v>43615</v>
      </c>
      <c r="B36" s="37" t="s">
        <v>127</v>
      </c>
      <c r="C36" s="37" t="s">
        <v>143</v>
      </c>
      <c r="D36" s="37" t="s">
        <v>194</v>
      </c>
      <c r="E36" s="37" t="s">
        <v>195</v>
      </c>
      <c r="F36" s="37" t="s">
        <v>196</v>
      </c>
      <c r="G36" s="37">
        <v>3</v>
      </c>
      <c r="H36" s="37">
        <v>1</v>
      </c>
      <c r="I36" s="37">
        <v>1.84</v>
      </c>
      <c r="J36" s="37">
        <v>3.62</v>
      </c>
      <c r="K36" s="37">
        <v>3.65</v>
      </c>
      <c r="L36" s="37">
        <v>-1.81</v>
      </c>
      <c r="M36" s="37">
        <v>11</v>
      </c>
      <c r="N36" s="37">
        <v>7</v>
      </c>
      <c r="O36" s="37">
        <v>0</v>
      </c>
      <c r="P36" s="37">
        <v>5</v>
      </c>
      <c r="Q36" s="37">
        <v>6</v>
      </c>
      <c r="R36" s="37">
        <v>0</v>
      </c>
      <c r="S36" s="37">
        <v>0</v>
      </c>
      <c r="T36" s="37">
        <v>0</v>
      </c>
      <c r="U36" s="37">
        <v>45.45</v>
      </c>
      <c r="V36" s="37">
        <v>36.36</v>
      </c>
      <c r="W36" s="37">
        <v>18.18</v>
      </c>
      <c r="X36" s="37">
        <v>42.86</v>
      </c>
      <c r="Y36" s="37">
        <v>14.29</v>
      </c>
      <c r="Z36" s="37">
        <v>42.86</v>
      </c>
      <c r="AA36" s="37">
        <v>60</v>
      </c>
      <c r="AB36" s="37">
        <v>50</v>
      </c>
      <c r="AC36" s="24">
        <f t="shared" si="1"/>
        <v>7.6610000000000031</v>
      </c>
      <c r="AD36" s="25">
        <f t="shared" si="2"/>
        <v>-7.6610000000000031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42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43615</v>
      </c>
      <c r="B37" s="37" t="s">
        <v>127</v>
      </c>
      <c r="C37" s="37" t="s">
        <v>143</v>
      </c>
      <c r="D37" s="37" t="s">
        <v>197</v>
      </c>
      <c r="E37" s="37" t="s">
        <v>198</v>
      </c>
      <c r="F37" s="37" t="s">
        <v>199</v>
      </c>
      <c r="G37" s="37">
        <v>1</v>
      </c>
      <c r="H37" s="37">
        <v>2</v>
      </c>
      <c r="I37" s="37">
        <v>1.68</v>
      </c>
      <c r="J37" s="37">
        <v>3.74</v>
      </c>
      <c r="K37" s="37">
        <v>4.47</v>
      </c>
      <c r="L37" s="37">
        <v>-2.79</v>
      </c>
      <c r="M37" s="37">
        <v>16</v>
      </c>
      <c r="N37" s="37">
        <v>18</v>
      </c>
      <c r="O37" s="37">
        <v>1</v>
      </c>
      <c r="P37" s="37">
        <v>8</v>
      </c>
      <c r="Q37" s="37">
        <v>6</v>
      </c>
      <c r="R37" s="37">
        <v>0</v>
      </c>
      <c r="S37" s="37">
        <v>0</v>
      </c>
      <c r="T37" s="37">
        <v>100</v>
      </c>
      <c r="U37" s="37">
        <v>50</v>
      </c>
      <c r="V37" s="37">
        <v>25</v>
      </c>
      <c r="W37" s="37">
        <v>25</v>
      </c>
      <c r="X37" s="37">
        <v>38.89</v>
      </c>
      <c r="Y37" s="37">
        <v>33.33</v>
      </c>
      <c r="Z37" s="37">
        <v>27.78</v>
      </c>
      <c r="AA37" s="37">
        <v>62.5</v>
      </c>
      <c r="AB37" s="37">
        <v>33.33</v>
      </c>
      <c r="AC37" s="24">
        <f t="shared" si="1"/>
        <v>-28.054999999999996</v>
      </c>
      <c r="AD37" s="25">
        <f t="shared" si="2"/>
        <v>28.054999999999996</v>
      </c>
      <c r="AE37" s="23" t="str">
        <f t="shared" si="3"/>
        <v>Loss</v>
      </c>
      <c r="AF37" s="23" t="str">
        <f t="shared" si="4"/>
        <v>Loss</v>
      </c>
      <c r="AG37" s="23" t="str">
        <f t="shared" si="5"/>
        <v>Win</v>
      </c>
      <c r="AH37" s="23">
        <f t="shared" si="6"/>
        <v>-50</v>
      </c>
      <c r="AI37" s="23">
        <f t="shared" si="7"/>
        <v>-50</v>
      </c>
      <c r="AJ37" s="23">
        <f t="shared" si="8"/>
        <v>173.5</v>
      </c>
    </row>
    <row r="38" spans="1:36" x14ac:dyDescent="0.2">
      <c r="A38" s="36">
        <v>43615</v>
      </c>
      <c r="B38" s="37" t="s">
        <v>127</v>
      </c>
      <c r="C38" s="37" t="s">
        <v>143</v>
      </c>
      <c r="D38" s="37" t="s">
        <v>200</v>
      </c>
      <c r="E38" s="37" t="s">
        <v>201</v>
      </c>
      <c r="F38" s="37" t="s">
        <v>202</v>
      </c>
      <c r="G38" s="37">
        <v>4</v>
      </c>
      <c r="H38" s="37">
        <v>2</v>
      </c>
      <c r="I38" s="37">
        <v>1.75</v>
      </c>
      <c r="J38" s="37">
        <v>3.62</v>
      </c>
      <c r="K38" s="37">
        <v>3.92</v>
      </c>
      <c r="L38" s="37">
        <v>-2.17</v>
      </c>
      <c r="M38" s="37">
        <v>12</v>
      </c>
      <c r="N38" s="37">
        <v>13</v>
      </c>
      <c r="O38" s="37">
        <v>1</v>
      </c>
      <c r="P38" s="37">
        <v>6</v>
      </c>
      <c r="Q38" s="37">
        <v>4</v>
      </c>
      <c r="R38" s="37">
        <v>100</v>
      </c>
      <c r="S38" s="37">
        <v>0</v>
      </c>
      <c r="T38" s="37">
        <v>0</v>
      </c>
      <c r="U38" s="37">
        <v>33.33</v>
      </c>
      <c r="V38" s="37">
        <v>25</v>
      </c>
      <c r="W38" s="37">
        <v>41.67</v>
      </c>
      <c r="X38" s="37">
        <v>30.77</v>
      </c>
      <c r="Y38" s="37">
        <v>23.08</v>
      </c>
      <c r="Z38" s="37">
        <v>46.15</v>
      </c>
      <c r="AA38" s="37">
        <v>66.67</v>
      </c>
      <c r="AB38" s="37">
        <v>0</v>
      </c>
      <c r="AC38" s="24">
        <f t="shared" si="1"/>
        <v>31.599999999999994</v>
      </c>
      <c r="AD38" s="25">
        <f t="shared" si="2"/>
        <v>-31.599999999999994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37.5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43615</v>
      </c>
      <c r="B39" s="37" t="s">
        <v>127</v>
      </c>
      <c r="C39" s="37" t="s">
        <v>143</v>
      </c>
      <c r="D39" s="37" t="s">
        <v>203</v>
      </c>
      <c r="E39" s="37" t="s">
        <v>204</v>
      </c>
      <c r="F39" s="37" t="s">
        <v>205</v>
      </c>
      <c r="G39" s="37">
        <v>1</v>
      </c>
      <c r="H39" s="37">
        <v>2</v>
      </c>
      <c r="I39" s="37">
        <v>2.8</v>
      </c>
      <c r="J39" s="37">
        <v>3.63</v>
      </c>
      <c r="K39" s="37">
        <v>2.1800000000000002</v>
      </c>
      <c r="L39" s="37">
        <v>0.62</v>
      </c>
      <c r="M39" s="37">
        <v>10</v>
      </c>
      <c r="N39" s="37">
        <v>14</v>
      </c>
      <c r="O39" s="37">
        <v>1</v>
      </c>
      <c r="P39" s="37">
        <v>4</v>
      </c>
      <c r="Q39" s="37">
        <v>9</v>
      </c>
      <c r="R39" s="37">
        <v>0</v>
      </c>
      <c r="S39" s="37">
        <v>0</v>
      </c>
      <c r="T39" s="37">
        <v>100</v>
      </c>
      <c r="U39" s="37">
        <v>10</v>
      </c>
      <c r="V39" s="37">
        <v>20</v>
      </c>
      <c r="W39" s="37">
        <v>70</v>
      </c>
      <c r="X39" s="37">
        <v>50</v>
      </c>
      <c r="Y39" s="37">
        <v>42.86</v>
      </c>
      <c r="Z39" s="37">
        <v>7.14</v>
      </c>
      <c r="AA39" s="37">
        <v>0</v>
      </c>
      <c r="AB39" s="37">
        <v>44.44</v>
      </c>
      <c r="AC39" s="24">
        <f t="shared" si="1"/>
        <v>-52.858000000000004</v>
      </c>
      <c r="AD39" s="25">
        <f t="shared" si="2"/>
        <v>52.858000000000004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59.000000000000014</v>
      </c>
    </row>
    <row r="40" spans="1:36" x14ac:dyDescent="0.2">
      <c r="A40" s="36">
        <v>43615</v>
      </c>
      <c r="B40" s="37" t="s">
        <v>127</v>
      </c>
      <c r="C40" s="37" t="s">
        <v>206</v>
      </c>
      <c r="D40" s="37" t="s">
        <v>207</v>
      </c>
      <c r="E40" s="37" t="s">
        <v>208</v>
      </c>
      <c r="F40" s="37" t="s">
        <v>209</v>
      </c>
      <c r="G40" s="37">
        <v>2</v>
      </c>
      <c r="H40" s="37">
        <v>1</v>
      </c>
      <c r="I40" s="37">
        <v>1.68</v>
      </c>
      <c r="J40" s="37">
        <v>3.86</v>
      </c>
      <c r="K40" s="37">
        <v>4.1100000000000003</v>
      </c>
      <c r="L40" s="37">
        <v>-2.4300000000000002</v>
      </c>
      <c r="M40" s="37">
        <v>11</v>
      </c>
      <c r="N40" s="37">
        <v>11</v>
      </c>
      <c r="O40" s="37">
        <v>0</v>
      </c>
      <c r="P40" s="37">
        <v>5</v>
      </c>
      <c r="Q40" s="37">
        <v>5</v>
      </c>
      <c r="R40" s="37">
        <v>0</v>
      </c>
      <c r="S40" s="37">
        <v>0</v>
      </c>
      <c r="T40" s="37">
        <v>0</v>
      </c>
      <c r="U40" s="37">
        <v>45.45</v>
      </c>
      <c r="V40" s="37">
        <v>36.36</v>
      </c>
      <c r="W40" s="37">
        <v>18.18</v>
      </c>
      <c r="X40" s="37">
        <v>27.27</v>
      </c>
      <c r="Y40" s="37">
        <v>27.27</v>
      </c>
      <c r="Z40" s="37">
        <v>45.45</v>
      </c>
      <c r="AA40" s="37">
        <v>40</v>
      </c>
      <c r="AB40" s="37">
        <v>0</v>
      </c>
      <c r="AC40" s="24">
        <f t="shared" si="1"/>
        <v>9.9990000000000041</v>
      </c>
      <c r="AD40" s="25">
        <f t="shared" si="2"/>
        <v>-9.9990000000000041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34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43615</v>
      </c>
      <c r="B41" s="37" t="s">
        <v>127</v>
      </c>
      <c r="C41" s="37" t="s">
        <v>143</v>
      </c>
      <c r="D41" s="37" t="s">
        <v>210</v>
      </c>
      <c r="E41" s="37" t="s">
        <v>211</v>
      </c>
      <c r="F41" s="37" t="s">
        <v>212</v>
      </c>
      <c r="G41" s="37">
        <v>1</v>
      </c>
      <c r="H41" s="37">
        <v>0</v>
      </c>
      <c r="I41" s="37">
        <v>2.2400000000000002</v>
      </c>
      <c r="J41" s="37">
        <v>3.2</v>
      </c>
      <c r="K41" s="37">
        <v>2.95</v>
      </c>
      <c r="L41" s="37">
        <v>-0.71</v>
      </c>
      <c r="M41" s="37">
        <v>14</v>
      </c>
      <c r="N41" s="37">
        <v>14</v>
      </c>
      <c r="O41" s="37">
        <v>1</v>
      </c>
      <c r="P41" s="37">
        <v>7</v>
      </c>
      <c r="Q41" s="37">
        <v>9</v>
      </c>
      <c r="R41" s="37">
        <v>100</v>
      </c>
      <c r="S41" s="37">
        <v>0</v>
      </c>
      <c r="T41" s="37">
        <v>0</v>
      </c>
      <c r="U41" s="37">
        <v>42.86</v>
      </c>
      <c r="V41" s="37">
        <v>14.29</v>
      </c>
      <c r="W41" s="37">
        <v>42.86</v>
      </c>
      <c r="X41" s="37">
        <v>50</v>
      </c>
      <c r="Y41" s="37">
        <v>35.71</v>
      </c>
      <c r="Z41" s="37">
        <v>14.29</v>
      </c>
      <c r="AA41" s="37">
        <v>57.14</v>
      </c>
      <c r="AB41" s="37">
        <v>55.56</v>
      </c>
      <c r="AC41" s="24">
        <f t="shared" si="1"/>
        <v>20.716000000000001</v>
      </c>
      <c r="AD41" s="25">
        <f t="shared" si="2"/>
        <v>-20.716000000000001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62.000000000000014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43615</v>
      </c>
      <c r="B42" s="37" t="s">
        <v>127</v>
      </c>
      <c r="C42" s="37" t="s">
        <v>143</v>
      </c>
      <c r="D42" s="37" t="s">
        <v>213</v>
      </c>
      <c r="E42" s="37" t="s">
        <v>214</v>
      </c>
      <c r="F42" s="37" t="s">
        <v>215</v>
      </c>
      <c r="G42" s="37">
        <v>3</v>
      </c>
      <c r="H42" s="37">
        <v>5</v>
      </c>
      <c r="I42" s="37">
        <v>1.69</v>
      </c>
      <c r="J42" s="37">
        <v>3.69</v>
      </c>
      <c r="K42" s="37">
        <v>4.3899999999999997</v>
      </c>
      <c r="L42" s="37">
        <v>-2.7</v>
      </c>
      <c r="M42" s="37">
        <v>15</v>
      </c>
      <c r="N42" s="37">
        <v>2</v>
      </c>
      <c r="O42" s="37">
        <v>0</v>
      </c>
      <c r="P42" s="37">
        <v>8</v>
      </c>
      <c r="Q42" s="37">
        <v>1</v>
      </c>
      <c r="R42" s="37">
        <v>0</v>
      </c>
      <c r="S42" s="37">
        <v>0</v>
      </c>
      <c r="T42" s="37">
        <v>0</v>
      </c>
      <c r="U42" s="37">
        <v>40</v>
      </c>
      <c r="V42" s="37">
        <v>20</v>
      </c>
      <c r="W42" s="37">
        <v>40</v>
      </c>
      <c r="X42" s="37">
        <v>100</v>
      </c>
      <c r="Y42" s="37">
        <v>0</v>
      </c>
      <c r="Z42" s="37">
        <v>0</v>
      </c>
      <c r="AA42" s="37">
        <v>75</v>
      </c>
      <c r="AB42" s="37">
        <v>100</v>
      </c>
      <c r="AC42" s="24">
        <f t="shared" si="1"/>
        <v>-18</v>
      </c>
      <c r="AD42" s="25">
        <f t="shared" si="2"/>
        <v>18</v>
      </c>
      <c r="AE42" s="23" t="str">
        <f t="shared" si="3"/>
        <v>Loss</v>
      </c>
      <c r="AF42" s="23" t="str">
        <f t="shared" si="4"/>
        <v>Loss</v>
      </c>
      <c r="AG42" s="23" t="str">
        <f t="shared" si="5"/>
        <v>Win</v>
      </c>
      <c r="AH42" s="23">
        <f t="shared" si="6"/>
        <v>-50</v>
      </c>
      <c r="AI42" s="23">
        <f t="shared" si="7"/>
        <v>-50</v>
      </c>
      <c r="AJ42" s="23">
        <f t="shared" si="8"/>
        <v>169.49999999999997</v>
      </c>
    </row>
    <row r="43" spans="1:36" x14ac:dyDescent="0.2">
      <c r="A43" s="36">
        <v>43615</v>
      </c>
      <c r="B43" s="37" t="s">
        <v>127</v>
      </c>
      <c r="C43" s="37" t="s">
        <v>206</v>
      </c>
      <c r="D43" s="37" t="s">
        <v>216</v>
      </c>
      <c r="E43" s="37" t="s">
        <v>217</v>
      </c>
      <c r="F43" s="37" t="s">
        <v>218</v>
      </c>
      <c r="G43" s="37">
        <v>2</v>
      </c>
      <c r="H43" s="37">
        <v>2</v>
      </c>
      <c r="I43" s="37">
        <v>1.44</v>
      </c>
      <c r="J43" s="37">
        <v>4.47</v>
      </c>
      <c r="K43" s="37">
        <v>5.63</v>
      </c>
      <c r="L43" s="37">
        <v>-4.1900000000000004</v>
      </c>
      <c r="M43" s="37">
        <v>12</v>
      </c>
      <c r="N43" s="37">
        <v>13</v>
      </c>
      <c r="O43" s="37">
        <v>1</v>
      </c>
      <c r="P43" s="37">
        <v>8</v>
      </c>
      <c r="Q43" s="37">
        <v>6</v>
      </c>
      <c r="R43" s="37">
        <v>100</v>
      </c>
      <c r="S43" s="37">
        <v>0</v>
      </c>
      <c r="T43" s="37">
        <v>0</v>
      </c>
      <c r="U43" s="37">
        <v>33.33</v>
      </c>
      <c r="V43" s="37">
        <v>33.33</v>
      </c>
      <c r="W43" s="37">
        <v>33.33</v>
      </c>
      <c r="X43" s="37">
        <v>15.38</v>
      </c>
      <c r="Y43" s="37">
        <v>15.38</v>
      </c>
      <c r="Z43" s="37">
        <v>69.23</v>
      </c>
      <c r="AA43" s="37">
        <v>37.5</v>
      </c>
      <c r="AB43" s="37">
        <v>0</v>
      </c>
      <c r="AC43" s="24">
        <f t="shared" si="1"/>
        <v>42.564999999999998</v>
      </c>
      <c r="AD43" s="25">
        <f t="shared" si="2"/>
        <v>-42.564999999999998</v>
      </c>
      <c r="AE43" s="23" t="str">
        <f t="shared" si="3"/>
        <v>Loss</v>
      </c>
      <c r="AF43" s="23" t="str">
        <f t="shared" si="4"/>
        <v>Win</v>
      </c>
      <c r="AG43" s="23" t="str">
        <f t="shared" si="5"/>
        <v>Loss</v>
      </c>
      <c r="AH43" s="23">
        <f t="shared" si="6"/>
        <v>-50</v>
      </c>
      <c r="AI43" s="23">
        <f t="shared" si="7"/>
        <v>173.5</v>
      </c>
      <c r="AJ43" s="23">
        <f t="shared" si="8"/>
        <v>-50</v>
      </c>
    </row>
    <row r="44" spans="1:36" x14ac:dyDescent="0.2">
      <c r="A44" s="36">
        <v>43615</v>
      </c>
      <c r="B44" s="37" t="s">
        <v>219</v>
      </c>
      <c r="C44" s="37" t="s">
        <v>220</v>
      </c>
      <c r="D44" s="37" t="s">
        <v>221</v>
      </c>
      <c r="E44" s="37" t="s">
        <v>222</v>
      </c>
      <c r="F44" s="37" t="s">
        <v>223</v>
      </c>
      <c r="G44" s="37">
        <v>3</v>
      </c>
      <c r="H44" s="37">
        <v>2</v>
      </c>
      <c r="I44" s="37">
        <v>1.57</v>
      </c>
      <c r="J44" s="37">
        <v>3.97</v>
      </c>
      <c r="K44" s="37">
        <v>4.8099999999999996</v>
      </c>
      <c r="L44" s="37">
        <v>-3.24</v>
      </c>
      <c r="M44" s="37">
        <v>11</v>
      </c>
      <c r="N44" s="37">
        <v>11</v>
      </c>
      <c r="O44" s="37">
        <v>0</v>
      </c>
      <c r="P44" s="37">
        <v>6</v>
      </c>
      <c r="Q44" s="37">
        <v>6</v>
      </c>
      <c r="R44" s="37">
        <v>0</v>
      </c>
      <c r="S44" s="37">
        <v>0</v>
      </c>
      <c r="T44" s="37">
        <v>0</v>
      </c>
      <c r="U44" s="37">
        <v>27.27</v>
      </c>
      <c r="V44" s="37">
        <v>45.45</v>
      </c>
      <c r="W44" s="37">
        <v>27.27</v>
      </c>
      <c r="X44" s="37">
        <v>27.27</v>
      </c>
      <c r="Y44" s="37">
        <v>27.27</v>
      </c>
      <c r="Z44" s="37">
        <v>45.45</v>
      </c>
      <c r="AA44" s="37">
        <v>50</v>
      </c>
      <c r="AB44" s="37">
        <v>0</v>
      </c>
      <c r="AC44" s="24">
        <f t="shared" si="1"/>
        <v>5.4540000000000024</v>
      </c>
      <c r="AD44" s="25">
        <f t="shared" si="2"/>
        <v>-5.4540000000000024</v>
      </c>
      <c r="AE44" s="23" t="str">
        <f t="shared" si="3"/>
        <v>Win</v>
      </c>
      <c r="AF44" s="23" t="str">
        <f t="shared" si="4"/>
        <v>Loss</v>
      </c>
      <c r="AG44" s="23" t="str">
        <f t="shared" si="5"/>
        <v>Loss</v>
      </c>
      <c r="AH44" s="23">
        <f t="shared" si="6"/>
        <v>28.5</v>
      </c>
      <c r="AI44" s="23">
        <f t="shared" si="7"/>
        <v>-50</v>
      </c>
      <c r="AJ44" s="23">
        <f t="shared" si="8"/>
        <v>-50</v>
      </c>
    </row>
    <row r="45" spans="1:36" x14ac:dyDescent="0.2">
      <c r="A45" s="36">
        <v>43615</v>
      </c>
      <c r="B45" s="37" t="s">
        <v>219</v>
      </c>
      <c r="C45" s="37" t="s">
        <v>220</v>
      </c>
      <c r="D45" s="37" t="s">
        <v>224</v>
      </c>
      <c r="E45" s="37" t="s">
        <v>225</v>
      </c>
      <c r="F45" s="37" t="s">
        <v>226</v>
      </c>
      <c r="G45" s="37">
        <v>2</v>
      </c>
      <c r="H45" s="37">
        <v>0</v>
      </c>
      <c r="I45" s="37">
        <v>2.5099999999999998</v>
      </c>
      <c r="J45" s="37">
        <v>3.32</v>
      </c>
      <c r="K45" s="37">
        <v>2.54</v>
      </c>
      <c r="L45" s="37">
        <v>-0.03</v>
      </c>
      <c r="M45" s="37">
        <v>11</v>
      </c>
      <c r="N45" s="37">
        <v>11</v>
      </c>
      <c r="O45" s="37">
        <v>0</v>
      </c>
      <c r="P45" s="37">
        <v>6</v>
      </c>
      <c r="Q45" s="37">
        <v>6</v>
      </c>
      <c r="R45" s="37">
        <v>0</v>
      </c>
      <c r="S45" s="37">
        <v>0</v>
      </c>
      <c r="T45" s="37">
        <v>0</v>
      </c>
      <c r="U45" s="37">
        <v>36.36</v>
      </c>
      <c r="V45" s="37">
        <v>27.27</v>
      </c>
      <c r="W45" s="37">
        <v>36.36</v>
      </c>
      <c r="X45" s="37">
        <v>72.73</v>
      </c>
      <c r="Y45" s="37">
        <v>18.18</v>
      </c>
      <c r="Z45" s="37">
        <v>9.09</v>
      </c>
      <c r="AA45" s="37">
        <v>66.67</v>
      </c>
      <c r="AB45" s="37">
        <v>66.67</v>
      </c>
      <c r="AC45" s="24">
        <f t="shared" si="1"/>
        <v>-11.819000000000001</v>
      </c>
      <c r="AD45" s="25">
        <f t="shared" si="2"/>
        <v>11.819000000000001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75.499999999999986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43615</v>
      </c>
      <c r="B46" s="37" t="s">
        <v>227</v>
      </c>
      <c r="C46" s="37" t="s">
        <v>228</v>
      </c>
      <c r="D46" s="37" t="s">
        <v>229</v>
      </c>
      <c r="E46" s="37" t="s">
        <v>230</v>
      </c>
      <c r="F46" s="37" t="s">
        <v>231</v>
      </c>
      <c r="G46" s="37">
        <v>1</v>
      </c>
      <c r="H46" s="37">
        <v>1</v>
      </c>
      <c r="I46" s="37">
        <v>1.99</v>
      </c>
      <c r="J46" s="37">
        <v>3.72</v>
      </c>
      <c r="K46" s="37">
        <v>2.95</v>
      </c>
      <c r="L46" s="37">
        <v>-0.96</v>
      </c>
      <c r="M46" s="37">
        <v>29</v>
      </c>
      <c r="N46" s="37">
        <v>30</v>
      </c>
      <c r="O46" s="37">
        <v>3</v>
      </c>
      <c r="P46" s="37">
        <v>14</v>
      </c>
      <c r="Q46" s="37">
        <v>15</v>
      </c>
      <c r="R46" s="37">
        <v>33.33</v>
      </c>
      <c r="S46" s="37">
        <v>0</v>
      </c>
      <c r="T46" s="37">
        <v>66.67</v>
      </c>
      <c r="U46" s="37">
        <v>41.38</v>
      </c>
      <c r="V46" s="37">
        <v>10.34</v>
      </c>
      <c r="W46" s="37">
        <v>48.28</v>
      </c>
      <c r="X46" s="37">
        <v>26.67</v>
      </c>
      <c r="Y46" s="37">
        <v>16.670000000000002</v>
      </c>
      <c r="Z46" s="37">
        <v>56.67</v>
      </c>
      <c r="AA46" s="37">
        <v>57.14</v>
      </c>
      <c r="AB46" s="37">
        <v>13.33</v>
      </c>
      <c r="AC46" s="24">
        <f t="shared" si="1"/>
        <v>-6.0150000000000023</v>
      </c>
      <c r="AD46" s="25">
        <f t="shared" si="2"/>
        <v>6.0150000000000023</v>
      </c>
      <c r="AE46" s="23" t="str">
        <f t="shared" si="3"/>
        <v>Loss</v>
      </c>
      <c r="AF46" s="23" t="str">
        <f t="shared" si="4"/>
        <v>Win</v>
      </c>
      <c r="AG46" s="23" t="str">
        <f t="shared" si="5"/>
        <v>Loss</v>
      </c>
      <c r="AH46" s="23">
        <f t="shared" si="6"/>
        <v>-50</v>
      </c>
      <c r="AI46" s="23">
        <f t="shared" si="7"/>
        <v>136</v>
      </c>
      <c r="AJ46" s="23">
        <f t="shared" si="8"/>
        <v>-50</v>
      </c>
    </row>
    <row r="47" spans="1:36" x14ac:dyDescent="0.2">
      <c r="A47" s="36">
        <v>43615</v>
      </c>
      <c r="B47" s="37" t="s">
        <v>227</v>
      </c>
      <c r="C47" s="37" t="s">
        <v>228</v>
      </c>
      <c r="D47" s="37" t="s">
        <v>232</v>
      </c>
      <c r="E47" s="37" t="s">
        <v>233</v>
      </c>
      <c r="F47" s="37" t="s">
        <v>234</v>
      </c>
      <c r="G47" s="37">
        <v>4</v>
      </c>
      <c r="H47" s="37">
        <v>0</v>
      </c>
      <c r="I47" s="37">
        <v>1.04</v>
      </c>
      <c r="J47" s="37">
        <v>10.79</v>
      </c>
      <c r="K47" s="37">
        <v>19.78</v>
      </c>
      <c r="L47" s="37">
        <v>-18.739999999999998</v>
      </c>
      <c r="M47" s="37">
        <v>32</v>
      </c>
      <c r="N47" s="37">
        <v>33</v>
      </c>
      <c r="O47" s="37">
        <v>3</v>
      </c>
      <c r="P47" s="37">
        <v>17</v>
      </c>
      <c r="Q47" s="37">
        <v>16</v>
      </c>
      <c r="R47" s="37">
        <v>100</v>
      </c>
      <c r="S47" s="37">
        <v>0</v>
      </c>
      <c r="T47" s="37">
        <v>0</v>
      </c>
      <c r="U47" s="37">
        <v>78.13</v>
      </c>
      <c r="V47" s="37">
        <v>6.25</v>
      </c>
      <c r="W47" s="37">
        <v>15.63</v>
      </c>
      <c r="X47" s="37">
        <v>24.24</v>
      </c>
      <c r="Y47" s="37">
        <v>12.12</v>
      </c>
      <c r="Z47" s="37">
        <v>63.64</v>
      </c>
      <c r="AA47" s="37">
        <v>82.35</v>
      </c>
      <c r="AB47" s="37">
        <v>25</v>
      </c>
      <c r="AC47" s="24">
        <f t="shared" si="1"/>
        <v>49.792999999999999</v>
      </c>
      <c r="AD47" s="25">
        <f t="shared" si="2"/>
        <v>-49.792999999999999</v>
      </c>
      <c r="AE47" s="23" t="str">
        <f t="shared" si="3"/>
        <v>Win</v>
      </c>
      <c r="AF47" s="23" t="str">
        <f t="shared" si="4"/>
        <v>Loss</v>
      </c>
      <c r="AG47" s="23" t="str">
        <f t="shared" si="5"/>
        <v>Loss</v>
      </c>
      <c r="AH47" s="23">
        <f t="shared" si="6"/>
        <v>2</v>
      </c>
      <c r="AI47" s="23">
        <f t="shared" si="7"/>
        <v>-50</v>
      </c>
      <c r="AJ47" s="23">
        <f t="shared" si="8"/>
        <v>-50</v>
      </c>
    </row>
    <row r="48" spans="1:36" x14ac:dyDescent="0.2">
      <c r="A48" s="36">
        <v>43615</v>
      </c>
      <c r="B48" s="37" t="s">
        <v>235</v>
      </c>
      <c r="C48" s="37" t="s">
        <v>236</v>
      </c>
      <c r="D48" s="37" t="s">
        <v>237</v>
      </c>
      <c r="E48" s="37" t="s">
        <v>238</v>
      </c>
      <c r="F48" s="37" t="s">
        <v>239</v>
      </c>
      <c r="G48" s="37">
        <v>1</v>
      </c>
      <c r="H48" s="37">
        <v>0</v>
      </c>
      <c r="I48" s="37">
        <v>2.4700000000000002</v>
      </c>
      <c r="J48" s="37">
        <v>3.45</v>
      </c>
      <c r="K48" s="37">
        <v>2.42</v>
      </c>
      <c r="L48" s="37">
        <v>0.05</v>
      </c>
      <c r="M48" s="37">
        <v>55</v>
      </c>
      <c r="N48" s="37">
        <v>57</v>
      </c>
      <c r="O48" s="37">
        <v>2</v>
      </c>
      <c r="P48" s="37">
        <v>28</v>
      </c>
      <c r="Q48" s="37">
        <v>28</v>
      </c>
      <c r="R48" s="37">
        <v>100</v>
      </c>
      <c r="S48" s="37">
        <v>0</v>
      </c>
      <c r="T48" s="37">
        <v>0</v>
      </c>
      <c r="U48" s="37">
        <v>25.45</v>
      </c>
      <c r="V48" s="37">
        <v>20</v>
      </c>
      <c r="W48" s="37">
        <v>54.55</v>
      </c>
      <c r="X48" s="37">
        <v>36.840000000000003</v>
      </c>
      <c r="Y48" s="37">
        <v>22.81</v>
      </c>
      <c r="Z48" s="37">
        <v>40.35</v>
      </c>
      <c r="AA48" s="37">
        <v>32.14</v>
      </c>
      <c r="AB48" s="37">
        <v>25</v>
      </c>
      <c r="AC48" s="24">
        <f t="shared" si="1"/>
        <v>24.601000000000003</v>
      </c>
      <c r="AD48" s="25">
        <f t="shared" si="2"/>
        <v>-24.601000000000003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73.500000000000014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43615</v>
      </c>
      <c r="B49" s="37" t="s">
        <v>235</v>
      </c>
      <c r="C49" s="37" t="s">
        <v>240</v>
      </c>
      <c r="D49" s="37" t="s">
        <v>241</v>
      </c>
      <c r="E49" s="37" t="s">
        <v>242</v>
      </c>
      <c r="F49" s="37" t="s">
        <v>243</v>
      </c>
      <c r="G49" s="37">
        <v>1</v>
      </c>
      <c r="H49" s="37">
        <v>2</v>
      </c>
      <c r="I49" s="37">
        <v>4.07</v>
      </c>
      <c r="J49" s="37">
        <v>3.85</v>
      </c>
      <c r="K49" s="37">
        <v>1.63</v>
      </c>
      <c r="L49" s="37">
        <v>2.44</v>
      </c>
      <c r="M49" s="37">
        <v>8</v>
      </c>
      <c r="N49" s="37">
        <v>33</v>
      </c>
      <c r="O49" s="37">
        <v>0</v>
      </c>
      <c r="P49" s="37">
        <v>4</v>
      </c>
      <c r="Q49" s="37">
        <v>16</v>
      </c>
      <c r="R49" s="37">
        <v>0</v>
      </c>
      <c r="S49" s="37">
        <v>0</v>
      </c>
      <c r="T49" s="37">
        <v>0</v>
      </c>
      <c r="U49" s="37">
        <v>25</v>
      </c>
      <c r="V49" s="37">
        <v>37.5</v>
      </c>
      <c r="W49" s="37">
        <v>37.5</v>
      </c>
      <c r="X49" s="37">
        <v>54.55</v>
      </c>
      <c r="Y49" s="37">
        <v>3.03</v>
      </c>
      <c r="Z49" s="37">
        <v>42.42</v>
      </c>
      <c r="AA49" s="37">
        <v>0</v>
      </c>
      <c r="AB49" s="37">
        <v>43.75</v>
      </c>
      <c r="AC49" s="24">
        <f t="shared" si="1"/>
        <v>-1.479000000000001</v>
      </c>
      <c r="AD49" s="25">
        <f t="shared" si="2"/>
        <v>1.479000000000001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23">
        <f t="shared" si="8"/>
        <v>31.5</v>
      </c>
    </row>
    <row r="50" spans="1:36" x14ac:dyDescent="0.2">
      <c r="A50" s="36">
        <v>43615</v>
      </c>
      <c r="B50" s="37" t="s">
        <v>235</v>
      </c>
      <c r="C50" s="37" t="s">
        <v>244</v>
      </c>
      <c r="D50" s="37" t="s">
        <v>245</v>
      </c>
      <c r="E50" s="37" t="s">
        <v>246</v>
      </c>
      <c r="F50" s="37" t="s">
        <v>247</v>
      </c>
      <c r="G50" s="37">
        <v>0</v>
      </c>
      <c r="H50" s="37">
        <v>3</v>
      </c>
      <c r="I50" s="37">
        <v>5.5</v>
      </c>
      <c r="J50" s="37">
        <v>5.5</v>
      </c>
      <c r="K50" s="37">
        <v>1.3</v>
      </c>
      <c r="L50" s="37">
        <v>4.2</v>
      </c>
      <c r="M50" s="37">
        <v>28</v>
      </c>
      <c r="N50" s="37">
        <v>29</v>
      </c>
      <c r="O50" s="37">
        <v>2</v>
      </c>
      <c r="P50" s="37">
        <v>12</v>
      </c>
      <c r="Q50" s="37">
        <v>14</v>
      </c>
      <c r="R50" s="37">
        <v>50</v>
      </c>
      <c r="S50" s="37">
        <v>0</v>
      </c>
      <c r="T50" s="37">
        <v>50</v>
      </c>
      <c r="U50" s="37">
        <v>35.71</v>
      </c>
      <c r="V50" s="37">
        <v>7.14</v>
      </c>
      <c r="W50" s="37">
        <v>57.14</v>
      </c>
      <c r="X50" s="37">
        <v>37.93</v>
      </c>
      <c r="Y50" s="37">
        <v>17.239999999999998</v>
      </c>
      <c r="Z50" s="37">
        <v>44.83</v>
      </c>
      <c r="AA50" s="37">
        <v>41.67</v>
      </c>
      <c r="AB50" s="37">
        <v>28.57</v>
      </c>
      <c r="AC50" s="24">
        <f t="shared" si="1"/>
        <v>-3.9160000000000021</v>
      </c>
      <c r="AD50" s="25">
        <f t="shared" si="2"/>
        <v>3.9160000000000021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15</v>
      </c>
    </row>
    <row r="51" spans="1:36" x14ac:dyDescent="0.2">
      <c r="A51" s="36">
        <v>43615</v>
      </c>
      <c r="B51" s="37" t="s">
        <v>235</v>
      </c>
      <c r="C51" s="37" t="s">
        <v>244</v>
      </c>
      <c r="D51" s="37" t="s">
        <v>248</v>
      </c>
      <c r="E51" s="37" t="s">
        <v>249</v>
      </c>
      <c r="F51" s="37" t="s">
        <v>250</v>
      </c>
      <c r="G51" s="37">
        <v>1</v>
      </c>
      <c r="H51" s="37">
        <v>2</v>
      </c>
      <c r="I51" s="37">
        <v>2.54</v>
      </c>
      <c r="J51" s="37">
        <v>3.66</v>
      </c>
      <c r="K51" s="37">
        <v>2.2599999999999998</v>
      </c>
      <c r="L51" s="37">
        <v>0.28000000000000003</v>
      </c>
      <c r="M51" s="37">
        <v>9</v>
      </c>
      <c r="N51" s="37">
        <v>30</v>
      </c>
      <c r="O51" s="37">
        <v>0</v>
      </c>
      <c r="P51" s="37">
        <v>4</v>
      </c>
      <c r="Q51" s="37">
        <v>15</v>
      </c>
      <c r="R51" s="37">
        <v>0</v>
      </c>
      <c r="S51" s="37">
        <v>0</v>
      </c>
      <c r="T51" s="37">
        <v>0</v>
      </c>
      <c r="U51" s="37">
        <v>22.22</v>
      </c>
      <c r="V51" s="37">
        <v>33.33</v>
      </c>
      <c r="W51" s="37">
        <v>44.44</v>
      </c>
      <c r="X51" s="37">
        <v>36.67</v>
      </c>
      <c r="Y51" s="37">
        <v>36.67</v>
      </c>
      <c r="Z51" s="37">
        <v>26.67</v>
      </c>
      <c r="AA51" s="37">
        <v>25</v>
      </c>
      <c r="AB51" s="37">
        <v>26.67</v>
      </c>
      <c r="AC51" s="24">
        <f t="shared" si="1"/>
        <v>-6.7779999999999996</v>
      </c>
      <c r="AD51" s="25">
        <f t="shared" si="2"/>
        <v>6.7779999999999996</v>
      </c>
      <c r="AE51" s="23" t="str">
        <f t="shared" si="3"/>
        <v>Loss</v>
      </c>
      <c r="AF51" s="23" t="str">
        <f t="shared" si="4"/>
        <v>Loss</v>
      </c>
      <c r="AG51" s="23" t="str">
        <f t="shared" si="5"/>
        <v>Win</v>
      </c>
      <c r="AH51" s="23">
        <f t="shared" si="6"/>
        <v>-50</v>
      </c>
      <c r="AI51" s="23">
        <f t="shared" si="7"/>
        <v>-50</v>
      </c>
      <c r="AJ51" s="23">
        <f t="shared" si="8"/>
        <v>62.999999999999986</v>
      </c>
    </row>
    <row r="52" spans="1:36" x14ac:dyDescent="0.2">
      <c r="A52" s="36">
        <v>43615</v>
      </c>
      <c r="B52" s="37" t="s">
        <v>251</v>
      </c>
      <c r="C52" s="37" t="s">
        <v>252</v>
      </c>
      <c r="D52" s="37" t="s">
        <v>253</v>
      </c>
      <c r="E52" s="37" t="s">
        <v>254</v>
      </c>
      <c r="F52" s="37" t="s">
        <v>255</v>
      </c>
      <c r="G52" s="37">
        <v>2</v>
      </c>
      <c r="H52" s="37">
        <v>3</v>
      </c>
      <c r="I52" s="37">
        <v>4.67</v>
      </c>
      <c r="J52" s="37">
        <v>3.6</v>
      </c>
      <c r="K52" s="37">
        <v>1.68</v>
      </c>
      <c r="L52" s="37">
        <v>2.99</v>
      </c>
      <c r="M52" s="37">
        <v>13</v>
      </c>
      <c r="N52" s="37">
        <v>12</v>
      </c>
      <c r="O52" s="37">
        <v>0</v>
      </c>
      <c r="P52" s="37">
        <v>7</v>
      </c>
      <c r="Q52" s="37">
        <v>6</v>
      </c>
      <c r="R52" s="37">
        <v>0</v>
      </c>
      <c r="S52" s="37">
        <v>0</v>
      </c>
      <c r="T52" s="37">
        <v>0</v>
      </c>
      <c r="U52" s="37">
        <v>30.77</v>
      </c>
      <c r="V52" s="37">
        <v>7.69</v>
      </c>
      <c r="W52" s="37">
        <v>61.54</v>
      </c>
      <c r="X52" s="37">
        <v>41.67</v>
      </c>
      <c r="Y52" s="37">
        <v>25</v>
      </c>
      <c r="Z52" s="37">
        <v>33.33</v>
      </c>
      <c r="AA52" s="37">
        <v>28.57</v>
      </c>
      <c r="AB52" s="37">
        <v>33.33</v>
      </c>
      <c r="AC52" s="24">
        <f t="shared" si="1"/>
        <v>-9.5530000000000008</v>
      </c>
      <c r="AD52" s="25">
        <f t="shared" si="2"/>
        <v>9.5530000000000008</v>
      </c>
      <c r="AE52" s="23" t="str">
        <f t="shared" si="3"/>
        <v>Loss</v>
      </c>
      <c r="AF52" s="23" t="str">
        <f t="shared" si="4"/>
        <v>Loss</v>
      </c>
      <c r="AG52" s="23" t="str">
        <f t="shared" si="5"/>
        <v>Win</v>
      </c>
      <c r="AH52" s="23">
        <f t="shared" si="6"/>
        <v>-50</v>
      </c>
      <c r="AI52" s="23">
        <f t="shared" si="7"/>
        <v>-50</v>
      </c>
      <c r="AJ52" s="23">
        <f t="shared" si="8"/>
        <v>34</v>
      </c>
    </row>
    <row r="53" spans="1:36" x14ac:dyDescent="0.2">
      <c r="A53" s="36">
        <v>43615</v>
      </c>
      <c r="B53" s="37" t="s">
        <v>227</v>
      </c>
      <c r="C53" s="37" t="s">
        <v>256</v>
      </c>
      <c r="D53" s="37" t="s">
        <v>257</v>
      </c>
      <c r="E53" s="37" t="s">
        <v>258</v>
      </c>
      <c r="F53" s="37" t="s">
        <v>259</v>
      </c>
      <c r="G53" s="37">
        <v>1</v>
      </c>
      <c r="H53" s="37">
        <v>3</v>
      </c>
      <c r="I53" s="37">
        <v>4.71</v>
      </c>
      <c r="J53" s="37">
        <v>3.83</v>
      </c>
      <c r="K53" s="37">
        <v>1.6</v>
      </c>
      <c r="L53" s="37">
        <v>3.11</v>
      </c>
      <c r="M53" s="37">
        <v>28</v>
      </c>
      <c r="N53" s="37">
        <v>49</v>
      </c>
      <c r="O53" s="37">
        <v>3</v>
      </c>
      <c r="P53" s="37">
        <v>14</v>
      </c>
      <c r="Q53" s="37">
        <v>23</v>
      </c>
      <c r="R53" s="37">
        <v>33.33</v>
      </c>
      <c r="S53" s="37">
        <v>33.33</v>
      </c>
      <c r="T53" s="37">
        <v>33.33</v>
      </c>
      <c r="U53" s="37">
        <v>39.29</v>
      </c>
      <c r="V53" s="37">
        <v>10.71</v>
      </c>
      <c r="W53" s="37">
        <v>50</v>
      </c>
      <c r="X53" s="37">
        <v>32.65</v>
      </c>
      <c r="Y53" s="37">
        <v>38.78</v>
      </c>
      <c r="Z53" s="37">
        <v>28.57</v>
      </c>
      <c r="AA53" s="37">
        <v>35.71</v>
      </c>
      <c r="AB53" s="37">
        <v>30.43</v>
      </c>
      <c r="AC53" s="24">
        <f t="shared" si="1"/>
        <v>-2.4320000000000004</v>
      </c>
      <c r="AD53" s="25">
        <f t="shared" si="2"/>
        <v>9.0980000000000008</v>
      </c>
      <c r="AE53" s="23" t="str">
        <f t="shared" si="3"/>
        <v>Loss</v>
      </c>
      <c r="AF53" s="23" t="str">
        <f t="shared" si="4"/>
        <v>Loss</v>
      </c>
      <c r="AG53" s="23" t="str">
        <f t="shared" si="5"/>
        <v>Win</v>
      </c>
      <c r="AH53" s="23">
        <f t="shared" si="6"/>
        <v>-50</v>
      </c>
      <c r="AI53" s="23">
        <f t="shared" si="7"/>
        <v>-50</v>
      </c>
      <c r="AJ53" s="23">
        <f t="shared" si="8"/>
        <v>30</v>
      </c>
    </row>
    <row r="54" spans="1:36" x14ac:dyDescent="0.2">
      <c r="A54" s="36">
        <v>43615</v>
      </c>
      <c r="B54" s="37" t="s">
        <v>227</v>
      </c>
      <c r="C54" s="37" t="s">
        <v>256</v>
      </c>
      <c r="D54" s="37" t="s">
        <v>260</v>
      </c>
      <c r="E54" s="37" t="s">
        <v>261</v>
      </c>
      <c r="F54" s="37" t="s">
        <v>262</v>
      </c>
      <c r="G54" s="37">
        <v>1</v>
      </c>
      <c r="H54" s="37">
        <v>2</v>
      </c>
      <c r="I54" s="37">
        <v>1.82</v>
      </c>
      <c r="J54" s="37">
        <v>3.8</v>
      </c>
      <c r="K54" s="37">
        <v>3.48</v>
      </c>
      <c r="L54" s="37">
        <v>-1.66</v>
      </c>
      <c r="M54" s="37">
        <v>53</v>
      </c>
      <c r="N54" s="37">
        <v>50</v>
      </c>
      <c r="O54" s="37">
        <v>2</v>
      </c>
      <c r="P54" s="37">
        <v>26</v>
      </c>
      <c r="Q54" s="37">
        <v>25</v>
      </c>
      <c r="R54" s="37">
        <v>50</v>
      </c>
      <c r="S54" s="37">
        <v>50</v>
      </c>
      <c r="T54" s="37">
        <v>0</v>
      </c>
      <c r="U54" s="37">
        <v>41.51</v>
      </c>
      <c r="V54" s="37">
        <v>26.42</v>
      </c>
      <c r="W54" s="37">
        <v>32.08</v>
      </c>
      <c r="X54" s="37">
        <v>38</v>
      </c>
      <c r="Y54" s="37">
        <v>26</v>
      </c>
      <c r="Z54" s="37">
        <v>36</v>
      </c>
      <c r="AA54" s="37">
        <v>46.15</v>
      </c>
      <c r="AB54" s="37">
        <v>28</v>
      </c>
      <c r="AC54" s="24">
        <f t="shared" si="1"/>
        <v>21.527999999999999</v>
      </c>
      <c r="AD54" s="25">
        <f t="shared" si="2"/>
        <v>-11.527999999999999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124</v>
      </c>
    </row>
    <row r="55" spans="1:36" x14ac:dyDescent="0.2">
      <c r="A55" s="36">
        <v>43615</v>
      </c>
      <c r="B55" s="37" t="s">
        <v>227</v>
      </c>
      <c r="C55" s="37" t="s">
        <v>256</v>
      </c>
      <c r="D55" s="37" t="s">
        <v>263</v>
      </c>
      <c r="E55" s="37" t="s">
        <v>264</v>
      </c>
      <c r="F55" s="37" t="s">
        <v>265</v>
      </c>
      <c r="G55" s="37">
        <v>0</v>
      </c>
      <c r="H55" s="37">
        <v>0</v>
      </c>
      <c r="I55" s="37">
        <v>1.91</v>
      </c>
      <c r="J55" s="37">
        <v>3.69</v>
      </c>
      <c r="K55" s="37">
        <v>3.35</v>
      </c>
      <c r="L55" s="37">
        <v>-1.44</v>
      </c>
      <c r="M55" s="37">
        <v>26</v>
      </c>
      <c r="N55" s="37">
        <v>50</v>
      </c>
      <c r="O55" s="37">
        <v>0</v>
      </c>
      <c r="P55" s="37">
        <v>13</v>
      </c>
      <c r="Q55" s="37">
        <v>24</v>
      </c>
      <c r="R55" s="37">
        <v>0</v>
      </c>
      <c r="S55" s="37">
        <v>0</v>
      </c>
      <c r="T55" s="37">
        <v>0</v>
      </c>
      <c r="U55" s="37">
        <v>46.15</v>
      </c>
      <c r="V55" s="37">
        <v>26.92</v>
      </c>
      <c r="W55" s="37">
        <v>26.92</v>
      </c>
      <c r="X55" s="37">
        <v>40</v>
      </c>
      <c r="Y55" s="37">
        <v>20</v>
      </c>
      <c r="Z55" s="37">
        <v>40</v>
      </c>
      <c r="AA55" s="37">
        <v>46.15</v>
      </c>
      <c r="AB55" s="37">
        <v>37.5</v>
      </c>
      <c r="AC55" s="24">
        <f t="shared" si="1"/>
        <v>4.5380000000000003</v>
      </c>
      <c r="AD55" s="25">
        <f t="shared" si="2"/>
        <v>-4.5380000000000003</v>
      </c>
      <c r="AE55" s="23" t="str">
        <f t="shared" si="3"/>
        <v>Loss</v>
      </c>
      <c r="AF55" s="23" t="str">
        <f t="shared" si="4"/>
        <v>Win</v>
      </c>
      <c r="AG55" s="23" t="str">
        <f t="shared" si="5"/>
        <v>Loss</v>
      </c>
      <c r="AH55" s="23">
        <f t="shared" si="6"/>
        <v>-50</v>
      </c>
      <c r="AI55" s="23">
        <f t="shared" si="7"/>
        <v>134.5</v>
      </c>
      <c r="AJ55" s="23">
        <f t="shared" si="8"/>
        <v>-50</v>
      </c>
    </row>
    <row r="56" spans="1:36" x14ac:dyDescent="0.2">
      <c r="A56" s="36">
        <v>43615</v>
      </c>
      <c r="B56" s="37" t="s">
        <v>227</v>
      </c>
      <c r="C56" s="37" t="s">
        <v>256</v>
      </c>
      <c r="D56" s="37" t="s">
        <v>266</v>
      </c>
      <c r="E56" s="37" t="s">
        <v>267</v>
      </c>
      <c r="F56" s="37" t="s">
        <v>268</v>
      </c>
      <c r="G56" s="37">
        <v>1</v>
      </c>
      <c r="H56" s="37">
        <v>0</v>
      </c>
      <c r="I56" s="37">
        <v>2.5299999999999998</v>
      </c>
      <c r="J56" s="37">
        <v>3.77</v>
      </c>
      <c r="K56" s="37">
        <v>2.2999999999999998</v>
      </c>
      <c r="L56" s="37">
        <v>0.23</v>
      </c>
      <c r="M56" s="37">
        <v>51</v>
      </c>
      <c r="N56" s="37">
        <v>6</v>
      </c>
      <c r="O56" s="37">
        <v>0</v>
      </c>
      <c r="P56" s="37">
        <v>24</v>
      </c>
      <c r="Q56" s="37">
        <v>3</v>
      </c>
      <c r="R56" s="37">
        <v>0</v>
      </c>
      <c r="S56" s="37">
        <v>0</v>
      </c>
      <c r="T56" s="37">
        <v>0</v>
      </c>
      <c r="U56" s="37">
        <v>17.649999999999999</v>
      </c>
      <c r="V56" s="37">
        <v>25.49</v>
      </c>
      <c r="W56" s="37">
        <v>56.86</v>
      </c>
      <c r="X56" s="37">
        <v>16.670000000000002</v>
      </c>
      <c r="Y56" s="37">
        <v>33.33</v>
      </c>
      <c r="Z56" s="37">
        <v>50</v>
      </c>
      <c r="AA56" s="37">
        <v>12.5</v>
      </c>
      <c r="AB56" s="37">
        <v>33.33</v>
      </c>
      <c r="AC56" s="24">
        <f t="shared" si="1"/>
        <v>-1.9600000000000009</v>
      </c>
      <c r="AD56" s="25">
        <f t="shared" si="2"/>
        <v>1.9600000000000009</v>
      </c>
      <c r="AE56" s="23" t="str">
        <f t="shared" si="3"/>
        <v>Win</v>
      </c>
      <c r="AF56" s="23" t="str">
        <f t="shared" si="4"/>
        <v>Loss</v>
      </c>
      <c r="AG56" s="23" t="str">
        <f t="shared" si="5"/>
        <v>Loss</v>
      </c>
      <c r="AH56" s="23">
        <f t="shared" si="6"/>
        <v>76.499999999999986</v>
      </c>
      <c r="AI56" s="23">
        <f t="shared" si="7"/>
        <v>-50</v>
      </c>
      <c r="AJ56" s="23">
        <f t="shared" si="8"/>
        <v>-50</v>
      </c>
    </row>
    <row r="57" spans="1:36" x14ac:dyDescent="0.2">
      <c r="A57" s="36">
        <v>43615</v>
      </c>
      <c r="B57" s="37" t="s">
        <v>227</v>
      </c>
      <c r="C57" s="37" t="s">
        <v>269</v>
      </c>
      <c r="D57" s="37" t="s">
        <v>270</v>
      </c>
      <c r="E57" s="37" t="s">
        <v>271</v>
      </c>
      <c r="F57" s="37" t="s">
        <v>272</v>
      </c>
      <c r="G57" s="37">
        <v>1</v>
      </c>
      <c r="H57" s="37">
        <v>2</v>
      </c>
      <c r="I57" s="37">
        <v>4.2300000000000004</v>
      </c>
      <c r="J57" s="37">
        <v>4.01</v>
      </c>
      <c r="K57" s="37">
        <v>1.64</v>
      </c>
      <c r="L57" s="37">
        <v>2.59</v>
      </c>
      <c r="M57" s="37">
        <v>26</v>
      </c>
      <c r="N57" s="37">
        <v>26</v>
      </c>
      <c r="O57" s="37">
        <v>0</v>
      </c>
      <c r="P57" s="37">
        <v>12</v>
      </c>
      <c r="Q57" s="37">
        <v>13</v>
      </c>
      <c r="R57" s="37">
        <v>0</v>
      </c>
      <c r="S57" s="37">
        <v>0</v>
      </c>
      <c r="T57" s="37">
        <v>0</v>
      </c>
      <c r="U57" s="37">
        <v>26.92</v>
      </c>
      <c r="V57" s="37">
        <v>19.23</v>
      </c>
      <c r="W57" s="37">
        <v>53.85</v>
      </c>
      <c r="X57" s="37">
        <v>50</v>
      </c>
      <c r="Y57" s="37">
        <v>11.54</v>
      </c>
      <c r="Z57" s="37">
        <v>38.46</v>
      </c>
      <c r="AA57" s="37">
        <v>33.33</v>
      </c>
      <c r="AB57" s="37">
        <v>46.15</v>
      </c>
      <c r="AC57" s="24">
        <f t="shared" si="1"/>
        <v>-6.9250000000000007</v>
      </c>
      <c r="AD57" s="25">
        <f t="shared" si="2"/>
        <v>6.9250000000000007</v>
      </c>
      <c r="AE57" s="23" t="str">
        <f t="shared" si="3"/>
        <v>Loss</v>
      </c>
      <c r="AF57" s="23" t="str">
        <f t="shared" si="4"/>
        <v>Loss</v>
      </c>
      <c r="AG57" s="23" t="str">
        <f t="shared" si="5"/>
        <v>Win</v>
      </c>
      <c r="AH57" s="23">
        <f t="shared" si="6"/>
        <v>-50</v>
      </c>
      <c r="AI57" s="23">
        <f t="shared" si="7"/>
        <v>-50</v>
      </c>
      <c r="AJ57" s="23">
        <f t="shared" si="8"/>
        <v>32</v>
      </c>
    </row>
    <row r="58" spans="1:36" x14ac:dyDescent="0.2">
      <c r="A58" s="36">
        <v>43615</v>
      </c>
      <c r="B58" s="37" t="s">
        <v>227</v>
      </c>
      <c r="C58" s="37" t="s">
        <v>269</v>
      </c>
      <c r="D58" s="37" t="s">
        <v>273</v>
      </c>
      <c r="E58" s="37" t="s">
        <v>274</v>
      </c>
      <c r="F58" s="37" t="s">
        <v>275</v>
      </c>
      <c r="G58" s="37">
        <v>0</v>
      </c>
      <c r="H58" s="37">
        <v>3</v>
      </c>
      <c r="I58" s="37">
        <v>7.1</v>
      </c>
      <c r="J58" s="37">
        <v>4.88</v>
      </c>
      <c r="K58" s="37">
        <v>1.32</v>
      </c>
      <c r="L58" s="37">
        <v>5.78</v>
      </c>
      <c r="M58" s="37">
        <v>31</v>
      </c>
      <c r="N58" s="37">
        <v>53</v>
      </c>
      <c r="O58" s="37">
        <v>0</v>
      </c>
      <c r="P58" s="37">
        <v>14</v>
      </c>
      <c r="Q58" s="37">
        <v>27</v>
      </c>
      <c r="R58" s="37">
        <v>0</v>
      </c>
      <c r="S58" s="37">
        <v>0</v>
      </c>
      <c r="T58" s="37">
        <v>0</v>
      </c>
      <c r="U58" s="37">
        <v>32.26</v>
      </c>
      <c r="V58" s="37">
        <v>22.58</v>
      </c>
      <c r="W58" s="37">
        <v>45.16</v>
      </c>
      <c r="X58" s="37">
        <v>47.17</v>
      </c>
      <c r="Y58" s="37">
        <v>26.42</v>
      </c>
      <c r="Z58" s="37">
        <v>26.42</v>
      </c>
      <c r="AA58" s="37">
        <v>42.86</v>
      </c>
      <c r="AB58" s="37">
        <v>40.74</v>
      </c>
      <c r="AC58" s="24">
        <f t="shared" si="1"/>
        <v>-7.113999999999999</v>
      </c>
      <c r="AD58" s="25">
        <f t="shared" si="2"/>
        <v>7.113999999999999</v>
      </c>
      <c r="AE58" s="23" t="str">
        <f t="shared" si="3"/>
        <v>Loss</v>
      </c>
      <c r="AF58" s="23" t="str">
        <f t="shared" si="4"/>
        <v>Loss</v>
      </c>
      <c r="AG58" s="23" t="str">
        <f t="shared" si="5"/>
        <v>Win</v>
      </c>
      <c r="AH58" s="23">
        <f t="shared" si="6"/>
        <v>-50</v>
      </c>
      <c r="AI58" s="23">
        <f t="shared" si="7"/>
        <v>-50</v>
      </c>
      <c r="AJ58" s="23">
        <f t="shared" si="8"/>
        <v>16</v>
      </c>
    </row>
    <row r="59" spans="1:36" x14ac:dyDescent="0.2">
      <c r="A59" s="36">
        <v>43615</v>
      </c>
      <c r="B59" s="37" t="s">
        <v>227</v>
      </c>
      <c r="C59" s="37" t="s">
        <v>269</v>
      </c>
      <c r="D59" s="37" t="s">
        <v>276</v>
      </c>
      <c r="E59" s="37" t="s">
        <v>277</v>
      </c>
      <c r="F59" s="37" t="s">
        <v>278</v>
      </c>
      <c r="G59" s="37">
        <v>1</v>
      </c>
      <c r="H59" s="37">
        <v>2</v>
      </c>
      <c r="I59" s="37">
        <v>2.68</v>
      </c>
      <c r="J59" s="37">
        <v>3.48</v>
      </c>
      <c r="K59" s="37">
        <v>2.2999999999999998</v>
      </c>
      <c r="L59" s="37">
        <v>0.38</v>
      </c>
      <c r="M59" s="37">
        <v>52</v>
      </c>
      <c r="N59" s="37">
        <v>56</v>
      </c>
      <c r="O59" s="37">
        <v>2</v>
      </c>
      <c r="P59" s="37">
        <v>27</v>
      </c>
      <c r="Q59" s="37">
        <v>26</v>
      </c>
      <c r="R59" s="37">
        <v>0</v>
      </c>
      <c r="S59" s="37">
        <v>0</v>
      </c>
      <c r="T59" s="37">
        <v>100</v>
      </c>
      <c r="U59" s="37">
        <v>34.619999999999997</v>
      </c>
      <c r="V59" s="37">
        <v>26.92</v>
      </c>
      <c r="W59" s="37">
        <v>38.46</v>
      </c>
      <c r="X59" s="37">
        <v>64.290000000000006</v>
      </c>
      <c r="Y59" s="37">
        <v>16.07</v>
      </c>
      <c r="Z59" s="37">
        <v>19.64</v>
      </c>
      <c r="AA59" s="37">
        <v>37.04</v>
      </c>
      <c r="AB59" s="37">
        <v>69.23</v>
      </c>
      <c r="AC59" s="24">
        <f t="shared" si="1"/>
        <v>-38.613000000000007</v>
      </c>
      <c r="AD59" s="25">
        <f t="shared" si="2"/>
        <v>38.613000000000007</v>
      </c>
      <c r="AE59" s="23" t="str">
        <f t="shared" si="3"/>
        <v>Loss</v>
      </c>
      <c r="AF59" s="23" t="str">
        <f t="shared" si="4"/>
        <v>Loss</v>
      </c>
      <c r="AG59" s="23" t="str">
        <f t="shared" si="5"/>
        <v>Win</v>
      </c>
      <c r="AH59" s="23">
        <f t="shared" si="6"/>
        <v>-50</v>
      </c>
      <c r="AI59" s="23">
        <f t="shared" si="7"/>
        <v>-50</v>
      </c>
      <c r="AJ59" s="23">
        <f t="shared" si="8"/>
        <v>64.999999999999986</v>
      </c>
    </row>
    <row r="60" spans="1:36" x14ac:dyDescent="0.2">
      <c r="A60" s="36">
        <v>43615</v>
      </c>
      <c r="B60" s="37" t="s">
        <v>227</v>
      </c>
      <c r="C60" s="37" t="s">
        <v>269</v>
      </c>
      <c r="D60" s="37" t="s">
        <v>279</v>
      </c>
      <c r="E60" s="37" t="s">
        <v>280</v>
      </c>
      <c r="F60" s="37" t="s">
        <v>281</v>
      </c>
      <c r="G60" s="37">
        <v>1</v>
      </c>
      <c r="H60" s="37">
        <v>3</v>
      </c>
      <c r="I60" s="37">
        <v>2</v>
      </c>
      <c r="J60" s="37">
        <v>3.63</v>
      </c>
      <c r="K60" s="37">
        <v>3.11</v>
      </c>
      <c r="L60" s="37">
        <v>-1.1100000000000001</v>
      </c>
      <c r="M60" s="37">
        <v>4</v>
      </c>
      <c r="N60" s="37">
        <v>27</v>
      </c>
      <c r="O60" s="37">
        <v>0</v>
      </c>
      <c r="P60" s="37">
        <v>2</v>
      </c>
      <c r="Q60" s="37">
        <v>13</v>
      </c>
      <c r="R60" s="37">
        <v>0</v>
      </c>
      <c r="S60" s="37">
        <v>0</v>
      </c>
      <c r="T60" s="37">
        <v>0</v>
      </c>
      <c r="U60" s="37">
        <v>50</v>
      </c>
      <c r="V60" s="37">
        <v>0</v>
      </c>
      <c r="W60" s="37">
        <v>50</v>
      </c>
      <c r="X60" s="37">
        <v>33.33</v>
      </c>
      <c r="Y60" s="37">
        <v>18.52</v>
      </c>
      <c r="Z60" s="37">
        <v>48.15</v>
      </c>
      <c r="AA60" s="37">
        <v>50</v>
      </c>
      <c r="AB60" s="37">
        <v>7.69</v>
      </c>
      <c r="AC60" s="24">
        <f t="shared" si="1"/>
        <v>1.1120000000000001</v>
      </c>
      <c r="AD60" s="25">
        <f t="shared" si="2"/>
        <v>-1.1120000000000001</v>
      </c>
      <c r="AE60" s="23" t="str">
        <f t="shared" si="3"/>
        <v>Loss</v>
      </c>
      <c r="AF60" s="23" t="str">
        <f t="shared" si="4"/>
        <v>Loss</v>
      </c>
      <c r="AG60" s="23" t="str">
        <f t="shared" si="5"/>
        <v>Win</v>
      </c>
      <c r="AH60" s="23">
        <f t="shared" si="6"/>
        <v>-50</v>
      </c>
      <c r="AI60" s="23">
        <f t="shared" si="7"/>
        <v>-50</v>
      </c>
      <c r="AJ60" s="23">
        <f t="shared" si="8"/>
        <v>105.5</v>
      </c>
    </row>
    <row r="61" spans="1:36" x14ac:dyDescent="0.2">
      <c r="A61" s="36">
        <v>43615</v>
      </c>
      <c r="B61" s="37" t="s">
        <v>227</v>
      </c>
      <c r="C61" s="37" t="s">
        <v>269</v>
      </c>
      <c r="D61" s="37" t="s">
        <v>282</v>
      </c>
      <c r="E61" s="37" t="s">
        <v>283</v>
      </c>
      <c r="F61" s="37" t="s">
        <v>284</v>
      </c>
      <c r="G61" s="37">
        <v>3</v>
      </c>
      <c r="H61" s="37">
        <v>0</v>
      </c>
      <c r="I61" s="37">
        <v>1.65</v>
      </c>
      <c r="J61" s="37">
        <v>4.05</v>
      </c>
      <c r="K61" s="37">
        <v>4.08</v>
      </c>
      <c r="L61" s="37">
        <v>-2.4300000000000002</v>
      </c>
      <c r="M61" s="37">
        <v>53</v>
      </c>
      <c r="N61" s="37">
        <v>5</v>
      </c>
      <c r="O61" s="37">
        <v>0</v>
      </c>
      <c r="P61" s="37">
        <v>26</v>
      </c>
      <c r="Q61" s="37">
        <v>1</v>
      </c>
      <c r="R61" s="37">
        <v>0</v>
      </c>
      <c r="S61" s="37">
        <v>0</v>
      </c>
      <c r="T61" s="37">
        <v>0</v>
      </c>
      <c r="U61" s="37">
        <v>37.74</v>
      </c>
      <c r="V61" s="37">
        <v>16.98</v>
      </c>
      <c r="W61" s="37">
        <v>45.28</v>
      </c>
      <c r="X61" s="37">
        <v>40</v>
      </c>
      <c r="Y61" s="37">
        <v>20</v>
      </c>
      <c r="Z61" s="37">
        <v>40</v>
      </c>
      <c r="AA61" s="37">
        <v>42.31</v>
      </c>
      <c r="AB61" s="37">
        <v>0</v>
      </c>
      <c r="AC61" s="24">
        <f t="shared" si="1"/>
        <v>-1.8100000000000005</v>
      </c>
      <c r="AD61" s="25">
        <f t="shared" si="2"/>
        <v>1.8100000000000005</v>
      </c>
      <c r="AE61" s="23" t="str">
        <f t="shared" si="3"/>
        <v>Win</v>
      </c>
      <c r="AF61" s="23" t="str">
        <f t="shared" si="4"/>
        <v>Loss</v>
      </c>
      <c r="AG61" s="23" t="str">
        <f t="shared" si="5"/>
        <v>Loss</v>
      </c>
      <c r="AH61" s="23">
        <f t="shared" si="6"/>
        <v>32.5</v>
      </c>
      <c r="AI61" s="23">
        <f t="shared" si="7"/>
        <v>-50</v>
      </c>
      <c r="AJ61" s="23">
        <f t="shared" si="8"/>
        <v>-50</v>
      </c>
    </row>
    <row r="62" spans="1:36" x14ac:dyDescent="0.2">
      <c r="A62" s="36">
        <v>43615</v>
      </c>
      <c r="B62" s="37" t="s">
        <v>227</v>
      </c>
      <c r="C62" s="37" t="s">
        <v>285</v>
      </c>
      <c r="D62" s="37" t="s">
        <v>286</v>
      </c>
      <c r="E62" s="37" t="s">
        <v>287</v>
      </c>
      <c r="F62" s="37" t="s">
        <v>288</v>
      </c>
      <c r="G62" s="37">
        <v>3</v>
      </c>
      <c r="H62" s="37">
        <v>0</v>
      </c>
      <c r="I62" s="37">
        <v>1.74</v>
      </c>
      <c r="J62" s="37">
        <v>3.86</v>
      </c>
      <c r="K62" s="37">
        <v>3.77</v>
      </c>
      <c r="L62" s="37">
        <v>-2.0299999999999998</v>
      </c>
      <c r="M62" s="37">
        <v>26</v>
      </c>
      <c r="N62" s="37">
        <v>4</v>
      </c>
      <c r="O62" s="37">
        <v>0</v>
      </c>
      <c r="P62" s="37">
        <v>12</v>
      </c>
      <c r="Q62" s="37">
        <v>2</v>
      </c>
      <c r="R62" s="37">
        <v>0</v>
      </c>
      <c r="S62" s="37">
        <v>0</v>
      </c>
      <c r="T62" s="37">
        <v>0</v>
      </c>
      <c r="U62" s="37">
        <v>30.77</v>
      </c>
      <c r="V62" s="37">
        <v>7.69</v>
      </c>
      <c r="W62" s="37">
        <v>61.54</v>
      </c>
      <c r="X62" s="37">
        <v>25</v>
      </c>
      <c r="Y62" s="37">
        <v>0</v>
      </c>
      <c r="Z62" s="37">
        <v>75</v>
      </c>
      <c r="AA62" s="37">
        <v>50</v>
      </c>
      <c r="AB62" s="37">
        <v>50</v>
      </c>
      <c r="AC62" s="24">
        <f t="shared" si="1"/>
        <v>4.6150000000000002</v>
      </c>
      <c r="AD62" s="25">
        <f t="shared" si="2"/>
        <v>-4.6150000000000002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37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43615</v>
      </c>
      <c r="B63" s="37" t="s">
        <v>227</v>
      </c>
      <c r="C63" s="37" t="s">
        <v>285</v>
      </c>
      <c r="D63" s="37" t="s">
        <v>289</v>
      </c>
      <c r="E63" s="37" t="s">
        <v>290</v>
      </c>
      <c r="F63" s="37" t="s">
        <v>291</v>
      </c>
      <c r="G63" s="37">
        <v>4</v>
      </c>
      <c r="H63" s="37">
        <v>1</v>
      </c>
      <c r="I63" s="37">
        <v>1.42</v>
      </c>
      <c r="J63" s="37">
        <v>4.7</v>
      </c>
      <c r="K63" s="37">
        <v>5.58</v>
      </c>
      <c r="L63" s="37">
        <v>-4.16</v>
      </c>
      <c r="M63" s="37">
        <v>55</v>
      </c>
      <c r="N63" s="37">
        <v>26</v>
      </c>
      <c r="O63" s="37">
        <v>2</v>
      </c>
      <c r="P63" s="37">
        <v>27</v>
      </c>
      <c r="Q63" s="37">
        <v>13</v>
      </c>
      <c r="R63" s="37">
        <v>100</v>
      </c>
      <c r="S63" s="37">
        <v>0</v>
      </c>
      <c r="T63" s="37">
        <v>0</v>
      </c>
      <c r="U63" s="37">
        <v>54.55</v>
      </c>
      <c r="V63" s="37">
        <v>16.36</v>
      </c>
      <c r="W63" s="37">
        <v>29.09</v>
      </c>
      <c r="X63" s="37">
        <v>23.08</v>
      </c>
      <c r="Y63" s="37">
        <v>30.77</v>
      </c>
      <c r="Z63" s="37">
        <v>46.15</v>
      </c>
      <c r="AA63" s="37">
        <v>66.67</v>
      </c>
      <c r="AB63" s="37">
        <v>15.38</v>
      </c>
      <c r="AC63" s="24">
        <f t="shared" si="1"/>
        <v>38.265000000000001</v>
      </c>
      <c r="AD63" s="25">
        <f t="shared" si="2"/>
        <v>-38.265000000000001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21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43615</v>
      </c>
      <c r="B64" s="37" t="s">
        <v>227</v>
      </c>
      <c r="C64" s="37" t="s">
        <v>285</v>
      </c>
      <c r="D64" s="37" t="s">
        <v>292</v>
      </c>
      <c r="E64" s="37" t="s">
        <v>293</v>
      </c>
      <c r="F64" s="37" t="s">
        <v>294</v>
      </c>
      <c r="G64" s="37">
        <v>3</v>
      </c>
      <c r="H64" s="37">
        <v>2</v>
      </c>
      <c r="I64" s="37">
        <v>3.11</v>
      </c>
      <c r="J64" s="37">
        <v>3.86</v>
      </c>
      <c r="K64" s="37">
        <v>1.95</v>
      </c>
      <c r="L64" s="37">
        <v>1.1599999999999999</v>
      </c>
      <c r="M64" s="37">
        <v>28</v>
      </c>
      <c r="N64" s="37">
        <v>26</v>
      </c>
      <c r="O64" s="37">
        <v>2</v>
      </c>
      <c r="P64" s="37">
        <v>15</v>
      </c>
      <c r="Q64" s="37">
        <v>12</v>
      </c>
      <c r="R64" s="37">
        <v>50</v>
      </c>
      <c r="S64" s="37">
        <v>0</v>
      </c>
      <c r="T64" s="37">
        <v>50</v>
      </c>
      <c r="U64" s="37">
        <v>53.57</v>
      </c>
      <c r="V64" s="37">
        <v>14.29</v>
      </c>
      <c r="W64" s="37">
        <v>32.14</v>
      </c>
      <c r="X64" s="37">
        <v>50</v>
      </c>
      <c r="Y64" s="37">
        <v>15.38</v>
      </c>
      <c r="Z64" s="37">
        <v>34.619999999999997</v>
      </c>
      <c r="AA64" s="37">
        <v>53.33</v>
      </c>
      <c r="AB64" s="37">
        <v>25</v>
      </c>
      <c r="AC64" s="24">
        <f t="shared" si="1"/>
        <v>1.1009999999999991</v>
      </c>
      <c r="AD64" s="25">
        <f t="shared" si="2"/>
        <v>-1.1009999999999991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105.5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43615</v>
      </c>
      <c r="B65" s="37" t="s">
        <v>227</v>
      </c>
      <c r="C65" s="37" t="s">
        <v>285</v>
      </c>
      <c r="D65" s="37" t="s">
        <v>295</v>
      </c>
      <c r="E65" s="37" t="s">
        <v>296</v>
      </c>
      <c r="F65" s="37" t="s">
        <v>297</v>
      </c>
      <c r="G65" s="37">
        <v>2</v>
      </c>
      <c r="H65" s="37">
        <v>0</v>
      </c>
      <c r="I65" s="37">
        <v>1.38</v>
      </c>
      <c r="J65" s="37">
        <v>4.91</v>
      </c>
      <c r="K65" s="37">
        <v>5.77</v>
      </c>
      <c r="L65" s="37">
        <v>-4.3899999999999997</v>
      </c>
      <c r="M65" s="37">
        <v>26</v>
      </c>
      <c r="N65" s="37">
        <v>4</v>
      </c>
      <c r="O65" s="37">
        <v>0</v>
      </c>
      <c r="P65" s="37">
        <v>13</v>
      </c>
      <c r="Q65" s="37">
        <v>1</v>
      </c>
      <c r="R65" s="37">
        <v>0</v>
      </c>
      <c r="S65" s="37">
        <v>0</v>
      </c>
      <c r="T65" s="37">
        <v>0</v>
      </c>
      <c r="U65" s="37">
        <v>23.08</v>
      </c>
      <c r="V65" s="37">
        <v>30.77</v>
      </c>
      <c r="W65" s="37">
        <v>46.15</v>
      </c>
      <c r="X65" s="37">
        <v>0</v>
      </c>
      <c r="Y65" s="37">
        <v>25</v>
      </c>
      <c r="Z65" s="37">
        <v>75</v>
      </c>
      <c r="AA65" s="37">
        <v>23.08</v>
      </c>
      <c r="AB65" s="37">
        <v>0</v>
      </c>
      <c r="AC65" s="24">
        <f t="shared" si="1"/>
        <v>10.962999999999999</v>
      </c>
      <c r="AD65" s="25">
        <f t="shared" si="2"/>
        <v>-10.962999999999999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19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43615</v>
      </c>
      <c r="B66" s="37" t="s">
        <v>227</v>
      </c>
      <c r="C66" s="37" t="s">
        <v>298</v>
      </c>
      <c r="D66" s="37" t="s">
        <v>299</v>
      </c>
      <c r="E66" s="37" t="s">
        <v>300</v>
      </c>
      <c r="F66" s="37" t="s">
        <v>301</v>
      </c>
      <c r="G66" s="37">
        <v>2</v>
      </c>
      <c r="H66" s="37">
        <v>1</v>
      </c>
      <c r="I66" s="37">
        <v>1.92</v>
      </c>
      <c r="J66" s="37">
        <v>3.57</v>
      </c>
      <c r="K66" s="37">
        <v>3.64</v>
      </c>
      <c r="L66" s="37">
        <v>-1.72</v>
      </c>
      <c r="M66" s="37">
        <v>25</v>
      </c>
      <c r="N66" s="37">
        <v>49</v>
      </c>
      <c r="O66" s="37">
        <v>3</v>
      </c>
      <c r="P66" s="37">
        <v>12</v>
      </c>
      <c r="Q66" s="37">
        <v>24</v>
      </c>
      <c r="R66" s="37">
        <v>33.33</v>
      </c>
      <c r="S66" s="37">
        <v>33.33</v>
      </c>
      <c r="T66" s="37">
        <v>33.33</v>
      </c>
      <c r="U66" s="37">
        <v>28</v>
      </c>
      <c r="V66" s="37">
        <v>36</v>
      </c>
      <c r="W66" s="37">
        <v>36</v>
      </c>
      <c r="X66" s="37">
        <v>38.78</v>
      </c>
      <c r="Y66" s="37">
        <v>18.37</v>
      </c>
      <c r="Z66" s="37">
        <v>42.86</v>
      </c>
      <c r="AA66" s="37">
        <v>41.67</v>
      </c>
      <c r="AB66" s="37">
        <v>33.33</v>
      </c>
      <c r="AC66" s="24">
        <f t="shared" si="1"/>
        <v>4.3119999999999994</v>
      </c>
      <c r="AD66" s="25">
        <f t="shared" si="2"/>
        <v>2.3539999999999974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46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43615</v>
      </c>
      <c r="B67" s="37" t="s">
        <v>227</v>
      </c>
      <c r="C67" s="37" t="s">
        <v>298</v>
      </c>
      <c r="D67" s="37" t="s">
        <v>302</v>
      </c>
      <c r="E67" s="37" t="s">
        <v>303</v>
      </c>
      <c r="F67" s="37" t="s">
        <v>304</v>
      </c>
      <c r="G67" s="37">
        <v>1</v>
      </c>
      <c r="H67" s="37">
        <v>1</v>
      </c>
      <c r="I67" s="37">
        <v>1.47</v>
      </c>
      <c r="J67" s="37">
        <v>4.26</v>
      </c>
      <c r="K67" s="37">
        <v>6.23</v>
      </c>
      <c r="L67" s="37">
        <v>-4.76</v>
      </c>
      <c r="M67" s="37">
        <v>25</v>
      </c>
      <c r="N67" s="37">
        <v>61</v>
      </c>
      <c r="O67" s="37">
        <v>0</v>
      </c>
      <c r="P67" s="37">
        <v>12</v>
      </c>
      <c r="Q67" s="37">
        <v>29</v>
      </c>
      <c r="R67" s="37">
        <v>0</v>
      </c>
      <c r="S67" s="37">
        <v>0</v>
      </c>
      <c r="T67" s="37">
        <v>0</v>
      </c>
      <c r="U67" s="37">
        <v>40</v>
      </c>
      <c r="V67" s="37">
        <v>32</v>
      </c>
      <c r="W67" s="37">
        <v>28</v>
      </c>
      <c r="X67" s="37">
        <v>50.82</v>
      </c>
      <c r="Y67" s="37">
        <v>18.03</v>
      </c>
      <c r="Z67" s="37">
        <v>31.15</v>
      </c>
      <c r="AA67" s="37">
        <v>41.67</v>
      </c>
      <c r="AB67" s="37">
        <v>41.38</v>
      </c>
      <c r="AC67" s="24">
        <f t="shared" si="1"/>
        <v>-0.13700000000000223</v>
      </c>
      <c r="AD67" s="25">
        <f t="shared" si="2"/>
        <v>0.13700000000000223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163</v>
      </c>
      <c r="AJ67" s="23">
        <f t="shared" si="8"/>
        <v>-50</v>
      </c>
    </row>
    <row r="68" spans="1:36" x14ac:dyDescent="0.2">
      <c r="A68" s="36">
        <v>43615</v>
      </c>
      <c r="B68" s="37" t="s">
        <v>305</v>
      </c>
      <c r="C68" s="37" t="s">
        <v>306</v>
      </c>
      <c r="D68" s="37" t="s">
        <v>307</v>
      </c>
      <c r="E68" s="37" t="s">
        <v>308</v>
      </c>
      <c r="F68" s="37" t="s">
        <v>309</v>
      </c>
      <c r="G68" s="37">
        <v>2</v>
      </c>
      <c r="H68" s="37">
        <v>2</v>
      </c>
      <c r="I68" s="37">
        <v>2.16</v>
      </c>
      <c r="J68" s="37">
        <v>3.72</v>
      </c>
      <c r="K68" s="37">
        <v>2.68</v>
      </c>
      <c r="L68" s="37">
        <v>-0.52</v>
      </c>
      <c r="M68" s="37">
        <v>61</v>
      </c>
      <c r="N68" s="37">
        <v>66</v>
      </c>
      <c r="O68" s="37">
        <v>0</v>
      </c>
      <c r="P68" s="37">
        <v>29</v>
      </c>
      <c r="Q68" s="37">
        <v>34</v>
      </c>
      <c r="R68" s="37">
        <v>0</v>
      </c>
      <c r="S68" s="37">
        <v>0</v>
      </c>
      <c r="T68" s="37">
        <v>0</v>
      </c>
      <c r="U68" s="37">
        <v>40.98</v>
      </c>
      <c r="V68" s="37">
        <v>26.23</v>
      </c>
      <c r="W68" s="37">
        <v>32.79</v>
      </c>
      <c r="X68" s="37">
        <v>36.36</v>
      </c>
      <c r="Y68" s="37">
        <v>22.73</v>
      </c>
      <c r="Z68" s="37">
        <v>40.909999999999997</v>
      </c>
      <c r="AA68" s="37">
        <v>44.83</v>
      </c>
      <c r="AB68" s="37">
        <v>20.59</v>
      </c>
      <c r="AC68" s="24">
        <f t="shared" si="1"/>
        <v>2.8979999999999997</v>
      </c>
      <c r="AD68" s="25">
        <f t="shared" si="2"/>
        <v>-2.8979999999999997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136</v>
      </c>
      <c r="AJ68" s="23">
        <f t="shared" si="8"/>
        <v>-50</v>
      </c>
    </row>
    <row r="69" spans="1:36" x14ac:dyDescent="0.2">
      <c r="A69" s="36">
        <v>43615</v>
      </c>
      <c r="B69" s="37" t="s">
        <v>305</v>
      </c>
      <c r="C69" s="37" t="s">
        <v>310</v>
      </c>
      <c r="D69" s="37" t="s">
        <v>311</v>
      </c>
      <c r="E69" s="37" t="s">
        <v>312</v>
      </c>
      <c r="F69" s="37" t="s">
        <v>313</v>
      </c>
      <c r="G69" s="37">
        <v>0</v>
      </c>
      <c r="H69" s="37">
        <v>1</v>
      </c>
      <c r="I69" s="37">
        <v>2.69</v>
      </c>
      <c r="J69" s="37">
        <v>3.55</v>
      </c>
      <c r="K69" s="37">
        <v>2.34</v>
      </c>
      <c r="L69" s="37">
        <v>0.35</v>
      </c>
      <c r="M69" s="37">
        <v>31</v>
      </c>
      <c r="N69" s="37">
        <v>63</v>
      </c>
      <c r="O69" s="37">
        <v>0</v>
      </c>
      <c r="P69" s="37">
        <v>16</v>
      </c>
      <c r="Q69" s="37">
        <v>31</v>
      </c>
      <c r="R69" s="37">
        <v>0</v>
      </c>
      <c r="S69" s="37">
        <v>0</v>
      </c>
      <c r="T69" s="37">
        <v>0</v>
      </c>
      <c r="U69" s="37">
        <v>67.739999999999995</v>
      </c>
      <c r="V69" s="37">
        <v>19.350000000000001</v>
      </c>
      <c r="W69" s="37">
        <v>12.9</v>
      </c>
      <c r="X69" s="37">
        <v>44.44</v>
      </c>
      <c r="Y69" s="37">
        <v>23.81</v>
      </c>
      <c r="Z69" s="37">
        <v>31.75</v>
      </c>
      <c r="AA69" s="37">
        <v>56.25</v>
      </c>
      <c r="AB69" s="37">
        <v>41.94</v>
      </c>
      <c r="AC69" s="24">
        <f t="shared" si="1"/>
        <v>7.9840000000000018</v>
      </c>
      <c r="AD69" s="25">
        <f t="shared" si="2"/>
        <v>-7.9840000000000018</v>
      </c>
      <c r="AE69" s="23" t="str">
        <f t="shared" si="3"/>
        <v>Loss</v>
      </c>
      <c r="AF69" s="23" t="str">
        <f t="shared" si="4"/>
        <v>Loss</v>
      </c>
      <c r="AG69" s="23" t="str">
        <f t="shared" si="5"/>
        <v>Win</v>
      </c>
      <c r="AH69" s="23">
        <f t="shared" si="6"/>
        <v>-50</v>
      </c>
      <c r="AI69" s="23">
        <f t="shared" si="7"/>
        <v>-50</v>
      </c>
      <c r="AJ69" s="23">
        <f t="shared" si="8"/>
        <v>67</v>
      </c>
    </row>
    <row r="70" spans="1:36" x14ac:dyDescent="0.2">
      <c r="A70" s="36">
        <v>43615</v>
      </c>
      <c r="B70" s="37" t="s">
        <v>305</v>
      </c>
      <c r="C70" s="37" t="s">
        <v>310</v>
      </c>
      <c r="D70" s="37" t="s">
        <v>314</v>
      </c>
      <c r="E70" s="37" t="s">
        <v>315</v>
      </c>
      <c r="F70" s="37" t="s">
        <v>316</v>
      </c>
      <c r="G70" s="37">
        <v>1</v>
      </c>
      <c r="H70" s="37">
        <v>1</v>
      </c>
      <c r="I70" s="37">
        <v>2.33</v>
      </c>
      <c r="J70" s="37">
        <v>3.6</v>
      </c>
      <c r="K70" s="37">
        <v>2.69</v>
      </c>
      <c r="L70" s="37">
        <v>-0.36</v>
      </c>
      <c r="M70" s="37">
        <v>56</v>
      </c>
      <c r="N70" s="37">
        <v>65</v>
      </c>
      <c r="O70" s="37">
        <v>2</v>
      </c>
      <c r="P70" s="37">
        <v>28</v>
      </c>
      <c r="Q70" s="37">
        <v>31</v>
      </c>
      <c r="R70" s="37">
        <v>50</v>
      </c>
      <c r="S70" s="37">
        <v>0</v>
      </c>
      <c r="T70" s="37">
        <v>50</v>
      </c>
      <c r="U70" s="37">
        <v>53.57</v>
      </c>
      <c r="V70" s="37">
        <v>26.79</v>
      </c>
      <c r="W70" s="37">
        <v>19.64</v>
      </c>
      <c r="X70" s="37">
        <v>30.77</v>
      </c>
      <c r="Y70" s="37">
        <v>16.920000000000002</v>
      </c>
      <c r="Z70" s="37">
        <v>52.31</v>
      </c>
      <c r="AA70" s="37">
        <v>64.290000000000006</v>
      </c>
      <c r="AB70" s="37">
        <v>29.03</v>
      </c>
      <c r="AC70" s="24">
        <f t="shared" si="1"/>
        <v>12.081000000000001</v>
      </c>
      <c r="AD70" s="25">
        <f t="shared" si="2"/>
        <v>-12.081000000000001</v>
      </c>
      <c r="AE70" s="23" t="str">
        <f t="shared" si="3"/>
        <v>Loss</v>
      </c>
      <c r="AF70" s="23" t="str">
        <f t="shared" si="4"/>
        <v>Win</v>
      </c>
      <c r="AG70" s="23" t="str">
        <f t="shared" si="5"/>
        <v>Loss</v>
      </c>
      <c r="AH70" s="23">
        <f t="shared" si="6"/>
        <v>-50</v>
      </c>
      <c r="AI70" s="23">
        <f t="shared" si="7"/>
        <v>130</v>
      </c>
      <c r="AJ70" s="23">
        <f t="shared" si="8"/>
        <v>-50</v>
      </c>
    </row>
    <row r="71" spans="1:36" x14ac:dyDescent="0.2">
      <c r="A71" s="36">
        <v>43615</v>
      </c>
      <c r="B71" s="37" t="s">
        <v>317</v>
      </c>
      <c r="C71" s="37" t="s">
        <v>318</v>
      </c>
      <c r="D71" s="37" t="s">
        <v>319</v>
      </c>
      <c r="E71" s="37" t="s">
        <v>320</v>
      </c>
      <c r="F71" s="37" t="s">
        <v>321</v>
      </c>
      <c r="G71" s="37">
        <v>2</v>
      </c>
      <c r="H71" s="37">
        <v>0</v>
      </c>
      <c r="I71" s="37">
        <v>2.44</v>
      </c>
      <c r="J71" s="37">
        <v>4.13</v>
      </c>
      <c r="K71" s="37">
        <v>2.27</v>
      </c>
      <c r="L71" s="37">
        <v>0.17</v>
      </c>
      <c r="M71" s="37">
        <v>33</v>
      </c>
      <c r="N71" s="37">
        <v>33</v>
      </c>
      <c r="O71" s="37">
        <v>0</v>
      </c>
      <c r="P71" s="37">
        <v>17</v>
      </c>
      <c r="Q71" s="37">
        <v>15</v>
      </c>
      <c r="R71" s="37">
        <v>0</v>
      </c>
      <c r="S71" s="37">
        <v>0</v>
      </c>
      <c r="T71" s="37">
        <v>0</v>
      </c>
      <c r="U71" s="37">
        <v>33.33</v>
      </c>
      <c r="V71" s="37">
        <v>30.3</v>
      </c>
      <c r="W71" s="37">
        <v>36.36</v>
      </c>
      <c r="X71" s="37">
        <v>51.52</v>
      </c>
      <c r="Y71" s="37">
        <v>12.12</v>
      </c>
      <c r="Z71" s="37">
        <v>36.36</v>
      </c>
      <c r="AA71" s="37">
        <v>29.41</v>
      </c>
      <c r="AB71" s="37">
        <v>40</v>
      </c>
      <c r="AC71" s="24">
        <f t="shared" si="1"/>
        <v>-1.8200000000000003</v>
      </c>
      <c r="AD71" s="25">
        <f t="shared" si="2"/>
        <v>1.8200000000000003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72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43615</v>
      </c>
      <c r="B72" s="37" t="s">
        <v>235</v>
      </c>
      <c r="C72" s="37" t="s">
        <v>322</v>
      </c>
      <c r="D72" s="37" t="s">
        <v>323</v>
      </c>
      <c r="E72" s="37" t="s">
        <v>324</v>
      </c>
      <c r="F72" s="37" t="s">
        <v>325</v>
      </c>
      <c r="G72" s="37">
        <v>2</v>
      </c>
      <c r="H72" s="37">
        <v>2</v>
      </c>
      <c r="I72" s="37">
        <v>2.33</v>
      </c>
      <c r="J72" s="37">
        <v>3.27</v>
      </c>
      <c r="K72" s="37">
        <v>2.86</v>
      </c>
      <c r="L72" s="37">
        <v>-0.53</v>
      </c>
      <c r="M72" s="37">
        <v>40</v>
      </c>
      <c r="N72" s="37">
        <v>40</v>
      </c>
      <c r="O72" s="37">
        <v>2</v>
      </c>
      <c r="P72" s="37">
        <v>19</v>
      </c>
      <c r="Q72" s="37">
        <v>20</v>
      </c>
      <c r="R72" s="37">
        <v>50</v>
      </c>
      <c r="S72" s="37">
        <v>0</v>
      </c>
      <c r="T72" s="37">
        <v>50</v>
      </c>
      <c r="U72" s="37">
        <v>45</v>
      </c>
      <c r="V72" s="37">
        <v>22.5</v>
      </c>
      <c r="W72" s="37">
        <v>32.5</v>
      </c>
      <c r="X72" s="37">
        <v>35</v>
      </c>
      <c r="Y72" s="37">
        <v>30</v>
      </c>
      <c r="Z72" s="37">
        <v>35</v>
      </c>
      <c r="AA72" s="37">
        <v>47.37</v>
      </c>
      <c r="AB72" s="37">
        <v>35</v>
      </c>
      <c r="AC72" s="24">
        <f t="shared" si="1"/>
        <v>1.75</v>
      </c>
      <c r="AD72" s="25">
        <f t="shared" si="2"/>
        <v>-1.75</v>
      </c>
      <c r="AE72" s="23" t="str">
        <f t="shared" si="3"/>
        <v>Loss</v>
      </c>
      <c r="AF72" s="23" t="str">
        <f t="shared" si="4"/>
        <v>Win</v>
      </c>
      <c r="AG72" s="23" t="str">
        <f t="shared" si="5"/>
        <v>Loss</v>
      </c>
      <c r="AH72" s="23">
        <f t="shared" si="6"/>
        <v>-50</v>
      </c>
      <c r="AI72" s="23">
        <f t="shared" si="7"/>
        <v>113.5</v>
      </c>
      <c r="AJ72" s="23">
        <f t="shared" si="8"/>
        <v>-50</v>
      </c>
    </row>
    <row r="73" spans="1:36" x14ac:dyDescent="0.2">
      <c r="A73" s="36">
        <v>43615</v>
      </c>
      <c r="B73" s="37" t="s">
        <v>235</v>
      </c>
      <c r="C73" s="37" t="s">
        <v>326</v>
      </c>
      <c r="D73" s="37" t="s">
        <v>327</v>
      </c>
      <c r="E73" s="37" t="s">
        <v>328</v>
      </c>
      <c r="F73" s="37" t="s">
        <v>329</v>
      </c>
      <c r="G73" s="37">
        <v>0</v>
      </c>
      <c r="H73" s="37">
        <v>0</v>
      </c>
      <c r="I73" s="37">
        <v>3.51</v>
      </c>
      <c r="J73" s="37">
        <v>3.97</v>
      </c>
      <c r="K73" s="37">
        <v>1.72</v>
      </c>
      <c r="L73" s="37">
        <v>1.79</v>
      </c>
      <c r="M73" s="37">
        <v>34</v>
      </c>
      <c r="N73" s="37">
        <v>8</v>
      </c>
      <c r="O73" s="37">
        <v>0</v>
      </c>
      <c r="P73" s="37">
        <v>17</v>
      </c>
      <c r="Q73" s="37">
        <v>4</v>
      </c>
      <c r="R73" s="37">
        <v>0</v>
      </c>
      <c r="S73" s="37">
        <v>0</v>
      </c>
      <c r="T73" s="37">
        <v>0</v>
      </c>
      <c r="U73" s="37">
        <v>23.53</v>
      </c>
      <c r="V73" s="37">
        <v>11.76</v>
      </c>
      <c r="W73" s="37">
        <v>64.709999999999994</v>
      </c>
      <c r="X73" s="37">
        <v>37.5</v>
      </c>
      <c r="Y73" s="37">
        <v>12.5</v>
      </c>
      <c r="Z73" s="37">
        <v>50</v>
      </c>
      <c r="AA73" s="37">
        <v>29.41</v>
      </c>
      <c r="AB73" s="37">
        <v>25</v>
      </c>
      <c r="AC73" s="24">
        <f t="shared" si="1"/>
        <v>-5.8099999999999987</v>
      </c>
      <c r="AD73" s="25">
        <f t="shared" si="2"/>
        <v>5.8099999999999987</v>
      </c>
      <c r="AE73" s="23" t="str">
        <f t="shared" si="3"/>
        <v>Loss</v>
      </c>
      <c r="AF73" s="23" t="str">
        <f t="shared" si="4"/>
        <v>Win</v>
      </c>
      <c r="AG73" s="23" t="str">
        <f t="shared" si="5"/>
        <v>Loss</v>
      </c>
      <c r="AH73" s="23">
        <f t="shared" si="6"/>
        <v>-50</v>
      </c>
      <c r="AI73" s="23">
        <f t="shared" si="7"/>
        <v>148.5</v>
      </c>
      <c r="AJ73" s="23">
        <f t="shared" si="8"/>
        <v>-50</v>
      </c>
    </row>
    <row r="74" spans="1:36" x14ac:dyDescent="0.2">
      <c r="A74" s="36">
        <v>43615</v>
      </c>
      <c r="B74" s="37" t="s">
        <v>235</v>
      </c>
      <c r="C74" s="37" t="s">
        <v>330</v>
      </c>
      <c r="D74" s="37" t="s">
        <v>331</v>
      </c>
      <c r="E74" s="37" t="s">
        <v>332</v>
      </c>
      <c r="F74" s="37" t="s">
        <v>333</v>
      </c>
      <c r="G74" s="37">
        <v>2</v>
      </c>
      <c r="H74" s="37">
        <v>7</v>
      </c>
      <c r="I74" s="37">
        <v>4.75</v>
      </c>
      <c r="J74" s="37">
        <v>4.29</v>
      </c>
      <c r="K74" s="37">
        <v>1.52</v>
      </c>
      <c r="L74" s="37">
        <v>3.23</v>
      </c>
      <c r="M74" s="37">
        <v>33</v>
      </c>
      <c r="N74" s="37">
        <v>33</v>
      </c>
      <c r="O74" s="37">
        <v>2</v>
      </c>
      <c r="P74" s="37">
        <v>16</v>
      </c>
      <c r="Q74" s="37">
        <v>17</v>
      </c>
      <c r="R74" s="37">
        <v>50</v>
      </c>
      <c r="S74" s="37">
        <v>50</v>
      </c>
      <c r="T74" s="37">
        <v>0</v>
      </c>
      <c r="U74" s="37">
        <v>30.3</v>
      </c>
      <c r="V74" s="37">
        <v>24.24</v>
      </c>
      <c r="W74" s="37">
        <v>45.45</v>
      </c>
      <c r="X74" s="37">
        <v>42.42</v>
      </c>
      <c r="Y74" s="37">
        <v>24.24</v>
      </c>
      <c r="Z74" s="37">
        <v>33.33</v>
      </c>
      <c r="AA74" s="37">
        <v>37.5</v>
      </c>
      <c r="AB74" s="37">
        <v>47.06</v>
      </c>
      <c r="AC74" s="24">
        <f t="shared" si="1"/>
        <v>15.151999999999999</v>
      </c>
      <c r="AD74" s="25">
        <f t="shared" si="2"/>
        <v>-5.152000000000001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26</v>
      </c>
    </row>
    <row r="75" spans="1:36" x14ac:dyDescent="0.2">
      <c r="A75" s="36">
        <v>43615</v>
      </c>
      <c r="B75" s="37" t="s">
        <v>235</v>
      </c>
      <c r="C75" s="37" t="s">
        <v>330</v>
      </c>
      <c r="D75" s="37" t="s">
        <v>334</v>
      </c>
      <c r="E75" s="37" t="s">
        <v>335</v>
      </c>
      <c r="F75" s="37" t="s">
        <v>336</v>
      </c>
      <c r="G75" s="37">
        <v>7</v>
      </c>
      <c r="H75" s="37">
        <v>1</v>
      </c>
      <c r="I75" s="37">
        <v>1.36</v>
      </c>
      <c r="J75" s="37">
        <v>4.8499999999999996</v>
      </c>
      <c r="K75" s="37">
        <v>6.13</v>
      </c>
      <c r="L75" s="37">
        <v>-4.7699999999999996</v>
      </c>
      <c r="M75" s="37">
        <v>33</v>
      </c>
      <c r="N75" s="37">
        <v>34</v>
      </c>
      <c r="O75" s="37">
        <v>2</v>
      </c>
      <c r="P75" s="37">
        <v>17</v>
      </c>
      <c r="Q75" s="37">
        <v>17</v>
      </c>
      <c r="R75" s="37">
        <v>50</v>
      </c>
      <c r="S75" s="37">
        <v>0</v>
      </c>
      <c r="T75" s="37">
        <v>50</v>
      </c>
      <c r="U75" s="37">
        <v>63.64</v>
      </c>
      <c r="V75" s="37">
        <v>21.21</v>
      </c>
      <c r="W75" s="37">
        <v>15.15</v>
      </c>
      <c r="X75" s="37">
        <v>47.06</v>
      </c>
      <c r="Y75" s="37">
        <v>8.82</v>
      </c>
      <c r="Z75" s="37">
        <v>44.12</v>
      </c>
      <c r="AA75" s="37">
        <v>70.59</v>
      </c>
      <c r="AB75" s="37">
        <v>41.18</v>
      </c>
      <c r="AC75" s="24">
        <f t="shared" ref="AC75:AC138" si="9">(+R75*$R$8)+(S75*$S$8)-(T75*$T$8)+(U75*$U$8)+(V75*$V$8)-(W75*$W$8)-(X75*$X$8)-(Y75*$Y$8)+(Z75*$Z$8)</f>
        <v>10.349000000000002</v>
      </c>
      <c r="AD75" s="25">
        <f t="shared" ref="AD75:AD138" si="10">(-R75*$R$8)+(S75*$S$8)+(T75*$T$8)-(U75*$U$8)-(V75*$V$8)+(W75*$W$8)+(X75*$X$8)+(Y75*$Y$8)-(Z75*$Z$8)</f>
        <v>-10.349000000000002</v>
      </c>
      <c r="AE75" s="23" t="str">
        <f t="shared" ref="AE75:AE138" si="11">IF(G75&gt;H75,"Win","Loss")</f>
        <v>Win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18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-50</v>
      </c>
    </row>
    <row r="76" spans="1:36" x14ac:dyDescent="0.2">
      <c r="A76" s="36">
        <v>43615</v>
      </c>
      <c r="B76" s="37" t="s">
        <v>235</v>
      </c>
      <c r="C76" s="37" t="s">
        <v>330</v>
      </c>
      <c r="D76" s="37" t="s">
        <v>337</v>
      </c>
      <c r="E76" s="37" t="s">
        <v>338</v>
      </c>
      <c r="F76" s="37" t="s">
        <v>339</v>
      </c>
      <c r="G76" s="37">
        <v>3</v>
      </c>
      <c r="H76" s="37">
        <v>2</v>
      </c>
      <c r="I76" s="37">
        <v>2.4</v>
      </c>
      <c r="J76" s="37">
        <v>3.63</v>
      </c>
      <c r="K76" s="37">
        <v>2.4700000000000002</v>
      </c>
      <c r="L76" s="37">
        <v>-7.0000000000000007E-2</v>
      </c>
      <c r="M76" s="37">
        <v>33</v>
      </c>
      <c r="N76" s="37">
        <v>33</v>
      </c>
      <c r="O76" s="37">
        <v>2</v>
      </c>
      <c r="P76" s="37">
        <v>16</v>
      </c>
      <c r="Q76" s="37">
        <v>17</v>
      </c>
      <c r="R76" s="37">
        <v>0</v>
      </c>
      <c r="S76" s="37">
        <v>0</v>
      </c>
      <c r="T76" s="37">
        <v>100</v>
      </c>
      <c r="U76" s="37">
        <v>18.18</v>
      </c>
      <c r="V76" s="37">
        <v>15.15</v>
      </c>
      <c r="W76" s="37">
        <v>66.67</v>
      </c>
      <c r="X76" s="37">
        <v>33.33</v>
      </c>
      <c r="Y76" s="37">
        <v>30.3</v>
      </c>
      <c r="Z76" s="37">
        <v>36.36</v>
      </c>
      <c r="AA76" s="37">
        <v>12.5</v>
      </c>
      <c r="AB76" s="37">
        <v>35.29</v>
      </c>
      <c r="AC76" s="24">
        <f t="shared" si="9"/>
        <v>-40.607000000000006</v>
      </c>
      <c r="AD76" s="25">
        <f t="shared" si="10"/>
        <v>40.607000000000006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70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43615</v>
      </c>
      <c r="B77" s="37" t="s">
        <v>235</v>
      </c>
      <c r="C77" s="37" t="s">
        <v>330</v>
      </c>
      <c r="D77" s="37" t="s">
        <v>340</v>
      </c>
      <c r="E77" s="37" t="s">
        <v>341</v>
      </c>
      <c r="F77" s="37" t="s">
        <v>342</v>
      </c>
      <c r="G77" s="37">
        <v>4</v>
      </c>
      <c r="H77" s="37">
        <v>0</v>
      </c>
      <c r="I77" s="37">
        <v>1.61</v>
      </c>
      <c r="J77" s="37">
        <v>4.33</v>
      </c>
      <c r="K77" s="37">
        <v>4.04</v>
      </c>
      <c r="L77" s="37">
        <v>-2.4300000000000002</v>
      </c>
      <c r="M77" s="37">
        <v>34</v>
      </c>
      <c r="N77" s="37">
        <v>8</v>
      </c>
      <c r="O77" s="37">
        <v>0</v>
      </c>
      <c r="P77" s="37">
        <v>18</v>
      </c>
      <c r="Q77" s="37">
        <v>4</v>
      </c>
      <c r="R77" s="37">
        <v>0</v>
      </c>
      <c r="S77" s="37">
        <v>0</v>
      </c>
      <c r="T77" s="37">
        <v>0</v>
      </c>
      <c r="U77" s="37">
        <v>61.76</v>
      </c>
      <c r="V77" s="37">
        <v>8.82</v>
      </c>
      <c r="W77" s="37">
        <v>29.41</v>
      </c>
      <c r="X77" s="37">
        <v>37.5</v>
      </c>
      <c r="Y77" s="37">
        <v>37.5</v>
      </c>
      <c r="Z77" s="37">
        <v>25</v>
      </c>
      <c r="AA77" s="37">
        <v>55.56</v>
      </c>
      <c r="AB77" s="37">
        <v>0</v>
      </c>
      <c r="AC77" s="24">
        <f t="shared" si="9"/>
        <v>1.1019999999999994</v>
      </c>
      <c r="AD77" s="25">
        <f t="shared" si="10"/>
        <v>-1.1019999999999994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30.5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43615</v>
      </c>
      <c r="B78" s="37" t="s">
        <v>235</v>
      </c>
      <c r="C78" s="37" t="s">
        <v>343</v>
      </c>
      <c r="D78" s="37" t="s">
        <v>344</v>
      </c>
      <c r="E78" s="37" t="s">
        <v>345</v>
      </c>
      <c r="F78" s="37" t="s">
        <v>346</v>
      </c>
      <c r="G78" s="37">
        <v>4</v>
      </c>
      <c r="H78" s="37">
        <v>2</v>
      </c>
      <c r="I78" s="37">
        <v>2.41</v>
      </c>
      <c r="J78" s="37">
        <v>3.62</v>
      </c>
      <c r="K78" s="37">
        <v>2.4300000000000002</v>
      </c>
      <c r="L78" s="37">
        <v>-0.02</v>
      </c>
      <c r="M78" s="37">
        <v>36</v>
      </c>
      <c r="N78" s="37">
        <v>26</v>
      </c>
      <c r="O78" s="37">
        <v>0</v>
      </c>
      <c r="P78" s="37">
        <v>19</v>
      </c>
      <c r="Q78" s="37">
        <v>12</v>
      </c>
      <c r="R78" s="37">
        <v>0</v>
      </c>
      <c r="S78" s="37">
        <v>0</v>
      </c>
      <c r="T78" s="37">
        <v>0</v>
      </c>
      <c r="U78" s="37">
        <v>16.670000000000002</v>
      </c>
      <c r="V78" s="37">
        <v>30.56</v>
      </c>
      <c r="W78" s="37">
        <v>52.78</v>
      </c>
      <c r="X78" s="37">
        <v>65.38</v>
      </c>
      <c r="Y78" s="37">
        <v>15.38</v>
      </c>
      <c r="Z78" s="37">
        <v>19.23</v>
      </c>
      <c r="AA78" s="37">
        <v>15.79</v>
      </c>
      <c r="AB78" s="37">
        <v>58.33</v>
      </c>
      <c r="AC78" s="24">
        <f t="shared" si="9"/>
        <v>-14.934000000000001</v>
      </c>
      <c r="AD78" s="25">
        <f t="shared" si="10"/>
        <v>14.934000000000001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70.5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43615</v>
      </c>
      <c r="B79" s="37" t="s">
        <v>235</v>
      </c>
      <c r="C79" s="37" t="s">
        <v>343</v>
      </c>
      <c r="D79" s="37" t="s">
        <v>347</v>
      </c>
      <c r="E79" s="37" t="s">
        <v>348</v>
      </c>
      <c r="F79" s="37" t="s">
        <v>349</v>
      </c>
      <c r="G79" s="37">
        <v>5</v>
      </c>
      <c r="H79" s="37">
        <v>3</v>
      </c>
      <c r="I79" s="37">
        <v>1.23</v>
      </c>
      <c r="J79" s="37">
        <v>5.53</v>
      </c>
      <c r="K79" s="37">
        <v>7.86</v>
      </c>
      <c r="L79" s="37">
        <v>-6.63</v>
      </c>
      <c r="M79" s="37">
        <v>27</v>
      </c>
      <c r="N79" s="37">
        <v>27</v>
      </c>
      <c r="O79" s="37">
        <v>2</v>
      </c>
      <c r="P79" s="37">
        <v>15</v>
      </c>
      <c r="Q79" s="37">
        <v>13</v>
      </c>
      <c r="R79" s="37">
        <v>50</v>
      </c>
      <c r="S79" s="37">
        <v>50</v>
      </c>
      <c r="T79" s="37">
        <v>0</v>
      </c>
      <c r="U79" s="37">
        <v>40.74</v>
      </c>
      <c r="V79" s="37">
        <v>14.81</v>
      </c>
      <c r="W79" s="37">
        <v>44.44</v>
      </c>
      <c r="X79" s="37">
        <v>18.52</v>
      </c>
      <c r="Y79" s="37">
        <v>18.52</v>
      </c>
      <c r="Z79" s="37">
        <v>62.96</v>
      </c>
      <c r="AA79" s="37">
        <v>33.33</v>
      </c>
      <c r="AB79" s="37">
        <v>0</v>
      </c>
      <c r="AC79" s="24">
        <f t="shared" si="9"/>
        <v>27.777000000000008</v>
      </c>
      <c r="AD79" s="25">
        <f t="shared" si="10"/>
        <v>-17.777000000000005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11.5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43615</v>
      </c>
      <c r="B80" s="37" t="s">
        <v>235</v>
      </c>
      <c r="C80" s="37" t="s">
        <v>343</v>
      </c>
      <c r="D80" s="37" t="s">
        <v>350</v>
      </c>
      <c r="E80" s="37" t="s">
        <v>351</v>
      </c>
      <c r="F80" s="37" t="s">
        <v>352</v>
      </c>
      <c r="G80" s="37">
        <v>2</v>
      </c>
      <c r="H80" s="37">
        <v>1</v>
      </c>
      <c r="I80" s="37">
        <v>1.69</v>
      </c>
      <c r="J80" s="37">
        <v>3.77</v>
      </c>
      <c r="K80" s="37">
        <v>3.87</v>
      </c>
      <c r="L80" s="37">
        <v>-2.1800000000000002</v>
      </c>
      <c r="M80" s="37">
        <v>26</v>
      </c>
      <c r="N80" s="37">
        <v>26</v>
      </c>
      <c r="O80" s="37">
        <v>2</v>
      </c>
      <c r="P80" s="37">
        <v>12</v>
      </c>
      <c r="Q80" s="37">
        <v>13</v>
      </c>
      <c r="R80" s="37">
        <v>50</v>
      </c>
      <c r="S80" s="37">
        <v>50</v>
      </c>
      <c r="T80" s="37">
        <v>0</v>
      </c>
      <c r="U80" s="37">
        <v>53.85</v>
      </c>
      <c r="V80" s="37">
        <v>23.08</v>
      </c>
      <c r="W80" s="37">
        <v>23.08</v>
      </c>
      <c r="X80" s="37">
        <v>34.619999999999997</v>
      </c>
      <c r="Y80" s="37">
        <v>34.619999999999997</v>
      </c>
      <c r="Z80" s="37">
        <v>30.77</v>
      </c>
      <c r="AA80" s="37">
        <v>66.67</v>
      </c>
      <c r="AB80" s="37">
        <v>46.15</v>
      </c>
      <c r="AC80" s="24">
        <f t="shared" si="9"/>
        <v>24.230000000000004</v>
      </c>
      <c r="AD80" s="25">
        <f t="shared" si="10"/>
        <v>-14.230000000000004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34.5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43615</v>
      </c>
      <c r="B81" s="37" t="s">
        <v>235</v>
      </c>
      <c r="C81" s="37" t="s">
        <v>343</v>
      </c>
      <c r="D81" s="37" t="s">
        <v>353</v>
      </c>
      <c r="E81" s="37" t="s">
        <v>354</v>
      </c>
      <c r="F81" s="37" t="s">
        <v>355</v>
      </c>
      <c r="G81" s="37">
        <v>3</v>
      </c>
      <c r="H81" s="37">
        <v>1</v>
      </c>
      <c r="I81" s="37">
        <v>1.17</v>
      </c>
      <c r="J81" s="37">
        <v>6.54</v>
      </c>
      <c r="K81" s="37">
        <v>8.81</v>
      </c>
      <c r="L81" s="37">
        <v>-7.64</v>
      </c>
      <c r="M81" s="37">
        <v>29</v>
      </c>
      <c r="N81" s="37">
        <v>8</v>
      </c>
      <c r="O81" s="37">
        <v>0</v>
      </c>
      <c r="P81" s="37">
        <v>15</v>
      </c>
      <c r="Q81" s="37">
        <v>4</v>
      </c>
      <c r="R81" s="37">
        <v>0</v>
      </c>
      <c r="S81" s="37">
        <v>0</v>
      </c>
      <c r="T81" s="37">
        <v>0</v>
      </c>
      <c r="U81" s="37">
        <v>44.83</v>
      </c>
      <c r="V81" s="37">
        <v>24.14</v>
      </c>
      <c r="W81" s="37">
        <v>31.03</v>
      </c>
      <c r="X81" s="37">
        <v>12.5</v>
      </c>
      <c r="Y81" s="37">
        <v>12.5</v>
      </c>
      <c r="Z81" s="37">
        <v>75</v>
      </c>
      <c r="AA81" s="37">
        <v>53.33</v>
      </c>
      <c r="AB81" s="37">
        <v>0</v>
      </c>
      <c r="AC81" s="24">
        <f t="shared" si="9"/>
        <v>16.423999999999999</v>
      </c>
      <c r="AD81" s="25">
        <f t="shared" si="10"/>
        <v>-16.423999999999999</v>
      </c>
      <c r="AE81" s="23" t="str">
        <f t="shared" si="11"/>
        <v>Win</v>
      </c>
      <c r="AF81" s="23" t="str">
        <f t="shared" si="12"/>
        <v>Loss</v>
      </c>
      <c r="AG81" s="23" t="str">
        <f t="shared" si="13"/>
        <v>Loss</v>
      </c>
      <c r="AH81" s="23">
        <f t="shared" si="14"/>
        <v>8.5</v>
      </c>
      <c r="AI81" s="23">
        <f t="shared" si="15"/>
        <v>-50</v>
      </c>
      <c r="AJ81" s="23">
        <f t="shared" si="16"/>
        <v>-50</v>
      </c>
    </row>
    <row r="82" spans="1:36" x14ac:dyDescent="0.2">
      <c r="A82" s="36">
        <v>43615</v>
      </c>
      <c r="B82" s="37" t="s">
        <v>235</v>
      </c>
      <c r="C82" s="37" t="s">
        <v>236</v>
      </c>
      <c r="D82" s="37" t="s">
        <v>356</v>
      </c>
      <c r="E82" s="37" t="s">
        <v>357</v>
      </c>
      <c r="F82" s="37" t="s">
        <v>358</v>
      </c>
      <c r="G82" s="37">
        <v>3</v>
      </c>
      <c r="H82" s="37">
        <v>0</v>
      </c>
      <c r="I82" s="37">
        <v>1.28</v>
      </c>
      <c r="J82" s="37">
        <v>5.36</v>
      </c>
      <c r="K82" s="37">
        <v>6.62</v>
      </c>
      <c r="L82" s="37">
        <v>-5.34</v>
      </c>
      <c r="M82" s="37">
        <v>65</v>
      </c>
      <c r="N82" s="37">
        <v>33</v>
      </c>
      <c r="O82" s="37">
        <v>0</v>
      </c>
      <c r="P82" s="37">
        <v>33</v>
      </c>
      <c r="Q82" s="37">
        <v>16</v>
      </c>
      <c r="R82" s="37">
        <v>0</v>
      </c>
      <c r="S82" s="37">
        <v>0</v>
      </c>
      <c r="T82" s="37">
        <v>0</v>
      </c>
      <c r="U82" s="37">
        <v>46.15</v>
      </c>
      <c r="V82" s="37">
        <v>27.69</v>
      </c>
      <c r="W82" s="37">
        <v>26.15</v>
      </c>
      <c r="X82" s="37">
        <v>36.36</v>
      </c>
      <c r="Y82" s="37">
        <v>24.24</v>
      </c>
      <c r="Z82" s="37">
        <v>39.39</v>
      </c>
      <c r="AA82" s="37">
        <v>51.52</v>
      </c>
      <c r="AB82" s="37">
        <v>18.75</v>
      </c>
      <c r="AC82" s="24">
        <f t="shared" si="9"/>
        <v>4.9510000000000005</v>
      </c>
      <c r="AD82" s="25">
        <f t="shared" si="10"/>
        <v>-4.9510000000000005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14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43615</v>
      </c>
      <c r="B83" s="37" t="s">
        <v>235</v>
      </c>
      <c r="C83" s="37" t="s">
        <v>236</v>
      </c>
      <c r="D83" s="37" t="s">
        <v>359</v>
      </c>
      <c r="E83" s="37" t="s">
        <v>360</v>
      </c>
      <c r="F83" s="37" t="s">
        <v>361</v>
      </c>
      <c r="G83" s="37">
        <v>2</v>
      </c>
      <c r="H83" s="37">
        <v>2</v>
      </c>
      <c r="I83" s="37">
        <v>1.45</v>
      </c>
      <c r="J83" s="37">
        <v>4.16</v>
      </c>
      <c r="K83" s="37">
        <v>5.51</v>
      </c>
      <c r="L83" s="37">
        <v>-4.0599999999999996</v>
      </c>
      <c r="M83" s="37">
        <v>62</v>
      </c>
      <c r="N83" s="37">
        <v>8</v>
      </c>
      <c r="O83" s="37">
        <v>0</v>
      </c>
      <c r="P83" s="37">
        <v>32</v>
      </c>
      <c r="Q83" s="37">
        <v>4</v>
      </c>
      <c r="R83" s="37">
        <v>0</v>
      </c>
      <c r="S83" s="37">
        <v>0</v>
      </c>
      <c r="T83" s="37">
        <v>0</v>
      </c>
      <c r="U83" s="37">
        <v>35.479999999999997</v>
      </c>
      <c r="V83" s="37">
        <v>22.58</v>
      </c>
      <c r="W83" s="37">
        <v>41.94</v>
      </c>
      <c r="X83" s="37">
        <v>12.5</v>
      </c>
      <c r="Y83" s="37">
        <v>25</v>
      </c>
      <c r="Z83" s="37">
        <v>62.5</v>
      </c>
      <c r="AA83" s="37">
        <v>46.88</v>
      </c>
      <c r="AB83" s="37">
        <v>25</v>
      </c>
      <c r="AC83" s="24">
        <f t="shared" si="9"/>
        <v>8.4659999999999993</v>
      </c>
      <c r="AD83" s="25">
        <f t="shared" si="10"/>
        <v>-8.4659999999999993</v>
      </c>
      <c r="AE83" s="23" t="str">
        <f t="shared" si="11"/>
        <v>Loss</v>
      </c>
      <c r="AF83" s="23" t="str">
        <f t="shared" si="12"/>
        <v>Win</v>
      </c>
      <c r="AG83" s="23" t="str">
        <f t="shared" si="13"/>
        <v>Loss</v>
      </c>
      <c r="AH83" s="23">
        <f t="shared" si="14"/>
        <v>-50</v>
      </c>
      <c r="AI83" s="23">
        <f t="shared" si="15"/>
        <v>158</v>
      </c>
      <c r="AJ83" s="23">
        <f t="shared" si="16"/>
        <v>-50</v>
      </c>
    </row>
    <row r="84" spans="1:36" x14ac:dyDescent="0.2">
      <c r="A84" s="36">
        <v>43615</v>
      </c>
      <c r="B84" s="37" t="s">
        <v>235</v>
      </c>
      <c r="C84" s="37" t="s">
        <v>236</v>
      </c>
      <c r="D84" s="37" t="s">
        <v>362</v>
      </c>
      <c r="E84" s="37" t="s">
        <v>363</v>
      </c>
      <c r="F84" s="37" t="s">
        <v>364</v>
      </c>
      <c r="G84" s="37">
        <v>2</v>
      </c>
      <c r="H84" s="37">
        <v>3</v>
      </c>
      <c r="I84" s="37">
        <v>2.39</v>
      </c>
      <c r="J84" s="37">
        <v>3.48</v>
      </c>
      <c r="K84" s="37">
        <v>2.5</v>
      </c>
      <c r="L84" s="37">
        <v>-0.11</v>
      </c>
      <c r="M84" s="37">
        <v>33</v>
      </c>
      <c r="N84" s="37">
        <v>34</v>
      </c>
      <c r="O84" s="37">
        <v>2</v>
      </c>
      <c r="P84" s="37">
        <v>16</v>
      </c>
      <c r="Q84" s="37">
        <v>17</v>
      </c>
      <c r="R84" s="37">
        <v>0</v>
      </c>
      <c r="S84" s="37">
        <v>50</v>
      </c>
      <c r="T84" s="37">
        <v>50</v>
      </c>
      <c r="U84" s="37">
        <v>39.39</v>
      </c>
      <c r="V84" s="37">
        <v>18.18</v>
      </c>
      <c r="W84" s="37">
        <v>42.42</v>
      </c>
      <c r="X84" s="37">
        <v>41.18</v>
      </c>
      <c r="Y84" s="37">
        <v>26.47</v>
      </c>
      <c r="Z84" s="37">
        <v>32.35</v>
      </c>
      <c r="AA84" s="37">
        <v>43.75</v>
      </c>
      <c r="AB84" s="37">
        <v>29.41</v>
      </c>
      <c r="AC84" s="24">
        <f t="shared" si="9"/>
        <v>-13.200999999999999</v>
      </c>
      <c r="AD84" s="25">
        <f t="shared" si="10"/>
        <v>23.201000000000001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75</v>
      </c>
    </row>
    <row r="85" spans="1:36" x14ac:dyDescent="0.2">
      <c r="A85" s="36">
        <v>43615</v>
      </c>
      <c r="B85" s="37" t="s">
        <v>235</v>
      </c>
      <c r="C85" s="37" t="s">
        <v>365</v>
      </c>
      <c r="D85" s="37" t="s">
        <v>366</v>
      </c>
      <c r="E85" s="37" t="s">
        <v>367</v>
      </c>
      <c r="F85" s="37" t="s">
        <v>368</v>
      </c>
      <c r="G85" s="37">
        <v>4</v>
      </c>
      <c r="H85" s="37">
        <v>0</v>
      </c>
      <c r="I85" s="37">
        <v>2</v>
      </c>
      <c r="J85" s="37">
        <v>3.84</v>
      </c>
      <c r="K85" s="37">
        <v>2.95</v>
      </c>
      <c r="L85" s="37">
        <v>-0.95</v>
      </c>
      <c r="M85" s="37">
        <v>29</v>
      </c>
      <c r="N85" s="37">
        <v>26</v>
      </c>
      <c r="O85" s="37">
        <v>1</v>
      </c>
      <c r="P85" s="37">
        <v>16</v>
      </c>
      <c r="Q85" s="37">
        <v>13</v>
      </c>
      <c r="R85" s="37">
        <v>0</v>
      </c>
      <c r="S85" s="37">
        <v>0</v>
      </c>
      <c r="T85" s="37">
        <v>100</v>
      </c>
      <c r="U85" s="37">
        <v>58.62</v>
      </c>
      <c r="V85" s="37">
        <v>20.69</v>
      </c>
      <c r="W85" s="37">
        <v>20.69</v>
      </c>
      <c r="X85" s="37">
        <v>61.54</v>
      </c>
      <c r="Y85" s="37">
        <v>15.38</v>
      </c>
      <c r="Z85" s="37">
        <v>23.08</v>
      </c>
      <c r="AA85" s="37">
        <v>62.5</v>
      </c>
      <c r="AB85" s="37">
        <v>38.46</v>
      </c>
      <c r="AC85" s="24">
        <f t="shared" si="9"/>
        <v>-29.575000000000003</v>
      </c>
      <c r="AD85" s="25">
        <f t="shared" si="10"/>
        <v>29.575000000000003</v>
      </c>
      <c r="AE85" s="23" t="str">
        <f t="shared" si="11"/>
        <v>Win</v>
      </c>
      <c r="AF85" s="23" t="str">
        <f t="shared" si="12"/>
        <v>Loss</v>
      </c>
      <c r="AG85" s="23" t="str">
        <f t="shared" si="13"/>
        <v>Loss</v>
      </c>
      <c r="AH85" s="23">
        <f t="shared" si="14"/>
        <v>50</v>
      </c>
      <c r="AI85" s="23">
        <f t="shared" si="15"/>
        <v>-50</v>
      </c>
      <c r="AJ85" s="23">
        <f t="shared" si="16"/>
        <v>-50</v>
      </c>
    </row>
    <row r="86" spans="1:36" x14ac:dyDescent="0.2">
      <c r="A86" s="36">
        <v>43615</v>
      </c>
      <c r="B86" s="37" t="s">
        <v>235</v>
      </c>
      <c r="C86" s="37" t="s">
        <v>240</v>
      </c>
      <c r="D86" s="37" t="s">
        <v>369</v>
      </c>
      <c r="E86" s="37" t="s">
        <v>370</v>
      </c>
      <c r="F86" s="37" t="s">
        <v>371</v>
      </c>
      <c r="G86" s="37">
        <v>0</v>
      </c>
      <c r="H86" s="37">
        <v>3</v>
      </c>
      <c r="I86" s="37">
        <v>2.23</v>
      </c>
      <c r="J86" s="37">
        <v>3.81</v>
      </c>
      <c r="K86" s="37">
        <v>2.58</v>
      </c>
      <c r="L86" s="37">
        <v>-0.35</v>
      </c>
      <c r="M86" s="37">
        <v>27</v>
      </c>
      <c r="N86" s="37">
        <v>49</v>
      </c>
      <c r="O86" s="37">
        <v>1</v>
      </c>
      <c r="P86" s="37">
        <v>13</v>
      </c>
      <c r="Q86" s="37">
        <v>25</v>
      </c>
      <c r="R86" s="37">
        <v>100</v>
      </c>
      <c r="S86" s="37">
        <v>0</v>
      </c>
      <c r="T86" s="37">
        <v>0</v>
      </c>
      <c r="U86" s="37">
        <v>40.74</v>
      </c>
      <c r="V86" s="37">
        <v>11.11</v>
      </c>
      <c r="W86" s="37">
        <v>48.15</v>
      </c>
      <c r="X86" s="37">
        <v>44.9</v>
      </c>
      <c r="Y86" s="37">
        <v>14.29</v>
      </c>
      <c r="Z86" s="37">
        <v>40.82</v>
      </c>
      <c r="AA86" s="37">
        <v>53.85</v>
      </c>
      <c r="AB86" s="37">
        <v>32</v>
      </c>
      <c r="AC86" s="24">
        <f t="shared" si="9"/>
        <v>27.384</v>
      </c>
      <c r="AD86" s="25">
        <f t="shared" si="10"/>
        <v>-27.384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79</v>
      </c>
    </row>
    <row r="87" spans="1:36" x14ac:dyDescent="0.2">
      <c r="A87" s="36">
        <v>43615</v>
      </c>
      <c r="B87" s="37" t="s">
        <v>235</v>
      </c>
      <c r="C87" s="37" t="s">
        <v>240</v>
      </c>
      <c r="D87" s="37" t="s">
        <v>372</v>
      </c>
      <c r="E87" s="37" t="s">
        <v>373</v>
      </c>
      <c r="F87" s="37" t="s">
        <v>374</v>
      </c>
      <c r="G87" s="37">
        <v>2</v>
      </c>
      <c r="H87" s="37">
        <v>1</v>
      </c>
      <c r="I87" s="37">
        <v>1.35</v>
      </c>
      <c r="J87" s="37">
        <v>5.25</v>
      </c>
      <c r="K87" s="37">
        <v>5.71</v>
      </c>
      <c r="L87" s="37">
        <v>-4.3600000000000003</v>
      </c>
      <c r="M87" s="37">
        <v>9</v>
      </c>
      <c r="N87" s="37">
        <v>25</v>
      </c>
      <c r="O87" s="37">
        <v>0</v>
      </c>
      <c r="P87" s="37">
        <v>5</v>
      </c>
      <c r="Q87" s="37">
        <v>12</v>
      </c>
      <c r="R87" s="37">
        <v>0</v>
      </c>
      <c r="S87" s="37">
        <v>0</v>
      </c>
      <c r="T87" s="37">
        <v>0</v>
      </c>
      <c r="U87" s="37">
        <v>44.44</v>
      </c>
      <c r="V87" s="37">
        <v>11.11</v>
      </c>
      <c r="W87" s="37">
        <v>44.44</v>
      </c>
      <c r="X87" s="37">
        <v>20</v>
      </c>
      <c r="Y87" s="37">
        <v>16</v>
      </c>
      <c r="Z87" s="37">
        <v>64</v>
      </c>
      <c r="AA87" s="37">
        <v>40</v>
      </c>
      <c r="AB87" s="37">
        <v>16.670000000000002</v>
      </c>
      <c r="AC87" s="24">
        <f t="shared" si="9"/>
        <v>8.3110000000000017</v>
      </c>
      <c r="AD87" s="25">
        <f t="shared" si="10"/>
        <v>-8.3110000000000017</v>
      </c>
      <c r="AE87" s="23" t="str">
        <f t="shared" si="11"/>
        <v>Win</v>
      </c>
      <c r="AF87" s="23" t="str">
        <f t="shared" si="12"/>
        <v>Loss</v>
      </c>
      <c r="AG87" s="23" t="str">
        <f t="shared" si="13"/>
        <v>Loss</v>
      </c>
      <c r="AH87" s="23">
        <f t="shared" si="14"/>
        <v>17.5</v>
      </c>
      <c r="AI87" s="23">
        <f t="shared" si="15"/>
        <v>-50</v>
      </c>
      <c r="AJ87" s="23">
        <f t="shared" si="16"/>
        <v>-50</v>
      </c>
    </row>
    <row r="88" spans="1:36" x14ac:dyDescent="0.2">
      <c r="A88" s="36">
        <v>43615</v>
      </c>
      <c r="B88" s="37" t="s">
        <v>235</v>
      </c>
      <c r="C88" s="37" t="s">
        <v>244</v>
      </c>
      <c r="D88" s="37" t="s">
        <v>375</v>
      </c>
      <c r="E88" s="37" t="s">
        <v>376</v>
      </c>
      <c r="F88" s="37" t="s">
        <v>377</v>
      </c>
      <c r="G88" s="37">
        <v>2</v>
      </c>
      <c r="H88" s="37">
        <v>0</v>
      </c>
      <c r="I88" s="37">
        <v>1.39</v>
      </c>
      <c r="J88" s="37">
        <v>4.87</v>
      </c>
      <c r="K88" s="37">
        <v>5.44</v>
      </c>
      <c r="L88" s="37">
        <v>-4.05</v>
      </c>
      <c r="M88" s="37">
        <v>32</v>
      </c>
      <c r="N88" s="37">
        <v>7</v>
      </c>
      <c r="O88" s="37">
        <v>0</v>
      </c>
      <c r="P88" s="37">
        <v>16</v>
      </c>
      <c r="Q88" s="37">
        <v>3</v>
      </c>
      <c r="R88" s="37">
        <v>0</v>
      </c>
      <c r="S88" s="37">
        <v>0</v>
      </c>
      <c r="T88" s="37">
        <v>0</v>
      </c>
      <c r="U88" s="37">
        <v>37.5</v>
      </c>
      <c r="V88" s="37">
        <v>12.5</v>
      </c>
      <c r="W88" s="37">
        <v>50</v>
      </c>
      <c r="X88" s="37">
        <v>28.57</v>
      </c>
      <c r="Y88" s="37">
        <v>0</v>
      </c>
      <c r="Z88" s="37">
        <v>71.430000000000007</v>
      </c>
      <c r="AA88" s="37">
        <v>31.25</v>
      </c>
      <c r="AB88" s="37">
        <v>33.33</v>
      </c>
      <c r="AC88" s="24">
        <f t="shared" si="9"/>
        <v>7.322000000000001</v>
      </c>
      <c r="AD88" s="25">
        <f t="shared" si="10"/>
        <v>-7.322000000000001</v>
      </c>
      <c r="AE88" s="23" t="str">
        <f t="shared" si="11"/>
        <v>Win</v>
      </c>
      <c r="AF88" s="23" t="str">
        <f t="shared" si="12"/>
        <v>Loss</v>
      </c>
      <c r="AG88" s="23" t="str">
        <f t="shared" si="13"/>
        <v>Loss</v>
      </c>
      <c r="AH88" s="23">
        <f t="shared" si="14"/>
        <v>19.5</v>
      </c>
      <c r="AI88" s="23">
        <f t="shared" si="15"/>
        <v>-50</v>
      </c>
      <c r="AJ88" s="23">
        <f t="shared" si="16"/>
        <v>-50</v>
      </c>
    </row>
    <row r="89" spans="1:36" x14ac:dyDescent="0.2">
      <c r="A89" s="36">
        <v>43615</v>
      </c>
      <c r="B89" s="37" t="s">
        <v>219</v>
      </c>
      <c r="C89" s="37" t="s">
        <v>220</v>
      </c>
      <c r="D89" s="37" t="s">
        <v>378</v>
      </c>
      <c r="E89" s="37" t="s">
        <v>379</v>
      </c>
      <c r="F89" s="37" t="s">
        <v>380</v>
      </c>
      <c r="G89" s="37">
        <v>3</v>
      </c>
      <c r="H89" s="37">
        <v>3</v>
      </c>
      <c r="I89" s="37">
        <v>2.57</v>
      </c>
      <c r="J89" s="37">
        <v>2.74</v>
      </c>
      <c r="K89" s="37">
        <v>2.94</v>
      </c>
      <c r="L89" s="37">
        <v>-0.37</v>
      </c>
      <c r="M89" s="37">
        <v>11</v>
      </c>
      <c r="N89" s="37">
        <v>11</v>
      </c>
      <c r="O89" s="37">
        <v>0</v>
      </c>
      <c r="P89" s="37">
        <v>6</v>
      </c>
      <c r="Q89" s="37">
        <v>6</v>
      </c>
      <c r="R89" s="37">
        <v>0</v>
      </c>
      <c r="S89" s="37">
        <v>0</v>
      </c>
      <c r="T89" s="37">
        <v>0</v>
      </c>
      <c r="U89" s="37">
        <v>36.36</v>
      </c>
      <c r="V89" s="37">
        <v>9.09</v>
      </c>
      <c r="W89" s="37">
        <v>54.55</v>
      </c>
      <c r="X89" s="37">
        <v>45.45</v>
      </c>
      <c r="Y89" s="37">
        <v>18.18</v>
      </c>
      <c r="Z89" s="37">
        <v>36.36</v>
      </c>
      <c r="AA89" s="37">
        <v>50</v>
      </c>
      <c r="AB89" s="37">
        <v>33.33</v>
      </c>
      <c r="AC89" s="24">
        <f t="shared" si="9"/>
        <v>-6.3650000000000002</v>
      </c>
      <c r="AD89" s="25">
        <f t="shared" si="10"/>
        <v>6.3650000000000002</v>
      </c>
      <c r="AE89" s="23" t="str">
        <f t="shared" si="11"/>
        <v>Loss</v>
      </c>
      <c r="AF89" s="23" t="str">
        <f t="shared" si="12"/>
        <v>Win</v>
      </c>
      <c r="AG89" s="23" t="str">
        <f t="shared" si="13"/>
        <v>Loss</v>
      </c>
      <c r="AH89" s="23">
        <f t="shared" si="14"/>
        <v>-50</v>
      </c>
      <c r="AI89" s="23">
        <f t="shared" si="15"/>
        <v>87</v>
      </c>
      <c r="AJ89" s="23">
        <f t="shared" si="16"/>
        <v>-50</v>
      </c>
    </row>
    <row r="90" spans="1:36" x14ac:dyDescent="0.2">
      <c r="A90" s="36">
        <v>43615</v>
      </c>
      <c r="B90" s="37" t="s">
        <v>381</v>
      </c>
      <c r="C90" s="37" t="s">
        <v>382</v>
      </c>
      <c r="D90" s="37" t="s">
        <v>383</v>
      </c>
      <c r="E90" s="37" t="s">
        <v>384</v>
      </c>
      <c r="F90" s="37" t="s">
        <v>385</v>
      </c>
      <c r="G90" s="37">
        <v>1</v>
      </c>
      <c r="H90" s="37">
        <v>7</v>
      </c>
      <c r="I90" s="37">
        <v>2.23</v>
      </c>
      <c r="J90" s="37">
        <v>3.28</v>
      </c>
      <c r="K90" s="37">
        <v>3.01</v>
      </c>
      <c r="L90" s="37">
        <v>-0.78</v>
      </c>
      <c r="M90" s="37">
        <v>33</v>
      </c>
      <c r="N90" s="37">
        <v>34</v>
      </c>
      <c r="O90" s="37">
        <v>3</v>
      </c>
      <c r="P90" s="37">
        <v>16</v>
      </c>
      <c r="Q90" s="37">
        <v>17</v>
      </c>
      <c r="R90" s="37">
        <v>0</v>
      </c>
      <c r="S90" s="37">
        <v>0</v>
      </c>
      <c r="T90" s="37">
        <v>100</v>
      </c>
      <c r="U90" s="37">
        <v>15.15</v>
      </c>
      <c r="V90" s="37">
        <v>21.21</v>
      </c>
      <c r="W90" s="37">
        <v>63.64</v>
      </c>
      <c r="X90" s="37">
        <v>26.47</v>
      </c>
      <c r="Y90" s="37">
        <v>26.47</v>
      </c>
      <c r="Z90" s="37">
        <v>47.06</v>
      </c>
      <c r="AA90" s="37">
        <v>18.75</v>
      </c>
      <c r="AB90" s="37">
        <v>23.53</v>
      </c>
      <c r="AC90" s="24">
        <f t="shared" si="9"/>
        <v>-36.105999999999995</v>
      </c>
      <c r="AD90" s="25">
        <f t="shared" si="10"/>
        <v>36.105999999999995</v>
      </c>
      <c r="AE90" s="23" t="str">
        <f t="shared" si="11"/>
        <v>Loss</v>
      </c>
      <c r="AF90" s="23" t="str">
        <f t="shared" si="12"/>
        <v>Loss</v>
      </c>
      <c r="AG90" s="23" t="str">
        <f t="shared" si="13"/>
        <v>Win</v>
      </c>
      <c r="AH90" s="23">
        <f t="shared" si="14"/>
        <v>-50</v>
      </c>
      <c r="AI90" s="23">
        <f t="shared" si="15"/>
        <v>-50</v>
      </c>
      <c r="AJ90" s="23">
        <f t="shared" si="16"/>
        <v>100.5</v>
      </c>
    </row>
    <row r="91" spans="1:36" x14ac:dyDescent="0.2">
      <c r="A91" s="36">
        <v>43615</v>
      </c>
      <c r="B91" s="37" t="s">
        <v>381</v>
      </c>
      <c r="C91" s="37" t="s">
        <v>382</v>
      </c>
      <c r="D91" s="37" t="s">
        <v>386</v>
      </c>
      <c r="E91" s="37" t="s">
        <v>387</v>
      </c>
      <c r="F91" s="37" t="s">
        <v>388</v>
      </c>
      <c r="G91" s="37">
        <v>3</v>
      </c>
      <c r="H91" s="37">
        <v>2</v>
      </c>
      <c r="I91" s="37">
        <v>3.2</v>
      </c>
      <c r="J91" s="37">
        <v>3.12</v>
      </c>
      <c r="K91" s="37">
        <v>2.2000000000000002</v>
      </c>
      <c r="L91" s="37">
        <v>1</v>
      </c>
      <c r="M91" s="37">
        <v>35</v>
      </c>
      <c r="N91" s="37">
        <v>37</v>
      </c>
      <c r="O91" s="37">
        <v>4</v>
      </c>
      <c r="P91" s="37">
        <v>16</v>
      </c>
      <c r="Q91" s="37">
        <v>17</v>
      </c>
      <c r="R91" s="37">
        <v>25</v>
      </c>
      <c r="S91" s="37">
        <v>25</v>
      </c>
      <c r="T91" s="37">
        <v>50</v>
      </c>
      <c r="U91" s="37">
        <v>31.43</v>
      </c>
      <c r="V91" s="37">
        <v>37.14</v>
      </c>
      <c r="W91" s="37">
        <v>31.43</v>
      </c>
      <c r="X91" s="37">
        <v>51.35</v>
      </c>
      <c r="Y91" s="37">
        <v>21.62</v>
      </c>
      <c r="Z91" s="37">
        <v>27.03</v>
      </c>
      <c r="AA91" s="37">
        <v>31.25</v>
      </c>
      <c r="AB91" s="37">
        <v>35.29</v>
      </c>
      <c r="AC91" s="24">
        <f t="shared" si="9"/>
        <v>-8.3120000000000012</v>
      </c>
      <c r="AD91" s="25">
        <f t="shared" si="10"/>
        <v>13.311999999999999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110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43615</v>
      </c>
      <c r="B92" s="37" t="s">
        <v>381</v>
      </c>
      <c r="C92" s="37" t="s">
        <v>382</v>
      </c>
      <c r="D92" s="37" t="s">
        <v>389</v>
      </c>
      <c r="E92" s="37" t="s">
        <v>390</v>
      </c>
      <c r="F92" s="37" t="s">
        <v>391</v>
      </c>
      <c r="G92" s="37">
        <v>0</v>
      </c>
      <c r="H92" s="37">
        <v>1</v>
      </c>
      <c r="I92" s="37">
        <v>5.99</v>
      </c>
      <c r="J92" s="37">
        <v>4.62</v>
      </c>
      <c r="K92" s="37">
        <v>1.42</v>
      </c>
      <c r="L92" s="37">
        <v>4.57</v>
      </c>
      <c r="M92" s="37">
        <v>34</v>
      </c>
      <c r="N92" s="37">
        <v>35</v>
      </c>
      <c r="O92" s="37">
        <v>3</v>
      </c>
      <c r="P92" s="37">
        <v>17</v>
      </c>
      <c r="Q92" s="37">
        <v>17</v>
      </c>
      <c r="R92" s="37">
        <v>33.33</v>
      </c>
      <c r="S92" s="37">
        <v>33.33</v>
      </c>
      <c r="T92" s="37">
        <v>33.33</v>
      </c>
      <c r="U92" s="37">
        <v>47.06</v>
      </c>
      <c r="V92" s="37">
        <v>32.35</v>
      </c>
      <c r="W92" s="37">
        <v>20.59</v>
      </c>
      <c r="X92" s="37">
        <v>51.43</v>
      </c>
      <c r="Y92" s="37">
        <v>28.57</v>
      </c>
      <c r="Z92" s="37">
        <v>20</v>
      </c>
      <c r="AA92" s="37">
        <v>52.94</v>
      </c>
      <c r="AB92" s="37">
        <v>64.709999999999994</v>
      </c>
      <c r="AC92" s="24">
        <f t="shared" si="9"/>
        <v>2.7189999999999985</v>
      </c>
      <c r="AD92" s="25">
        <f t="shared" si="10"/>
        <v>3.9470000000000018</v>
      </c>
      <c r="AE92" s="23" t="str">
        <f t="shared" si="11"/>
        <v>Loss</v>
      </c>
      <c r="AF92" s="23" t="str">
        <f t="shared" si="12"/>
        <v>Loss</v>
      </c>
      <c r="AG92" s="23" t="str">
        <f t="shared" si="13"/>
        <v>Win</v>
      </c>
      <c r="AH92" s="23">
        <f t="shared" si="14"/>
        <v>-50</v>
      </c>
      <c r="AI92" s="23">
        <f t="shared" si="15"/>
        <v>-50</v>
      </c>
      <c r="AJ92" s="23">
        <f t="shared" si="16"/>
        <v>21</v>
      </c>
    </row>
    <row r="93" spans="1:36" x14ac:dyDescent="0.2">
      <c r="A93" s="36">
        <v>43615</v>
      </c>
      <c r="B93" s="37" t="s">
        <v>381</v>
      </c>
      <c r="C93" s="37" t="s">
        <v>382</v>
      </c>
      <c r="D93" s="37" t="s">
        <v>392</v>
      </c>
      <c r="E93" s="37" t="s">
        <v>393</v>
      </c>
      <c r="F93" s="37" t="s">
        <v>394</v>
      </c>
      <c r="G93" s="37">
        <v>3</v>
      </c>
      <c r="H93" s="37">
        <v>2</v>
      </c>
      <c r="I93" s="37">
        <v>2.87</v>
      </c>
      <c r="J93" s="37">
        <v>2.59</v>
      </c>
      <c r="K93" s="37">
        <v>2.81</v>
      </c>
      <c r="L93" s="37">
        <v>0.06</v>
      </c>
      <c r="M93" s="37">
        <v>33</v>
      </c>
      <c r="N93" s="37">
        <v>31</v>
      </c>
      <c r="O93" s="37">
        <v>3</v>
      </c>
      <c r="P93" s="37">
        <v>16</v>
      </c>
      <c r="Q93" s="37">
        <v>15</v>
      </c>
      <c r="R93" s="37">
        <v>0</v>
      </c>
      <c r="S93" s="37">
        <v>33.33</v>
      </c>
      <c r="T93" s="37">
        <v>66.67</v>
      </c>
      <c r="U93" s="37">
        <v>15.15</v>
      </c>
      <c r="V93" s="37">
        <v>30.3</v>
      </c>
      <c r="W93" s="37">
        <v>54.55</v>
      </c>
      <c r="X93" s="37">
        <v>22.58</v>
      </c>
      <c r="Y93" s="37">
        <v>48.39</v>
      </c>
      <c r="Z93" s="37">
        <v>29.03</v>
      </c>
      <c r="AA93" s="37">
        <v>18.75</v>
      </c>
      <c r="AB93" s="37">
        <v>13.33</v>
      </c>
      <c r="AC93" s="24">
        <f t="shared" si="9"/>
        <v>-25.066999999999997</v>
      </c>
      <c r="AD93" s="25">
        <f t="shared" si="10"/>
        <v>31.733000000000001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93.5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43615</v>
      </c>
      <c r="B94" s="37" t="s">
        <v>395</v>
      </c>
      <c r="C94" s="37" t="s">
        <v>396</v>
      </c>
      <c r="D94" s="37" t="s">
        <v>397</v>
      </c>
      <c r="E94" s="37" t="s">
        <v>398</v>
      </c>
      <c r="F94" s="37" t="s">
        <v>399</v>
      </c>
      <c r="G94" s="37">
        <v>0</v>
      </c>
      <c r="H94" s="37">
        <v>1</v>
      </c>
      <c r="I94" s="37">
        <v>1.5</v>
      </c>
      <c r="J94" s="37">
        <v>4.25</v>
      </c>
      <c r="K94" s="37">
        <v>5</v>
      </c>
      <c r="L94" s="37">
        <v>-3.5</v>
      </c>
      <c r="M94" s="37">
        <v>29</v>
      </c>
      <c r="N94" s="37">
        <v>31</v>
      </c>
      <c r="O94" s="37">
        <v>0</v>
      </c>
      <c r="P94" s="37">
        <v>16</v>
      </c>
      <c r="Q94" s="37">
        <v>17</v>
      </c>
      <c r="R94" s="37">
        <v>0</v>
      </c>
      <c r="S94" s="37">
        <v>0</v>
      </c>
      <c r="T94" s="37">
        <v>0</v>
      </c>
      <c r="U94" s="37">
        <v>62.07</v>
      </c>
      <c r="V94" s="37">
        <v>13.79</v>
      </c>
      <c r="W94" s="37">
        <v>24.14</v>
      </c>
      <c r="X94" s="37">
        <v>41.94</v>
      </c>
      <c r="Y94" s="37">
        <v>22.58</v>
      </c>
      <c r="Z94" s="37">
        <v>35.479999999999997</v>
      </c>
      <c r="AA94" s="37">
        <v>75</v>
      </c>
      <c r="AB94" s="37">
        <v>47.06</v>
      </c>
      <c r="AC94" s="24">
        <f t="shared" si="9"/>
        <v>5.415</v>
      </c>
      <c r="AD94" s="25">
        <f t="shared" si="10"/>
        <v>-5.415</v>
      </c>
      <c r="AE94" s="23" t="str">
        <f t="shared" si="11"/>
        <v>Loss</v>
      </c>
      <c r="AF94" s="23" t="str">
        <f t="shared" si="12"/>
        <v>Loss</v>
      </c>
      <c r="AG94" s="23" t="str">
        <f t="shared" si="13"/>
        <v>Win</v>
      </c>
      <c r="AH94" s="23">
        <f t="shared" si="14"/>
        <v>-50</v>
      </c>
      <c r="AI94" s="23">
        <f t="shared" si="15"/>
        <v>-50</v>
      </c>
      <c r="AJ94" s="23">
        <f t="shared" si="16"/>
        <v>200</v>
      </c>
    </row>
    <row r="95" spans="1:36" x14ac:dyDescent="0.2">
      <c r="A95" s="36">
        <v>43615</v>
      </c>
      <c r="B95" s="37" t="s">
        <v>227</v>
      </c>
      <c r="C95" s="37" t="s">
        <v>228</v>
      </c>
      <c r="D95" s="37" t="s">
        <v>400</v>
      </c>
      <c r="E95" s="37" t="s">
        <v>401</v>
      </c>
      <c r="F95" s="37" t="s">
        <v>402</v>
      </c>
      <c r="G95" s="37">
        <v>1</v>
      </c>
      <c r="H95" s="37">
        <v>1</v>
      </c>
      <c r="I95" s="37">
        <v>1.82</v>
      </c>
      <c r="J95" s="37">
        <v>3.75</v>
      </c>
      <c r="K95" s="37">
        <v>3.44</v>
      </c>
      <c r="L95" s="37">
        <v>-1.62</v>
      </c>
      <c r="M95" s="37">
        <v>32</v>
      </c>
      <c r="N95" s="37">
        <v>9</v>
      </c>
      <c r="O95" s="37">
        <v>1</v>
      </c>
      <c r="P95" s="37">
        <v>15</v>
      </c>
      <c r="Q95" s="37">
        <v>5</v>
      </c>
      <c r="R95" s="37">
        <v>100</v>
      </c>
      <c r="S95" s="37">
        <v>0</v>
      </c>
      <c r="T95" s="37">
        <v>0</v>
      </c>
      <c r="U95" s="37">
        <v>59.38</v>
      </c>
      <c r="V95" s="37">
        <v>18.75</v>
      </c>
      <c r="W95" s="37">
        <v>21.88</v>
      </c>
      <c r="X95" s="37">
        <v>44.44</v>
      </c>
      <c r="Y95" s="37">
        <v>11.11</v>
      </c>
      <c r="Z95" s="37">
        <v>44.44</v>
      </c>
      <c r="AA95" s="37">
        <v>60</v>
      </c>
      <c r="AB95" s="37">
        <v>20</v>
      </c>
      <c r="AC95" s="24">
        <f t="shared" si="9"/>
        <v>38.26400000000001</v>
      </c>
      <c r="AD95" s="25">
        <f t="shared" si="10"/>
        <v>-38.26400000000001</v>
      </c>
      <c r="AE95" s="23" t="str">
        <f t="shared" si="11"/>
        <v>Loss</v>
      </c>
      <c r="AF95" s="23" t="str">
        <f t="shared" si="12"/>
        <v>Win</v>
      </c>
      <c r="AG95" s="23" t="str">
        <f t="shared" si="13"/>
        <v>Loss</v>
      </c>
      <c r="AH95" s="23">
        <f t="shared" si="14"/>
        <v>-50</v>
      </c>
      <c r="AI95" s="23">
        <f t="shared" si="15"/>
        <v>137.5</v>
      </c>
      <c r="AJ95" s="23">
        <f t="shared" si="16"/>
        <v>-50</v>
      </c>
    </row>
    <row r="96" spans="1:36" x14ac:dyDescent="0.2">
      <c r="A96" s="36">
        <v>43615</v>
      </c>
      <c r="B96" s="37" t="s">
        <v>227</v>
      </c>
      <c r="C96" s="37" t="s">
        <v>228</v>
      </c>
      <c r="D96" s="37" t="s">
        <v>403</v>
      </c>
      <c r="E96" s="37" t="s">
        <v>404</v>
      </c>
      <c r="F96" s="37" t="s">
        <v>405</v>
      </c>
      <c r="G96" s="37">
        <v>2</v>
      </c>
      <c r="H96" s="37">
        <v>0</v>
      </c>
      <c r="I96" s="37">
        <v>1.44</v>
      </c>
      <c r="J96" s="37">
        <v>4.5599999999999996</v>
      </c>
      <c r="K96" s="37">
        <v>5.16</v>
      </c>
      <c r="L96" s="37">
        <v>-3.72</v>
      </c>
      <c r="M96" s="37">
        <v>30</v>
      </c>
      <c r="N96" s="37">
        <v>7</v>
      </c>
      <c r="O96" s="37">
        <v>0</v>
      </c>
      <c r="P96" s="37">
        <v>14</v>
      </c>
      <c r="Q96" s="37">
        <v>4</v>
      </c>
      <c r="R96" s="37">
        <v>0</v>
      </c>
      <c r="S96" s="37">
        <v>0</v>
      </c>
      <c r="T96" s="37">
        <v>0</v>
      </c>
      <c r="U96" s="37">
        <v>33.33</v>
      </c>
      <c r="V96" s="37">
        <v>16.670000000000002</v>
      </c>
      <c r="W96" s="37">
        <v>50</v>
      </c>
      <c r="X96" s="37">
        <v>28.57</v>
      </c>
      <c r="Y96" s="37">
        <v>0</v>
      </c>
      <c r="Z96" s="37">
        <v>71.430000000000007</v>
      </c>
      <c r="AA96" s="37">
        <v>28.57</v>
      </c>
      <c r="AB96" s="37">
        <v>25</v>
      </c>
      <c r="AC96" s="24">
        <f t="shared" si="9"/>
        <v>6.9050000000000011</v>
      </c>
      <c r="AD96" s="25">
        <f t="shared" si="10"/>
        <v>-6.9050000000000011</v>
      </c>
      <c r="AE96" s="23" t="str">
        <f t="shared" si="11"/>
        <v>Win</v>
      </c>
      <c r="AF96" s="23" t="str">
        <f t="shared" si="12"/>
        <v>Loss</v>
      </c>
      <c r="AG96" s="23" t="str">
        <f t="shared" si="13"/>
        <v>Loss</v>
      </c>
      <c r="AH96" s="23">
        <f t="shared" si="14"/>
        <v>22</v>
      </c>
      <c r="AI96" s="23">
        <f t="shared" si="15"/>
        <v>-50</v>
      </c>
      <c r="AJ96" s="23">
        <f t="shared" si="16"/>
        <v>-50</v>
      </c>
    </row>
    <row r="97" spans="1:36" x14ac:dyDescent="0.2">
      <c r="A97" s="36">
        <v>43615</v>
      </c>
      <c r="B97" s="37" t="s">
        <v>305</v>
      </c>
      <c r="C97" s="37" t="s">
        <v>406</v>
      </c>
      <c r="D97" s="37" t="s">
        <v>407</v>
      </c>
      <c r="E97" s="37" t="s">
        <v>408</v>
      </c>
      <c r="F97" s="37" t="s">
        <v>409</v>
      </c>
      <c r="G97" s="37">
        <v>6</v>
      </c>
      <c r="H97" s="37">
        <v>3</v>
      </c>
      <c r="I97" s="37">
        <v>1.51</v>
      </c>
      <c r="J97" s="37">
        <v>4.66</v>
      </c>
      <c r="K97" s="37">
        <v>4.43</v>
      </c>
      <c r="L97" s="37">
        <v>-2.92</v>
      </c>
      <c r="M97" s="37">
        <v>32</v>
      </c>
      <c r="N97" s="37">
        <v>31</v>
      </c>
      <c r="O97" s="37">
        <v>1</v>
      </c>
      <c r="P97" s="37">
        <v>15</v>
      </c>
      <c r="Q97" s="37">
        <v>15</v>
      </c>
      <c r="R97" s="37">
        <v>0</v>
      </c>
      <c r="S97" s="37">
        <v>0</v>
      </c>
      <c r="T97" s="37">
        <v>100</v>
      </c>
      <c r="U97" s="37">
        <v>62.5</v>
      </c>
      <c r="V97" s="37">
        <v>15.63</v>
      </c>
      <c r="W97" s="37">
        <v>21.88</v>
      </c>
      <c r="X97" s="37">
        <v>48.39</v>
      </c>
      <c r="Y97" s="37">
        <v>29.03</v>
      </c>
      <c r="Z97" s="37">
        <v>22.58</v>
      </c>
      <c r="AA97" s="37">
        <v>73.33</v>
      </c>
      <c r="AB97" s="37">
        <v>46.67</v>
      </c>
      <c r="AC97" s="24">
        <f t="shared" si="9"/>
        <v>-28.378</v>
      </c>
      <c r="AD97" s="25">
        <f t="shared" si="10"/>
        <v>28.378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25.5</v>
      </c>
      <c r="AI97" s="23">
        <f t="shared" si="15"/>
        <v>-50</v>
      </c>
      <c r="AJ97" s="23">
        <f t="shared" si="16"/>
        <v>-50</v>
      </c>
    </row>
    <row r="98" spans="1:36" x14ac:dyDescent="0.2">
      <c r="A98" s="36">
        <v>43615</v>
      </c>
      <c r="B98" s="37" t="s">
        <v>305</v>
      </c>
      <c r="C98" s="37" t="s">
        <v>406</v>
      </c>
      <c r="D98" s="37" t="s">
        <v>410</v>
      </c>
      <c r="E98" s="37" t="s">
        <v>411</v>
      </c>
      <c r="F98" s="37" t="s">
        <v>412</v>
      </c>
      <c r="G98" s="37">
        <v>1</v>
      </c>
      <c r="H98" s="37">
        <v>3</v>
      </c>
      <c r="I98" s="37">
        <v>4.3899999999999997</v>
      </c>
      <c r="J98" s="37">
        <v>4.59</v>
      </c>
      <c r="K98" s="37">
        <v>1.52</v>
      </c>
      <c r="L98" s="37">
        <v>2.87</v>
      </c>
      <c r="M98" s="37">
        <v>30</v>
      </c>
      <c r="N98" s="37">
        <v>33</v>
      </c>
      <c r="O98" s="37">
        <v>1</v>
      </c>
      <c r="P98" s="37">
        <v>13</v>
      </c>
      <c r="Q98" s="37">
        <v>16</v>
      </c>
      <c r="R98" s="37">
        <v>0</v>
      </c>
      <c r="S98" s="37">
        <v>0</v>
      </c>
      <c r="T98" s="37">
        <v>100</v>
      </c>
      <c r="U98" s="37">
        <v>3.33</v>
      </c>
      <c r="V98" s="37">
        <v>43.33</v>
      </c>
      <c r="W98" s="37">
        <v>53.33</v>
      </c>
      <c r="X98" s="37">
        <v>33.33</v>
      </c>
      <c r="Y98" s="37">
        <v>15.15</v>
      </c>
      <c r="Z98" s="37">
        <v>51.52</v>
      </c>
      <c r="AA98" s="37">
        <v>7.69</v>
      </c>
      <c r="AB98" s="37">
        <v>6.25</v>
      </c>
      <c r="AC98" s="24">
        <f t="shared" si="9"/>
        <v>-33.543999999999997</v>
      </c>
      <c r="AD98" s="25">
        <f t="shared" si="10"/>
        <v>33.543999999999997</v>
      </c>
      <c r="AE98" s="23" t="str">
        <f t="shared" si="11"/>
        <v>Loss</v>
      </c>
      <c r="AF98" s="23" t="str">
        <f t="shared" si="12"/>
        <v>Loss</v>
      </c>
      <c r="AG98" s="23" t="str">
        <f t="shared" si="13"/>
        <v>Win</v>
      </c>
      <c r="AH98" s="23">
        <f t="shared" si="14"/>
        <v>-50</v>
      </c>
      <c r="AI98" s="23">
        <f t="shared" si="15"/>
        <v>-50</v>
      </c>
      <c r="AJ98" s="23">
        <f t="shared" si="16"/>
        <v>26</v>
      </c>
    </row>
    <row r="99" spans="1:36" x14ac:dyDescent="0.2">
      <c r="A99" s="36">
        <v>43615</v>
      </c>
      <c r="B99" s="37" t="s">
        <v>305</v>
      </c>
      <c r="C99" s="37" t="s">
        <v>406</v>
      </c>
      <c r="D99" s="37" t="s">
        <v>413</v>
      </c>
      <c r="E99" s="37" t="s">
        <v>414</v>
      </c>
      <c r="F99" s="37" t="s">
        <v>415</v>
      </c>
      <c r="G99" s="37">
        <v>3</v>
      </c>
      <c r="H99" s="37">
        <v>4</v>
      </c>
      <c r="I99" s="37">
        <v>2.96</v>
      </c>
      <c r="J99" s="37">
        <v>3.94</v>
      </c>
      <c r="K99" s="37">
        <v>1.97</v>
      </c>
      <c r="L99" s="37">
        <v>0.99</v>
      </c>
      <c r="M99" s="37">
        <v>32</v>
      </c>
      <c r="N99" s="37">
        <v>65</v>
      </c>
      <c r="O99" s="37">
        <v>1</v>
      </c>
      <c r="P99" s="37">
        <v>15</v>
      </c>
      <c r="Q99" s="37">
        <v>32</v>
      </c>
      <c r="R99" s="37">
        <v>0</v>
      </c>
      <c r="S99" s="37">
        <v>100</v>
      </c>
      <c r="T99" s="37">
        <v>0</v>
      </c>
      <c r="U99" s="37">
        <v>50</v>
      </c>
      <c r="V99" s="37">
        <v>31.25</v>
      </c>
      <c r="W99" s="37">
        <v>18.75</v>
      </c>
      <c r="X99" s="37">
        <v>61.54</v>
      </c>
      <c r="Y99" s="37">
        <v>26.15</v>
      </c>
      <c r="Z99" s="37">
        <v>12.31</v>
      </c>
      <c r="AA99" s="37">
        <v>66.67</v>
      </c>
      <c r="AB99" s="37">
        <v>56.25</v>
      </c>
      <c r="AC99" s="24">
        <f t="shared" si="9"/>
        <v>6.9139999999999997</v>
      </c>
      <c r="AD99" s="25">
        <f t="shared" si="10"/>
        <v>13.086</v>
      </c>
      <c r="AE99" s="23" t="str">
        <f t="shared" si="11"/>
        <v>Loss</v>
      </c>
      <c r="AF99" s="23" t="str">
        <f t="shared" si="12"/>
        <v>Loss</v>
      </c>
      <c r="AG99" s="23" t="str">
        <f t="shared" si="13"/>
        <v>Win</v>
      </c>
      <c r="AH99" s="23">
        <f t="shared" si="14"/>
        <v>-50</v>
      </c>
      <c r="AI99" s="23">
        <f t="shared" si="15"/>
        <v>-50</v>
      </c>
      <c r="AJ99" s="23">
        <f t="shared" si="16"/>
        <v>48.5</v>
      </c>
    </row>
    <row r="100" spans="1:36" x14ac:dyDescent="0.2">
      <c r="A100" s="36">
        <v>43615</v>
      </c>
      <c r="B100" s="37" t="s">
        <v>305</v>
      </c>
      <c r="C100" s="37" t="s">
        <v>406</v>
      </c>
      <c r="D100" s="37" t="s">
        <v>416</v>
      </c>
      <c r="E100" s="37" t="s">
        <v>417</v>
      </c>
      <c r="F100" s="37" t="s">
        <v>418</v>
      </c>
      <c r="G100" s="37">
        <v>6</v>
      </c>
      <c r="H100" s="37">
        <v>0</v>
      </c>
      <c r="I100" s="37">
        <v>1.26</v>
      </c>
      <c r="J100" s="37">
        <v>5.21</v>
      </c>
      <c r="K100" s="37">
        <v>7.09</v>
      </c>
      <c r="L100" s="37">
        <v>-5.83</v>
      </c>
      <c r="M100" s="37">
        <v>31</v>
      </c>
      <c r="N100" s="37">
        <v>32</v>
      </c>
      <c r="O100" s="37">
        <v>1</v>
      </c>
      <c r="P100" s="37">
        <v>16</v>
      </c>
      <c r="Q100" s="37">
        <v>16</v>
      </c>
      <c r="R100" s="37">
        <v>0</v>
      </c>
      <c r="S100" s="37">
        <v>100</v>
      </c>
      <c r="T100" s="37">
        <v>0</v>
      </c>
      <c r="U100" s="37">
        <v>32.26</v>
      </c>
      <c r="V100" s="37">
        <v>22.58</v>
      </c>
      <c r="W100" s="37">
        <v>45.16</v>
      </c>
      <c r="X100" s="37">
        <v>9.3800000000000008</v>
      </c>
      <c r="Y100" s="37">
        <v>21.88</v>
      </c>
      <c r="Z100" s="37">
        <v>68.75</v>
      </c>
      <c r="AA100" s="37">
        <v>37.5</v>
      </c>
      <c r="AB100" s="37">
        <v>0</v>
      </c>
      <c r="AC100" s="24">
        <f t="shared" si="9"/>
        <v>19.363999999999997</v>
      </c>
      <c r="AD100" s="25">
        <f t="shared" si="10"/>
        <v>0.63600000000000101</v>
      </c>
      <c r="AE100" s="23" t="str">
        <f t="shared" si="11"/>
        <v>Win</v>
      </c>
      <c r="AF100" s="23" t="str">
        <f t="shared" si="12"/>
        <v>Loss</v>
      </c>
      <c r="AG100" s="23" t="str">
        <f t="shared" si="13"/>
        <v>Loss</v>
      </c>
      <c r="AH100" s="23">
        <f t="shared" si="14"/>
        <v>13</v>
      </c>
      <c r="AI100" s="23">
        <f t="shared" si="15"/>
        <v>-50</v>
      </c>
      <c r="AJ100" s="23">
        <f t="shared" si="16"/>
        <v>-50</v>
      </c>
    </row>
    <row r="101" spans="1:36" x14ac:dyDescent="0.2">
      <c r="A101" s="36">
        <v>43615</v>
      </c>
      <c r="B101" s="37" t="s">
        <v>305</v>
      </c>
      <c r="C101" s="37" t="s">
        <v>406</v>
      </c>
      <c r="D101" s="37" t="s">
        <v>419</v>
      </c>
      <c r="E101" s="37" t="s">
        <v>420</v>
      </c>
      <c r="F101" s="37" t="s">
        <v>421</v>
      </c>
      <c r="G101" s="37">
        <v>5</v>
      </c>
      <c r="H101" s="37">
        <v>4</v>
      </c>
      <c r="I101" s="37">
        <v>1.82</v>
      </c>
      <c r="J101" s="37">
        <v>4.38</v>
      </c>
      <c r="K101" s="37">
        <v>3.11</v>
      </c>
      <c r="L101" s="37">
        <v>-1.29</v>
      </c>
      <c r="M101" s="37">
        <v>33</v>
      </c>
      <c r="N101" s="37">
        <v>34</v>
      </c>
      <c r="O101" s="37">
        <v>1</v>
      </c>
      <c r="P101" s="37">
        <v>17</v>
      </c>
      <c r="Q101" s="37">
        <v>17</v>
      </c>
      <c r="R101" s="37">
        <v>0</v>
      </c>
      <c r="S101" s="37">
        <v>0</v>
      </c>
      <c r="T101" s="37">
        <v>100</v>
      </c>
      <c r="U101" s="37">
        <v>36.36</v>
      </c>
      <c r="V101" s="37">
        <v>15.15</v>
      </c>
      <c r="W101" s="37">
        <v>48.48</v>
      </c>
      <c r="X101" s="37">
        <v>44.12</v>
      </c>
      <c r="Y101" s="37">
        <v>23.53</v>
      </c>
      <c r="Z101" s="37">
        <v>32.35</v>
      </c>
      <c r="AA101" s="37">
        <v>52.94</v>
      </c>
      <c r="AB101" s="37">
        <v>23.53</v>
      </c>
      <c r="AC101" s="24">
        <f t="shared" si="9"/>
        <v>-35.616</v>
      </c>
      <c r="AD101" s="25">
        <f t="shared" si="10"/>
        <v>35.616</v>
      </c>
      <c r="AE101" s="23" t="str">
        <f t="shared" si="11"/>
        <v>Win</v>
      </c>
      <c r="AF101" s="23" t="str">
        <f t="shared" si="12"/>
        <v>Loss</v>
      </c>
      <c r="AG101" s="23" t="str">
        <f t="shared" si="13"/>
        <v>Loss</v>
      </c>
      <c r="AH101" s="23">
        <f t="shared" si="14"/>
        <v>41</v>
      </c>
      <c r="AI101" s="23">
        <f t="shared" si="15"/>
        <v>-50</v>
      </c>
      <c r="AJ101" s="23">
        <f t="shared" si="16"/>
        <v>-50</v>
      </c>
    </row>
    <row r="102" spans="1:36" x14ac:dyDescent="0.2">
      <c r="A102" s="36">
        <v>43615</v>
      </c>
      <c r="B102" s="37" t="s">
        <v>305</v>
      </c>
      <c r="C102" s="37" t="s">
        <v>406</v>
      </c>
      <c r="D102" s="37" t="s">
        <v>422</v>
      </c>
      <c r="E102" s="37" t="s">
        <v>423</v>
      </c>
      <c r="F102" s="37" t="s">
        <v>424</v>
      </c>
      <c r="G102" s="37">
        <v>0</v>
      </c>
      <c r="H102" s="37">
        <v>2</v>
      </c>
      <c r="I102" s="37">
        <v>1.58</v>
      </c>
      <c r="J102" s="37">
        <v>4.63</v>
      </c>
      <c r="K102" s="37">
        <v>3.95</v>
      </c>
      <c r="L102" s="37">
        <v>-2.37</v>
      </c>
      <c r="M102" s="37">
        <v>31</v>
      </c>
      <c r="N102" s="37">
        <v>31</v>
      </c>
      <c r="O102" s="37">
        <v>1</v>
      </c>
      <c r="P102" s="37">
        <v>16</v>
      </c>
      <c r="Q102" s="37">
        <v>14</v>
      </c>
      <c r="R102" s="37">
        <v>0</v>
      </c>
      <c r="S102" s="37">
        <v>0</v>
      </c>
      <c r="T102" s="37">
        <v>100</v>
      </c>
      <c r="U102" s="37">
        <v>32.26</v>
      </c>
      <c r="V102" s="37">
        <v>19.350000000000001</v>
      </c>
      <c r="W102" s="37">
        <v>48.39</v>
      </c>
      <c r="X102" s="37">
        <v>45.16</v>
      </c>
      <c r="Y102" s="37">
        <v>29.03</v>
      </c>
      <c r="Z102" s="37">
        <v>25.81</v>
      </c>
      <c r="AA102" s="37">
        <v>43.75</v>
      </c>
      <c r="AB102" s="37">
        <v>42.86</v>
      </c>
      <c r="AC102" s="24">
        <f t="shared" si="9"/>
        <v>-38.064000000000007</v>
      </c>
      <c r="AD102" s="25">
        <f t="shared" si="10"/>
        <v>38.064000000000007</v>
      </c>
      <c r="AE102" s="23" t="str">
        <f t="shared" si="11"/>
        <v>Loss</v>
      </c>
      <c r="AF102" s="23" t="str">
        <f t="shared" si="12"/>
        <v>Loss</v>
      </c>
      <c r="AG102" s="23" t="str">
        <f t="shared" si="13"/>
        <v>Win</v>
      </c>
      <c r="AH102" s="23">
        <f t="shared" si="14"/>
        <v>-50</v>
      </c>
      <c r="AI102" s="23">
        <f t="shared" si="15"/>
        <v>-50</v>
      </c>
      <c r="AJ102" s="23">
        <f t="shared" si="16"/>
        <v>147.5</v>
      </c>
    </row>
    <row r="103" spans="1:36" x14ac:dyDescent="0.2">
      <c r="A103" s="36">
        <v>43615</v>
      </c>
      <c r="B103" s="37" t="s">
        <v>317</v>
      </c>
      <c r="C103" s="37" t="s">
        <v>425</v>
      </c>
      <c r="D103" s="37" t="s">
        <v>426</v>
      </c>
      <c r="E103" s="37" t="s">
        <v>427</v>
      </c>
      <c r="F103" s="37" t="s">
        <v>428</v>
      </c>
      <c r="G103" s="37">
        <v>5</v>
      </c>
      <c r="H103" s="37">
        <v>2</v>
      </c>
      <c r="I103" s="37">
        <v>1.21</v>
      </c>
      <c r="J103" s="37">
        <v>6.36</v>
      </c>
      <c r="K103" s="37">
        <v>7.57</v>
      </c>
      <c r="L103" s="37">
        <v>-6.36</v>
      </c>
      <c r="M103" s="37">
        <v>32</v>
      </c>
      <c r="N103" s="37">
        <v>9</v>
      </c>
      <c r="O103" s="37">
        <v>0</v>
      </c>
      <c r="P103" s="37">
        <v>15</v>
      </c>
      <c r="Q103" s="37">
        <v>3</v>
      </c>
      <c r="R103" s="37">
        <v>0</v>
      </c>
      <c r="S103" s="37">
        <v>0</v>
      </c>
      <c r="T103" s="37">
        <v>0</v>
      </c>
      <c r="U103" s="37">
        <v>40.630000000000003</v>
      </c>
      <c r="V103" s="37">
        <v>18.75</v>
      </c>
      <c r="W103" s="37">
        <v>40.630000000000003</v>
      </c>
      <c r="X103" s="37">
        <v>11.11</v>
      </c>
      <c r="Y103" s="37">
        <v>0</v>
      </c>
      <c r="Z103" s="37">
        <v>88.89</v>
      </c>
      <c r="AA103" s="37">
        <v>53.33</v>
      </c>
      <c r="AB103" s="37">
        <v>0</v>
      </c>
      <c r="AC103" s="24">
        <f t="shared" si="9"/>
        <v>17.431000000000001</v>
      </c>
      <c r="AD103" s="25">
        <f t="shared" si="10"/>
        <v>-17.431000000000001</v>
      </c>
      <c r="AE103" s="23" t="str">
        <f t="shared" si="11"/>
        <v>Win</v>
      </c>
      <c r="AF103" s="23" t="str">
        <f t="shared" si="12"/>
        <v>Loss</v>
      </c>
      <c r="AG103" s="23" t="str">
        <f t="shared" si="13"/>
        <v>Loss</v>
      </c>
      <c r="AH103" s="23">
        <f t="shared" si="14"/>
        <v>10.5</v>
      </c>
      <c r="AI103" s="23">
        <f t="shared" si="15"/>
        <v>-50</v>
      </c>
      <c r="AJ103" s="23">
        <f t="shared" si="16"/>
        <v>-50</v>
      </c>
    </row>
    <row r="104" spans="1:36" x14ac:dyDescent="0.2">
      <c r="A104" s="36">
        <v>43615</v>
      </c>
      <c r="B104" s="37" t="s">
        <v>317</v>
      </c>
      <c r="C104" s="37" t="s">
        <v>318</v>
      </c>
      <c r="D104" s="37" t="s">
        <v>429</v>
      </c>
      <c r="E104" s="37" t="s">
        <v>430</v>
      </c>
      <c r="F104" s="37" t="s">
        <v>431</v>
      </c>
      <c r="G104" s="37">
        <v>1</v>
      </c>
      <c r="H104" s="37">
        <v>1</v>
      </c>
      <c r="I104" s="37">
        <v>3.42</v>
      </c>
      <c r="J104" s="37">
        <v>4.26</v>
      </c>
      <c r="K104" s="37">
        <v>1.75</v>
      </c>
      <c r="L104" s="37">
        <v>1.67</v>
      </c>
      <c r="M104" s="37">
        <v>7</v>
      </c>
      <c r="N104" s="37">
        <v>60</v>
      </c>
      <c r="O104" s="37">
        <v>0</v>
      </c>
      <c r="P104" s="37">
        <v>3</v>
      </c>
      <c r="Q104" s="37">
        <v>28</v>
      </c>
      <c r="R104" s="37">
        <v>0</v>
      </c>
      <c r="S104" s="37">
        <v>0</v>
      </c>
      <c r="T104" s="37">
        <v>0</v>
      </c>
      <c r="U104" s="37">
        <v>28.57</v>
      </c>
      <c r="V104" s="37">
        <v>14.29</v>
      </c>
      <c r="W104" s="37">
        <v>57.14</v>
      </c>
      <c r="X104" s="37">
        <v>50</v>
      </c>
      <c r="Y104" s="37">
        <v>11.67</v>
      </c>
      <c r="Z104" s="37">
        <v>38.33</v>
      </c>
      <c r="AA104" s="37">
        <v>66.67</v>
      </c>
      <c r="AB104" s="37">
        <v>39.29</v>
      </c>
      <c r="AC104" s="24">
        <f t="shared" si="9"/>
        <v>-7.7859999999999996</v>
      </c>
      <c r="AD104" s="25">
        <f t="shared" si="10"/>
        <v>7.7859999999999996</v>
      </c>
      <c r="AE104" s="23" t="str">
        <f t="shared" si="11"/>
        <v>Loss</v>
      </c>
      <c r="AF104" s="23" t="str">
        <f t="shared" si="12"/>
        <v>Win</v>
      </c>
      <c r="AG104" s="23" t="str">
        <f t="shared" si="13"/>
        <v>Loss</v>
      </c>
      <c r="AH104" s="23">
        <f t="shared" si="14"/>
        <v>-50</v>
      </c>
      <c r="AI104" s="23">
        <f t="shared" si="15"/>
        <v>163</v>
      </c>
      <c r="AJ104" s="23">
        <f t="shared" si="16"/>
        <v>-50</v>
      </c>
    </row>
    <row r="105" spans="1:36" x14ac:dyDescent="0.2">
      <c r="A105" s="36">
        <v>43615</v>
      </c>
      <c r="B105" s="37" t="s">
        <v>235</v>
      </c>
      <c r="C105" s="37" t="s">
        <v>432</v>
      </c>
      <c r="D105" s="37" t="s">
        <v>433</v>
      </c>
      <c r="E105" s="37" t="s">
        <v>434</v>
      </c>
      <c r="F105" s="37" t="s">
        <v>435</v>
      </c>
      <c r="G105" s="37">
        <v>2</v>
      </c>
      <c r="H105" s="37">
        <v>1</v>
      </c>
      <c r="I105" s="37">
        <v>2.12</v>
      </c>
      <c r="J105" s="37">
        <v>3.38</v>
      </c>
      <c r="K105" s="37">
        <v>3.11</v>
      </c>
      <c r="L105" s="37">
        <v>-0.99</v>
      </c>
      <c r="M105" s="37">
        <v>10</v>
      </c>
      <c r="N105" s="37">
        <v>40</v>
      </c>
      <c r="O105" s="37">
        <v>0</v>
      </c>
      <c r="P105" s="37">
        <v>4</v>
      </c>
      <c r="Q105" s="37">
        <v>19</v>
      </c>
      <c r="R105" s="37">
        <v>0</v>
      </c>
      <c r="S105" s="37">
        <v>0</v>
      </c>
      <c r="T105" s="37">
        <v>0</v>
      </c>
      <c r="U105" s="37">
        <v>30</v>
      </c>
      <c r="V105" s="37">
        <v>20</v>
      </c>
      <c r="W105" s="37">
        <v>50</v>
      </c>
      <c r="X105" s="37">
        <v>35</v>
      </c>
      <c r="Y105" s="37">
        <v>15</v>
      </c>
      <c r="Z105" s="37">
        <v>50</v>
      </c>
      <c r="AA105" s="37">
        <v>50</v>
      </c>
      <c r="AB105" s="37">
        <v>31.58</v>
      </c>
      <c r="AC105" s="24">
        <f t="shared" si="9"/>
        <v>-0.5</v>
      </c>
      <c r="AD105" s="25">
        <f t="shared" si="10"/>
        <v>0.5</v>
      </c>
      <c r="AE105" s="23" t="str">
        <f t="shared" si="11"/>
        <v>Win</v>
      </c>
      <c r="AF105" s="23" t="str">
        <f t="shared" si="12"/>
        <v>Loss</v>
      </c>
      <c r="AG105" s="23" t="str">
        <f t="shared" si="13"/>
        <v>Loss</v>
      </c>
      <c r="AH105" s="23">
        <f t="shared" si="14"/>
        <v>56</v>
      </c>
      <c r="AI105" s="23">
        <f t="shared" si="15"/>
        <v>-50</v>
      </c>
      <c r="AJ105" s="23">
        <f t="shared" si="16"/>
        <v>-50</v>
      </c>
    </row>
    <row r="106" spans="1:36" x14ac:dyDescent="0.2">
      <c r="A106" s="36">
        <v>43615</v>
      </c>
      <c r="B106" s="37" t="s">
        <v>235</v>
      </c>
      <c r="C106" s="37" t="s">
        <v>432</v>
      </c>
      <c r="D106" s="37" t="s">
        <v>436</v>
      </c>
      <c r="E106" s="37" t="s">
        <v>437</v>
      </c>
      <c r="F106" s="37" t="s">
        <v>438</v>
      </c>
      <c r="G106" s="37">
        <v>2</v>
      </c>
      <c r="H106" s="37">
        <v>2</v>
      </c>
      <c r="I106" s="37">
        <v>1.51</v>
      </c>
      <c r="J106" s="37">
        <v>4.37</v>
      </c>
      <c r="K106" s="37">
        <v>4.99</v>
      </c>
      <c r="L106" s="37">
        <v>-3.48</v>
      </c>
      <c r="M106" s="37">
        <v>37</v>
      </c>
      <c r="N106" s="37">
        <v>35</v>
      </c>
      <c r="O106" s="37">
        <v>0</v>
      </c>
      <c r="P106" s="37">
        <v>17</v>
      </c>
      <c r="Q106" s="37">
        <v>18</v>
      </c>
      <c r="R106" s="37">
        <v>0</v>
      </c>
      <c r="S106" s="37">
        <v>0</v>
      </c>
      <c r="T106" s="37">
        <v>0</v>
      </c>
      <c r="U106" s="37">
        <v>35.14</v>
      </c>
      <c r="V106" s="37">
        <v>32.43</v>
      </c>
      <c r="W106" s="37">
        <v>32.43</v>
      </c>
      <c r="X106" s="37">
        <v>65.709999999999994</v>
      </c>
      <c r="Y106" s="37">
        <v>17.14</v>
      </c>
      <c r="Z106" s="37">
        <v>17.14</v>
      </c>
      <c r="AA106" s="37">
        <v>47.06</v>
      </c>
      <c r="AB106" s="37">
        <v>55.56</v>
      </c>
      <c r="AC106" s="24">
        <f t="shared" si="9"/>
        <v>-7.6429999999999989</v>
      </c>
      <c r="AD106" s="25">
        <f t="shared" si="10"/>
        <v>7.6429999999999989</v>
      </c>
      <c r="AE106" s="23" t="str">
        <f t="shared" si="11"/>
        <v>Loss</v>
      </c>
      <c r="AF106" s="23" t="str">
        <f t="shared" si="12"/>
        <v>Win</v>
      </c>
      <c r="AG106" s="23" t="str">
        <f t="shared" si="13"/>
        <v>Loss</v>
      </c>
      <c r="AH106" s="23">
        <f t="shared" si="14"/>
        <v>-50</v>
      </c>
      <c r="AI106" s="23">
        <f t="shared" si="15"/>
        <v>168.5</v>
      </c>
      <c r="AJ106" s="23">
        <f t="shared" si="16"/>
        <v>-50</v>
      </c>
    </row>
    <row r="107" spans="1:36" x14ac:dyDescent="0.2">
      <c r="A107" s="36">
        <v>43615</v>
      </c>
      <c r="B107" s="37" t="s">
        <v>235</v>
      </c>
      <c r="C107" s="37" t="s">
        <v>322</v>
      </c>
      <c r="D107" s="37" t="s">
        <v>439</v>
      </c>
      <c r="E107" s="37" t="s">
        <v>440</v>
      </c>
      <c r="F107" s="37" t="s">
        <v>441</v>
      </c>
      <c r="G107" s="37">
        <v>2</v>
      </c>
      <c r="H107" s="37">
        <v>2</v>
      </c>
      <c r="I107" s="37">
        <v>2.73</v>
      </c>
      <c r="J107" s="37">
        <v>3.54</v>
      </c>
      <c r="K107" s="37">
        <v>2.29</v>
      </c>
      <c r="L107" s="37">
        <v>0.44</v>
      </c>
      <c r="M107" s="37">
        <v>44</v>
      </c>
      <c r="N107" s="37">
        <v>42</v>
      </c>
      <c r="O107" s="37">
        <v>2</v>
      </c>
      <c r="P107" s="37">
        <v>22</v>
      </c>
      <c r="Q107" s="37">
        <v>21</v>
      </c>
      <c r="R107" s="37">
        <v>0</v>
      </c>
      <c r="S107" s="37">
        <v>0</v>
      </c>
      <c r="T107" s="37">
        <v>100</v>
      </c>
      <c r="U107" s="37">
        <v>45.45</v>
      </c>
      <c r="V107" s="37">
        <v>22.73</v>
      </c>
      <c r="W107" s="37">
        <v>31.82</v>
      </c>
      <c r="X107" s="37">
        <v>47.62</v>
      </c>
      <c r="Y107" s="37">
        <v>28.57</v>
      </c>
      <c r="Z107" s="37">
        <v>23.81</v>
      </c>
      <c r="AA107" s="37">
        <v>45.45</v>
      </c>
      <c r="AB107" s="37">
        <v>42.86</v>
      </c>
      <c r="AC107" s="24">
        <f t="shared" si="9"/>
        <v>-32.619999999999997</v>
      </c>
      <c r="AD107" s="25">
        <f t="shared" si="10"/>
        <v>32.619999999999997</v>
      </c>
      <c r="AE107" s="23" t="str">
        <f t="shared" si="11"/>
        <v>Loss</v>
      </c>
      <c r="AF107" s="23" t="str">
        <f t="shared" si="12"/>
        <v>Win</v>
      </c>
      <c r="AG107" s="23" t="str">
        <f t="shared" si="13"/>
        <v>Loss</v>
      </c>
      <c r="AH107" s="23">
        <f t="shared" si="14"/>
        <v>-50</v>
      </c>
      <c r="AI107" s="23">
        <f t="shared" si="15"/>
        <v>127</v>
      </c>
      <c r="AJ107" s="23">
        <f t="shared" si="16"/>
        <v>-50</v>
      </c>
    </row>
    <row r="108" spans="1:36" x14ac:dyDescent="0.2">
      <c r="A108" s="36">
        <v>43615</v>
      </c>
      <c r="B108" s="37" t="s">
        <v>235</v>
      </c>
      <c r="C108" s="37" t="s">
        <v>326</v>
      </c>
      <c r="D108" s="37" t="s">
        <v>442</v>
      </c>
      <c r="E108" s="37" t="s">
        <v>443</v>
      </c>
      <c r="F108" s="37" t="s">
        <v>444</v>
      </c>
      <c r="G108" s="37">
        <v>1</v>
      </c>
      <c r="H108" s="37">
        <v>1</v>
      </c>
      <c r="I108" s="37">
        <v>1.45</v>
      </c>
      <c r="J108" s="37">
        <v>4.7300000000000004</v>
      </c>
      <c r="K108" s="37">
        <v>5.01</v>
      </c>
      <c r="L108" s="37">
        <v>-3.56</v>
      </c>
      <c r="M108" s="37">
        <v>33</v>
      </c>
      <c r="N108" s="37">
        <v>9</v>
      </c>
      <c r="O108" s="37">
        <v>0</v>
      </c>
      <c r="P108" s="37">
        <v>17</v>
      </c>
      <c r="Q108" s="37">
        <v>4</v>
      </c>
      <c r="R108" s="37">
        <v>0</v>
      </c>
      <c r="S108" s="37">
        <v>0</v>
      </c>
      <c r="T108" s="37">
        <v>0</v>
      </c>
      <c r="U108" s="37">
        <v>54.55</v>
      </c>
      <c r="V108" s="37">
        <v>27.27</v>
      </c>
      <c r="W108" s="37">
        <v>18.18</v>
      </c>
      <c r="X108" s="37">
        <v>44.44</v>
      </c>
      <c r="Y108" s="37">
        <v>33.33</v>
      </c>
      <c r="Z108" s="37">
        <v>22.22</v>
      </c>
      <c r="AA108" s="37">
        <v>41.18</v>
      </c>
      <c r="AB108" s="37">
        <v>50</v>
      </c>
      <c r="AC108" s="24">
        <f t="shared" si="9"/>
        <v>2.2240000000000011</v>
      </c>
      <c r="AD108" s="25">
        <f t="shared" si="10"/>
        <v>-2.2240000000000011</v>
      </c>
      <c r="AE108" s="23" t="str">
        <f t="shared" si="11"/>
        <v>Loss</v>
      </c>
      <c r="AF108" s="23" t="str">
        <f t="shared" si="12"/>
        <v>Win</v>
      </c>
      <c r="AG108" s="23" t="str">
        <f t="shared" si="13"/>
        <v>Loss</v>
      </c>
      <c r="AH108" s="23">
        <f t="shared" si="14"/>
        <v>-50</v>
      </c>
      <c r="AI108" s="23">
        <f t="shared" si="15"/>
        <v>186.50000000000003</v>
      </c>
      <c r="AJ108" s="23">
        <f t="shared" si="16"/>
        <v>-50</v>
      </c>
    </row>
    <row r="109" spans="1:36" x14ac:dyDescent="0.2">
      <c r="A109" s="36">
        <v>43615</v>
      </c>
      <c r="B109" s="37" t="s">
        <v>235</v>
      </c>
      <c r="C109" s="37" t="s">
        <v>326</v>
      </c>
      <c r="D109" s="37" t="s">
        <v>445</v>
      </c>
      <c r="E109" s="37" t="s">
        <v>446</v>
      </c>
      <c r="F109" s="37" t="s">
        <v>447</v>
      </c>
      <c r="G109" s="37">
        <v>4</v>
      </c>
      <c r="H109" s="37">
        <v>4</v>
      </c>
      <c r="I109" s="37">
        <v>1.41</v>
      </c>
      <c r="J109" s="37">
        <v>4.7300000000000004</v>
      </c>
      <c r="K109" s="37">
        <v>5</v>
      </c>
      <c r="L109" s="37">
        <v>-3.59</v>
      </c>
      <c r="M109" s="37">
        <v>36</v>
      </c>
      <c r="N109" s="37">
        <v>33</v>
      </c>
      <c r="O109" s="37">
        <v>0</v>
      </c>
      <c r="P109" s="37">
        <v>18</v>
      </c>
      <c r="Q109" s="37">
        <v>16</v>
      </c>
      <c r="R109" s="37">
        <v>0</v>
      </c>
      <c r="S109" s="37">
        <v>0</v>
      </c>
      <c r="T109" s="37">
        <v>0</v>
      </c>
      <c r="U109" s="37">
        <v>27.78</v>
      </c>
      <c r="V109" s="37">
        <v>25</v>
      </c>
      <c r="W109" s="37">
        <v>47.22</v>
      </c>
      <c r="X109" s="37">
        <v>33.33</v>
      </c>
      <c r="Y109" s="37">
        <v>24.24</v>
      </c>
      <c r="Z109" s="37">
        <v>42.42</v>
      </c>
      <c r="AA109" s="37">
        <v>38.89</v>
      </c>
      <c r="AB109" s="37">
        <v>25</v>
      </c>
      <c r="AC109" s="24">
        <f t="shared" si="9"/>
        <v>-1.9939999999999998</v>
      </c>
      <c r="AD109" s="25">
        <f t="shared" si="10"/>
        <v>1.9939999999999998</v>
      </c>
      <c r="AE109" s="23" t="str">
        <f t="shared" si="11"/>
        <v>Loss</v>
      </c>
      <c r="AF109" s="23" t="str">
        <f t="shared" si="12"/>
        <v>Win</v>
      </c>
      <c r="AG109" s="23" t="str">
        <f t="shared" si="13"/>
        <v>Loss</v>
      </c>
      <c r="AH109" s="23">
        <f t="shared" si="14"/>
        <v>-50</v>
      </c>
      <c r="AI109" s="23">
        <f t="shared" si="15"/>
        <v>186.50000000000003</v>
      </c>
      <c r="AJ109" s="23">
        <f t="shared" si="16"/>
        <v>-50</v>
      </c>
    </row>
    <row r="110" spans="1:36" x14ac:dyDescent="0.2">
      <c r="A110" s="36">
        <v>43615</v>
      </c>
      <c r="B110" s="37" t="s">
        <v>235</v>
      </c>
      <c r="C110" s="37" t="s">
        <v>330</v>
      </c>
      <c r="D110" s="37" t="s">
        <v>448</v>
      </c>
      <c r="E110" s="37" t="s">
        <v>449</v>
      </c>
      <c r="F110" s="37" t="s">
        <v>450</v>
      </c>
      <c r="G110" s="37">
        <v>0</v>
      </c>
      <c r="H110" s="37">
        <v>3</v>
      </c>
      <c r="I110" s="37">
        <v>5.81</v>
      </c>
      <c r="J110" s="37">
        <v>4.9400000000000004</v>
      </c>
      <c r="K110" s="37">
        <v>1.34</v>
      </c>
      <c r="L110" s="37">
        <v>4.47</v>
      </c>
      <c r="M110" s="37">
        <v>9</v>
      </c>
      <c r="N110" s="37">
        <v>40</v>
      </c>
      <c r="O110" s="37">
        <v>0</v>
      </c>
      <c r="P110" s="37">
        <v>5</v>
      </c>
      <c r="Q110" s="37">
        <v>19</v>
      </c>
      <c r="R110" s="37">
        <v>0</v>
      </c>
      <c r="S110" s="37">
        <v>0</v>
      </c>
      <c r="T110" s="37">
        <v>0</v>
      </c>
      <c r="U110" s="37">
        <v>11.11</v>
      </c>
      <c r="V110" s="37">
        <v>44.44</v>
      </c>
      <c r="W110" s="37">
        <v>44.44</v>
      </c>
      <c r="X110" s="37">
        <v>70</v>
      </c>
      <c r="Y110" s="37">
        <v>15</v>
      </c>
      <c r="Z110" s="37">
        <v>15</v>
      </c>
      <c r="AA110" s="37">
        <v>20</v>
      </c>
      <c r="AB110" s="37">
        <v>68.42</v>
      </c>
      <c r="AC110" s="24">
        <f t="shared" si="9"/>
        <v>-14.722000000000001</v>
      </c>
      <c r="AD110" s="25">
        <f t="shared" si="10"/>
        <v>14.722000000000001</v>
      </c>
      <c r="AE110" s="23" t="str">
        <f t="shared" si="11"/>
        <v>Loss</v>
      </c>
      <c r="AF110" s="23" t="str">
        <f t="shared" si="12"/>
        <v>Loss</v>
      </c>
      <c r="AG110" s="23" t="str">
        <f t="shared" si="13"/>
        <v>Win</v>
      </c>
      <c r="AH110" s="23">
        <f t="shared" si="14"/>
        <v>-50</v>
      </c>
      <c r="AI110" s="23">
        <f t="shared" si="15"/>
        <v>-50</v>
      </c>
      <c r="AJ110" s="23">
        <f t="shared" si="16"/>
        <v>17</v>
      </c>
    </row>
    <row r="111" spans="1:36" x14ac:dyDescent="0.2">
      <c r="A111" s="36">
        <v>43615</v>
      </c>
      <c r="B111" s="37" t="s">
        <v>235</v>
      </c>
      <c r="C111" s="37" t="s">
        <v>343</v>
      </c>
      <c r="D111" s="37" t="s">
        <v>451</v>
      </c>
      <c r="E111" s="37" t="s">
        <v>452</v>
      </c>
      <c r="F111" s="37" t="s">
        <v>453</v>
      </c>
      <c r="G111" s="37">
        <v>0</v>
      </c>
      <c r="H111" s="37">
        <v>0</v>
      </c>
      <c r="I111" s="37">
        <v>2.29</v>
      </c>
      <c r="J111" s="37">
        <v>3.55</v>
      </c>
      <c r="K111" s="37">
        <v>2.5099999999999998</v>
      </c>
      <c r="L111" s="37">
        <v>-0.22</v>
      </c>
      <c r="M111" s="37">
        <v>26</v>
      </c>
      <c r="N111" s="37">
        <v>25</v>
      </c>
      <c r="O111" s="37">
        <v>1</v>
      </c>
      <c r="P111" s="37">
        <v>12</v>
      </c>
      <c r="Q111" s="37">
        <v>12</v>
      </c>
      <c r="R111" s="37">
        <v>100</v>
      </c>
      <c r="S111" s="37">
        <v>0</v>
      </c>
      <c r="T111" s="37">
        <v>0</v>
      </c>
      <c r="U111" s="37">
        <v>30.77</v>
      </c>
      <c r="V111" s="37">
        <v>19.23</v>
      </c>
      <c r="W111" s="37">
        <v>50</v>
      </c>
      <c r="X111" s="37">
        <v>20</v>
      </c>
      <c r="Y111" s="37">
        <v>20</v>
      </c>
      <c r="Z111" s="37">
        <v>60</v>
      </c>
      <c r="AA111" s="37">
        <v>33.33</v>
      </c>
      <c r="AB111" s="37">
        <v>8.33</v>
      </c>
      <c r="AC111" s="24">
        <f t="shared" si="9"/>
        <v>34.076999999999998</v>
      </c>
      <c r="AD111" s="25">
        <f t="shared" si="10"/>
        <v>-34.076999999999998</v>
      </c>
      <c r="AE111" s="23" t="str">
        <f t="shared" si="11"/>
        <v>Loss</v>
      </c>
      <c r="AF111" s="23" t="str">
        <f t="shared" si="12"/>
        <v>Win</v>
      </c>
      <c r="AG111" s="23" t="str">
        <f t="shared" si="13"/>
        <v>Loss</v>
      </c>
      <c r="AH111" s="23">
        <f t="shared" si="14"/>
        <v>-50</v>
      </c>
      <c r="AI111" s="23">
        <f t="shared" si="15"/>
        <v>127.5</v>
      </c>
      <c r="AJ111" s="23">
        <f t="shared" si="16"/>
        <v>-50</v>
      </c>
    </row>
    <row r="112" spans="1:36" x14ac:dyDescent="0.2">
      <c r="A112" s="36">
        <v>43615</v>
      </c>
      <c r="B112" s="37" t="s">
        <v>235</v>
      </c>
      <c r="C112" s="37" t="s">
        <v>343</v>
      </c>
      <c r="D112" s="37" t="s">
        <v>454</v>
      </c>
      <c r="E112" s="37" t="s">
        <v>455</v>
      </c>
      <c r="F112" s="37" t="s">
        <v>456</v>
      </c>
      <c r="G112" s="37">
        <v>4</v>
      </c>
      <c r="H112" s="37">
        <v>1</v>
      </c>
      <c r="I112" s="37">
        <v>1.2</v>
      </c>
      <c r="J112" s="37">
        <v>6.1</v>
      </c>
      <c r="K112" s="37">
        <v>8.6199999999999992</v>
      </c>
      <c r="L112" s="37">
        <v>-7.42</v>
      </c>
      <c r="M112" s="37">
        <v>27</v>
      </c>
      <c r="N112" s="37">
        <v>8</v>
      </c>
      <c r="O112" s="37">
        <v>0</v>
      </c>
      <c r="P112" s="37">
        <v>14</v>
      </c>
      <c r="Q112" s="37">
        <v>3</v>
      </c>
      <c r="R112" s="37">
        <v>0</v>
      </c>
      <c r="S112" s="37">
        <v>0</v>
      </c>
      <c r="T112" s="37">
        <v>0</v>
      </c>
      <c r="U112" s="37">
        <v>40.74</v>
      </c>
      <c r="V112" s="37">
        <v>22.22</v>
      </c>
      <c r="W112" s="37">
        <v>37.04</v>
      </c>
      <c r="X112" s="37">
        <v>12.5</v>
      </c>
      <c r="Y112" s="37">
        <v>25</v>
      </c>
      <c r="Z112" s="37">
        <v>62.5</v>
      </c>
      <c r="AA112" s="37">
        <v>50</v>
      </c>
      <c r="AB112" s="37">
        <v>0</v>
      </c>
      <c r="AC112" s="24">
        <f t="shared" si="9"/>
        <v>10.462</v>
      </c>
      <c r="AD112" s="25">
        <f t="shared" si="10"/>
        <v>-10.462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10</v>
      </c>
      <c r="AI112" s="23">
        <f t="shared" si="15"/>
        <v>-50</v>
      </c>
      <c r="AJ112" s="23">
        <f t="shared" si="16"/>
        <v>-50</v>
      </c>
    </row>
    <row r="113" spans="1:36" x14ac:dyDescent="0.2">
      <c r="A113" s="36">
        <v>43615</v>
      </c>
      <c r="B113" s="37" t="s">
        <v>235</v>
      </c>
      <c r="C113" s="37" t="s">
        <v>236</v>
      </c>
      <c r="D113" s="37" t="s">
        <v>457</v>
      </c>
      <c r="E113" s="37" t="s">
        <v>458</v>
      </c>
      <c r="F113" s="37" t="s">
        <v>459</v>
      </c>
      <c r="G113" s="37">
        <v>2</v>
      </c>
      <c r="H113" s="37">
        <v>2</v>
      </c>
      <c r="I113" s="37">
        <v>1.58</v>
      </c>
      <c r="J113" s="37">
        <v>3.89</v>
      </c>
      <c r="K113" s="37">
        <v>4.46</v>
      </c>
      <c r="L113" s="37">
        <v>-2.88</v>
      </c>
      <c r="M113" s="37">
        <v>35</v>
      </c>
      <c r="N113" s="37">
        <v>34</v>
      </c>
      <c r="O113" s="37">
        <v>2</v>
      </c>
      <c r="P113" s="37">
        <v>17</v>
      </c>
      <c r="Q113" s="37">
        <v>16</v>
      </c>
      <c r="R113" s="37">
        <v>50</v>
      </c>
      <c r="S113" s="37">
        <v>50</v>
      </c>
      <c r="T113" s="37">
        <v>0</v>
      </c>
      <c r="U113" s="37">
        <v>42.86</v>
      </c>
      <c r="V113" s="37">
        <v>31.43</v>
      </c>
      <c r="W113" s="37">
        <v>25.71</v>
      </c>
      <c r="X113" s="37">
        <v>35.29</v>
      </c>
      <c r="Y113" s="37">
        <v>23.53</v>
      </c>
      <c r="Z113" s="37">
        <v>41.18</v>
      </c>
      <c r="AA113" s="37">
        <v>64.709999999999994</v>
      </c>
      <c r="AB113" s="37">
        <v>37.5</v>
      </c>
      <c r="AC113" s="24">
        <f t="shared" si="9"/>
        <v>25.398000000000003</v>
      </c>
      <c r="AD113" s="25">
        <f t="shared" si="10"/>
        <v>-15.398000000000005</v>
      </c>
      <c r="AE113" s="23" t="str">
        <f t="shared" si="11"/>
        <v>Loss</v>
      </c>
      <c r="AF113" s="23" t="str">
        <f t="shared" si="12"/>
        <v>Win</v>
      </c>
      <c r="AG113" s="23" t="str">
        <f t="shared" si="13"/>
        <v>Loss</v>
      </c>
      <c r="AH113" s="23">
        <f t="shared" si="14"/>
        <v>-50</v>
      </c>
      <c r="AI113" s="23">
        <f t="shared" si="15"/>
        <v>144.5</v>
      </c>
      <c r="AJ113" s="23">
        <f t="shared" si="16"/>
        <v>-50</v>
      </c>
    </row>
    <row r="114" spans="1:36" x14ac:dyDescent="0.2">
      <c r="A114" s="36">
        <v>43615</v>
      </c>
      <c r="B114" s="37" t="s">
        <v>235</v>
      </c>
      <c r="C114" s="37" t="s">
        <v>236</v>
      </c>
      <c r="D114" s="37" t="s">
        <v>460</v>
      </c>
      <c r="E114" s="37" t="s">
        <v>461</v>
      </c>
      <c r="F114" s="37" t="s">
        <v>462</v>
      </c>
      <c r="G114" s="37">
        <v>3</v>
      </c>
      <c r="H114" s="37">
        <v>3</v>
      </c>
      <c r="I114" s="37">
        <v>2.33</v>
      </c>
      <c r="J114" s="37">
        <v>3.51</v>
      </c>
      <c r="K114" s="37">
        <v>2.54</v>
      </c>
      <c r="L114" s="37">
        <v>-0.21</v>
      </c>
      <c r="M114" s="37">
        <v>57</v>
      </c>
      <c r="N114" s="37">
        <v>61</v>
      </c>
      <c r="O114" s="37">
        <v>4</v>
      </c>
      <c r="P114" s="37">
        <v>28</v>
      </c>
      <c r="Q114" s="37">
        <v>31</v>
      </c>
      <c r="R114" s="37">
        <v>25</v>
      </c>
      <c r="S114" s="37">
        <v>0</v>
      </c>
      <c r="T114" s="37">
        <v>75</v>
      </c>
      <c r="U114" s="37">
        <v>42.11</v>
      </c>
      <c r="V114" s="37">
        <v>22.81</v>
      </c>
      <c r="W114" s="37">
        <v>35.090000000000003</v>
      </c>
      <c r="X114" s="37">
        <v>37.700000000000003</v>
      </c>
      <c r="Y114" s="37">
        <v>32.79</v>
      </c>
      <c r="Z114" s="37">
        <v>29.51</v>
      </c>
      <c r="AA114" s="37">
        <v>53.57</v>
      </c>
      <c r="AB114" s="37">
        <v>32.26</v>
      </c>
      <c r="AC114" s="24">
        <f t="shared" si="9"/>
        <v>-16.231999999999999</v>
      </c>
      <c r="AD114" s="25">
        <f t="shared" si="10"/>
        <v>16.231999999999999</v>
      </c>
      <c r="AE114" s="23" t="str">
        <f t="shared" si="11"/>
        <v>Loss</v>
      </c>
      <c r="AF114" s="23" t="str">
        <f t="shared" si="12"/>
        <v>Win</v>
      </c>
      <c r="AG114" s="23" t="str">
        <f t="shared" si="13"/>
        <v>Loss</v>
      </c>
      <c r="AH114" s="23">
        <f t="shared" si="14"/>
        <v>-50</v>
      </c>
      <c r="AI114" s="23">
        <f t="shared" si="15"/>
        <v>125.5</v>
      </c>
      <c r="AJ114" s="23">
        <f t="shared" si="16"/>
        <v>-50</v>
      </c>
    </row>
    <row r="115" spans="1:36" x14ac:dyDescent="0.2">
      <c r="A115" s="36">
        <v>43615</v>
      </c>
      <c r="B115" s="37" t="s">
        <v>235</v>
      </c>
      <c r="C115" s="37" t="s">
        <v>365</v>
      </c>
      <c r="D115" s="37" t="s">
        <v>463</v>
      </c>
      <c r="E115" s="37" t="s">
        <v>464</v>
      </c>
      <c r="F115" s="37" t="s">
        <v>465</v>
      </c>
      <c r="G115" s="37">
        <v>1</v>
      </c>
      <c r="H115" s="37">
        <v>1</v>
      </c>
      <c r="I115" s="37">
        <v>6.09</v>
      </c>
      <c r="J115" s="37">
        <v>5.72</v>
      </c>
      <c r="K115" s="37">
        <v>1.3</v>
      </c>
      <c r="L115" s="37">
        <v>4.79</v>
      </c>
      <c r="M115" s="37">
        <v>24</v>
      </c>
      <c r="N115" s="37">
        <v>28</v>
      </c>
      <c r="O115" s="37">
        <v>0</v>
      </c>
      <c r="P115" s="37">
        <v>13</v>
      </c>
      <c r="Q115" s="37">
        <v>13</v>
      </c>
      <c r="R115" s="37">
        <v>0</v>
      </c>
      <c r="S115" s="37">
        <v>0</v>
      </c>
      <c r="T115" s="37">
        <v>0</v>
      </c>
      <c r="U115" s="37">
        <v>20.83</v>
      </c>
      <c r="V115" s="37">
        <v>29.17</v>
      </c>
      <c r="W115" s="37">
        <v>50</v>
      </c>
      <c r="X115" s="37">
        <v>42.86</v>
      </c>
      <c r="Y115" s="37">
        <v>17.86</v>
      </c>
      <c r="Z115" s="37">
        <v>39.29</v>
      </c>
      <c r="AA115" s="37">
        <v>23.08</v>
      </c>
      <c r="AB115" s="37">
        <v>30.77</v>
      </c>
      <c r="AC115" s="24">
        <f t="shared" si="9"/>
        <v>-5.4169999999999998</v>
      </c>
      <c r="AD115" s="25">
        <f t="shared" si="10"/>
        <v>5.4169999999999998</v>
      </c>
      <c r="AE115" s="23" t="str">
        <f t="shared" si="11"/>
        <v>Loss</v>
      </c>
      <c r="AF115" s="23" t="str">
        <f t="shared" si="12"/>
        <v>Win</v>
      </c>
      <c r="AG115" s="23" t="str">
        <f t="shared" si="13"/>
        <v>Loss</v>
      </c>
      <c r="AH115" s="23">
        <f t="shared" si="14"/>
        <v>-50</v>
      </c>
      <c r="AI115" s="23">
        <f t="shared" si="15"/>
        <v>236</v>
      </c>
      <c r="AJ115" s="23">
        <f t="shared" si="16"/>
        <v>-50</v>
      </c>
    </row>
    <row r="116" spans="1:36" x14ac:dyDescent="0.2">
      <c r="A116" s="36">
        <v>43615</v>
      </c>
      <c r="B116" s="37" t="s">
        <v>235</v>
      </c>
      <c r="C116" s="37" t="s">
        <v>365</v>
      </c>
      <c r="D116" s="37" t="s">
        <v>466</v>
      </c>
      <c r="E116" s="37" t="s">
        <v>467</v>
      </c>
      <c r="F116" s="37" t="s">
        <v>468</v>
      </c>
      <c r="G116" s="37">
        <v>4</v>
      </c>
      <c r="H116" s="37">
        <v>2</v>
      </c>
      <c r="I116" s="37">
        <v>1.98</v>
      </c>
      <c r="J116" s="37">
        <v>3.72</v>
      </c>
      <c r="K116" s="37">
        <v>3.06</v>
      </c>
      <c r="L116" s="37">
        <v>-1.08</v>
      </c>
      <c r="M116" s="37">
        <v>8</v>
      </c>
      <c r="N116" s="37">
        <v>27</v>
      </c>
      <c r="O116" s="37">
        <v>0</v>
      </c>
      <c r="P116" s="37">
        <v>4</v>
      </c>
      <c r="Q116" s="37">
        <v>14</v>
      </c>
      <c r="R116" s="37">
        <v>0</v>
      </c>
      <c r="S116" s="37">
        <v>0</v>
      </c>
      <c r="T116" s="37">
        <v>0</v>
      </c>
      <c r="U116" s="37">
        <v>25</v>
      </c>
      <c r="V116" s="37">
        <v>50</v>
      </c>
      <c r="W116" s="37">
        <v>25</v>
      </c>
      <c r="X116" s="37">
        <v>33.33</v>
      </c>
      <c r="Y116" s="37">
        <v>7.41</v>
      </c>
      <c r="Z116" s="37">
        <v>59.26</v>
      </c>
      <c r="AA116" s="37">
        <v>25</v>
      </c>
      <c r="AB116" s="37">
        <v>35.71</v>
      </c>
      <c r="AC116" s="24">
        <f t="shared" si="9"/>
        <v>9.4450000000000003</v>
      </c>
      <c r="AD116" s="25">
        <f t="shared" si="10"/>
        <v>-9.4450000000000003</v>
      </c>
      <c r="AE116" s="23" t="str">
        <f t="shared" si="11"/>
        <v>Win</v>
      </c>
      <c r="AF116" s="23" t="str">
        <f t="shared" si="12"/>
        <v>Loss</v>
      </c>
      <c r="AG116" s="23" t="str">
        <f t="shared" si="13"/>
        <v>Loss</v>
      </c>
      <c r="AH116" s="23">
        <f t="shared" si="14"/>
        <v>49</v>
      </c>
      <c r="AI116" s="23">
        <f t="shared" si="15"/>
        <v>-50</v>
      </c>
      <c r="AJ116" s="23">
        <f t="shared" si="16"/>
        <v>-50</v>
      </c>
    </row>
    <row r="117" spans="1:36" x14ac:dyDescent="0.2">
      <c r="A117" s="36">
        <v>43615</v>
      </c>
      <c r="B117" s="37" t="s">
        <v>235</v>
      </c>
      <c r="C117" s="37" t="s">
        <v>469</v>
      </c>
      <c r="D117" s="37" t="s">
        <v>470</v>
      </c>
      <c r="E117" s="37" t="s">
        <v>471</v>
      </c>
      <c r="F117" s="37" t="s">
        <v>472</v>
      </c>
      <c r="G117" s="37">
        <v>3</v>
      </c>
      <c r="H117" s="37">
        <v>0</v>
      </c>
      <c r="I117" s="37">
        <v>1.29</v>
      </c>
      <c r="J117" s="37">
        <v>5.03</v>
      </c>
      <c r="K117" s="37">
        <v>10.76</v>
      </c>
      <c r="L117" s="37">
        <v>-9.4700000000000006</v>
      </c>
      <c r="M117" s="37">
        <v>17</v>
      </c>
      <c r="N117" s="37">
        <v>17</v>
      </c>
      <c r="O117" s="37">
        <v>1</v>
      </c>
      <c r="P117" s="37">
        <v>9</v>
      </c>
      <c r="Q117" s="37">
        <v>10</v>
      </c>
      <c r="R117" s="37">
        <v>100</v>
      </c>
      <c r="S117" s="37">
        <v>0</v>
      </c>
      <c r="T117" s="37">
        <v>0</v>
      </c>
      <c r="U117" s="37">
        <v>70.59</v>
      </c>
      <c r="V117" s="37">
        <v>11.76</v>
      </c>
      <c r="W117" s="37">
        <v>17.649999999999999</v>
      </c>
      <c r="X117" s="37">
        <v>35.29</v>
      </c>
      <c r="Y117" s="37">
        <v>23.53</v>
      </c>
      <c r="Z117" s="37">
        <v>41.18</v>
      </c>
      <c r="AA117" s="37">
        <v>77.78</v>
      </c>
      <c r="AB117" s="37">
        <v>30</v>
      </c>
      <c r="AC117" s="24">
        <f t="shared" si="9"/>
        <v>40.588999999999999</v>
      </c>
      <c r="AD117" s="25">
        <f t="shared" si="10"/>
        <v>-40.588999999999999</v>
      </c>
      <c r="AE117" s="23" t="str">
        <f t="shared" si="11"/>
        <v>Win</v>
      </c>
      <c r="AF117" s="23" t="str">
        <f t="shared" si="12"/>
        <v>Loss</v>
      </c>
      <c r="AG117" s="23" t="str">
        <f t="shared" si="13"/>
        <v>Loss</v>
      </c>
      <c r="AH117" s="23">
        <f t="shared" si="14"/>
        <v>14.5</v>
      </c>
      <c r="AI117" s="23">
        <f t="shared" si="15"/>
        <v>-50</v>
      </c>
      <c r="AJ117" s="23">
        <f t="shared" si="16"/>
        <v>-50</v>
      </c>
    </row>
    <row r="118" spans="1:36" x14ac:dyDescent="0.2">
      <c r="A118" s="36">
        <v>43615</v>
      </c>
      <c r="B118" s="37" t="s">
        <v>473</v>
      </c>
      <c r="C118" s="37" t="s">
        <v>474</v>
      </c>
      <c r="D118" s="37" t="s">
        <v>475</v>
      </c>
      <c r="E118" s="37" t="s">
        <v>476</v>
      </c>
      <c r="F118" s="37" t="s">
        <v>477</v>
      </c>
      <c r="G118" s="37">
        <v>1</v>
      </c>
      <c r="H118" s="37">
        <v>1</v>
      </c>
      <c r="I118" s="37">
        <v>1.44</v>
      </c>
      <c r="J118" s="37">
        <v>4.2</v>
      </c>
      <c r="K118" s="37">
        <v>6.1</v>
      </c>
      <c r="L118" s="37">
        <v>-4.66</v>
      </c>
      <c r="M118" s="37">
        <v>51</v>
      </c>
      <c r="N118" s="37">
        <v>43</v>
      </c>
      <c r="O118" s="37">
        <v>2</v>
      </c>
      <c r="P118" s="37">
        <v>26</v>
      </c>
      <c r="Q118" s="37">
        <v>20</v>
      </c>
      <c r="R118" s="37">
        <v>50</v>
      </c>
      <c r="S118" s="37">
        <v>0</v>
      </c>
      <c r="T118" s="37">
        <v>50</v>
      </c>
      <c r="U118" s="37">
        <v>41.18</v>
      </c>
      <c r="V118" s="37">
        <v>25.49</v>
      </c>
      <c r="W118" s="37">
        <v>33.33</v>
      </c>
      <c r="X118" s="37">
        <v>41.86</v>
      </c>
      <c r="Y118" s="37">
        <v>18.600000000000001</v>
      </c>
      <c r="Z118" s="37">
        <v>39.53</v>
      </c>
      <c r="AA118" s="37">
        <v>61.54</v>
      </c>
      <c r="AB118" s="37">
        <v>20</v>
      </c>
      <c r="AC118" s="24">
        <f t="shared" si="9"/>
        <v>1.7930000000000001</v>
      </c>
      <c r="AD118" s="25">
        <f t="shared" si="10"/>
        <v>-1.7930000000000001</v>
      </c>
      <c r="AE118" s="23" t="str">
        <f t="shared" si="11"/>
        <v>Loss</v>
      </c>
      <c r="AF118" s="23" t="str">
        <f t="shared" si="12"/>
        <v>Win</v>
      </c>
      <c r="AG118" s="23" t="str">
        <f t="shared" si="13"/>
        <v>Loss</v>
      </c>
      <c r="AH118" s="23">
        <f t="shared" si="14"/>
        <v>-50</v>
      </c>
      <c r="AI118" s="23">
        <f t="shared" si="15"/>
        <v>160</v>
      </c>
      <c r="AJ118" s="23">
        <f t="shared" si="16"/>
        <v>-50</v>
      </c>
    </row>
    <row r="119" spans="1:36" x14ac:dyDescent="0.2">
      <c r="A119" s="36">
        <v>43615</v>
      </c>
      <c r="B119" s="37" t="s">
        <v>478</v>
      </c>
      <c r="C119" s="37" t="s">
        <v>479</v>
      </c>
      <c r="D119" s="37" t="s">
        <v>480</v>
      </c>
      <c r="E119" s="37" t="s">
        <v>481</v>
      </c>
      <c r="F119" s="37" t="s">
        <v>482</v>
      </c>
      <c r="G119" s="37">
        <v>1</v>
      </c>
      <c r="H119" s="37">
        <v>1</v>
      </c>
      <c r="I119" s="37">
        <v>2.69</v>
      </c>
      <c r="J119" s="37">
        <v>3.6</v>
      </c>
      <c r="K119" s="37">
        <v>2.13</v>
      </c>
      <c r="L119" s="37">
        <v>0.56000000000000005</v>
      </c>
      <c r="M119" s="37">
        <v>1</v>
      </c>
      <c r="N119" s="37">
        <v>0</v>
      </c>
      <c r="O119" s="37">
        <v>0</v>
      </c>
      <c r="P119" s="37">
        <v>0</v>
      </c>
      <c r="Q119" s="37">
        <v>0</v>
      </c>
      <c r="R119" s="37">
        <v>0</v>
      </c>
      <c r="S119" s="37">
        <v>0</v>
      </c>
      <c r="T119" s="37">
        <v>0</v>
      </c>
      <c r="U119" s="37">
        <v>0</v>
      </c>
      <c r="V119" s="37">
        <v>0</v>
      </c>
      <c r="W119" s="37">
        <v>100</v>
      </c>
      <c r="X119" s="37">
        <v>0</v>
      </c>
      <c r="Y119" s="37">
        <v>0</v>
      </c>
      <c r="Z119" s="37">
        <v>0</v>
      </c>
      <c r="AA119" s="37">
        <v>0</v>
      </c>
      <c r="AB119" s="37">
        <v>0</v>
      </c>
      <c r="AC119" s="24">
        <f t="shared" si="9"/>
        <v>-20</v>
      </c>
      <c r="AD119" s="25">
        <f t="shared" si="10"/>
        <v>20</v>
      </c>
      <c r="AE119" s="23" t="str">
        <f t="shared" si="11"/>
        <v>Loss</v>
      </c>
      <c r="AF119" s="23" t="str">
        <f t="shared" si="12"/>
        <v>Win</v>
      </c>
      <c r="AG119" s="23" t="str">
        <f t="shared" si="13"/>
        <v>Loss</v>
      </c>
      <c r="AH119" s="23">
        <f t="shared" si="14"/>
        <v>-50</v>
      </c>
      <c r="AI119" s="23">
        <f t="shared" si="15"/>
        <v>130</v>
      </c>
      <c r="AJ119" s="23">
        <f t="shared" si="16"/>
        <v>-50</v>
      </c>
    </row>
    <row r="120" spans="1:36" x14ac:dyDescent="0.2">
      <c r="A120" s="36">
        <v>43615</v>
      </c>
      <c r="B120" s="37" t="s">
        <v>235</v>
      </c>
      <c r="C120" s="37" t="s">
        <v>432</v>
      </c>
      <c r="D120" s="37" t="s">
        <v>483</v>
      </c>
      <c r="E120" s="37" t="s">
        <v>484</v>
      </c>
      <c r="F120" s="37" t="s">
        <v>485</v>
      </c>
      <c r="G120" s="37">
        <v>1</v>
      </c>
      <c r="H120" s="37">
        <v>1</v>
      </c>
      <c r="I120" s="37">
        <v>4.9400000000000004</v>
      </c>
      <c r="J120" s="37">
        <v>3.65</v>
      </c>
      <c r="K120" s="37">
        <v>1.62</v>
      </c>
      <c r="L120" s="37">
        <v>3.32</v>
      </c>
      <c r="M120" s="37">
        <v>28</v>
      </c>
      <c r="N120" s="37">
        <v>40</v>
      </c>
      <c r="O120" s="37">
        <v>0</v>
      </c>
      <c r="P120" s="37">
        <v>15</v>
      </c>
      <c r="Q120" s="37">
        <v>20</v>
      </c>
      <c r="R120" s="37">
        <v>0</v>
      </c>
      <c r="S120" s="37">
        <v>0</v>
      </c>
      <c r="T120" s="37">
        <v>0</v>
      </c>
      <c r="U120" s="37">
        <v>28.57</v>
      </c>
      <c r="V120" s="37">
        <v>39.29</v>
      </c>
      <c r="W120" s="37">
        <v>32.14</v>
      </c>
      <c r="X120" s="37">
        <v>30</v>
      </c>
      <c r="Y120" s="37">
        <v>35</v>
      </c>
      <c r="Z120" s="37">
        <v>35</v>
      </c>
      <c r="AA120" s="37">
        <v>33.33</v>
      </c>
      <c r="AB120" s="37">
        <v>35</v>
      </c>
      <c r="AC120" s="24">
        <f t="shared" si="9"/>
        <v>0.71499999999999986</v>
      </c>
      <c r="AD120" s="25">
        <f t="shared" si="10"/>
        <v>-0.71499999999999986</v>
      </c>
      <c r="AE120" s="23" t="str">
        <f t="shared" si="11"/>
        <v>Loss</v>
      </c>
      <c r="AF120" s="23" t="str">
        <f t="shared" si="12"/>
        <v>Win</v>
      </c>
      <c r="AG120" s="23" t="str">
        <f t="shared" si="13"/>
        <v>Loss</v>
      </c>
      <c r="AH120" s="23">
        <f t="shared" si="14"/>
        <v>-50</v>
      </c>
      <c r="AI120" s="23">
        <f t="shared" si="15"/>
        <v>132.5</v>
      </c>
      <c r="AJ120" s="23">
        <f t="shared" si="16"/>
        <v>-50</v>
      </c>
    </row>
    <row r="121" spans="1:36" x14ac:dyDescent="0.2">
      <c r="A121" s="36">
        <v>43615</v>
      </c>
      <c r="B121" s="37" t="s">
        <v>486</v>
      </c>
      <c r="C121" s="37" t="s">
        <v>487</v>
      </c>
      <c r="D121" s="37" t="s">
        <v>488</v>
      </c>
      <c r="E121" s="37" t="s">
        <v>489</v>
      </c>
      <c r="F121" s="37" t="s">
        <v>490</v>
      </c>
      <c r="G121" s="37">
        <v>1</v>
      </c>
      <c r="H121" s="37">
        <v>1</v>
      </c>
      <c r="I121" s="37">
        <v>2.77</v>
      </c>
      <c r="J121" s="37">
        <v>3.18</v>
      </c>
      <c r="K121" s="37">
        <v>2.1800000000000002</v>
      </c>
      <c r="L121" s="37">
        <v>0.59</v>
      </c>
      <c r="M121" s="37">
        <v>29</v>
      </c>
      <c r="N121" s="37">
        <v>32</v>
      </c>
      <c r="O121" s="37">
        <v>4</v>
      </c>
      <c r="P121" s="37">
        <v>10</v>
      </c>
      <c r="Q121" s="37">
        <v>16</v>
      </c>
      <c r="R121" s="37">
        <v>50</v>
      </c>
      <c r="S121" s="37">
        <v>25</v>
      </c>
      <c r="T121" s="37">
        <v>25</v>
      </c>
      <c r="U121" s="37">
        <v>34.479999999999997</v>
      </c>
      <c r="V121" s="37">
        <v>27.59</v>
      </c>
      <c r="W121" s="37">
        <v>37.93</v>
      </c>
      <c r="X121" s="37">
        <v>53.13</v>
      </c>
      <c r="Y121" s="37">
        <v>25</v>
      </c>
      <c r="Z121" s="37">
        <v>21.88</v>
      </c>
      <c r="AA121" s="37">
        <v>30</v>
      </c>
      <c r="AB121" s="37">
        <v>43.75</v>
      </c>
      <c r="AC121" s="24">
        <f t="shared" si="9"/>
        <v>3.319</v>
      </c>
      <c r="AD121" s="25">
        <f t="shared" si="10"/>
        <v>1.681</v>
      </c>
      <c r="AE121" s="23" t="str">
        <f t="shared" si="11"/>
        <v>Loss</v>
      </c>
      <c r="AF121" s="23" t="str">
        <f t="shared" si="12"/>
        <v>Win</v>
      </c>
      <c r="AG121" s="23" t="str">
        <f t="shared" si="13"/>
        <v>Loss</v>
      </c>
      <c r="AH121" s="23">
        <f t="shared" si="14"/>
        <v>-50</v>
      </c>
      <c r="AI121" s="23">
        <f t="shared" si="15"/>
        <v>109</v>
      </c>
      <c r="AJ121" s="23">
        <f t="shared" si="16"/>
        <v>-50</v>
      </c>
    </row>
    <row r="122" spans="1:36" x14ac:dyDescent="0.2">
      <c r="A122" s="36">
        <v>43615</v>
      </c>
      <c r="B122" s="37" t="s">
        <v>486</v>
      </c>
      <c r="C122" s="37" t="s">
        <v>487</v>
      </c>
      <c r="D122" s="37" t="s">
        <v>491</v>
      </c>
      <c r="E122" s="37" t="s">
        <v>492</v>
      </c>
      <c r="F122" s="37" t="s">
        <v>493</v>
      </c>
      <c r="G122" s="37">
        <v>3</v>
      </c>
      <c r="H122" s="37">
        <v>1</v>
      </c>
      <c r="I122" s="37">
        <v>1.95</v>
      </c>
      <c r="J122" s="37">
        <v>3.41</v>
      </c>
      <c r="K122" s="37">
        <v>3.07</v>
      </c>
      <c r="L122" s="37">
        <v>-1.1200000000000001</v>
      </c>
      <c r="M122" s="37">
        <v>29</v>
      </c>
      <c r="N122" s="37">
        <v>24</v>
      </c>
      <c r="O122" s="37">
        <v>1</v>
      </c>
      <c r="P122" s="37">
        <v>17</v>
      </c>
      <c r="Q122" s="37">
        <v>9</v>
      </c>
      <c r="R122" s="37">
        <v>100</v>
      </c>
      <c r="S122" s="37">
        <v>0</v>
      </c>
      <c r="T122" s="37">
        <v>0</v>
      </c>
      <c r="U122" s="37">
        <v>44.83</v>
      </c>
      <c r="V122" s="37">
        <v>31.03</v>
      </c>
      <c r="W122" s="37">
        <v>24.14</v>
      </c>
      <c r="X122" s="37">
        <v>33.33</v>
      </c>
      <c r="Y122" s="37">
        <v>20.83</v>
      </c>
      <c r="Z122" s="37">
        <v>45.83</v>
      </c>
      <c r="AA122" s="37">
        <v>52.94</v>
      </c>
      <c r="AB122" s="37">
        <v>22.22</v>
      </c>
      <c r="AC122" s="24">
        <f t="shared" si="9"/>
        <v>37.658000000000001</v>
      </c>
      <c r="AD122" s="25">
        <f t="shared" si="10"/>
        <v>-37.658000000000001</v>
      </c>
      <c r="AE122" s="23" t="str">
        <f t="shared" si="11"/>
        <v>Win</v>
      </c>
      <c r="AF122" s="23" t="str">
        <f t="shared" si="12"/>
        <v>Loss</v>
      </c>
      <c r="AG122" s="23" t="str">
        <f t="shared" si="13"/>
        <v>Loss</v>
      </c>
      <c r="AH122" s="23">
        <f t="shared" si="14"/>
        <v>47.5</v>
      </c>
      <c r="AI122" s="23">
        <f t="shared" si="15"/>
        <v>-50</v>
      </c>
      <c r="AJ122" s="23">
        <f t="shared" si="16"/>
        <v>-50</v>
      </c>
    </row>
    <row r="123" spans="1:36" x14ac:dyDescent="0.2">
      <c r="A123" s="36">
        <v>43615</v>
      </c>
      <c r="B123" s="37" t="s">
        <v>486</v>
      </c>
      <c r="C123" s="37" t="s">
        <v>487</v>
      </c>
      <c r="D123" s="37" t="s">
        <v>494</v>
      </c>
      <c r="E123" s="37" t="s">
        <v>495</v>
      </c>
      <c r="F123" s="37" t="s">
        <v>496</v>
      </c>
      <c r="G123" s="37">
        <v>2</v>
      </c>
      <c r="H123" s="37">
        <v>0</v>
      </c>
      <c r="I123" s="37">
        <v>1.37</v>
      </c>
      <c r="J123" s="37">
        <v>3.96</v>
      </c>
      <c r="K123" s="37">
        <v>6.74</v>
      </c>
      <c r="L123" s="37">
        <v>-5.37</v>
      </c>
      <c r="M123" s="37">
        <v>28</v>
      </c>
      <c r="N123" s="37">
        <v>26</v>
      </c>
      <c r="O123" s="37">
        <v>1</v>
      </c>
      <c r="P123" s="37">
        <v>15</v>
      </c>
      <c r="Q123" s="37">
        <v>13</v>
      </c>
      <c r="R123" s="37">
        <v>0</v>
      </c>
      <c r="S123" s="37">
        <v>100</v>
      </c>
      <c r="T123" s="37">
        <v>0</v>
      </c>
      <c r="U123" s="37">
        <v>35.71</v>
      </c>
      <c r="V123" s="37">
        <v>39.29</v>
      </c>
      <c r="W123" s="37">
        <v>25</v>
      </c>
      <c r="X123" s="37">
        <v>30.77</v>
      </c>
      <c r="Y123" s="37">
        <v>34.619999999999997</v>
      </c>
      <c r="Z123" s="37">
        <v>34.619999999999997</v>
      </c>
      <c r="AA123" s="37">
        <v>46.67</v>
      </c>
      <c r="AB123" s="37">
        <v>7.69</v>
      </c>
      <c r="AC123" s="24">
        <f t="shared" si="9"/>
        <v>13.378999999999998</v>
      </c>
      <c r="AD123" s="25">
        <f t="shared" si="10"/>
        <v>6.6209999999999987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18.5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43615</v>
      </c>
      <c r="B124" s="37" t="s">
        <v>486</v>
      </c>
      <c r="C124" s="37" t="s">
        <v>487</v>
      </c>
      <c r="D124" s="37" t="s">
        <v>497</v>
      </c>
      <c r="E124" s="37" t="s">
        <v>498</v>
      </c>
      <c r="F124" s="37" t="s">
        <v>499</v>
      </c>
      <c r="G124" s="37">
        <v>3</v>
      </c>
      <c r="H124" s="37">
        <v>0</v>
      </c>
      <c r="I124" s="37">
        <v>1.79</v>
      </c>
      <c r="J124" s="37">
        <v>3.33</v>
      </c>
      <c r="K124" s="37">
        <v>3.57</v>
      </c>
      <c r="L124" s="37">
        <v>-1.78</v>
      </c>
      <c r="M124" s="37">
        <v>33</v>
      </c>
      <c r="N124" s="37">
        <v>25</v>
      </c>
      <c r="O124" s="37">
        <v>2</v>
      </c>
      <c r="P124" s="37">
        <v>16</v>
      </c>
      <c r="Q124" s="37">
        <v>13</v>
      </c>
      <c r="R124" s="37">
        <v>50</v>
      </c>
      <c r="S124" s="37">
        <v>0</v>
      </c>
      <c r="T124" s="37">
        <v>50</v>
      </c>
      <c r="U124" s="37">
        <v>42.42</v>
      </c>
      <c r="V124" s="37">
        <v>27.27</v>
      </c>
      <c r="W124" s="37">
        <v>30.3</v>
      </c>
      <c r="X124" s="37">
        <v>28</v>
      </c>
      <c r="Y124" s="37">
        <v>32</v>
      </c>
      <c r="Z124" s="37">
        <v>40</v>
      </c>
      <c r="AA124" s="37">
        <v>50</v>
      </c>
      <c r="AB124" s="37">
        <v>7.69</v>
      </c>
      <c r="AC124" s="24">
        <f t="shared" si="9"/>
        <v>4.3509999999999991</v>
      </c>
      <c r="AD124" s="25">
        <f t="shared" si="10"/>
        <v>-4.3509999999999991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39.5</v>
      </c>
      <c r="AI124" s="23">
        <f t="shared" si="15"/>
        <v>-50</v>
      </c>
      <c r="AJ124" s="23">
        <f t="shared" si="16"/>
        <v>-50</v>
      </c>
    </row>
    <row r="125" spans="1:36" x14ac:dyDescent="0.2">
      <c r="A125" s="36">
        <v>43615</v>
      </c>
      <c r="B125" s="37" t="s">
        <v>500</v>
      </c>
      <c r="C125" s="37" t="s">
        <v>501</v>
      </c>
      <c r="D125" s="37" t="s">
        <v>502</v>
      </c>
      <c r="E125" s="37" t="s">
        <v>503</v>
      </c>
      <c r="F125" s="37" t="s">
        <v>504</v>
      </c>
      <c r="G125" s="37">
        <v>2</v>
      </c>
      <c r="H125" s="37">
        <v>1</v>
      </c>
      <c r="I125" s="37">
        <v>2.4900000000000002</v>
      </c>
      <c r="J125" s="37">
        <v>3.11</v>
      </c>
      <c r="K125" s="37">
        <v>2.99</v>
      </c>
      <c r="L125" s="37">
        <v>-0.5</v>
      </c>
      <c r="M125" s="37">
        <v>34</v>
      </c>
      <c r="N125" s="37">
        <v>38</v>
      </c>
      <c r="O125" s="37">
        <v>0</v>
      </c>
      <c r="P125" s="37">
        <v>17</v>
      </c>
      <c r="Q125" s="37">
        <v>20</v>
      </c>
      <c r="R125" s="37">
        <v>0</v>
      </c>
      <c r="S125" s="37">
        <v>0</v>
      </c>
      <c r="T125" s="37">
        <v>0</v>
      </c>
      <c r="U125" s="37">
        <v>44.12</v>
      </c>
      <c r="V125" s="37">
        <v>20.59</v>
      </c>
      <c r="W125" s="37">
        <v>35.29</v>
      </c>
      <c r="X125" s="37">
        <v>23.68</v>
      </c>
      <c r="Y125" s="37">
        <v>31.58</v>
      </c>
      <c r="Z125" s="37">
        <v>44.74</v>
      </c>
      <c r="AA125" s="37">
        <v>47.06</v>
      </c>
      <c r="AB125" s="37">
        <v>30</v>
      </c>
      <c r="AC125" s="24">
        <f t="shared" si="9"/>
        <v>4.8789999999999996</v>
      </c>
      <c r="AD125" s="25">
        <f t="shared" si="10"/>
        <v>-4.8789999999999996</v>
      </c>
      <c r="AE125" s="23" t="str">
        <f t="shared" si="11"/>
        <v>Win</v>
      </c>
      <c r="AF125" s="23" t="str">
        <f t="shared" si="12"/>
        <v>Loss</v>
      </c>
      <c r="AG125" s="23" t="str">
        <f t="shared" si="13"/>
        <v>Loss</v>
      </c>
      <c r="AH125" s="23">
        <f t="shared" si="14"/>
        <v>74.500000000000014</v>
      </c>
      <c r="AI125" s="23">
        <f t="shared" si="15"/>
        <v>-50</v>
      </c>
      <c r="AJ125" s="23">
        <f t="shared" si="16"/>
        <v>-50</v>
      </c>
    </row>
    <row r="126" spans="1:36" x14ac:dyDescent="0.2">
      <c r="A126" s="36">
        <v>43615</v>
      </c>
      <c r="B126" s="37" t="s">
        <v>227</v>
      </c>
      <c r="C126" s="37" t="s">
        <v>285</v>
      </c>
      <c r="D126" s="37" t="s">
        <v>505</v>
      </c>
      <c r="E126" s="37" t="s">
        <v>506</v>
      </c>
      <c r="F126" s="37" t="s">
        <v>507</v>
      </c>
      <c r="G126" s="37">
        <v>3</v>
      </c>
      <c r="H126" s="37">
        <v>0</v>
      </c>
      <c r="I126" s="37">
        <v>1.36</v>
      </c>
      <c r="J126" s="37">
        <v>5.2</v>
      </c>
      <c r="K126" s="37">
        <v>5.73</v>
      </c>
      <c r="L126" s="37">
        <v>-4.37</v>
      </c>
      <c r="M126" s="37">
        <v>54</v>
      </c>
      <c r="N126" s="37">
        <v>52</v>
      </c>
      <c r="O126" s="37">
        <v>5</v>
      </c>
      <c r="P126" s="37">
        <v>27</v>
      </c>
      <c r="Q126" s="37">
        <v>25</v>
      </c>
      <c r="R126" s="37">
        <v>40</v>
      </c>
      <c r="S126" s="37">
        <v>20</v>
      </c>
      <c r="T126" s="37">
        <v>40</v>
      </c>
      <c r="U126" s="37">
        <v>50</v>
      </c>
      <c r="V126" s="37">
        <v>14.81</v>
      </c>
      <c r="W126" s="37">
        <v>35.19</v>
      </c>
      <c r="X126" s="37">
        <v>36.54</v>
      </c>
      <c r="Y126" s="37">
        <v>17.309999999999999</v>
      </c>
      <c r="Z126" s="37">
        <v>46.15</v>
      </c>
      <c r="AA126" s="37">
        <v>62.96</v>
      </c>
      <c r="AB126" s="37">
        <v>24</v>
      </c>
      <c r="AC126" s="24">
        <f t="shared" si="9"/>
        <v>6.6340000000000003</v>
      </c>
      <c r="AD126" s="25">
        <f t="shared" si="10"/>
        <v>-2.6340000000000003</v>
      </c>
      <c r="AE126" s="23" t="str">
        <f t="shared" si="11"/>
        <v>Win</v>
      </c>
      <c r="AF126" s="23" t="str">
        <f t="shared" si="12"/>
        <v>Loss</v>
      </c>
      <c r="AG126" s="23" t="str">
        <f t="shared" si="13"/>
        <v>Loss</v>
      </c>
      <c r="AH126" s="23">
        <f t="shared" si="14"/>
        <v>18</v>
      </c>
      <c r="AI126" s="23">
        <f t="shared" si="15"/>
        <v>-50</v>
      </c>
      <c r="AJ126" s="23">
        <f t="shared" si="16"/>
        <v>-50</v>
      </c>
    </row>
    <row r="127" spans="1:36" x14ac:dyDescent="0.2">
      <c r="A127" s="36">
        <v>43615</v>
      </c>
      <c r="B127" s="37" t="s">
        <v>227</v>
      </c>
      <c r="C127" s="37" t="s">
        <v>285</v>
      </c>
      <c r="D127" s="37" t="s">
        <v>508</v>
      </c>
      <c r="E127" s="37" t="s">
        <v>509</v>
      </c>
      <c r="F127" s="37" t="s">
        <v>510</v>
      </c>
      <c r="G127" s="37">
        <v>0</v>
      </c>
      <c r="H127" s="37">
        <v>3</v>
      </c>
      <c r="I127" s="37">
        <v>2.5499999999999998</v>
      </c>
      <c r="J127" s="37">
        <v>3.67</v>
      </c>
      <c r="K127" s="37">
        <v>2.3199999999999998</v>
      </c>
      <c r="L127" s="37">
        <v>0.23</v>
      </c>
      <c r="M127" s="37">
        <v>53</v>
      </c>
      <c r="N127" s="37">
        <v>4</v>
      </c>
      <c r="O127" s="37">
        <v>0</v>
      </c>
      <c r="P127" s="37">
        <v>25</v>
      </c>
      <c r="Q127" s="37">
        <v>2</v>
      </c>
      <c r="R127" s="37">
        <v>0</v>
      </c>
      <c r="S127" s="37">
        <v>0</v>
      </c>
      <c r="T127" s="37">
        <v>0</v>
      </c>
      <c r="U127" s="37">
        <v>33.96</v>
      </c>
      <c r="V127" s="37">
        <v>20.75</v>
      </c>
      <c r="W127" s="37">
        <v>45.28</v>
      </c>
      <c r="X127" s="37">
        <v>50</v>
      </c>
      <c r="Y127" s="37">
        <v>25</v>
      </c>
      <c r="Z127" s="37">
        <v>25</v>
      </c>
      <c r="AA127" s="37">
        <v>28</v>
      </c>
      <c r="AB127" s="37">
        <v>0</v>
      </c>
      <c r="AC127" s="24">
        <f t="shared" si="9"/>
        <v>-7.6890000000000001</v>
      </c>
      <c r="AD127" s="25">
        <f t="shared" si="10"/>
        <v>7.6890000000000001</v>
      </c>
      <c r="AE127" s="23" t="str">
        <f t="shared" si="11"/>
        <v>Loss</v>
      </c>
      <c r="AF127" s="23" t="str">
        <f t="shared" si="12"/>
        <v>Loss</v>
      </c>
      <c r="AG127" s="23" t="str">
        <f t="shared" si="13"/>
        <v>Win</v>
      </c>
      <c r="AH127" s="23">
        <f t="shared" si="14"/>
        <v>-50</v>
      </c>
      <c r="AI127" s="23">
        <f t="shared" si="15"/>
        <v>-50</v>
      </c>
      <c r="AJ127" s="23">
        <f t="shared" si="16"/>
        <v>65.999999999999986</v>
      </c>
    </row>
    <row r="128" spans="1:36" x14ac:dyDescent="0.2">
      <c r="A128" s="36">
        <v>43615</v>
      </c>
      <c r="B128" s="37" t="s">
        <v>227</v>
      </c>
      <c r="C128" s="37" t="s">
        <v>228</v>
      </c>
      <c r="D128" s="37" t="s">
        <v>511</v>
      </c>
      <c r="E128" s="37" t="s">
        <v>512</v>
      </c>
      <c r="F128" s="37" t="s">
        <v>513</v>
      </c>
      <c r="G128" s="37">
        <v>0</v>
      </c>
      <c r="H128" s="37">
        <v>1</v>
      </c>
      <c r="I128" s="37">
        <v>1.69</v>
      </c>
      <c r="J128" s="37">
        <v>3.97</v>
      </c>
      <c r="K128" s="37">
        <v>3.64</v>
      </c>
      <c r="L128" s="37">
        <v>-1.95</v>
      </c>
      <c r="M128" s="37">
        <v>32</v>
      </c>
      <c r="N128" s="37">
        <v>33</v>
      </c>
      <c r="O128" s="37">
        <v>3</v>
      </c>
      <c r="P128" s="37">
        <v>17</v>
      </c>
      <c r="Q128" s="37">
        <v>16</v>
      </c>
      <c r="R128" s="37">
        <v>66.67</v>
      </c>
      <c r="S128" s="37">
        <v>33.33</v>
      </c>
      <c r="T128" s="37">
        <v>0</v>
      </c>
      <c r="U128" s="37">
        <v>53.13</v>
      </c>
      <c r="V128" s="37">
        <v>21.88</v>
      </c>
      <c r="W128" s="37">
        <v>25</v>
      </c>
      <c r="X128" s="37">
        <v>33.33</v>
      </c>
      <c r="Y128" s="37">
        <v>15.15</v>
      </c>
      <c r="Z128" s="37">
        <v>51.52</v>
      </c>
      <c r="AA128" s="37">
        <v>58.82</v>
      </c>
      <c r="AB128" s="37">
        <v>37.5</v>
      </c>
      <c r="AC128" s="24">
        <f t="shared" si="9"/>
        <v>33.271000000000015</v>
      </c>
      <c r="AD128" s="25">
        <f t="shared" si="10"/>
        <v>-26.605</v>
      </c>
      <c r="AE128" s="23" t="str">
        <f t="shared" si="11"/>
        <v>Loss</v>
      </c>
      <c r="AF128" s="23" t="str">
        <f t="shared" si="12"/>
        <v>Loss</v>
      </c>
      <c r="AG128" s="23" t="str">
        <f t="shared" si="13"/>
        <v>Win</v>
      </c>
      <c r="AH128" s="23">
        <f t="shared" si="14"/>
        <v>-50</v>
      </c>
      <c r="AI128" s="23">
        <f t="shared" si="15"/>
        <v>-50</v>
      </c>
      <c r="AJ128" s="23">
        <f t="shared" si="16"/>
        <v>132</v>
      </c>
    </row>
    <row r="129" spans="1:36" x14ac:dyDescent="0.2">
      <c r="A129" s="36">
        <v>43615</v>
      </c>
      <c r="B129" s="37" t="s">
        <v>514</v>
      </c>
      <c r="C129" s="37" t="s">
        <v>515</v>
      </c>
      <c r="D129" s="37" t="s">
        <v>516</v>
      </c>
      <c r="E129" s="37" t="s">
        <v>517</v>
      </c>
      <c r="F129" s="37" t="s">
        <v>518</v>
      </c>
      <c r="G129" s="37">
        <v>0</v>
      </c>
      <c r="H129" s="37">
        <v>2</v>
      </c>
      <c r="I129" s="37">
        <v>17.18</v>
      </c>
      <c r="J129" s="37">
        <v>9.27</v>
      </c>
      <c r="K129" s="37">
        <v>1.08</v>
      </c>
      <c r="L129" s="37">
        <v>16.100000000000001</v>
      </c>
      <c r="M129" s="37">
        <v>27</v>
      </c>
      <c r="N129" s="37">
        <v>43</v>
      </c>
      <c r="O129" s="37">
        <v>0</v>
      </c>
      <c r="P129" s="37">
        <v>16</v>
      </c>
      <c r="Q129" s="37">
        <v>21</v>
      </c>
      <c r="R129" s="37">
        <v>0</v>
      </c>
      <c r="S129" s="37">
        <v>0</v>
      </c>
      <c r="T129" s="37">
        <v>0</v>
      </c>
      <c r="U129" s="37">
        <v>59.26</v>
      </c>
      <c r="V129" s="37">
        <v>11.11</v>
      </c>
      <c r="W129" s="37">
        <v>29.63</v>
      </c>
      <c r="X129" s="37">
        <v>58.14</v>
      </c>
      <c r="Y129" s="37">
        <v>25.58</v>
      </c>
      <c r="Z129" s="37">
        <v>16.28</v>
      </c>
      <c r="AA129" s="37">
        <v>68.75</v>
      </c>
      <c r="AB129" s="37">
        <v>52.38</v>
      </c>
      <c r="AC129" s="24">
        <f t="shared" si="9"/>
        <v>-3.8929999999999989</v>
      </c>
      <c r="AD129" s="25">
        <f t="shared" si="10"/>
        <v>3.8929999999999989</v>
      </c>
      <c r="AE129" s="23" t="str">
        <f t="shared" si="11"/>
        <v>Loss</v>
      </c>
      <c r="AF129" s="23" t="str">
        <f t="shared" si="12"/>
        <v>Loss</v>
      </c>
      <c r="AG129" s="23" t="str">
        <f t="shared" si="13"/>
        <v>Win</v>
      </c>
      <c r="AH129" s="23">
        <f t="shared" si="14"/>
        <v>-50</v>
      </c>
      <c r="AI129" s="23">
        <f t="shared" si="15"/>
        <v>-50</v>
      </c>
      <c r="AJ129" s="23">
        <f t="shared" si="16"/>
        <v>4</v>
      </c>
    </row>
    <row r="130" spans="1:36" x14ac:dyDescent="0.2">
      <c r="A130" s="36">
        <v>43615</v>
      </c>
      <c r="B130" s="37" t="s">
        <v>519</v>
      </c>
      <c r="C130" s="37" t="s">
        <v>501</v>
      </c>
      <c r="D130" s="37" t="s">
        <v>520</v>
      </c>
      <c r="E130" s="37" t="s">
        <v>521</v>
      </c>
      <c r="F130" s="37" t="s">
        <v>522</v>
      </c>
      <c r="G130" s="37">
        <v>1</v>
      </c>
      <c r="H130" s="37">
        <v>0</v>
      </c>
      <c r="I130" s="37">
        <v>1.72</v>
      </c>
      <c r="J130" s="37">
        <v>3.4</v>
      </c>
      <c r="K130" s="37">
        <v>4.2</v>
      </c>
      <c r="L130" s="37">
        <v>-2.48</v>
      </c>
      <c r="M130" s="37">
        <v>19</v>
      </c>
      <c r="N130" s="37">
        <v>0</v>
      </c>
      <c r="O130" s="37">
        <v>0</v>
      </c>
      <c r="P130" s="37">
        <v>10</v>
      </c>
      <c r="Q130" s="37">
        <v>0</v>
      </c>
      <c r="R130" s="37">
        <v>0</v>
      </c>
      <c r="S130" s="37">
        <v>0</v>
      </c>
      <c r="T130" s="37">
        <v>0</v>
      </c>
      <c r="U130" s="37">
        <v>26.32</v>
      </c>
      <c r="V130" s="37">
        <v>26.32</v>
      </c>
      <c r="W130" s="37">
        <v>47.37</v>
      </c>
      <c r="X130" s="37">
        <v>0</v>
      </c>
      <c r="Y130" s="37">
        <v>0</v>
      </c>
      <c r="Z130" s="37">
        <v>0</v>
      </c>
      <c r="AA130" s="37">
        <v>30</v>
      </c>
      <c r="AB130" s="37">
        <v>0</v>
      </c>
      <c r="AC130" s="24">
        <f t="shared" si="9"/>
        <v>-1.5779999999999994</v>
      </c>
      <c r="AD130" s="25">
        <f t="shared" si="10"/>
        <v>1.5779999999999994</v>
      </c>
      <c r="AE130" s="23" t="str">
        <f t="shared" si="11"/>
        <v>Win</v>
      </c>
      <c r="AF130" s="23" t="str">
        <f t="shared" si="12"/>
        <v>Loss</v>
      </c>
      <c r="AG130" s="23" t="str">
        <f t="shared" si="13"/>
        <v>Loss</v>
      </c>
      <c r="AH130" s="23">
        <f t="shared" si="14"/>
        <v>36</v>
      </c>
      <c r="AI130" s="23">
        <f t="shared" si="15"/>
        <v>-50</v>
      </c>
      <c r="AJ130" s="23">
        <f t="shared" si="16"/>
        <v>-50</v>
      </c>
    </row>
    <row r="131" spans="1:36" x14ac:dyDescent="0.2">
      <c r="A131" s="36">
        <v>43615</v>
      </c>
      <c r="B131" s="37" t="s">
        <v>523</v>
      </c>
      <c r="C131" s="37" t="s">
        <v>524</v>
      </c>
      <c r="D131" s="37" t="s">
        <v>525</v>
      </c>
      <c r="E131" s="37" t="s">
        <v>526</v>
      </c>
      <c r="F131" s="37" t="s">
        <v>527</v>
      </c>
      <c r="G131" s="37">
        <v>0</v>
      </c>
      <c r="H131" s="37">
        <v>1</v>
      </c>
      <c r="I131" s="37">
        <v>5.22</v>
      </c>
      <c r="J131" s="37">
        <v>3.41</v>
      </c>
      <c r="K131" s="37">
        <v>1.62</v>
      </c>
      <c r="L131" s="37">
        <v>3.6</v>
      </c>
      <c r="M131" s="37">
        <v>9</v>
      </c>
      <c r="N131" s="37">
        <v>10</v>
      </c>
      <c r="O131" s="37">
        <v>1</v>
      </c>
      <c r="P131" s="37">
        <v>5</v>
      </c>
      <c r="Q131" s="37">
        <v>4</v>
      </c>
      <c r="R131" s="37">
        <v>0</v>
      </c>
      <c r="S131" s="37">
        <v>100</v>
      </c>
      <c r="T131" s="37">
        <v>0</v>
      </c>
      <c r="U131" s="37">
        <v>0</v>
      </c>
      <c r="V131" s="37">
        <v>22.22</v>
      </c>
      <c r="W131" s="37">
        <v>77.78</v>
      </c>
      <c r="X131" s="37">
        <v>40</v>
      </c>
      <c r="Y131" s="37">
        <v>30</v>
      </c>
      <c r="Z131" s="37">
        <v>30</v>
      </c>
      <c r="AA131" s="37">
        <v>0</v>
      </c>
      <c r="AB131" s="37">
        <v>50</v>
      </c>
      <c r="AC131" s="24">
        <f t="shared" si="9"/>
        <v>-8.3340000000000014</v>
      </c>
      <c r="AD131" s="25">
        <f t="shared" si="10"/>
        <v>28.334000000000003</v>
      </c>
      <c r="AE131" s="23" t="str">
        <f t="shared" si="11"/>
        <v>Loss</v>
      </c>
      <c r="AF131" s="23" t="str">
        <f t="shared" si="12"/>
        <v>Loss</v>
      </c>
      <c r="AG131" s="23" t="str">
        <f t="shared" si="13"/>
        <v>Win</v>
      </c>
      <c r="AH131" s="23">
        <f t="shared" si="14"/>
        <v>-50</v>
      </c>
      <c r="AI131" s="23">
        <f t="shared" si="15"/>
        <v>-50</v>
      </c>
      <c r="AJ131" s="23">
        <f t="shared" si="16"/>
        <v>31</v>
      </c>
    </row>
    <row r="132" spans="1:36" x14ac:dyDescent="0.2">
      <c r="A132" s="36">
        <v>43615</v>
      </c>
      <c r="B132" s="37" t="s">
        <v>317</v>
      </c>
      <c r="C132" s="37" t="s">
        <v>528</v>
      </c>
      <c r="D132" s="37" t="s">
        <v>529</v>
      </c>
      <c r="E132" s="37" t="s">
        <v>530</v>
      </c>
      <c r="F132" s="37" t="s">
        <v>531</v>
      </c>
      <c r="G132" s="37">
        <v>0</v>
      </c>
      <c r="H132" s="37">
        <v>2</v>
      </c>
      <c r="I132" s="37">
        <v>3.26</v>
      </c>
      <c r="J132" s="37">
        <v>4.1399999999999997</v>
      </c>
      <c r="K132" s="37">
        <v>1.82</v>
      </c>
      <c r="L132" s="37">
        <v>1.44</v>
      </c>
      <c r="M132" s="37">
        <v>8</v>
      </c>
      <c r="N132" s="37">
        <v>58</v>
      </c>
      <c r="O132" s="37">
        <v>0</v>
      </c>
      <c r="P132" s="37">
        <v>4</v>
      </c>
      <c r="Q132" s="37">
        <v>28</v>
      </c>
      <c r="R132" s="37">
        <v>0</v>
      </c>
      <c r="S132" s="37">
        <v>0</v>
      </c>
      <c r="T132" s="37">
        <v>0</v>
      </c>
      <c r="U132" s="37">
        <v>12.5</v>
      </c>
      <c r="V132" s="37">
        <v>12.5</v>
      </c>
      <c r="W132" s="37">
        <v>75</v>
      </c>
      <c r="X132" s="37">
        <v>27.59</v>
      </c>
      <c r="Y132" s="37">
        <v>22.41</v>
      </c>
      <c r="Z132" s="37">
        <v>50</v>
      </c>
      <c r="AA132" s="37">
        <v>0</v>
      </c>
      <c r="AB132" s="37">
        <v>28.57</v>
      </c>
      <c r="AC132" s="24">
        <f t="shared" si="9"/>
        <v>-9.0090000000000003</v>
      </c>
      <c r="AD132" s="25">
        <f t="shared" si="10"/>
        <v>9.0090000000000003</v>
      </c>
      <c r="AE132" s="23" t="str">
        <f t="shared" si="11"/>
        <v>Loss</v>
      </c>
      <c r="AF132" s="23" t="str">
        <f t="shared" si="12"/>
        <v>Loss</v>
      </c>
      <c r="AG132" s="23" t="str">
        <f t="shared" si="13"/>
        <v>Win</v>
      </c>
      <c r="AH132" s="23">
        <f t="shared" si="14"/>
        <v>-50</v>
      </c>
      <c r="AI132" s="23">
        <f t="shared" si="15"/>
        <v>-50</v>
      </c>
      <c r="AJ132" s="23">
        <f t="shared" si="16"/>
        <v>41</v>
      </c>
    </row>
    <row r="133" spans="1:36" x14ac:dyDescent="0.2">
      <c r="A133" s="36">
        <v>43615</v>
      </c>
      <c r="B133" s="37" t="s">
        <v>317</v>
      </c>
      <c r="C133" s="37" t="s">
        <v>532</v>
      </c>
      <c r="D133" s="37" t="s">
        <v>533</v>
      </c>
      <c r="E133" s="37" t="s">
        <v>534</v>
      </c>
      <c r="F133" s="37" t="s">
        <v>535</v>
      </c>
      <c r="G133" s="37">
        <v>1</v>
      </c>
      <c r="H133" s="37">
        <v>4</v>
      </c>
      <c r="I133" s="37">
        <v>2.16</v>
      </c>
      <c r="J133" s="37">
        <v>3.78</v>
      </c>
      <c r="K133" s="37">
        <v>2.71</v>
      </c>
      <c r="L133" s="37">
        <v>-0.55000000000000004</v>
      </c>
      <c r="M133" s="37">
        <v>32</v>
      </c>
      <c r="N133" s="37">
        <v>34</v>
      </c>
      <c r="O133" s="37">
        <v>2</v>
      </c>
      <c r="P133" s="37">
        <v>16</v>
      </c>
      <c r="Q133" s="37">
        <v>17</v>
      </c>
      <c r="R133" s="37">
        <v>0</v>
      </c>
      <c r="S133" s="37">
        <v>0</v>
      </c>
      <c r="T133" s="37">
        <v>100</v>
      </c>
      <c r="U133" s="37">
        <v>31.25</v>
      </c>
      <c r="V133" s="37">
        <v>21.88</v>
      </c>
      <c r="W133" s="37">
        <v>46.88</v>
      </c>
      <c r="X133" s="37">
        <v>38.24</v>
      </c>
      <c r="Y133" s="37">
        <v>8.82</v>
      </c>
      <c r="Z133" s="37">
        <v>52.94</v>
      </c>
      <c r="AA133" s="37">
        <v>31.25</v>
      </c>
      <c r="AB133" s="37">
        <v>23.53</v>
      </c>
      <c r="AC133" s="24">
        <f t="shared" si="9"/>
        <v>-28.880000000000003</v>
      </c>
      <c r="AD133" s="25">
        <f t="shared" si="10"/>
        <v>28.880000000000003</v>
      </c>
      <c r="AE133" s="23" t="str">
        <f t="shared" si="11"/>
        <v>Loss</v>
      </c>
      <c r="AF133" s="23" t="str">
        <f t="shared" si="12"/>
        <v>Loss</v>
      </c>
      <c r="AG133" s="23" t="str">
        <f t="shared" si="13"/>
        <v>Win</v>
      </c>
      <c r="AH133" s="23">
        <f t="shared" si="14"/>
        <v>-50</v>
      </c>
      <c r="AI133" s="23">
        <f t="shared" si="15"/>
        <v>-50</v>
      </c>
      <c r="AJ133" s="23">
        <f t="shared" si="16"/>
        <v>85.5</v>
      </c>
    </row>
    <row r="134" spans="1:36" x14ac:dyDescent="0.2">
      <c r="A134" s="36">
        <v>43615</v>
      </c>
      <c r="B134" s="37" t="s">
        <v>536</v>
      </c>
      <c r="C134" s="37" t="s">
        <v>382</v>
      </c>
      <c r="D134" s="37" t="s">
        <v>537</v>
      </c>
      <c r="E134" s="37" t="s">
        <v>538</v>
      </c>
      <c r="F134" s="37" t="s">
        <v>539</v>
      </c>
      <c r="G134" s="37">
        <v>2</v>
      </c>
      <c r="H134" s="37">
        <v>0</v>
      </c>
      <c r="I134" s="37">
        <v>1.42</v>
      </c>
      <c r="J134" s="37">
        <v>4</v>
      </c>
      <c r="K134" s="37">
        <v>9.6199999999999992</v>
      </c>
      <c r="L134" s="37">
        <v>-8.1999999999999993</v>
      </c>
      <c r="M134" s="37">
        <v>31</v>
      </c>
      <c r="N134" s="37">
        <v>39</v>
      </c>
      <c r="O134" s="37">
        <v>0</v>
      </c>
      <c r="P134" s="37">
        <v>15</v>
      </c>
      <c r="Q134" s="37">
        <v>20</v>
      </c>
      <c r="R134" s="37">
        <v>0</v>
      </c>
      <c r="S134" s="37">
        <v>0</v>
      </c>
      <c r="T134" s="37">
        <v>0</v>
      </c>
      <c r="U134" s="37">
        <v>16.13</v>
      </c>
      <c r="V134" s="37">
        <v>35.479999999999997</v>
      </c>
      <c r="W134" s="37">
        <v>48.39</v>
      </c>
      <c r="X134" s="37">
        <v>43.59</v>
      </c>
      <c r="Y134" s="37">
        <v>33.33</v>
      </c>
      <c r="Z134" s="37">
        <v>23.08</v>
      </c>
      <c r="AA134" s="37">
        <v>33.33</v>
      </c>
      <c r="AB134" s="37">
        <v>20</v>
      </c>
      <c r="AC134" s="24">
        <f t="shared" si="9"/>
        <v>-10.339000000000004</v>
      </c>
      <c r="AD134" s="25">
        <f t="shared" si="10"/>
        <v>10.339000000000004</v>
      </c>
      <c r="AE134" s="23" t="str">
        <f t="shared" si="11"/>
        <v>Win</v>
      </c>
      <c r="AF134" s="23" t="str">
        <f t="shared" si="12"/>
        <v>Loss</v>
      </c>
      <c r="AG134" s="23" t="str">
        <f t="shared" si="13"/>
        <v>Loss</v>
      </c>
      <c r="AH134" s="23">
        <f t="shared" si="14"/>
        <v>21</v>
      </c>
      <c r="AI134" s="23">
        <f t="shared" si="15"/>
        <v>-50</v>
      </c>
      <c r="AJ134" s="23">
        <f t="shared" si="16"/>
        <v>-50</v>
      </c>
    </row>
    <row r="135" spans="1:36" x14ac:dyDescent="0.2">
      <c r="A135" s="36">
        <v>43615</v>
      </c>
      <c r="B135" s="37" t="s">
        <v>235</v>
      </c>
      <c r="C135" s="37" t="s">
        <v>432</v>
      </c>
      <c r="D135" s="37" t="s">
        <v>540</v>
      </c>
      <c r="E135" s="37" t="s">
        <v>541</v>
      </c>
      <c r="F135" s="37" t="s">
        <v>542</v>
      </c>
      <c r="G135" s="37">
        <v>0</v>
      </c>
      <c r="H135" s="37">
        <v>4</v>
      </c>
      <c r="I135" s="37">
        <v>2.78</v>
      </c>
      <c r="J135" s="37">
        <v>3.32</v>
      </c>
      <c r="K135" s="37">
        <v>2.34</v>
      </c>
      <c r="L135" s="37">
        <v>0.44</v>
      </c>
      <c r="M135" s="37">
        <v>44</v>
      </c>
      <c r="N135" s="37">
        <v>37</v>
      </c>
      <c r="O135" s="37">
        <v>0</v>
      </c>
      <c r="P135" s="37">
        <v>22</v>
      </c>
      <c r="Q135" s="37">
        <v>18</v>
      </c>
      <c r="R135" s="37">
        <v>0</v>
      </c>
      <c r="S135" s="37">
        <v>0</v>
      </c>
      <c r="T135" s="37">
        <v>0</v>
      </c>
      <c r="U135" s="37">
        <v>31.82</v>
      </c>
      <c r="V135" s="37">
        <v>34.090000000000003</v>
      </c>
      <c r="W135" s="37">
        <v>34.090000000000003</v>
      </c>
      <c r="X135" s="37">
        <v>67.569999999999993</v>
      </c>
      <c r="Y135" s="37">
        <v>21.62</v>
      </c>
      <c r="Z135" s="37">
        <v>10.81</v>
      </c>
      <c r="AA135" s="37">
        <v>40.909999999999997</v>
      </c>
      <c r="AB135" s="37">
        <v>72.22</v>
      </c>
      <c r="AC135" s="24">
        <f t="shared" si="9"/>
        <v>-10.558999999999999</v>
      </c>
      <c r="AD135" s="25">
        <f t="shared" si="10"/>
        <v>10.558999999999999</v>
      </c>
      <c r="AE135" s="23" t="str">
        <f t="shared" si="11"/>
        <v>Loss</v>
      </c>
      <c r="AF135" s="23" t="str">
        <f t="shared" si="12"/>
        <v>Loss</v>
      </c>
      <c r="AG135" s="23" t="str">
        <f t="shared" si="13"/>
        <v>Win</v>
      </c>
      <c r="AH135" s="23">
        <f t="shared" si="14"/>
        <v>-50</v>
      </c>
      <c r="AI135" s="23">
        <f t="shared" si="15"/>
        <v>-50</v>
      </c>
      <c r="AJ135" s="23">
        <f t="shared" si="16"/>
        <v>67</v>
      </c>
    </row>
    <row r="136" spans="1:36" x14ac:dyDescent="0.2">
      <c r="A136" s="36">
        <v>43615</v>
      </c>
      <c r="B136" s="37" t="s">
        <v>235</v>
      </c>
      <c r="C136" s="37" t="s">
        <v>432</v>
      </c>
      <c r="D136" s="37" t="s">
        <v>543</v>
      </c>
      <c r="E136" s="37" t="s">
        <v>544</v>
      </c>
      <c r="F136" s="37" t="s">
        <v>545</v>
      </c>
      <c r="G136" s="37">
        <v>4</v>
      </c>
      <c r="H136" s="37">
        <v>1</v>
      </c>
      <c r="I136" s="37">
        <v>2.63</v>
      </c>
      <c r="J136" s="37">
        <v>3.62</v>
      </c>
      <c r="K136" s="37">
        <v>2.3199999999999998</v>
      </c>
      <c r="L136" s="37">
        <v>0.31</v>
      </c>
      <c r="M136" s="37">
        <v>30</v>
      </c>
      <c r="N136" s="37">
        <v>41</v>
      </c>
      <c r="O136" s="37">
        <v>0</v>
      </c>
      <c r="P136" s="37">
        <v>17</v>
      </c>
      <c r="Q136" s="37">
        <v>20</v>
      </c>
      <c r="R136" s="37">
        <v>0</v>
      </c>
      <c r="S136" s="37">
        <v>0</v>
      </c>
      <c r="T136" s="37">
        <v>0</v>
      </c>
      <c r="U136" s="37">
        <v>63.33</v>
      </c>
      <c r="V136" s="37">
        <v>10</v>
      </c>
      <c r="W136" s="37">
        <v>26.67</v>
      </c>
      <c r="X136" s="37">
        <v>43.9</v>
      </c>
      <c r="Y136" s="37">
        <v>29.27</v>
      </c>
      <c r="Z136" s="37">
        <v>26.83</v>
      </c>
      <c r="AA136" s="37">
        <v>52.94</v>
      </c>
      <c r="AB136" s="37">
        <v>40</v>
      </c>
      <c r="AC136" s="24">
        <f t="shared" si="9"/>
        <v>1.991000000000001</v>
      </c>
      <c r="AD136" s="25">
        <f t="shared" si="10"/>
        <v>-1.991000000000001</v>
      </c>
      <c r="AE136" s="23" t="str">
        <f t="shared" si="11"/>
        <v>Win</v>
      </c>
      <c r="AF136" s="23" t="str">
        <f t="shared" si="12"/>
        <v>Loss</v>
      </c>
      <c r="AG136" s="23" t="str">
        <f t="shared" si="13"/>
        <v>Loss</v>
      </c>
      <c r="AH136" s="23">
        <f t="shared" si="14"/>
        <v>81.5</v>
      </c>
      <c r="AI136" s="23">
        <f t="shared" si="15"/>
        <v>-50</v>
      </c>
      <c r="AJ136" s="23">
        <f t="shared" si="16"/>
        <v>-50</v>
      </c>
    </row>
    <row r="137" spans="1:36" x14ac:dyDescent="0.2">
      <c r="A137" s="36">
        <v>43615</v>
      </c>
      <c r="B137" s="37" t="s">
        <v>235</v>
      </c>
      <c r="C137" s="37" t="s">
        <v>322</v>
      </c>
      <c r="D137" s="37" t="s">
        <v>546</v>
      </c>
      <c r="E137" s="37" t="s">
        <v>547</v>
      </c>
      <c r="F137" s="37" t="s">
        <v>548</v>
      </c>
      <c r="G137" s="37">
        <v>0</v>
      </c>
      <c r="H137" s="37">
        <v>2</v>
      </c>
      <c r="I137" s="37">
        <v>1.85</v>
      </c>
      <c r="J137" s="37">
        <v>3.75</v>
      </c>
      <c r="K137" s="37">
        <v>3.62</v>
      </c>
      <c r="L137" s="37">
        <v>-1.77</v>
      </c>
      <c r="M137" s="37">
        <v>65</v>
      </c>
      <c r="N137" s="37">
        <v>39</v>
      </c>
      <c r="O137" s="37">
        <v>2</v>
      </c>
      <c r="P137" s="37">
        <v>33</v>
      </c>
      <c r="Q137" s="37">
        <v>20</v>
      </c>
      <c r="R137" s="37">
        <v>50</v>
      </c>
      <c r="S137" s="37">
        <v>0</v>
      </c>
      <c r="T137" s="37">
        <v>50</v>
      </c>
      <c r="U137" s="37">
        <v>38.46</v>
      </c>
      <c r="V137" s="37">
        <v>24.62</v>
      </c>
      <c r="W137" s="37">
        <v>36.92</v>
      </c>
      <c r="X137" s="37">
        <v>28.21</v>
      </c>
      <c r="Y137" s="37">
        <v>20.51</v>
      </c>
      <c r="Z137" s="37">
        <v>51.28</v>
      </c>
      <c r="AA137" s="37">
        <v>48.48</v>
      </c>
      <c r="AB137" s="37">
        <v>15</v>
      </c>
      <c r="AC137" s="24">
        <f t="shared" si="9"/>
        <v>5.3329999999999993</v>
      </c>
      <c r="AD137" s="25">
        <f t="shared" si="10"/>
        <v>-5.3329999999999993</v>
      </c>
      <c r="AE137" s="23" t="str">
        <f t="shared" si="11"/>
        <v>Loss</v>
      </c>
      <c r="AF137" s="23" t="str">
        <f t="shared" si="12"/>
        <v>Loss</v>
      </c>
      <c r="AG137" s="23" t="str">
        <f t="shared" si="13"/>
        <v>Win</v>
      </c>
      <c r="AH137" s="23">
        <f t="shared" si="14"/>
        <v>-50</v>
      </c>
      <c r="AI137" s="23">
        <f t="shared" si="15"/>
        <v>-50</v>
      </c>
      <c r="AJ137" s="23">
        <f t="shared" si="16"/>
        <v>131</v>
      </c>
    </row>
    <row r="138" spans="1:36" x14ac:dyDescent="0.2">
      <c r="A138" s="36">
        <v>43615</v>
      </c>
      <c r="B138" s="37" t="s">
        <v>235</v>
      </c>
      <c r="C138" s="37" t="s">
        <v>322</v>
      </c>
      <c r="D138" s="37" t="s">
        <v>549</v>
      </c>
      <c r="E138" s="37" t="s">
        <v>550</v>
      </c>
      <c r="F138" s="37" t="s">
        <v>551</v>
      </c>
      <c r="G138" s="37">
        <v>0</v>
      </c>
      <c r="H138" s="37">
        <v>2</v>
      </c>
      <c r="I138" s="37">
        <v>1.38</v>
      </c>
      <c r="J138" s="37">
        <v>4.5599999999999996</v>
      </c>
      <c r="K138" s="37">
        <v>7.06</v>
      </c>
      <c r="L138" s="37">
        <v>-5.68</v>
      </c>
      <c r="M138" s="37">
        <v>10</v>
      </c>
      <c r="N138" s="37">
        <v>39</v>
      </c>
      <c r="O138" s="37">
        <v>0</v>
      </c>
      <c r="P138" s="37">
        <v>4</v>
      </c>
      <c r="Q138" s="37">
        <v>19</v>
      </c>
      <c r="R138" s="37">
        <v>0</v>
      </c>
      <c r="S138" s="37">
        <v>0</v>
      </c>
      <c r="T138" s="37">
        <v>0</v>
      </c>
      <c r="U138" s="37">
        <v>40</v>
      </c>
      <c r="V138" s="37">
        <v>50</v>
      </c>
      <c r="W138" s="37">
        <v>10</v>
      </c>
      <c r="X138" s="37">
        <v>48.72</v>
      </c>
      <c r="Y138" s="37">
        <v>30.77</v>
      </c>
      <c r="Z138" s="37">
        <v>20.51</v>
      </c>
      <c r="AA138" s="37">
        <v>50</v>
      </c>
      <c r="AB138" s="37">
        <v>36.840000000000003</v>
      </c>
      <c r="AC138" s="24">
        <f t="shared" si="9"/>
        <v>2.2810000000000006</v>
      </c>
      <c r="AD138" s="25">
        <f t="shared" si="10"/>
        <v>-2.2810000000000006</v>
      </c>
      <c r="AE138" s="23" t="str">
        <f t="shared" si="11"/>
        <v>Loss</v>
      </c>
      <c r="AF138" s="23" t="str">
        <f t="shared" si="12"/>
        <v>Loss</v>
      </c>
      <c r="AG138" s="23" t="str">
        <f t="shared" si="13"/>
        <v>Win</v>
      </c>
      <c r="AH138" s="23">
        <f t="shared" si="14"/>
        <v>-50</v>
      </c>
      <c r="AI138" s="23">
        <f t="shared" si="15"/>
        <v>-50</v>
      </c>
      <c r="AJ138" s="23">
        <f t="shared" si="16"/>
        <v>303</v>
      </c>
    </row>
    <row r="139" spans="1:36" x14ac:dyDescent="0.2">
      <c r="A139" s="36">
        <v>43615</v>
      </c>
      <c r="B139" s="37" t="s">
        <v>235</v>
      </c>
      <c r="C139" s="37" t="s">
        <v>244</v>
      </c>
      <c r="D139" s="37" t="s">
        <v>552</v>
      </c>
      <c r="E139" s="37" t="s">
        <v>553</v>
      </c>
      <c r="F139" s="37" t="s">
        <v>554</v>
      </c>
      <c r="G139" s="37">
        <v>1</v>
      </c>
      <c r="H139" s="37">
        <v>1</v>
      </c>
      <c r="I139" s="37">
        <v>1.74</v>
      </c>
      <c r="J139" s="37">
        <v>3.98</v>
      </c>
      <c r="K139" s="37">
        <v>3.71</v>
      </c>
      <c r="L139" s="37">
        <v>-1.97</v>
      </c>
      <c r="M139" s="37">
        <v>34</v>
      </c>
      <c r="N139" s="37">
        <v>30</v>
      </c>
      <c r="O139" s="37">
        <v>2</v>
      </c>
      <c r="P139" s="37">
        <v>15</v>
      </c>
      <c r="Q139" s="37">
        <v>14</v>
      </c>
      <c r="R139" s="37">
        <v>0</v>
      </c>
      <c r="S139" s="37">
        <v>50</v>
      </c>
      <c r="T139" s="37">
        <v>50</v>
      </c>
      <c r="U139" s="37">
        <v>41.18</v>
      </c>
      <c r="V139" s="37">
        <v>26.47</v>
      </c>
      <c r="W139" s="37">
        <v>32.35</v>
      </c>
      <c r="X139" s="37">
        <v>46.67</v>
      </c>
      <c r="Y139" s="37">
        <v>16.670000000000002</v>
      </c>
      <c r="Z139" s="37">
        <v>36.67</v>
      </c>
      <c r="AA139" s="37">
        <v>33.33</v>
      </c>
      <c r="AB139" s="37">
        <v>42.86</v>
      </c>
      <c r="AC139" s="24">
        <f t="shared" ref="AC139:AC185" si="17">(+R139*$R$8)+(S139*$S$8)-(T139*$T$8)+(U139*$U$8)+(V139*$V$8)-(W139*$W$8)-(X139*$X$8)-(Y139*$Y$8)+(Z139*$Z$8)</f>
        <v>-9.2540000000000013</v>
      </c>
      <c r="AD139" s="25">
        <f t="shared" ref="AD139:AD185" si="18">(-R139*$R$8)+(S139*$S$8)+(T139*$T$8)-(U139*$U$8)-(V139*$V$8)+(W139*$W$8)+(X139*$X$8)+(Y139*$Y$8)-(Z139*$Z$8)</f>
        <v>19.254000000000001</v>
      </c>
      <c r="AE139" s="23" t="str">
        <f t="shared" ref="AE139:AE185" si="19">IF(G139&gt;H139,"Win","Loss")</f>
        <v>Loss</v>
      </c>
      <c r="AF139" s="23" t="str">
        <f t="shared" ref="AF139:AF185" si="20">IF(G139=H139,"Win","Loss")</f>
        <v>Win</v>
      </c>
      <c r="AG139" s="23" t="str">
        <f t="shared" ref="AG139:AG185" si="21">IF(G139&lt;H139,"Win","Loss")</f>
        <v>Loss</v>
      </c>
      <c r="AH139" s="23">
        <f t="shared" ref="AH139:AH185" si="22">IF(AE139="Win",(I139*$B$2)-$B$2,-$B$2)</f>
        <v>-50</v>
      </c>
      <c r="AI139" s="23">
        <f t="shared" ref="AI139:AI185" si="23">IF(AF139="Win",(J139*$B$2)-$B$2,-$B$2)</f>
        <v>149</v>
      </c>
      <c r="AJ139" s="23">
        <f t="shared" ref="AJ139:AJ185" si="24">IF(AG139="Win",(K139*$B$2)-$B$2,-$B$2)</f>
        <v>-50</v>
      </c>
    </row>
    <row r="140" spans="1:36" x14ac:dyDescent="0.2">
      <c r="A140" s="36">
        <v>43615</v>
      </c>
      <c r="B140" s="37" t="s">
        <v>555</v>
      </c>
      <c r="C140" s="37" t="s">
        <v>556</v>
      </c>
      <c r="D140" s="37" t="s">
        <v>557</v>
      </c>
      <c r="E140" s="37" t="s">
        <v>558</v>
      </c>
      <c r="F140" s="37" t="s">
        <v>559</v>
      </c>
      <c r="G140" s="37">
        <v>1</v>
      </c>
      <c r="H140" s="37">
        <v>1</v>
      </c>
      <c r="I140" s="37">
        <v>2.17</v>
      </c>
      <c r="J140" s="37">
        <v>3.24</v>
      </c>
      <c r="K140" s="37">
        <v>3.43</v>
      </c>
      <c r="L140" s="37">
        <v>-1.26</v>
      </c>
      <c r="M140" s="37">
        <v>24</v>
      </c>
      <c r="N140" s="37">
        <v>26</v>
      </c>
      <c r="O140" s="37">
        <v>1</v>
      </c>
      <c r="P140" s="37">
        <v>11</v>
      </c>
      <c r="Q140" s="37">
        <v>15</v>
      </c>
      <c r="R140" s="37">
        <v>0</v>
      </c>
      <c r="S140" s="37">
        <v>0</v>
      </c>
      <c r="T140" s="37">
        <v>100</v>
      </c>
      <c r="U140" s="37">
        <v>29.17</v>
      </c>
      <c r="V140" s="37">
        <v>37.5</v>
      </c>
      <c r="W140" s="37">
        <v>33.33</v>
      </c>
      <c r="X140" s="37">
        <v>38.46</v>
      </c>
      <c r="Y140" s="37">
        <v>23.08</v>
      </c>
      <c r="Z140" s="37">
        <v>38.46</v>
      </c>
      <c r="AA140" s="37">
        <v>36.36</v>
      </c>
      <c r="AB140" s="37">
        <v>40</v>
      </c>
      <c r="AC140" s="24">
        <f t="shared" si="17"/>
        <v>-29.39</v>
      </c>
      <c r="AD140" s="25">
        <f t="shared" si="18"/>
        <v>29.39</v>
      </c>
      <c r="AE140" s="23" t="str">
        <f t="shared" si="19"/>
        <v>Loss</v>
      </c>
      <c r="AF140" s="23" t="str">
        <f t="shared" si="20"/>
        <v>Win</v>
      </c>
      <c r="AG140" s="23" t="str">
        <f t="shared" si="21"/>
        <v>Loss</v>
      </c>
      <c r="AH140" s="23">
        <f t="shared" si="22"/>
        <v>-50</v>
      </c>
      <c r="AI140" s="23">
        <f t="shared" si="23"/>
        <v>112</v>
      </c>
      <c r="AJ140" s="23">
        <f t="shared" si="24"/>
        <v>-50</v>
      </c>
    </row>
    <row r="141" spans="1:36" x14ac:dyDescent="0.2">
      <c r="A141" s="36">
        <v>43615</v>
      </c>
      <c r="B141" s="37" t="s">
        <v>555</v>
      </c>
      <c r="C141" s="37" t="s">
        <v>556</v>
      </c>
      <c r="D141" s="37" t="s">
        <v>560</v>
      </c>
      <c r="E141" s="37" t="s">
        <v>561</v>
      </c>
      <c r="F141" s="37" t="s">
        <v>562</v>
      </c>
      <c r="G141" s="37">
        <v>3</v>
      </c>
      <c r="H141" s="37">
        <v>0</v>
      </c>
      <c r="I141" s="37">
        <v>1.25</v>
      </c>
      <c r="J141" s="37">
        <v>5</v>
      </c>
      <c r="K141" s="37">
        <v>11.47</v>
      </c>
      <c r="L141" s="37">
        <v>-10.220000000000001</v>
      </c>
      <c r="M141" s="37">
        <v>27</v>
      </c>
      <c r="N141" s="37">
        <v>25</v>
      </c>
      <c r="O141" s="37">
        <v>1</v>
      </c>
      <c r="P141" s="37">
        <v>12</v>
      </c>
      <c r="Q141" s="37">
        <v>12</v>
      </c>
      <c r="R141" s="37">
        <v>100</v>
      </c>
      <c r="S141" s="37">
        <v>0</v>
      </c>
      <c r="T141" s="37">
        <v>0</v>
      </c>
      <c r="U141" s="37">
        <v>55.56</v>
      </c>
      <c r="V141" s="37">
        <v>37.04</v>
      </c>
      <c r="W141" s="37">
        <v>7.41</v>
      </c>
      <c r="X141" s="37">
        <v>16</v>
      </c>
      <c r="Y141" s="37">
        <v>24</v>
      </c>
      <c r="Z141" s="37">
        <v>60</v>
      </c>
      <c r="AA141" s="37">
        <v>66.67</v>
      </c>
      <c r="AB141" s="37">
        <v>0</v>
      </c>
      <c r="AC141" s="24">
        <f t="shared" si="17"/>
        <v>49.734000000000002</v>
      </c>
      <c r="AD141" s="25">
        <f t="shared" si="18"/>
        <v>-49.734000000000002</v>
      </c>
      <c r="AE141" s="23" t="str">
        <f t="shared" si="19"/>
        <v>Win</v>
      </c>
      <c r="AF141" s="23" t="str">
        <f t="shared" si="20"/>
        <v>Loss</v>
      </c>
      <c r="AG141" s="23" t="str">
        <f t="shared" si="21"/>
        <v>Loss</v>
      </c>
      <c r="AH141" s="23">
        <f t="shared" si="22"/>
        <v>12.5</v>
      </c>
      <c r="AI141" s="23">
        <f t="shared" si="23"/>
        <v>-50</v>
      </c>
      <c r="AJ141" s="23">
        <f t="shared" si="24"/>
        <v>-50</v>
      </c>
    </row>
    <row r="142" spans="1:36" x14ac:dyDescent="0.2">
      <c r="A142" s="36">
        <v>43615</v>
      </c>
      <c r="B142" s="37" t="s">
        <v>555</v>
      </c>
      <c r="C142" s="37" t="s">
        <v>556</v>
      </c>
      <c r="D142" s="37" t="s">
        <v>563</v>
      </c>
      <c r="E142" s="37" t="s">
        <v>564</v>
      </c>
      <c r="F142" s="37" t="s">
        <v>565</v>
      </c>
      <c r="G142" s="37">
        <v>1</v>
      </c>
      <c r="H142" s="37">
        <v>1</v>
      </c>
      <c r="I142" s="37">
        <v>2.12</v>
      </c>
      <c r="J142" s="37">
        <v>2.97</v>
      </c>
      <c r="K142" s="37">
        <v>3.64</v>
      </c>
      <c r="L142" s="37">
        <v>-1.52</v>
      </c>
      <c r="M142" s="37">
        <v>26</v>
      </c>
      <c r="N142" s="37">
        <v>25</v>
      </c>
      <c r="O142" s="37">
        <v>2</v>
      </c>
      <c r="P142" s="37">
        <v>12</v>
      </c>
      <c r="Q142" s="37">
        <v>12</v>
      </c>
      <c r="R142" s="37">
        <v>50</v>
      </c>
      <c r="S142" s="37">
        <v>0</v>
      </c>
      <c r="T142" s="37">
        <v>50</v>
      </c>
      <c r="U142" s="37">
        <v>30.77</v>
      </c>
      <c r="V142" s="37">
        <v>26.92</v>
      </c>
      <c r="W142" s="37">
        <v>42.31</v>
      </c>
      <c r="X142" s="37">
        <v>16</v>
      </c>
      <c r="Y142" s="37">
        <v>36</v>
      </c>
      <c r="Z142" s="37">
        <v>48</v>
      </c>
      <c r="AA142" s="37">
        <v>33.33</v>
      </c>
      <c r="AB142" s="37">
        <v>8.33</v>
      </c>
      <c r="AC142" s="24">
        <f t="shared" si="17"/>
        <v>3.1839999999999993</v>
      </c>
      <c r="AD142" s="25">
        <f t="shared" si="18"/>
        <v>-3.1839999999999993</v>
      </c>
      <c r="AE142" s="23" t="str">
        <f t="shared" si="19"/>
        <v>Loss</v>
      </c>
      <c r="AF142" s="23" t="str">
        <f t="shared" si="20"/>
        <v>Win</v>
      </c>
      <c r="AG142" s="23" t="str">
        <f t="shared" si="21"/>
        <v>Loss</v>
      </c>
      <c r="AH142" s="23">
        <f t="shared" si="22"/>
        <v>-50</v>
      </c>
      <c r="AI142" s="23">
        <f t="shared" si="23"/>
        <v>98.5</v>
      </c>
      <c r="AJ142" s="23">
        <f t="shared" si="24"/>
        <v>-50</v>
      </c>
    </row>
    <row r="143" spans="1:36" x14ac:dyDescent="0.2">
      <c r="A143" s="36">
        <v>43615</v>
      </c>
      <c r="B143" s="37" t="s">
        <v>555</v>
      </c>
      <c r="C143" s="37" t="s">
        <v>556</v>
      </c>
      <c r="D143" s="37" t="s">
        <v>566</v>
      </c>
      <c r="E143" s="37" t="s">
        <v>567</v>
      </c>
      <c r="F143" s="37" t="s">
        <v>568</v>
      </c>
      <c r="G143" s="37">
        <v>1</v>
      </c>
      <c r="H143" s="37">
        <v>1</v>
      </c>
      <c r="I143" s="37">
        <v>1.87</v>
      </c>
      <c r="J143" s="37">
        <v>3.15</v>
      </c>
      <c r="K143" s="37">
        <v>4.21</v>
      </c>
      <c r="L143" s="37">
        <v>-2.34</v>
      </c>
      <c r="M143" s="37">
        <v>26</v>
      </c>
      <c r="N143" s="37">
        <v>24</v>
      </c>
      <c r="O143" s="37">
        <v>1</v>
      </c>
      <c r="P143" s="37">
        <v>13</v>
      </c>
      <c r="Q143" s="37">
        <v>13</v>
      </c>
      <c r="R143" s="37">
        <v>0</v>
      </c>
      <c r="S143" s="37">
        <v>100</v>
      </c>
      <c r="T143" s="37">
        <v>0</v>
      </c>
      <c r="U143" s="37">
        <v>34.619999999999997</v>
      </c>
      <c r="V143" s="37">
        <v>26.92</v>
      </c>
      <c r="W143" s="37">
        <v>38.46</v>
      </c>
      <c r="X143" s="37">
        <v>25</v>
      </c>
      <c r="Y143" s="37">
        <v>33.33</v>
      </c>
      <c r="Z143" s="37">
        <v>41.67</v>
      </c>
      <c r="AA143" s="37">
        <v>53.85</v>
      </c>
      <c r="AB143" s="37">
        <v>7.69</v>
      </c>
      <c r="AC143" s="24">
        <f t="shared" si="17"/>
        <v>11.925000000000001</v>
      </c>
      <c r="AD143" s="25">
        <f t="shared" si="18"/>
        <v>8.0749999999999975</v>
      </c>
      <c r="AE143" s="23" t="str">
        <f t="shared" si="19"/>
        <v>Loss</v>
      </c>
      <c r="AF143" s="23" t="str">
        <f t="shared" si="20"/>
        <v>Win</v>
      </c>
      <c r="AG143" s="23" t="str">
        <f t="shared" si="21"/>
        <v>Loss</v>
      </c>
      <c r="AH143" s="23">
        <f t="shared" si="22"/>
        <v>-50</v>
      </c>
      <c r="AI143" s="23">
        <f t="shared" si="23"/>
        <v>107.5</v>
      </c>
      <c r="AJ143" s="23">
        <f t="shared" si="24"/>
        <v>-50</v>
      </c>
    </row>
    <row r="144" spans="1:36" x14ac:dyDescent="0.2">
      <c r="A144" s="36">
        <v>43615</v>
      </c>
      <c r="B144" s="37" t="s">
        <v>555</v>
      </c>
      <c r="C144" s="37" t="s">
        <v>556</v>
      </c>
      <c r="D144" s="37" t="s">
        <v>569</v>
      </c>
      <c r="E144" s="37" t="s">
        <v>570</v>
      </c>
      <c r="F144" s="37" t="s">
        <v>571</v>
      </c>
      <c r="G144" s="37">
        <v>1</v>
      </c>
      <c r="H144" s="37">
        <v>0</v>
      </c>
      <c r="I144" s="37">
        <v>1.83</v>
      </c>
      <c r="J144" s="37">
        <v>3.1</v>
      </c>
      <c r="K144" s="37">
        <v>4.63</v>
      </c>
      <c r="L144" s="37">
        <v>-2.8</v>
      </c>
      <c r="M144" s="37">
        <v>25</v>
      </c>
      <c r="N144" s="37">
        <v>25</v>
      </c>
      <c r="O144" s="37">
        <v>1</v>
      </c>
      <c r="P144" s="37">
        <v>12</v>
      </c>
      <c r="Q144" s="37">
        <v>12</v>
      </c>
      <c r="R144" s="37">
        <v>100</v>
      </c>
      <c r="S144" s="37">
        <v>0</v>
      </c>
      <c r="T144" s="37">
        <v>0</v>
      </c>
      <c r="U144" s="37">
        <v>44</v>
      </c>
      <c r="V144" s="37">
        <v>16</v>
      </c>
      <c r="W144" s="37">
        <v>40</v>
      </c>
      <c r="X144" s="37">
        <v>28</v>
      </c>
      <c r="Y144" s="37">
        <v>28</v>
      </c>
      <c r="Z144" s="37">
        <v>44</v>
      </c>
      <c r="AA144" s="37">
        <v>58.33</v>
      </c>
      <c r="AB144" s="37">
        <v>25</v>
      </c>
      <c r="AC144" s="24">
        <f t="shared" si="17"/>
        <v>32.799999999999997</v>
      </c>
      <c r="AD144" s="25">
        <f t="shared" si="18"/>
        <v>-32.799999999999997</v>
      </c>
      <c r="AE144" s="23" t="str">
        <f t="shared" si="19"/>
        <v>Win</v>
      </c>
      <c r="AF144" s="23" t="str">
        <f t="shared" si="20"/>
        <v>Loss</v>
      </c>
      <c r="AG144" s="23" t="str">
        <f t="shared" si="21"/>
        <v>Loss</v>
      </c>
      <c r="AH144" s="23">
        <f t="shared" si="22"/>
        <v>41.5</v>
      </c>
      <c r="AI144" s="23">
        <f t="shared" si="23"/>
        <v>-50</v>
      </c>
      <c r="AJ144" s="23">
        <f t="shared" si="24"/>
        <v>-50</v>
      </c>
    </row>
    <row r="145" spans="1:36" x14ac:dyDescent="0.2">
      <c r="A145" s="36">
        <v>43615</v>
      </c>
      <c r="B145" s="37" t="s">
        <v>572</v>
      </c>
      <c r="C145" s="37" t="s">
        <v>382</v>
      </c>
      <c r="D145" s="37" t="s">
        <v>573</v>
      </c>
      <c r="E145" s="37" t="s">
        <v>574</v>
      </c>
      <c r="F145" s="37" t="s">
        <v>575</v>
      </c>
      <c r="G145" s="37">
        <v>3</v>
      </c>
      <c r="H145" s="37">
        <v>1</v>
      </c>
      <c r="I145" s="37">
        <v>2.82</v>
      </c>
      <c r="J145" s="37">
        <v>3.24</v>
      </c>
      <c r="K145" s="37">
        <v>2.4300000000000002</v>
      </c>
      <c r="L145" s="37">
        <v>0.39</v>
      </c>
      <c r="M145" s="37">
        <v>32</v>
      </c>
      <c r="N145" s="37">
        <v>34</v>
      </c>
      <c r="O145" s="37">
        <v>3</v>
      </c>
      <c r="P145" s="37">
        <v>15</v>
      </c>
      <c r="Q145" s="37">
        <v>18</v>
      </c>
      <c r="R145" s="37">
        <v>66.67</v>
      </c>
      <c r="S145" s="37">
        <v>0</v>
      </c>
      <c r="T145" s="37">
        <v>33.33</v>
      </c>
      <c r="U145" s="37">
        <v>34.380000000000003</v>
      </c>
      <c r="V145" s="37">
        <v>21.88</v>
      </c>
      <c r="W145" s="37">
        <v>43.75</v>
      </c>
      <c r="X145" s="37">
        <v>38.24</v>
      </c>
      <c r="Y145" s="37">
        <v>29.41</v>
      </c>
      <c r="Z145" s="37">
        <v>32.35</v>
      </c>
      <c r="AA145" s="37">
        <v>40</v>
      </c>
      <c r="AB145" s="37">
        <v>38.89</v>
      </c>
      <c r="AC145" s="24">
        <f t="shared" si="17"/>
        <v>6.1970000000000027</v>
      </c>
      <c r="AD145" s="25">
        <f t="shared" si="18"/>
        <v>-6.1970000000000027</v>
      </c>
      <c r="AE145" s="23" t="str">
        <f t="shared" si="19"/>
        <v>Win</v>
      </c>
      <c r="AF145" s="23" t="str">
        <f t="shared" si="20"/>
        <v>Loss</v>
      </c>
      <c r="AG145" s="23" t="str">
        <f t="shared" si="21"/>
        <v>Loss</v>
      </c>
      <c r="AH145" s="23">
        <f t="shared" si="22"/>
        <v>91</v>
      </c>
      <c r="AI145" s="23">
        <f t="shared" si="23"/>
        <v>-50</v>
      </c>
      <c r="AJ145" s="23">
        <f t="shared" si="24"/>
        <v>-50</v>
      </c>
    </row>
    <row r="146" spans="1:36" x14ac:dyDescent="0.2">
      <c r="A146" s="36">
        <v>43615</v>
      </c>
      <c r="B146" s="37" t="s">
        <v>576</v>
      </c>
      <c r="C146" s="37" t="s">
        <v>577</v>
      </c>
      <c r="D146" s="37" t="s">
        <v>578</v>
      </c>
      <c r="E146" s="37" t="s">
        <v>579</v>
      </c>
      <c r="F146" s="37" t="s">
        <v>580</v>
      </c>
      <c r="G146" s="37">
        <v>1</v>
      </c>
      <c r="H146" s="37">
        <v>2</v>
      </c>
      <c r="I146" s="37">
        <v>1.66</v>
      </c>
      <c r="J146" s="37">
        <v>3.96</v>
      </c>
      <c r="K146" s="37">
        <v>4.97</v>
      </c>
      <c r="L146" s="37">
        <v>-3.31</v>
      </c>
      <c r="M146" s="37">
        <v>39</v>
      </c>
      <c r="N146" s="37">
        <v>34</v>
      </c>
      <c r="O146" s="37">
        <v>2</v>
      </c>
      <c r="P146" s="37">
        <v>18</v>
      </c>
      <c r="Q146" s="37">
        <v>18</v>
      </c>
      <c r="R146" s="37">
        <v>0</v>
      </c>
      <c r="S146" s="37">
        <v>100</v>
      </c>
      <c r="T146" s="37">
        <v>0</v>
      </c>
      <c r="U146" s="37">
        <v>48.72</v>
      </c>
      <c r="V146" s="37">
        <v>17.95</v>
      </c>
      <c r="W146" s="37">
        <v>33.33</v>
      </c>
      <c r="X146" s="37">
        <v>32.35</v>
      </c>
      <c r="Y146" s="37">
        <v>29.41</v>
      </c>
      <c r="Z146" s="37">
        <v>38.24</v>
      </c>
      <c r="AA146" s="37">
        <v>50</v>
      </c>
      <c r="AB146" s="37">
        <v>38.89</v>
      </c>
      <c r="AC146" s="24">
        <f t="shared" si="17"/>
        <v>13.11</v>
      </c>
      <c r="AD146" s="25">
        <f t="shared" si="18"/>
        <v>6.8900000000000015</v>
      </c>
      <c r="AE146" s="23" t="str">
        <f t="shared" si="19"/>
        <v>Loss</v>
      </c>
      <c r="AF146" s="23" t="str">
        <f t="shared" si="20"/>
        <v>Loss</v>
      </c>
      <c r="AG146" s="23" t="str">
        <f t="shared" si="21"/>
        <v>Win</v>
      </c>
      <c r="AH146" s="23">
        <f t="shared" si="22"/>
        <v>-50</v>
      </c>
      <c r="AI146" s="23">
        <f t="shared" si="23"/>
        <v>-50</v>
      </c>
      <c r="AJ146" s="23">
        <f t="shared" si="24"/>
        <v>198.5</v>
      </c>
    </row>
    <row r="147" spans="1:36" x14ac:dyDescent="0.2">
      <c r="A147" s="36">
        <v>43615</v>
      </c>
      <c r="B147" s="37" t="s">
        <v>235</v>
      </c>
      <c r="C147" s="37" t="s">
        <v>432</v>
      </c>
      <c r="D147" s="37" t="s">
        <v>581</v>
      </c>
      <c r="E147" s="37" t="s">
        <v>582</v>
      </c>
      <c r="F147" s="37" t="s">
        <v>583</v>
      </c>
      <c r="G147" s="37">
        <v>2</v>
      </c>
      <c r="H147" s="37">
        <v>1</v>
      </c>
      <c r="I147" s="37">
        <v>2.89</v>
      </c>
      <c r="J147" s="37">
        <v>3.27</v>
      </c>
      <c r="K147" s="37">
        <v>2.29</v>
      </c>
      <c r="L147" s="37">
        <v>0.6</v>
      </c>
      <c r="M147" s="37">
        <v>42</v>
      </c>
      <c r="N147" s="37">
        <v>48</v>
      </c>
      <c r="O147" s="37">
        <v>2</v>
      </c>
      <c r="P147" s="37">
        <v>22</v>
      </c>
      <c r="Q147" s="37">
        <v>23</v>
      </c>
      <c r="R147" s="37">
        <v>0</v>
      </c>
      <c r="S147" s="37">
        <v>50</v>
      </c>
      <c r="T147" s="37">
        <v>50</v>
      </c>
      <c r="U147" s="37">
        <v>26.19</v>
      </c>
      <c r="V147" s="37">
        <v>42.86</v>
      </c>
      <c r="W147" s="37">
        <v>30.95</v>
      </c>
      <c r="X147" s="37">
        <v>50</v>
      </c>
      <c r="Y147" s="37">
        <v>18.75</v>
      </c>
      <c r="Z147" s="37">
        <v>31.25</v>
      </c>
      <c r="AA147" s="37">
        <v>22.73</v>
      </c>
      <c r="AB147" s="37">
        <v>43.48</v>
      </c>
      <c r="AC147" s="24">
        <f t="shared" si="17"/>
        <v>-12.291</v>
      </c>
      <c r="AD147" s="25">
        <f t="shared" si="18"/>
        <v>22.291</v>
      </c>
      <c r="AE147" s="23" t="str">
        <f t="shared" si="19"/>
        <v>Win</v>
      </c>
      <c r="AF147" s="23" t="str">
        <f t="shared" si="20"/>
        <v>Loss</v>
      </c>
      <c r="AG147" s="23" t="str">
        <f t="shared" si="21"/>
        <v>Loss</v>
      </c>
      <c r="AH147" s="23">
        <f t="shared" si="22"/>
        <v>94.5</v>
      </c>
      <c r="AI147" s="23">
        <f t="shared" si="23"/>
        <v>-50</v>
      </c>
      <c r="AJ147" s="23">
        <f t="shared" si="24"/>
        <v>-50</v>
      </c>
    </row>
    <row r="148" spans="1:36" x14ac:dyDescent="0.2">
      <c r="A148" s="36">
        <v>43615</v>
      </c>
      <c r="B148" s="37" t="s">
        <v>235</v>
      </c>
      <c r="C148" s="37" t="s">
        <v>322</v>
      </c>
      <c r="D148" s="37" t="s">
        <v>584</v>
      </c>
      <c r="E148" s="37" t="s">
        <v>585</v>
      </c>
      <c r="F148" s="37" t="s">
        <v>586</v>
      </c>
      <c r="G148" s="37">
        <v>2</v>
      </c>
      <c r="H148" s="37">
        <v>3</v>
      </c>
      <c r="I148" s="37">
        <v>1.75</v>
      </c>
      <c r="J148" s="37">
        <v>3.65</v>
      </c>
      <c r="K148" s="37">
        <v>4.13</v>
      </c>
      <c r="L148" s="37">
        <v>-2.38</v>
      </c>
      <c r="M148" s="37">
        <v>39</v>
      </c>
      <c r="N148" s="37">
        <v>40</v>
      </c>
      <c r="O148" s="37">
        <v>2</v>
      </c>
      <c r="P148" s="37">
        <v>19</v>
      </c>
      <c r="Q148" s="37">
        <v>20</v>
      </c>
      <c r="R148" s="37">
        <v>100</v>
      </c>
      <c r="S148" s="37">
        <v>0</v>
      </c>
      <c r="T148" s="37">
        <v>0</v>
      </c>
      <c r="U148" s="37">
        <v>33.33</v>
      </c>
      <c r="V148" s="37">
        <v>23.08</v>
      </c>
      <c r="W148" s="37">
        <v>43.59</v>
      </c>
      <c r="X148" s="37">
        <v>22.5</v>
      </c>
      <c r="Y148" s="37">
        <v>25</v>
      </c>
      <c r="Z148" s="37">
        <v>52.5</v>
      </c>
      <c r="AA148" s="37">
        <v>42.11</v>
      </c>
      <c r="AB148" s="37">
        <v>15</v>
      </c>
      <c r="AC148" s="24">
        <f t="shared" si="17"/>
        <v>33.755999999999993</v>
      </c>
      <c r="AD148" s="25">
        <f t="shared" si="18"/>
        <v>-33.755999999999993</v>
      </c>
      <c r="AE148" s="23" t="str">
        <f t="shared" si="19"/>
        <v>Loss</v>
      </c>
      <c r="AF148" s="23" t="str">
        <f t="shared" si="20"/>
        <v>Loss</v>
      </c>
      <c r="AG148" s="23" t="str">
        <f t="shared" si="21"/>
        <v>Win</v>
      </c>
      <c r="AH148" s="23">
        <f t="shared" si="22"/>
        <v>-50</v>
      </c>
      <c r="AI148" s="23">
        <f t="shared" si="23"/>
        <v>-50</v>
      </c>
      <c r="AJ148" s="23">
        <f t="shared" si="24"/>
        <v>156.5</v>
      </c>
    </row>
    <row r="149" spans="1:36" x14ac:dyDescent="0.2">
      <c r="A149" s="36">
        <v>43615</v>
      </c>
      <c r="B149" s="37" t="s">
        <v>587</v>
      </c>
      <c r="C149" s="37" t="s">
        <v>588</v>
      </c>
      <c r="D149" s="37" t="s">
        <v>589</v>
      </c>
      <c r="E149" s="37" t="s">
        <v>590</v>
      </c>
      <c r="F149" s="37" t="s">
        <v>591</v>
      </c>
      <c r="G149" s="37">
        <v>1</v>
      </c>
      <c r="H149" s="37">
        <v>1</v>
      </c>
      <c r="I149" s="37">
        <v>2.7</v>
      </c>
      <c r="J149" s="37">
        <v>2.9</v>
      </c>
      <c r="K149" s="37">
        <v>2.71</v>
      </c>
      <c r="L149" s="37">
        <v>-0.01</v>
      </c>
      <c r="M149" s="37">
        <v>11</v>
      </c>
      <c r="N149" s="37">
        <v>12</v>
      </c>
      <c r="O149" s="37">
        <v>0</v>
      </c>
      <c r="P149" s="37">
        <v>6</v>
      </c>
      <c r="Q149" s="37">
        <v>6</v>
      </c>
      <c r="R149" s="37">
        <v>0</v>
      </c>
      <c r="S149" s="37">
        <v>0</v>
      </c>
      <c r="T149" s="37">
        <v>0</v>
      </c>
      <c r="U149" s="37">
        <v>36.36</v>
      </c>
      <c r="V149" s="37">
        <v>27.27</v>
      </c>
      <c r="W149" s="37">
        <v>36.36</v>
      </c>
      <c r="X149" s="37">
        <v>25</v>
      </c>
      <c r="Y149" s="37">
        <v>41.67</v>
      </c>
      <c r="Z149" s="37">
        <v>33.33</v>
      </c>
      <c r="AA149" s="37">
        <v>50</v>
      </c>
      <c r="AB149" s="37">
        <v>16.670000000000002</v>
      </c>
      <c r="AC149" s="24">
        <f t="shared" si="17"/>
        <v>0.22599999999999998</v>
      </c>
      <c r="AD149" s="25">
        <f t="shared" si="18"/>
        <v>-0.22599999999999998</v>
      </c>
      <c r="AE149" s="23" t="str">
        <f t="shared" si="19"/>
        <v>Loss</v>
      </c>
      <c r="AF149" s="23" t="str">
        <f t="shared" si="20"/>
        <v>Win</v>
      </c>
      <c r="AG149" s="23" t="str">
        <f t="shared" si="21"/>
        <v>Loss</v>
      </c>
      <c r="AH149" s="23">
        <f t="shared" si="22"/>
        <v>-50</v>
      </c>
      <c r="AI149" s="23">
        <f t="shared" si="23"/>
        <v>95</v>
      </c>
      <c r="AJ149" s="23">
        <f t="shared" si="24"/>
        <v>-50</v>
      </c>
    </row>
    <row r="150" spans="1:36" x14ac:dyDescent="0.2">
      <c r="A150" s="36">
        <v>43615</v>
      </c>
      <c r="B150" s="37" t="s">
        <v>587</v>
      </c>
      <c r="C150" s="37" t="s">
        <v>588</v>
      </c>
      <c r="D150" s="37" t="s">
        <v>592</v>
      </c>
      <c r="E150" s="37" t="s">
        <v>593</v>
      </c>
      <c r="F150" s="37" t="s">
        <v>594</v>
      </c>
      <c r="G150" s="37">
        <v>3</v>
      </c>
      <c r="H150" s="37">
        <v>0</v>
      </c>
      <c r="I150" s="37">
        <v>1.4</v>
      </c>
      <c r="J150" s="37">
        <v>4.1900000000000004</v>
      </c>
      <c r="K150" s="37">
        <v>6.84</v>
      </c>
      <c r="L150" s="37">
        <v>-5.44</v>
      </c>
      <c r="M150" s="37">
        <v>17</v>
      </c>
      <c r="N150" s="37">
        <v>11</v>
      </c>
      <c r="O150" s="37">
        <v>0</v>
      </c>
      <c r="P150" s="37">
        <v>8</v>
      </c>
      <c r="Q150" s="37">
        <v>6</v>
      </c>
      <c r="R150" s="37">
        <v>0</v>
      </c>
      <c r="S150" s="37">
        <v>0</v>
      </c>
      <c r="T150" s="37">
        <v>0</v>
      </c>
      <c r="U150" s="37">
        <v>41.18</v>
      </c>
      <c r="V150" s="37">
        <v>23.53</v>
      </c>
      <c r="W150" s="37">
        <v>35.29</v>
      </c>
      <c r="X150" s="37">
        <v>0</v>
      </c>
      <c r="Y150" s="37">
        <v>36.36</v>
      </c>
      <c r="Z150" s="37">
        <v>63.64</v>
      </c>
      <c r="AA150" s="37">
        <v>37.5</v>
      </c>
      <c r="AB150" s="37">
        <v>0</v>
      </c>
      <c r="AC150" s="24">
        <f t="shared" si="17"/>
        <v>12.623000000000001</v>
      </c>
      <c r="AD150" s="25">
        <f t="shared" si="18"/>
        <v>-12.623000000000001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20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43615</v>
      </c>
      <c r="B151" s="37" t="s">
        <v>595</v>
      </c>
      <c r="C151" s="37" t="s">
        <v>596</v>
      </c>
      <c r="D151" s="37" t="s">
        <v>597</v>
      </c>
      <c r="E151" s="37" t="s">
        <v>598</v>
      </c>
      <c r="F151" s="37" t="s">
        <v>599</v>
      </c>
      <c r="G151" s="37">
        <v>2</v>
      </c>
      <c r="H151" s="37">
        <v>0</v>
      </c>
      <c r="I151" s="37">
        <v>3.3</v>
      </c>
      <c r="J151" s="37">
        <v>3.77</v>
      </c>
      <c r="K151" s="37">
        <v>1.88</v>
      </c>
      <c r="L151" s="37">
        <v>1.42</v>
      </c>
      <c r="M151" s="37">
        <v>13</v>
      </c>
      <c r="N151" s="37">
        <v>17</v>
      </c>
      <c r="O151" s="37">
        <v>1</v>
      </c>
      <c r="P151" s="37">
        <v>7</v>
      </c>
      <c r="Q151" s="37">
        <v>11</v>
      </c>
      <c r="R151" s="37">
        <v>0</v>
      </c>
      <c r="S151" s="37">
        <v>0</v>
      </c>
      <c r="T151" s="37">
        <v>100</v>
      </c>
      <c r="U151" s="37">
        <v>23.08</v>
      </c>
      <c r="V151" s="37">
        <v>7.69</v>
      </c>
      <c r="W151" s="37">
        <v>69.23</v>
      </c>
      <c r="X151" s="37">
        <v>52.94</v>
      </c>
      <c r="Y151" s="37">
        <v>5.88</v>
      </c>
      <c r="Z151" s="37">
        <v>41.18</v>
      </c>
      <c r="AA151" s="37">
        <v>28.57</v>
      </c>
      <c r="AB151" s="37">
        <v>45.45</v>
      </c>
      <c r="AC151" s="24">
        <f t="shared" si="17"/>
        <v>-41.40100000000001</v>
      </c>
      <c r="AD151" s="25">
        <f t="shared" si="18"/>
        <v>41.40100000000001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115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43615</v>
      </c>
      <c r="B152" s="37" t="s">
        <v>595</v>
      </c>
      <c r="C152" s="37" t="s">
        <v>596</v>
      </c>
      <c r="D152" s="37" t="s">
        <v>600</v>
      </c>
      <c r="E152" s="37" t="s">
        <v>601</v>
      </c>
      <c r="F152" s="37" t="s">
        <v>602</v>
      </c>
      <c r="G152" s="37">
        <v>1</v>
      </c>
      <c r="H152" s="37">
        <v>2</v>
      </c>
      <c r="I152" s="37">
        <v>1.89</v>
      </c>
      <c r="J152" s="37">
        <v>3.88</v>
      </c>
      <c r="K152" s="37">
        <v>3.17</v>
      </c>
      <c r="L152" s="37">
        <v>-1.28</v>
      </c>
      <c r="M152" s="37">
        <v>12</v>
      </c>
      <c r="N152" s="37">
        <v>12</v>
      </c>
      <c r="O152" s="37">
        <v>1</v>
      </c>
      <c r="P152" s="37">
        <v>6</v>
      </c>
      <c r="Q152" s="37">
        <v>6</v>
      </c>
      <c r="R152" s="37">
        <v>0</v>
      </c>
      <c r="S152" s="37">
        <v>0</v>
      </c>
      <c r="T152" s="37">
        <v>100</v>
      </c>
      <c r="U152" s="37">
        <v>41.67</v>
      </c>
      <c r="V152" s="37">
        <v>8.33</v>
      </c>
      <c r="W152" s="37">
        <v>50</v>
      </c>
      <c r="X152" s="37">
        <v>16.670000000000002</v>
      </c>
      <c r="Y152" s="37">
        <v>16.670000000000002</v>
      </c>
      <c r="Z152" s="37">
        <v>66.67</v>
      </c>
      <c r="AA152" s="37">
        <v>66.67</v>
      </c>
      <c r="AB152" s="37">
        <v>0</v>
      </c>
      <c r="AC152" s="24">
        <f t="shared" si="17"/>
        <v>-22.5</v>
      </c>
      <c r="AD152" s="25">
        <f t="shared" si="18"/>
        <v>22.5</v>
      </c>
      <c r="AE152" s="23" t="str">
        <f t="shared" si="19"/>
        <v>Loss</v>
      </c>
      <c r="AF152" s="23" t="str">
        <f t="shared" si="20"/>
        <v>Loss</v>
      </c>
      <c r="AG152" s="23" t="str">
        <f t="shared" si="21"/>
        <v>Win</v>
      </c>
      <c r="AH152" s="23">
        <f t="shared" si="22"/>
        <v>-50</v>
      </c>
      <c r="AI152" s="23">
        <f t="shared" si="23"/>
        <v>-50</v>
      </c>
      <c r="AJ152" s="23">
        <f t="shared" si="24"/>
        <v>108.5</v>
      </c>
    </row>
    <row r="153" spans="1:36" x14ac:dyDescent="0.2">
      <c r="A153" s="36">
        <v>43615</v>
      </c>
      <c r="B153" s="37" t="s">
        <v>576</v>
      </c>
      <c r="C153" s="37" t="s">
        <v>603</v>
      </c>
      <c r="D153" s="37" t="s">
        <v>604</v>
      </c>
      <c r="E153" s="37" t="s">
        <v>605</v>
      </c>
      <c r="F153" s="37" t="s">
        <v>606</v>
      </c>
      <c r="G153" s="37">
        <v>3</v>
      </c>
      <c r="H153" s="37">
        <v>1</v>
      </c>
      <c r="I153" s="37">
        <v>1.22</v>
      </c>
      <c r="J153" s="37">
        <v>6.1</v>
      </c>
      <c r="K153" s="37">
        <v>9.15</v>
      </c>
      <c r="L153" s="37">
        <v>-7.93</v>
      </c>
      <c r="M153" s="37">
        <v>24</v>
      </c>
      <c r="N153" s="37">
        <v>24</v>
      </c>
      <c r="O153" s="37">
        <v>0</v>
      </c>
      <c r="P153" s="37">
        <v>11</v>
      </c>
      <c r="Q153" s="37">
        <v>11</v>
      </c>
      <c r="R153" s="37">
        <v>0</v>
      </c>
      <c r="S153" s="37">
        <v>0</v>
      </c>
      <c r="T153" s="37">
        <v>0</v>
      </c>
      <c r="U153" s="37">
        <v>29.17</v>
      </c>
      <c r="V153" s="37">
        <v>20.83</v>
      </c>
      <c r="W153" s="37">
        <v>50</v>
      </c>
      <c r="X153" s="37">
        <v>4.17</v>
      </c>
      <c r="Y153" s="37">
        <v>16.670000000000002</v>
      </c>
      <c r="Z153" s="37">
        <v>79.17</v>
      </c>
      <c r="AA153" s="37">
        <v>36.36</v>
      </c>
      <c r="AB153" s="37">
        <v>0</v>
      </c>
      <c r="AC153" s="24">
        <f t="shared" si="17"/>
        <v>11.25</v>
      </c>
      <c r="AD153" s="25">
        <f t="shared" si="18"/>
        <v>-11.25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11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43615</v>
      </c>
      <c r="B154" s="37" t="s">
        <v>500</v>
      </c>
      <c r="C154" s="37" t="s">
        <v>501</v>
      </c>
      <c r="D154" s="37" t="s">
        <v>607</v>
      </c>
      <c r="E154" s="37" t="s">
        <v>608</v>
      </c>
      <c r="F154" s="37" t="s">
        <v>609</v>
      </c>
      <c r="G154" s="37">
        <v>1</v>
      </c>
      <c r="H154" s="37">
        <v>0</v>
      </c>
      <c r="I154" s="37">
        <v>3.09</v>
      </c>
      <c r="J154" s="37">
        <v>3.12</v>
      </c>
      <c r="K154" s="37">
        <v>2.4500000000000002</v>
      </c>
      <c r="L154" s="37">
        <v>0.64</v>
      </c>
      <c r="M154" s="37">
        <v>37</v>
      </c>
      <c r="N154" s="37">
        <v>34</v>
      </c>
      <c r="O154" s="37">
        <v>0</v>
      </c>
      <c r="P154" s="37">
        <v>18</v>
      </c>
      <c r="Q154" s="37">
        <v>16</v>
      </c>
      <c r="R154" s="37">
        <v>0</v>
      </c>
      <c r="S154" s="37">
        <v>0</v>
      </c>
      <c r="T154" s="37">
        <v>0</v>
      </c>
      <c r="U154" s="37">
        <v>24.32</v>
      </c>
      <c r="V154" s="37">
        <v>24.32</v>
      </c>
      <c r="W154" s="37">
        <v>51.35</v>
      </c>
      <c r="X154" s="37">
        <v>50</v>
      </c>
      <c r="Y154" s="37">
        <v>26.47</v>
      </c>
      <c r="Z154" s="37">
        <v>23.53</v>
      </c>
      <c r="AA154" s="37">
        <v>33.33</v>
      </c>
      <c r="AB154" s="37">
        <v>56.25</v>
      </c>
      <c r="AC154" s="24">
        <f t="shared" si="17"/>
        <v>-10.914999999999999</v>
      </c>
      <c r="AD154" s="25">
        <f t="shared" si="18"/>
        <v>10.914999999999999</v>
      </c>
      <c r="AE154" s="23" t="str">
        <f t="shared" si="19"/>
        <v>Win</v>
      </c>
      <c r="AF154" s="23" t="str">
        <f t="shared" si="20"/>
        <v>Loss</v>
      </c>
      <c r="AG154" s="23" t="str">
        <f t="shared" si="21"/>
        <v>Loss</v>
      </c>
      <c r="AH154" s="23">
        <f t="shared" si="22"/>
        <v>104.5</v>
      </c>
      <c r="AI154" s="23">
        <f t="shared" si="23"/>
        <v>-50</v>
      </c>
      <c r="AJ154" s="23">
        <f t="shared" si="24"/>
        <v>-50</v>
      </c>
    </row>
    <row r="155" spans="1:36" x14ac:dyDescent="0.2">
      <c r="A155" s="36">
        <v>43615</v>
      </c>
      <c r="B155" s="37" t="s">
        <v>595</v>
      </c>
      <c r="C155" s="37" t="s">
        <v>596</v>
      </c>
      <c r="D155" s="37" t="s">
        <v>610</v>
      </c>
      <c r="E155" s="37" t="s">
        <v>611</v>
      </c>
      <c r="F155" s="37" t="s">
        <v>612</v>
      </c>
      <c r="G155" s="37">
        <v>1</v>
      </c>
      <c r="H155" s="37">
        <v>1</v>
      </c>
      <c r="I155" s="37">
        <v>3.46</v>
      </c>
      <c r="J155" s="37">
        <v>3.92</v>
      </c>
      <c r="K155" s="37">
        <v>1.81</v>
      </c>
      <c r="L155" s="37">
        <v>1.65</v>
      </c>
      <c r="M155" s="37">
        <v>13</v>
      </c>
      <c r="N155" s="37">
        <v>15</v>
      </c>
      <c r="O155" s="37">
        <v>1</v>
      </c>
      <c r="P155" s="37">
        <v>7</v>
      </c>
      <c r="Q155" s="37">
        <v>9</v>
      </c>
      <c r="R155" s="37">
        <v>0</v>
      </c>
      <c r="S155" s="37">
        <v>0</v>
      </c>
      <c r="T155" s="37">
        <v>100</v>
      </c>
      <c r="U155" s="37">
        <v>53.85</v>
      </c>
      <c r="V155" s="37">
        <v>0</v>
      </c>
      <c r="W155" s="37">
        <v>46.15</v>
      </c>
      <c r="X155" s="37">
        <v>73.33</v>
      </c>
      <c r="Y155" s="37">
        <v>6.67</v>
      </c>
      <c r="Z155" s="37">
        <v>20</v>
      </c>
      <c r="AA155" s="37">
        <v>57.14</v>
      </c>
      <c r="AB155" s="37">
        <v>55.56</v>
      </c>
      <c r="AC155" s="24">
        <f t="shared" si="17"/>
        <v>-39.792999999999999</v>
      </c>
      <c r="AD155" s="25">
        <f t="shared" si="18"/>
        <v>39.792999999999999</v>
      </c>
      <c r="AE155" s="23" t="str">
        <f t="shared" si="19"/>
        <v>Loss</v>
      </c>
      <c r="AF155" s="23" t="str">
        <f t="shared" si="20"/>
        <v>Win</v>
      </c>
      <c r="AG155" s="23" t="str">
        <f t="shared" si="21"/>
        <v>Loss</v>
      </c>
      <c r="AH155" s="23">
        <f t="shared" si="22"/>
        <v>-50</v>
      </c>
      <c r="AI155" s="23">
        <f t="shared" si="23"/>
        <v>146</v>
      </c>
      <c r="AJ155" s="23">
        <f t="shared" si="24"/>
        <v>-50</v>
      </c>
    </row>
    <row r="156" spans="1:36" x14ac:dyDescent="0.2">
      <c r="A156" s="36">
        <v>43615</v>
      </c>
      <c r="B156" s="37" t="s">
        <v>595</v>
      </c>
      <c r="C156" s="37" t="s">
        <v>596</v>
      </c>
      <c r="D156" s="37" t="s">
        <v>613</v>
      </c>
      <c r="E156" s="37" t="s">
        <v>614</v>
      </c>
      <c r="F156" s="37" t="s">
        <v>615</v>
      </c>
      <c r="G156" s="37">
        <v>2</v>
      </c>
      <c r="H156" s="37">
        <v>0</v>
      </c>
      <c r="I156" s="37">
        <v>1.06</v>
      </c>
      <c r="J156" s="37">
        <v>10.14</v>
      </c>
      <c r="K156" s="37">
        <v>17.93</v>
      </c>
      <c r="L156" s="37">
        <v>-16.87</v>
      </c>
      <c r="M156" s="37">
        <v>15</v>
      </c>
      <c r="N156" s="37">
        <v>12</v>
      </c>
      <c r="O156" s="37">
        <v>1</v>
      </c>
      <c r="P156" s="37">
        <v>7</v>
      </c>
      <c r="Q156" s="37">
        <v>6</v>
      </c>
      <c r="R156" s="37">
        <v>100</v>
      </c>
      <c r="S156" s="37">
        <v>0</v>
      </c>
      <c r="T156" s="37">
        <v>0</v>
      </c>
      <c r="U156" s="37">
        <v>93.33</v>
      </c>
      <c r="V156" s="37">
        <v>0</v>
      </c>
      <c r="W156" s="37">
        <v>6.67</v>
      </c>
      <c r="X156" s="37">
        <v>25</v>
      </c>
      <c r="Y156" s="37">
        <v>8.33</v>
      </c>
      <c r="Z156" s="37">
        <v>66.67</v>
      </c>
      <c r="AA156" s="37">
        <v>100</v>
      </c>
      <c r="AB156" s="37">
        <v>33.33</v>
      </c>
      <c r="AC156" s="24">
        <f t="shared" si="17"/>
        <v>54.832999999999998</v>
      </c>
      <c r="AD156" s="25">
        <f t="shared" si="18"/>
        <v>-54.832999999999998</v>
      </c>
      <c r="AE156" s="23" t="str">
        <f t="shared" si="19"/>
        <v>Win</v>
      </c>
      <c r="AF156" s="23" t="str">
        <f t="shared" si="20"/>
        <v>Loss</v>
      </c>
      <c r="AG156" s="23" t="str">
        <f t="shared" si="21"/>
        <v>Loss</v>
      </c>
      <c r="AH156" s="23">
        <f t="shared" si="22"/>
        <v>3</v>
      </c>
      <c r="AI156" s="23">
        <f t="shared" si="23"/>
        <v>-50</v>
      </c>
      <c r="AJ156" s="23">
        <f t="shared" si="24"/>
        <v>-50</v>
      </c>
    </row>
    <row r="157" spans="1:36" x14ac:dyDescent="0.2">
      <c r="A157" s="36">
        <v>43615</v>
      </c>
      <c r="B157" s="37" t="s">
        <v>514</v>
      </c>
      <c r="C157" s="37" t="s">
        <v>515</v>
      </c>
      <c r="D157" s="37" t="s">
        <v>616</v>
      </c>
      <c r="E157" s="37" t="s">
        <v>617</v>
      </c>
      <c r="F157" s="37" t="s">
        <v>618</v>
      </c>
      <c r="G157" s="37">
        <v>2</v>
      </c>
      <c r="H157" s="37">
        <v>1</v>
      </c>
      <c r="I157" s="37">
        <v>2.08</v>
      </c>
      <c r="J157" s="37">
        <v>3.41</v>
      </c>
      <c r="K157" s="37">
        <v>3.18</v>
      </c>
      <c r="L157" s="37">
        <v>-1.1000000000000001</v>
      </c>
      <c r="M157" s="37">
        <v>43</v>
      </c>
      <c r="N157" s="37">
        <v>44</v>
      </c>
      <c r="O157" s="37">
        <v>3</v>
      </c>
      <c r="P157" s="37">
        <v>16</v>
      </c>
      <c r="Q157" s="37">
        <v>21</v>
      </c>
      <c r="R157" s="37">
        <v>33.33</v>
      </c>
      <c r="S157" s="37">
        <v>0</v>
      </c>
      <c r="T157" s="37">
        <v>66.67</v>
      </c>
      <c r="U157" s="37">
        <v>53.49</v>
      </c>
      <c r="V157" s="37">
        <v>25.58</v>
      </c>
      <c r="W157" s="37">
        <v>20.93</v>
      </c>
      <c r="X157" s="37">
        <v>72.73</v>
      </c>
      <c r="Y157" s="37">
        <v>15.91</v>
      </c>
      <c r="Z157" s="37">
        <v>11.36</v>
      </c>
      <c r="AA157" s="37">
        <v>68.75</v>
      </c>
      <c r="AB157" s="37">
        <v>71.430000000000007</v>
      </c>
      <c r="AC157" s="24">
        <f t="shared" si="17"/>
        <v>-14.797000000000002</v>
      </c>
      <c r="AD157" s="25">
        <f t="shared" si="18"/>
        <v>14.797000000000002</v>
      </c>
      <c r="AE157" s="23" t="str">
        <f t="shared" si="19"/>
        <v>Win</v>
      </c>
      <c r="AF157" s="23" t="str">
        <f t="shared" si="20"/>
        <v>Loss</v>
      </c>
      <c r="AG157" s="23" t="str">
        <f t="shared" si="21"/>
        <v>Loss</v>
      </c>
      <c r="AH157" s="23">
        <f t="shared" si="22"/>
        <v>54</v>
      </c>
      <c r="AI157" s="23">
        <f t="shared" si="23"/>
        <v>-50</v>
      </c>
      <c r="AJ157" s="23">
        <f t="shared" si="24"/>
        <v>-50</v>
      </c>
    </row>
    <row r="158" spans="1:36" x14ac:dyDescent="0.2">
      <c r="A158" s="36">
        <v>43615</v>
      </c>
      <c r="B158" s="37" t="s">
        <v>514</v>
      </c>
      <c r="C158" s="37" t="s">
        <v>619</v>
      </c>
      <c r="D158" s="37" t="s">
        <v>620</v>
      </c>
      <c r="E158" s="37" t="s">
        <v>621</v>
      </c>
      <c r="F158" s="37" t="s">
        <v>622</v>
      </c>
      <c r="G158" s="37">
        <v>1</v>
      </c>
      <c r="H158" s="37">
        <v>1</v>
      </c>
      <c r="I158" s="37">
        <v>2.62</v>
      </c>
      <c r="J158" s="37">
        <v>3.57</v>
      </c>
      <c r="K158" s="37">
        <v>2.34</v>
      </c>
      <c r="L158" s="37">
        <v>0.28000000000000003</v>
      </c>
      <c r="M158" s="37">
        <v>33</v>
      </c>
      <c r="N158" s="37">
        <v>34</v>
      </c>
      <c r="O158" s="37">
        <v>2</v>
      </c>
      <c r="P158" s="37">
        <v>17</v>
      </c>
      <c r="Q158" s="37">
        <v>16</v>
      </c>
      <c r="R158" s="37">
        <v>50</v>
      </c>
      <c r="S158" s="37">
        <v>0</v>
      </c>
      <c r="T158" s="37">
        <v>50</v>
      </c>
      <c r="U158" s="37">
        <v>21.21</v>
      </c>
      <c r="V158" s="37">
        <v>6.06</v>
      </c>
      <c r="W158" s="37">
        <v>72.73</v>
      </c>
      <c r="X158" s="37">
        <v>23.53</v>
      </c>
      <c r="Y158" s="37">
        <v>20.59</v>
      </c>
      <c r="Z158" s="37">
        <v>55.88</v>
      </c>
      <c r="AA158" s="37">
        <v>35.29</v>
      </c>
      <c r="AB158" s="37">
        <v>18.75</v>
      </c>
      <c r="AC158" s="24">
        <f t="shared" si="17"/>
        <v>-5.286999999999999</v>
      </c>
      <c r="AD158" s="25">
        <f t="shared" si="18"/>
        <v>5.286999999999999</v>
      </c>
      <c r="AE158" s="23" t="str">
        <f t="shared" si="19"/>
        <v>Loss</v>
      </c>
      <c r="AF158" s="23" t="str">
        <f t="shared" si="20"/>
        <v>Win</v>
      </c>
      <c r="AG158" s="23" t="str">
        <f t="shared" si="21"/>
        <v>Loss</v>
      </c>
      <c r="AH158" s="23">
        <f t="shared" si="22"/>
        <v>-50</v>
      </c>
      <c r="AI158" s="23">
        <f t="shared" si="23"/>
        <v>128.5</v>
      </c>
      <c r="AJ158" s="23">
        <f t="shared" si="24"/>
        <v>-50</v>
      </c>
    </row>
    <row r="159" spans="1:36" x14ac:dyDescent="0.2">
      <c r="A159" s="36">
        <v>43615</v>
      </c>
      <c r="B159" s="37" t="s">
        <v>623</v>
      </c>
      <c r="C159" s="37" t="s">
        <v>624</v>
      </c>
      <c r="D159" s="37" t="s">
        <v>625</v>
      </c>
      <c r="E159" s="37" t="s">
        <v>626</v>
      </c>
      <c r="F159" s="37" t="s">
        <v>627</v>
      </c>
      <c r="G159" s="37">
        <v>4</v>
      </c>
      <c r="H159" s="37">
        <v>2</v>
      </c>
      <c r="I159" s="37">
        <v>1.62</v>
      </c>
      <c r="J159" s="37">
        <v>4.3499999999999996</v>
      </c>
      <c r="K159" s="37">
        <v>3.99</v>
      </c>
      <c r="L159" s="37">
        <v>-2.37</v>
      </c>
      <c r="M159" s="37">
        <v>9</v>
      </c>
      <c r="N159" s="37">
        <v>9</v>
      </c>
      <c r="O159" s="37">
        <v>0</v>
      </c>
      <c r="P159" s="37">
        <v>6</v>
      </c>
      <c r="Q159" s="37">
        <v>3</v>
      </c>
      <c r="R159" s="37">
        <v>0</v>
      </c>
      <c r="S159" s="37">
        <v>0</v>
      </c>
      <c r="T159" s="37">
        <v>0</v>
      </c>
      <c r="U159" s="37">
        <v>66.67</v>
      </c>
      <c r="V159" s="37">
        <v>11.11</v>
      </c>
      <c r="W159" s="37">
        <v>22.22</v>
      </c>
      <c r="X159" s="37">
        <v>44.44</v>
      </c>
      <c r="Y159" s="37">
        <v>11.11</v>
      </c>
      <c r="Z159" s="37">
        <v>44.44</v>
      </c>
      <c r="AA159" s="37">
        <v>50</v>
      </c>
      <c r="AB159" s="37">
        <v>66.67</v>
      </c>
      <c r="AC159" s="24">
        <f t="shared" si="17"/>
        <v>8.89</v>
      </c>
      <c r="AD159" s="25">
        <f t="shared" si="18"/>
        <v>-8.89</v>
      </c>
      <c r="AE159" s="23" t="str">
        <f t="shared" si="19"/>
        <v>Win</v>
      </c>
      <c r="AF159" s="23" t="str">
        <f t="shared" si="20"/>
        <v>Loss</v>
      </c>
      <c r="AG159" s="23" t="str">
        <f t="shared" si="21"/>
        <v>Loss</v>
      </c>
      <c r="AH159" s="23">
        <f t="shared" si="22"/>
        <v>31</v>
      </c>
      <c r="AI159" s="23">
        <f t="shared" si="23"/>
        <v>-50</v>
      </c>
      <c r="AJ159" s="23">
        <f t="shared" si="24"/>
        <v>-50</v>
      </c>
    </row>
    <row r="160" spans="1:36" x14ac:dyDescent="0.2">
      <c r="A160" s="36">
        <v>43615</v>
      </c>
      <c r="B160" s="37" t="s">
        <v>523</v>
      </c>
      <c r="C160" s="37" t="s">
        <v>524</v>
      </c>
      <c r="D160" s="37" t="s">
        <v>628</v>
      </c>
      <c r="E160" s="37" t="s">
        <v>629</v>
      </c>
      <c r="F160" s="37" t="s">
        <v>630</v>
      </c>
      <c r="G160" s="37">
        <v>0</v>
      </c>
      <c r="H160" s="37">
        <v>1</v>
      </c>
      <c r="I160" s="37">
        <v>1.33</v>
      </c>
      <c r="J160" s="37">
        <v>4.45</v>
      </c>
      <c r="K160" s="37">
        <v>7.55</v>
      </c>
      <c r="L160" s="37">
        <v>-6.22</v>
      </c>
      <c r="M160" s="37">
        <v>10</v>
      </c>
      <c r="N160" s="37">
        <v>9</v>
      </c>
      <c r="O160" s="37">
        <v>1</v>
      </c>
      <c r="P160" s="37">
        <v>4</v>
      </c>
      <c r="Q160" s="37">
        <v>4</v>
      </c>
      <c r="R160" s="37">
        <v>100</v>
      </c>
      <c r="S160" s="37">
        <v>0</v>
      </c>
      <c r="T160" s="37">
        <v>0</v>
      </c>
      <c r="U160" s="37">
        <v>40</v>
      </c>
      <c r="V160" s="37">
        <v>30</v>
      </c>
      <c r="W160" s="37">
        <v>30</v>
      </c>
      <c r="X160" s="37">
        <v>33.33</v>
      </c>
      <c r="Y160" s="37">
        <v>22.22</v>
      </c>
      <c r="Z160" s="37">
        <v>44.44</v>
      </c>
      <c r="AA160" s="37">
        <v>25</v>
      </c>
      <c r="AB160" s="37">
        <v>75</v>
      </c>
      <c r="AC160" s="24">
        <f t="shared" si="17"/>
        <v>35</v>
      </c>
      <c r="AD160" s="25">
        <f t="shared" si="18"/>
        <v>-35</v>
      </c>
      <c r="AE160" s="23" t="str">
        <f t="shared" si="19"/>
        <v>Loss</v>
      </c>
      <c r="AF160" s="23" t="str">
        <f t="shared" si="20"/>
        <v>Loss</v>
      </c>
      <c r="AG160" s="23" t="str">
        <f t="shared" si="21"/>
        <v>Win</v>
      </c>
      <c r="AH160" s="23">
        <f t="shared" si="22"/>
        <v>-50</v>
      </c>
      <c r="AI160" s="23">
        <f t="shared" si="23"/>
        <v>-50</v>
      </c>
      <c r="AJ160" s="23">
        <f t="shared" si="24"/>
        <v>327.5</v>
      </c>
    </row>
    <row r="161" spans="1:36" x14ac:dyDescent="0.2">
      <c r="A161" s="36">
        <v>43615</v>
      </c>
      <c r="B161" s="37" t="s">
        <v>536</v>
      </c>
      <c r="C161" s="37" t="s">
        <v>382</v>
      </c>
      <c r="D161" s="37" t="s">
        <v>631</v>
      </c>
      <c r="E161" s="37" t="s">
        <v>632</v>
      </c>
      <c r="F161" s="37" t="s">
        <v>633</v>
      </c>
      <c r="G161" s="37">
        <v>1</v>
      </c>
      <c r="H161" s="37">
        <v>3</v>
      </c>
      <c r="I161" s="37">
        <v>3.33</v>
      </c>
      <c r="J161" s="37">
        <v>2.86</v>
      </c>
      <c r="K161" s="37">
        <v>2.4500000000000002</v>
      </c>
      <c r="L161" s="37">
        <v>0.88</v>
      </c>
      <c r="M161" s="37">
        <v>41</v>
      </c>
      <c r="N161" s="37">
        <v>32</v>
      </c>
      <c r="O161" s="37">
        <v>0</v>
      </c>
      <c r="P161" s="37">
        <v>20</v>
      </c>
      <c r="Q161" s="37">
        <v>16</v>
      </c>
      <c r="R161" s="37">
        <v>0</v>
      </c>
      <c r="S161" s="37">
        <v>0</v>
      </c>
      <c r="T161" s="37">
        <v>0</v>
      </c>
      <c r="U161" s="37">
        <v>48.78</v>
      </c>
      <c r="V161" s="37">
        <v>19.510000000000002</v>
      </c>
      <c r="W161" s="37">
        <v>31.71</v>
      </c>
      <c r="X161" s="37">
        <v>28.13</v>
      </c>
      <c r="Y161" s="37">
        <v>12.5</v>
      </c>
      <c r="Z161" s="37">
        <v>59.38</v>
      </c>
      <c r="AA161" s="37">
        <v>60</v>
      </c>
      <c r="AB161" s="37">
        <v>25</v>
      </c>
      <c r="AC161" s="24">
        <f t="shared" si="17"/>
        <v>10.365000000000002</v>
      </c>
      <c r="AD161" s="25">
        <f t="shared" si="18"/>
        <v>-10.365000000000002</v>
      </c>
      <c r="AE161" s="23" t="str">
        <f t="shared" si="19"/>
        <v>Loss</v>
      </c>
      <c r="AF161" s="23" t="str">
        <f t="shared" si="20"/>
        <v>Loss</v>
      </c>
      <c r="AG161" s="23" t="str">
        <f t="shared" si="21"/>
        <v>Win</v>
      </c>
      <c r="AH161" s="23">
        <f t="shared" si="22"/>
        <v>-50</v>
      </c>
      <c r="AI161" s="23">
        <f t="shared" si="23"/>
        <v>-50</v>
      </c>
      <c r="AJ161" s="23">
        <f t="shared" si="24"/>
        <v>72.500000000000014</v>
      </c>
    </row>
    <row r="162" spans="1:36" x14ac:dyDescent="0.2">
      <c r="A162" s="36">
        <v>43615</v>
      </c>
      <c r="B162" s="37" t="s">
        <v>634</v>
      </c>
      <c r="C162" s="37" t="s">
        <v>635</v>
      </c>
      <c r="D162" s="37" t="s">
        <v>636</v>
      </c>
      <c r="E162" s="37" t="s">
        <v>637</v>
      </c>
      <c r="F162" s="37" t="s">
        <v>638</v>
      </c>
      <c r="G162" s="37">
        <v>12</v>
      </c>
      <c r="H162" s="37">
        <v>0</v>
      </c>
      <c r="I162" s="37">
        <v>1.24</v>
      </c>
      <c r="J162" s="37">
        <v>5.84</v>
      </c>
      <c r="K162" s="37">
        <v>10.41</v>
      </c>
      <c r="L162" s="37">
        <v>-9.17</v>
      </c>
      <c r="M162" s="37">
        <v>2</v>
      </c>
      <c r="N162" s="37">
        <v>5</v>
      </c>
      <c r="O162" s="37">
        <v>0</v>
      </c>
      <c r="P162" s="37">
        <v>1</v>
      </c>
      <c r="Q162" s="37">
        <v>2</v>
      </c>
      <c r="R162" s="37">
        <v>0</v>
      </c>
      <c r="S162" s="37">
        <v>0</v>
      </c>
      <c r="T162" s="37">
        <v>0</v>
      </c>
      <c r="U162" s="37">
        <v>0</v>
      </c>
      <c r="V162" s="37">
        <v>0</v>
      </c>
      <c r="W162" s="37">
        <v>100</v>
      </c>
      <c r="X162" s="37">
        <v>20</v>
      </c>
      <c r="Y162" s="37">
        <v>0</v>
      </c>
      <c r="Z162" s="37">
        <v>80</v>
      </c>
      <c r="AA162" s="37">
        <v>0</v>
      </c>
      <c r="AB162" s="37">
        <v>0</v>
      </c>
      <c r="AC162" s="24">
        <f t="shared" si="17"/>
        <v>-8</v>
      </c>
      <c r="AD162" s="25">
        <f t="shared" si="18"/>
        <v>8</v>
      </c>
      <c r="AE162" s="23" t="str">
        <f t="shared" si="19"/>
        <v>Win</v>
      </c>
      <c r="AF162" s="23" t="str">
        <f t="shared" si="20"/>
        <v>Loss</v>
      </c>
      <c r="AG162" s="23" t="str">
        <f t="shared" si="21"/>
        <v>Loss</v>
      </c>
      <c r="AH162" s="23">
        <f t="shared" si="22"/>
        <v>12</v>
      </c>
      <c r="AI162" s="23">
        <f t="shared" si="23"/>
        <v>-50</v>
      </c>
      <c r="AJ162" s="23">
        <f t="shared" si="24"/>
        <v>-50</v>
      </c>
    </row>
    <row r="163" spans="1:36" x14ac:dyDescent="0.2">
      <c r="A163" s="36">
        <v>43615</v>
      </c>
      <c r="B163" s="37" t="s">
        <v>634</v>
      </c>
      <c r="C163" s="37" t="s">
        <v>635</v>
      </c>
      <c r="D163" s="37" t="s">
        <v>639</v>
      </c>
      <c r="E163" s="37" t="s">
        <v>640</v>
      </c>
      <c r="F163" s="37" t="s">
        <v>641</v>
      </c>
      <c r="G163" s="37">
        <v>0</v>
      </c>
      <c r="H163" s="37">
        <v>2</v>
      </c>
      <c r="I163" s="37">
        <v>4.97</v>
      </c>
      <c r="J163" s="37">
        <v>3.57</v>
      </c>
      <c r="K163" s="37">
        <v>1.71</v>
      </c>
      <c r="L163" s="37">
        <v>3.26</v>
      </c>
      <c r="M163" s="37">
        <v>6</v>
      </c>
      <c r="N163" s="37">
        <v>13</v>
      </c>
      <c r="O163" s="37">
        <v>0</v>
      </c>
      <c r="P163" s="37">
        <v>2</v>
      </c>
      <c r="Q163" s="37">
        <v>5</v>
      </c>
      <c r="R163" s="37">
        <v>0</v>
      </c>
      <c r="S163" s="37">
        <v>0</v>
      </c>
      <c r="T163" s="37">
        <v>0</v>
      </c>
      <c r="U163" s="37">
        <v>50</v>
      </c>
      <c r="V163" s="37">
        <v>16.670000000000002</v>
      </c>
      <c r="W163" s="37">
        <v>33.33</v>
      </c>
      <c r="X163" s="37">
        <v>61.54</v>
      </c>
      <c r="Y163" s="37">
        <v>15.38</v>
      </c>
      <c r="Z163" s="37">
        <v>23.08</v>
      </c>
      <c r="AA163" s="37">
        <v>50</v>
      </c>
      <c r="AB163" s="37">
        <v>80</v>
      </c>
      <c r="AC163" s="24">
        <f t="shared" si="17"/>
        <v>-4.229000000000001</v>
      </c>
      <c r="AD163" s="25">
        <f t="shared" si="18"/>
        <v>4.229000000000001</v>
      </c>
      <c r="AE163" s="23" t="str">
        <f t="shared" si="19"/>
        <v>Loss</v>
      </c>
      <c r="AF163" s="23" t="str">
        <f t="shared" si="20"/>
        <v>Loss</v>
      </c>
      <c r="AG163" s="23" t="str">
        <f t="shared" si="21"/>
        <v>Win</v>
      </c>
      <c r="AH163" s="23">
        <f t="shared" si="22"/>
        <v>-50</v>
      </c>
      <c r="AI163" s="23">
        <f t="shared" si="23"/>
        <v>-50</v>
      </c>
      <c r="AJ163" s="23">
        <f t="shared" si="24"/>
        <v>35.5</v>
      </c>
    </row>
    <row r="164" spans="1:36" x14ac:dyDescent="0.2">
      <c r="A164" s="36">
        <v>43615</v>
      </c>
      <c r="B164" s="37" t="s">
        <v>595</v>
      </c>
      <c r="C164" s="37" t="s">
        <v>596</v>
      </c>
      <c r="D164" s="37" t="s">
        <v>642</v>
      </c>
      <c r="E164" s="37" t="s">
        <v>643</v>
      </c>
      <c r="F164" s="37" t="s">
        <v>644</v>
      </c>
      <c r="G164" s="37">
        <v>1</v>
      </c>
      <c r="H164" s="37">
        <v>5</v>
      </c>
      <c r="I164" s="37">
        <v>14.93</v>
      </c>
      <c r="J164" s="37">
        <v>8.36</v>
      </c>
      <c r="K164" s="37">
        <v>1.0900000000000001</v>
      </c>
      <c r="L164" s="37">
        <v>13.84</v>
      </c>
      <c r="M164" s="37">
        <v>14</v>
      </c>
      <c r="N164" s="37">
        <v>13</v>
      </c>
      <c r="O164" s="37">
        <v>1</v>
      </c>
      <c r="P164" s="37">
        <v>8</v>
      </c>
      <c r="Q164" s="37">
        <v>7</v>
      </c>
      <c r="R164" s="37">
        <v>0</v>
      </c>
      <c r="S164" s="37">
        <v>0</v>
      </c>
      <c r="T164" s="37">
        <v>100</v>
      </c>
      <c r="U164" s="37">
        <v>14.29</v>
      </c>
      <c r="V164" s="37">
        <v>14.29</v>
      </c>
      <c r="W164" s="37">
        <v>71.430000000000007</v>
      </c>
      <c r="X164" s="37">
        <v>53.85</v>
      </c>
      <c r="Y164" s="37">
        <v>23.08</v>
      </c>
      <c r="Z164" s="37">
        <v>23.08</v>
      </c>
      <c r="AA164" s="37">
        <v>25</v>
      </c>
      <c r="AB164" s="37">
        <v>42.86</v>
      </c>
      <c r="AC164" s="24">
        <f t="shared" si="17"/>
        <v>-48.461000000000006</v>
      </c>
      <c r="AD164" s="25">
        <f t="shared" si="18"/>
        <v>48.461000000000006</v>
      </c>
      <c r="AE164" s="23" t="str">
        <f t="shared" si="19"/>
        <v>Loss</v>
      </c>
      <c r="AF164" s="23" t="str">
        <f t="shared" si="20"/>
        <v>Loss</v>
      </c>
      <c r="AG164" s="23" t="str">
        <f t="shared" si="21"/>
        <v>Win</v>
      </c>
      <c r="AH164" s="23">
        <f t="shared" si="22"/>
        <v>-50</v>
      </c>
      <c r="AI164" s="23">
        <f t="shared" si="23"/>
        <v>-50</v>
      </c>
      <c r="AJ164" s="23">
        <f t="shared" si="24"/>
        <v>4.5000000000000071</v>
      </c>
    </row>
    <row r="165" spans="1:36" x14ac:dyDescent="0.2">
      <c r="A165" s="36">
        <v>43615</v>
      </c>
      <c r="B165" s="37" t="s">
        <v>572</v>
      </c>
      <c r="C165" s="37" t="s">
        <v>382</v>
      </c>
      <c r="D165" s="37" t="s">
        <v>645</v>
      </c>
      <c r="E165" s="37" t="s">
        <v>646</v>
      </c>
      <c r="F165" s="37" t="s">
        <v>647</v>
      </c>
      <c r="G165" s="37">
        <v>0</v>
      </c>
      <c r="H165" s="37">
        <v>2</v>
      </c>
      <c r="I165" s="37">
        <v>4.8499999999999996</v>
      </c>
      <c r="J165" s="37">
        <v>3.83</v>
      </c>
      <c r="K165" s="37">
        <v>1.64</v>
      </c>
      <c r="L165" s="37">
        <v>3.21</v>
      </c>
      <c r="M165" s="37">
        <v>32</v>
      </c>
      <c r="N165" s="37">
        <v>34</v>
      </c>
      <c r="O165" s="37">
        <v>3</v>
      </c>
      <c r="P165" s="37">
        <v>15</v>
      </c>
      <c r="Q165" s="37">
        <v>18</v>
      </c>
      <c r="R165" s="37">
        <v>33.33</v>
      </c>
      <c r="S165" s="37">
        <v>33.33</v>
      </c>
      <c r="T165" s="37">
        <v>33.33</v>
      </c>
      <c r="U165" s="37">
        <v>43.75</v>
      </c>
      <c r="V165" s="37">
        <v>21.88</v>
      </c>
      <c r="W165" s="37">
        <v>34.380000000000003</v>
      </c>
      <c r="X165" s="37">
        <v>67.650000000000006</v>
      </c>
      <c r="Y165" s="37">
        <v>17.649999999999999</v>
      </c>
      <c r="Z165" s="37">
        <v>14.71</v>
      </c>
      <c r="AA165" s="37">
        <v>46.67</v>
      </c>
      <c r="AB165" s="37">
        <v>66.67</v>
      </c>
      <c r="AC165" s="24">
        <f t="shared" si="17"/>
        <v>-4.9580000000000011</v>
      </c>
      <c r="AD165" s="25">
        <f t="shared" si="18"/>
        <v>11.624000000000002</v>
      </c>
      <c r="AE165" s="23" t="str">
        <f t="shared" si="19"/>
        <v>Loss</v>
      </c>
      <c r="AF165" s="23" t="str">
        <f t="shared" si="20"/>
        <v>Loss</v>
      </c>
      <c r="AG165" s="23" t="str">
        <f t="shared" si="21"/>
        <v>Win</v>
      </c>
      <c r="AH165" s="23">
        <f t="shared" si="22"/>
        <v>-50</v>
      </c>
      <c r="AI165" s="23">
        <f t="shared" si="23"/>
        <v>-50</v>
      </c>
      <c r="AJ165" s="23">
        <f t="shared" si="24"/>
        <v>32</v>
      </c>
    </row>
    <row r="166" spans="1:36" x14ac:dyDescent="0.2">
      <c r="A166" s="36">
        <v>43615</v>
      </c>
      <c r="B166" s="37" t="s">
        <v>572</v>
      </c>
      <c r="C166" s="37" t="s">
        <v>382</v>
      </c>
      <c r="D166" s="37" t="s">
        <v>648</v>
      </c>
      <c r="E166" s="37" t="s">
        <v>649</v>
      </c>
      <c r="F166" s="37" t="s">
        <v>650</v>
      </c>
      <c r="G166" s="37">
        <v>0</v>
      </c>
      <c r="H166" s="37">
        <v>3</v>
      </c>
      <c r="I166" s="37">
        <v>9.42</v>
      </c>
      <c r="J166" s="37">
        <v>5.34</v>
      </c>
      <c r="K166" s="37">
        <v>1.28</v>
      </c>
      <c r="L166" s="37">
        <v>8.14</v>
      </c>
      <c r="M166" s="37">
        <v>33</v>
      </c>
      <c r="N166" s="37">
        <v>36</v>
      </c>
      <c r="O166" s="37">
        <v>3</v>
      </c>
      <c r="P166" s="37">
        <v>16</v>
      </c>
      <c r="Q166" s="37">
        <v>16</v>
      </c>
      <c r="R166" s="37">
        <v>0</v>
      </c>
      <c r="S166" s="37">
        <v>33.33</v>
      </c>
      <c r="T166" s="37">
        <v>66.67</v>
      </c>
      <c r="U166" s="37">
        <v>27.27</v>
      </c>
      <c r="V166" s="37">
        <v>30.3</v>
      </c>
      <c r="W166" s="37">
        <v>42.42</v>
      </c>
      <c r="X166" s="37">
        <v>80.56</v>
      </c>
      <c r="Y166" s="37">
        <v>13.89</v>
      </c>
      <c r="Z166" s="37">
        <v>5.56</v>
      </c>
      <c r="AA166" s="37">
        <v>6.25</v>
      </c>
      <c r="AB166" s="37">
        <v>87.5</v>
      </c>
      <c r="AC166" s="24">
        <f t="shared" si="17"/>
        <v>-33.057000000000002</v>
      </c>
      <c r="AD166" s="25">
        <f t="shared" si="18"/>
        <v>39.723000000000006</v>
      </c>
      <c r="AE166" s="23" t="str">
        <f t="shared" si="19"/>
        <v>Loss</v>
      </c>
      <c r="AF166" s="23" t="str">
        <f t="shared" si="20"/>
        <v>Loss</v>
      </c>
      <c r="AG166" s="23" t="str">
        <f t="shared" si="21"/>
        <v>Win</v>
      </c>
      <c r="AH166" s="23">
        <f t="shared" si="22"/>
        <v>-50</v>
      </c>
      <c r="AI166" s="23">
        <f t="shared" si="23"/>
        <v>-50</v>
      </c>
      <c r="AJ166" s="23">
        <f t="shared" si="24"/>
        <v>14</v>
      </c>
    </row>
    <row r="167" spans="1:36" x14ac:dyDescent="0.2">
      <c r="A167" s="36">
        <v>43615</v>
      </c>
      <c r="B167" s="37" t="s">
        <v>651</v>
      </c>
      <c r="C167" s="37" t="s">
        <v>652</v>
      </c>
      <c r="D167" s="37" t="s">
        <v>653</v>
      </c>
      <c r="E167" s="37" t="s">
        <v>654</v>
      </c>
      <c r="F167" s="37" t="s">
        <v>655</v>
      </c>
      <c r="G167" s="37">
        <v>3</v>
      </c>
      <c r="H167" s="37">
        <v>0</v>
      </c>
      <c r="I167" s="37">
        <v>2.2000000000000002</v>
      </c>
      <c r="J167" s="37">
        <v>2.98</v>
      </c>
      <c r="K167" s="37">
        <v>3.32</v>
      </c>
      <c r="L167" s="37">
        <v>-1.1200000000000001</v>
      </c>
      <c r="M167" s="37">
        <v>36</v>
      </c>
      <c r="N167" s="37">
        <v>25</v>
      </c>
      <c r="O167" s="37">
        <v>0</v>
      </c>
      <c r="P167" s="37">
        <v>17</v>
      </c>
      <c r="Q167" s="37">
        <v>10</v>
      </c>
      <c r="R167" s="37">
        <v>0</v>
      </c>
      <c r="S167" s="37">
        <v>0</v>
      </c>
      <c r="T167" s="37">
        <v>0</v>
      </c>
      <c r="U167" s="37">
        <v>30.56</v>
      </c>
      <c r="V167" s="37">
        <v>13.89</v>
      </c>
      <c r="W167" s="37">
        <v>55.56</v>
      </c>
      <c r="X167" s="37">
        <v>60</v>
      </c>
      <c r="Y167" s="37">
        <v>24</v>
      </c>
      <c r="Z167" s="37">
        <v>16</v>
      </c>
      <c r="AA167" s="37">
        <v>35.29</v>
      </c>
      <c r="AB167" s="37">
        <v>50</v>
      </c>
      <c r="AC167" s="24">
        <f t="shared" si="17"/>
        <v>-14.811000000000003</v>
      </c>
      <c r="AD167" s="25">
        <f t="shared" si="18"/>
        <v>14.811000000000003</v>
      </c>
      <c r="AE167" s="23" t="str">
        <f t="shared" si="19"/>
        <v>Win</v>
      </c>
      <c r="AF167" s="23" t="str">
        <f t="shared" si="20"/>
        <v>Loss</v>
      </c>
      <c r="AG167" s="23" t="str">
        <f t="shared" si="21"/>
        <v>Loss</v>
      </c>
      <c r="AH167" s="23">
        <f t="shared" si="22"/>
        <v>60.000000000000014</v>
      </c>
      <c r="AI167" s="23">
        <f t="shared" si="23"/>
        <v>-50</v>
      </c>
      <c r="AJ167" s="23">
        <f t="shared" si="24"/>
        <v>-50</v>
      </c>
    </row>
    <row r="168" spans="1:36" x14ac:dyDescent="0.2">
      <c r="A168" s="36">
        <v>43615</v>
      </c>
      <c r="B168" s="37" t="s">
        <v>235</v>
      </c>
      <c r="C168" s="37" t="s">
        <v>365</v>
      </c>
      <c r="D168" s="37" t="s">
        <v>656</v>
      </c>
      <c r="E168" s="37" t="s">
        <v>657</v>
      </c>
      <c r="F168" s="37" t="s">
        <v>658</v>
      </c>
      <c r="G168" s="37">
        <v>1</v>
      </c>
      <c r="H168" s="37">
        <v>2</v>
      </c>
      <c r="I168" s="37">
        <v>1.9</v>
      </c>
      <c r="J168" s="37">
        <v>3.82</v>
      </c>
      <c r="K168" s="37">
        <v>3.17</v>
      </c>
      <c r="L168" s="37">
        <v>-1.27</v>
      </c>
      <c r="M168" s="37">
        <v>8</v>
      </c>
      <c r="N168" s="37">
        <v>35</v>
      </c>
      <c r="O168" s="37">
        <v>0</v>
      </c>
      <c r="P168" s="37">
        <v>4</v>
      </c>
      <c r="Q168" s="37">
        <v>18</v>
      </c>
      <c r="R168" s="37">
        <v>0</v>
      </c>
      <c r="S168" s="37">
        <v>0</v>
      </c>
      <c r="T168" s="37">
        <v>0</v>
      </c>
      <c r="U168" s="37">
        <v>50</v>
      </c>
      <c r="V168" s="37">
        <v>37.5</v>
      </c>
      <c r="W168" s="37">
        <v>12.5</v>
      </c>
      <c r="X168" s="37">
        <v>20</v>
      </c>
      <c r="Y168" s="37">
        <v>22.86</v>
      </c>
      <c r="Z168" s="37">
        <v>57.14</v>
      </c>
      <c r="AA168" s="37">
        <v>50</v>
      </c>
      <c r="AB168" s="37">
        <v>16.670000000000002</v>
      </c>
      <c r="AC168" s="24">
        <f t="shared" si="17"/>
        <v>16.392000000000003</v>
      </c>
      <c r="AD168" s="25">
        <f t="shared" si="18"/>
        <v>-16.392000000000003</v>
      </c>
      <c r="AE168" s="23" t="str">
        <f t="shared" si="19"/>
        <v>Loss</v>
      </c>
      <c r="AF168" s="23" t="str">
        <f t="shared" si="20"/>
        <v>Loss</v>
      </c>
      <c r="AG168" s="23" t="str">
        <f t="shared" si="21"/>
        <v>Win</v>
      </c>
      <c r="AH168" s="23">
        <f t="shared" si="22"/>
        <v>-50</v>
      </c>
      <c r="AI168" s="23">
        <f t="shared" si="23"/>
        <v>-50</v>
      </c>
      <c r="AJ168" s="23">
        <f t="shared" si="24"/>
        <v>108.5</v>
      </c>
    </row>
    <row r="169" spans="1:36" x14ac:dyDescent="0.2">
      <c r="A169" s="36">
        <v>43615</v>
      </c>
      <c r="B169" s="37" t="s">
        <v>235</v>
      </c>
      <c r="C169" s="37" t="s">
        <v>365</v>
      </c>
      <c r="D169" s="37" t="s">
        <v>659</v>
      </c>
      <c r="E169" s="37" t="s">
        <v>660</v>
      </c>
      <c r="F169" s="37" t="s">
        <v>661</v>
      </c>
      <c r="G169" s="37">
        <v>3</v>
      </c>
      <c r="H169" s="37">
        <v>1</v>
      </c>
      <c r="I169" s="37">
        <v>2.81</v>
      </c>
      <c r="J169" s="37">
        <v>3.77</v>
      </c>
      <c r="K169" s="37">
        <v>2.0299999999999998</v>
      </c>
      <c r="L169" s="37">
        <v>0.78</v>
      </c>
      <c r="M169" s="37">
        <v>27</v>
      </c>
      <c r="N169" s="37">
        <v>9</v>
      </c>
      <c r="O169" s="37">
        <v>0</v>
      </c>
      <c r="P169" s="37">
        <v>13</v>
      </c>
      <c r="Q169" s="37">
        <v>4</v>
      </c>
      <c r="R169" s="37">
        <v>0</v>
      </c>
      <c r="S169" s="37">
        <v>0</v>
      </c>
      <c r="T169" s="37">
        <v>0</v>
      </c>
      <c r="U169" s="37">
        <v>29.63</v>
      </c>
      <c r="V169" s="37">
        <v>18.52</v>
      </c>
      <c r="W169" s="37">
        <v>51.85</v>
      </c>
      <c r="X169" s="37">
        <v>33.33</v>
      </c>
      <c r="Y169" s="37">
        <v>22.22</v>
      </c>
      <c r="Z169" s="37">
        <v>44.44</v>
      </c>
      <c r="AA169" s="37">
        <v>23.08</v>
      </c>
      <c r="AB169" s="37">
        <v>0</v>
      </c>
      <c r="AC169" s="24">
        <f t="shared" si="17"/>
        <v>-2.5920000000000005</v>
      </c>
      <c r="AD169" s="25">
        <f t="shared" si="18"/>
        <v>2.5920000000000005</v>
      </c>
      <c r="AE169" s="23" t="str">
        <f t="shared" si="19"/>
        <v>Win</v>
      </c>
      <c r="AF169" s="23" t="str">
        <f t="shared" si="20"/>
        <v>Loss</v>
      </c>
      <c r="AG169" s="23" t="str">
        <f t="shared" si="21"/>
        <v>Loss</v>
      </c>
      <c r="AH169" s="23">
        <f t="shared" si="22"/>
        <v>90.5</v>
      </c>
      <c r="AI169" s="23">
        <f t="shared" si="23"/>
        <v>-50</v>
      </c>
      <c r="AJ169" s="23">
        <f t="shared" si="24"/>
        <v>-50</v>
      </c>
    </row>
    <row r="170" spans="1:36" x14ac:dyDescent="0.2">
      <c r="A170" s="36">
        <v>43615</v>
      </c>
      <c r="B170" s="37" t="s">
        <v>235</v>
      </c>
      <c r="C170" s="37" t="s">
        <v>244</v>
      </c>
      <c r="D170" s="37" t="s">
        <v>662</v>
      </c>
      <c r="E170" s="37" t="s">
        <v>663</v>
      </c>
      <c r="F170" s="37" t="s">
        <v>664</v>
      </c>
      <c r="G170" s="37">
        <v>3</v>
      </c>
      <c r="H170" s="37">
        <v>0</v>
      </c>
      <c r="I170" s="37">
        <v>1.6</v>
      </c>
      <c r="J170" s="37">
        <v>4.5999999999999996</v>
      </c>
      <c r="K170" s="37">
        <v>3.45</v>
      </c>
      <c r="L170" s="37">
        <v>-1.85</v>
      </c>
      <c r="M170" s="37">
        <v>11</v>
      </c>
      <c r="N170" s="37">
        <v>23</v>
      </c>
      <c r="O170" s="37">
        <v>0</v>
      </c>
      <c r="P170" s="37">
        <v>5</v>
      </c>
      <c r="Q170" s="37">
        <v>11</v>
      </c>
      <c r="R170" s="37">
        <v>0</v>
      </c>
      <c r="S170" s="37">
        <v>0</v>
      </c>
      <c r="T170" s="37">
        <v>0</v>
      </c>
      <c r="U170" s="37">
        <v>27.27</v>
      </c>
      <c r="V170" s="37">
        <v>18.18</v>
      </c>
      <c r="W170" s="37">
        <v>54.55</v>
      </c>
      <c r="X170" s="37">
        <v>26.09</v>
      </c>
      <c r="Y170" s="37">
        <v>26.09</v>
      </c>
      <c r="Z170" s="37">
        <v>47.83</v>
      </c>
      <c r="AA170" s="37">
        <v>20</v>
      </c>
      <c r="AB170" s="37">
        <v>36.36</v>
      </c>
      <c r="AC170" s="24">
        <f t="shared" si="17"/>
        <v>-1.8989999999999991</v>
      </c>
      <c r="AD170" s="25">
        <f t="shared" si="18"/>
        <v>1.8989999999999991</v>
      </c>
      <c r="AE170" s="23" t="str">
        <f t="shared" si="19"/>
        <v>Win</v>
      </c>
      <c r="AF170" s="23" t="str">
        <f t="shared" si="20"/>
        <v>Loss</v>
      </c>
      <c r="AG170" s="23" t="str">
        <f t="shared" si="21"/>
        <v>Loss</v>
      </c>
      <c r="AH170" s="23">
        <f t="shared" si="22"/>
        <v>30</v>
      </c>
      <c r="AI170" s="23">
        <f t="shared" si="23"/>
        <v>-50</v>
      </c>
      <c r="AJ170" s="23">
        <f t="shared" si="24"/>
        <v>-50</v>
      </c>
    </row>
    <row r="171" spans="1:36" x14ac:dyDescent="0.2">
      <c r="A171" s="36">
        <v>43615</v>
      </c>
      <c r="B171" s="37" t="s">
        <v>665</v>
      </c>
      <c r="C171" s="37" t="s">
        <v>487</v>
      </c>
      <c r="D171" s="37" t="s">
        <v>666</v>
      </c>
      <c r="E171" s="37" t="s">
        <v>667</v>
      </c>
      <c r="F171" s="37" t="s">
        <v>668</v>
      </c>
      <c r="G171" s="37">
        <v>0</v>
      </c>
      <c r="H171" s="37">
        <v>4</v>
      </c>
      <c r="I171" s="37">
        <v>1.79</v>
      </c>
      <c r="J171" s="37">
        <v>3.63</v>
      </c>
      <c r="K171" s="37">
        <v>4.29</v>
      </c>
      <c r="L171" s="37">
        <v>-2.5</v>
      </c>
      <c r="M171" s="37">
        <v>39</v>
      </c>
      <c r="N171" s="37">
        <v>38</v>
      </c>
      <c r="O171" s="37">
        <v>1</v>
      </c>
      <c r="P171" s="37">
        <v>18</v>
      </c>
      <c r="Q171" s="37">
        <v>19</v>
      </c>
      <c r="R171" s="37">
        <v>100</v>
      </c>
      <c r="S171" s="37">
        <v>0</v>
      </c>
      <c r="T171" s="37">
        <v>0</v>
      </c>
      <c r="U171" s="37">
        <v>28.21</v>
      </c>
      <c r="V171" s="37">
        <v>25.64</v>
      </c>
      <c r="W171" s="37">
        <v>46.15</v>
      </c>
      <c r="X171" s="37">
        <v>52.63</v>
      </c>
      <c r="Y171" s="37">
        <v>18.420000000000002</v>
      </c>
      <c r="Z171" s="37">
        <v>28.95</v>
      </c>
      <c r="AA171" s="37">
        <v>27.78</v>
      </c>
      <c r="AB171" s="37">
        <v>52.63</v>
      </c>
      <c r="AC171" s="24">
        <f t="shared" si="17"/>
        <v>22.398000000000003</v>
      </c>
      <c r="AD171" s="25">
        <f t="shared" si="18"/>
        <v>-22.398000000000003</v>
      </c>
      <c r="AE171" s="23" t="str">
        <f t="shared" si="19"/>
        <v>Loss</v>
      </c>
      <c r="AF171" s="23" t="str">
        <f t="shared" si="20"/>
        <v>Loss</v>
      </c>
      <c r="AG171" s="23" t="str">
        <f t="shared" si="21"/>
        <v>Win</v>
      </c>
      <c r="AH171" s="23">
        <f t="shared" si="22"/>
        <v>-50</v>
      </c>
      <c r="AI171" s="23">
        <f t="shared" si="23"/>
        <v>-50</v>
      </c>
      <c r="AJ171" s="23">
        <f t="shared" si="24"/>
        <v>164.5</v>
      </c>
    </row>
    <row r="172" spans="1:36" x14ac:dyDescent="0.2">
      <c r="A172" s="36">
        <v>43615</v>
      </c>
      <c r="B172" s="37" t="s">
        <v>669</v>
      </c>
      <c r="C172" s="37" t="s">
        <v>670</v>
      </c>
      <c r="D172" s="37" t="s">
        <v>671</v>
      </c>
      <c r="E172" s="37" t="s">
        <v>672</v>
      </c>
      <c r="F172" s="37" t="s">
        <v>673</v>
      </c>
      <c r="G172" s="37">
        <v>2</v>
      </c>
      <c r="H172" s="37">
        <v>1</v>
      </c>
      <c r="I172" s="37">
        <v>2.94</v>
      </c>
      <c r="J172" s="37">
        <v>3.28</v>
      </c>
      <c r="K172" s="37">
        <v>2.27</v>
      </c>
      <c r="L172" s="37">
        <v>0.67</v>
      </c>
      <c r="M172" s="37">
        <v>41</v>
      </c>
      <c r="N172" s="37">
        <v>42</v>
      </c>
      <c r="O172" s="37">
        <v>4</v>
      </c>
      <c r="P172" s="37">
        <v>21</v>
      </c>
      <c r="Q172" s="37">
        <v>22</v>
      </c>
      <c r="R172" s="37">
        <v>50</v>
      </c>
      <c r="S172" s="37">
        <v>25</v>
      </c>
      <c r="T172" s="37">
        <v>25</v>
      </c>
      <c r="U172" s="37">
        <v>58.54</v>
      </c>
      <c r="V172" s="37">
        <v>24.39</v>
      </c>
      <c r="W172" s="37">
        <v>17.07</v>
      </c>
      <c r="X172" s="37">
        <v>61.9</v>
      </c>
      <c r="Y172" s="37">
        <v>26.19</v>
      </c>
      <c r="Z172" s="37">
        <v>11.9</v>
      </c>
      <c r="AA172" s="37">
        <v>52.38</v>
      </c>
      <c r="AB172" s="37">
        <v>68.180000000000007</v>
      </c>
      <c r="AC172" s="24">
        <f t="shared" si="17"/>
        <v>8.1139999999999972</v>
      </c>
      <c r="AD172" s="25">
        <f t="shared" si="18"/>
        <v>-3.1139999999999981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23">
        <f t="shared" si="22"/>
        <v>97</v>
      </c>
      <c r="AI172" s="23">
        <f t="shared" si="23"/>
        <v>-50</v>
      </c>
      <c r="AJ172" s="23">
        <f t="shared" si="24"/>
        <v>-50</v>
      </c>
    </row>
    <row r="173" spans="1:36" x14ac:dyDescent="0.2">
      <c r="A173" s="36">
        <v>43615</v>
      </c>
      <c r="B173" s="37" t="s">
        <v>674</v>
      </c>
      <c r="C173" s="37" t="s">
        <v>675</v>
      </c>
      <c r="D173" s="37" t="s">
        <v>676</v>
      </c>
      <c r="E173" s="37" t="s">
        <v>677</v>
      </c>
      <c r="F173" s="37" t="s">
        <v>678</v>
      </c>
      <c r="G173" s="37">
        <v>0</v>
      </c>
      <c r="H173" s="37">
        <v>4</v>
      </c>
      <c r="I173" s="37">
        <v>6.88</v>
      </c>
      <c r="J173" s="37">
        <v>4.21</v>
      </c>
      <c r="K173" s="37">
        <v>1.4</v>
      </c>
      <c r="L173" s="37">
        <v>5.48</v>
      </c>
      <c r="M173" s="37">
        <v>43</v>
      </c>
      <c r="N173" s="37">
        <v>42</v>
      </c>
      <c r="O173" s="37">
        <v>4</v>
      </c>
      <c r="P173" s="37">
        <v>21</v>
      </c>
      <c r="Q173" s="37">
        <v>21</v>
      </c>
      <c r="R173" s="37">
        <v>0</v>
      </c>
      <c r="S173" s="37">
        <v>75</v>
      </c>
      <c r="T173" s="37">
        <v>25</v>
      </c>
      <c r="U173" s="37">
        <v>23.26</v>
      </c>
      <c r="V173" s="37">
        <v>30.23</v>
      </c>
      <c r="W173" s="37">
        <v>46.51</v>
      </c>
      <c r="X173" s="37">
        <v>45.24</v>
      </c>
      <c r="Y173" s="37">
        <v>42.86</v>
      </c>
      <c r="Z173" s="37">
        <v>11.9</v>
      </c>
      <c r="AA173" s="37">
        <v>19.05</v>
      </c>
      <c r="AB173" s="37">
        <v>38.1</v>
      </c>
      <c r="AC173" s="24">
        <f t="shared" si="17"/>
        <v>-12.580999999999998</v>
      </c>
      <c r="AD173" s="25">
        <f t="shared" si="18"/>
        <v>27.581</v>
      </c>
      <c r="AE173" s="23" t="str">
        <f t="shared" si="19"/>
        <v>Loss</v>
      </c>
      <c r="AF173" s="23" t="str">
        <f t="shared" si="20"/>
        <v>Loss</v>
      </c>
      <c r="AG173" s="23" t="str">
        <f t="shared" si="21"/>
        <v>Win</v>
      </c>
      <c r="AH173" s="23">
        <f t="shared" si="22"/>
        <v>-50</v>
      </c>
      <c r="AI173" s="23">
        <f t="shared" si="23"/>
        <v>-50</v>
      </c>
      <c r="AJ173" s="23">
        <f t="shared" si="24"/>
        <v>20</v>
      </c>
    </row>
    <row r="174" spans="1:36" x14ac:dyDescent="0.2">
      <c r="A174" s="36">
        <v>43615</v>
      </c>
      <c r="B174" s="37" t="s">
        <v>634</v>
      </c>
      <c r="C174" s="37" t="s">
        <v>635</v>
      </c>
      <c r="D174" s="37" t="s">
        <v>679</v>
      </c>
      <c r="E174" s="37" t="s">
        <v>680</v>
      </c>
      <c r="F174" s="37" t="s">
        <v>681</v>
      </c>
      <c r="G174" s="37">
        <v>1</v>
      </c>
      <c r="H174" s="37">
        <v>0</v>
      </c>
      <c r="I174" s="37">
        <v>1.1499999999999999</v>
      </c>
      <c r="J174" s="37">
        <v>7.53</v>
      </c>
      <c r="K174" s="37">
        <v>16.48</v>
      </c>
      <c r="L174" s="37">
        <v>-15.33</v>
      </c>
      <c r="M174" s="37">
        <v>7</v>
      </c>
      <c r="N174" s="37">
        <v>4</v>
      </c>
      <c r="O174" s="37">
        <v>0</v>
      </c>
      <c r="P174" s="37">
        <v>3</v>
      </c>
      <c r="Q174" s="37">
        <v>2</v>
      </c>
      <c r="R174" s="37">
        <v>0</v>
      </c>
      <c r="S174" s="37">
        <v>0</v>
      </c>
      <c r="T174" s="37">
        <v>0</v>
      </c>
      <c r="U174" s="37">
        <v>42.86</v>
      </c>
      <c r="V174" s="37">
        <v>28.57</v>
      </c>
      <c r="W174" s="37">
        <v>28.57</v>
      </c>
      <c r="X174" s="37">
        <v>0</v>
      </c>
      <c r="Y174" s="37">
        <v>0</v>
      </c>
      <c r="Z174" s="37">
        <v>100</v>
      </c>
      <c r="AA174" s="37">
        <v>66.67</v>
      </c>
      <c r="AB174" s="37">
        <v>0</v>
      </c>
      <c r="AC174" s="24">
        <f t="shared" si="17"/>
        <v>25.715000000000003</v>
      </c>
      <c r="AD174" s="25">
        <f t="shared" si="18"/>
        <v>-25.715000000000003</v>
      </c>
      <c r="AE174" s="23" t="str">
        <f t="shared" si="19"/>
        <v>Win</v>
      </c>
      <c r="AF174" s="23" t="str">
        <f t="shared" si="20"/>
        <v>Loss</v>
      </c>
      <c r="AG174" s="23" t="str">
        <f t="shared" si="21"/>
        <v>Loss</v>
      </c>
      <c r="AH174" s="23">
        <f t="shared" si="22"/>
        <v>7.4999999999999929</v>
      </c>
      <c r="AI174" s="23">
        <f t="shared" si="23"/>
        <v>-50</v>
      </c>
      <c r="AJ174" s="23">
        <f t="shared" si="24"/>
        <v>-50</v>
      </c>
    </row>
    <row r="175" spans="1:36" x14ac:dyDescent="0.2">
      <c r="A175" s="36">
        <v>43615</v>
      </c>
      <c r="B175" s="37" t="s">
        <v>634</v>
      </c>
      <c r="C175" s="37" t="s">
        <v>635</v>
      </c>
      <c r="D175" s="37" t="s">
        <v>682</v>
      </c>
      <c r="E175" s="37" t="s">
        <v>683</v>
      </c>
      <c r="F175" s="37" t="s">
        <v>684</v>
      </c>
      <c r="G175" s="37">
        <v>1</v>
      </c>
      <c r="H175" s="37">
        <v>1</v>
      </c>
      <c r="I175" s="37">
        <v>2.29</v>
      </c>
      <c r="J175" s="37">
        <v>2.4900000000000002</v>
      </c>
      <c r="K175" s="37">
        <v>4.42</v>
      </c>
      <c r="L175" s="37">
        <v>-2.13</v>
      </c>
      <c r="M175" s="37">
        <v>2</v>
      </c>
      <c r="N175" s="37">
        <v>2</v>
      </c>
      <c r="O175" s="37">
        <v>0</v>
      </c>
      <c r="P175" s="37">
        <v>0</v>
      </c>
      <c r="Q175" s="37">
        <v>1</v>
      </c>
      <c r="R175" s="37">
        <v>0</v>
      </c>
      <c r="S175" s="37">
        <v>0</v>
      </c>
      <c r="T175" s="37">
        <v>0</v>
      </c>
      <c r="U175" s="37">
        <v>50</v>
      </c>
      <c r="V175" s="37">
        <v>0</v>
      </c>
      <c r="W175" s="37">
        <v>50</v>
      </c>
      <c r="X175" s="37">
        <v>100</v>
      </c>
      <c r="Y175" s="37">
        <v>0</v>
      </c>
      <c r="Z175" s="37">
        <v>0</v>
      </c>
      <c r="AA175" s="37">
        <v>0</v>
      </c>
      <c r="AB175" s="37">
        <v>100</v>
      </c>
      <c r="AC175" s="24">
        <f t="shared" si="17"/>
        <v>-20</v>
      </c>
      <c r="AD175" s="25">
        <f t="shared" si="18"/>
        <v>20</v>
      </c>
      <c r="AE175" s="23" t="str">
        <f t="shared" si="19"/>
        <v>Loss</v>
      </c>
      <c r="AF175" s="23" t="str">
        <f t="shared" si="20"/>
        <v>Win</v>
      </c>
      <c r="AG175" s="23" t="str">
        <f t="shared" si="21"/>
        <v>Loss</v>
      </c>
      <c r="AH175" s="23">
        <f t="shared" si="22"/>
        <v>-50</v>
      </c>
      <c r="AI175" s="23">
        <f t="shared" si="23"/>
        <v>74.500000000000014</v>
      </c>
      <c r="AJ175" s="23">
        <f t="shared" si="24"/>
        <v>-50</v>
      </c>
    </row>
    <row r="176" spans="1:36" x14ac:dyDescent="0.2">
      <c r="A176" s="36">
        <v>43615</v>
      </c>
      <c r="B176" s="37" t="s">
        <v>685</v>
      </c>
      <c r="C176" s="37" t="s">
        <v>686</v>
      </c>
      <c r="D176" s="37" t="s">
        <v>687</v>
      </c>
      <c r="E176" s="37" t="s">
        <v>688</v>
      </c>
      <c r="F176" s="37" t="s">
        <v>689</v>
      </c>
      <c r="G176" s="37">
        <v>1</v>
      </c>
      <c r="H176" s="37">
        <v>1</v>
      </c>
      <c r="I176" s="37">
        <v>2.14</v>
      </c>
      <c r="J176" s="37">
        <v>3.07</v>
      </c>
      <c r="K176" s="37">
        <v>3.88</v>
      </c>
      <c r="L176" s="37">
        <v>-1.74</v>
      </c>
      <c r="M176" s="37">
        <v>45</v>
      </c>
      <c r="N176" s="37">
        <v>44</v>
      </c>
      <c r="O176" s="37">
        <v>0</v>
      </c>
      <c r="P176" s="37">
        <v>20</v>
      </c>
      <c r="Q176" s="37">
        <v>23</v>
      </c>
      <c r="R176" s="37">
        <v>0</v>
      </c>
      <c r="S176" s="37">
        <v>0</v>
      </c>
      <c r="T176" s="37">
        <v>0</v>
      </c>
      <c r="U176" s="37">
        <v>51.11</v>
      </c>
      <c r="V176" s="37">
        <v>20</v>
      </c>
      <c r="W176" s="37">
        <v>28.89</v>
      </c>
      <c r="X176" s="37">
        <v>29.55</v>
      </c>
      <c r="Y176" s="37">
        <v>15.91</v>
      </c>
      <c r="Z176" s="37">
        <v>54.55</v>
      </c>
      <c r="AA176" s="37">
        <v>55</v>
      </c>
      <c r="AB176" s="37">
        <v>26.09</v>
      </c>
      <c r="AC176" s="24">
        <f t="shared" si="17"/>
        <v>9.8530000000000015</v>
      </c>
      <c r="AD176" s="25">
        <f t="shared" si="18"/>
        <v>-9.8530000000000015</v>
      </c>
      <c r="AE176" s="23" t="str">
        <f t="shared" si="19"/>
        <v>Loss</v>
      </c>
      <c r="AF176" s="23" t="str">
        <f t="shared" si="20"/>
        <v>Win</v>
      </c>
      <c r="AG176" s="23" t="str">
        <f t="shared" si="21"/>
        <v>Loss</v>
      </c>
      <c r="AH176" s="23">
        <f t="shared" si="22"/>
        <v>-50</v>
      </c>
      <c r="AI176" s="23">
        <f t="shared" si="23"/>
        <v>103.5</v>
      </c>
      <c r="AJ176" s="23">
        <f t="shared" si="24"/>
        <v>-50</v>
      </c>
    </row>
    <row r="177" spans="1:36" x14ac:dyDescent="0.2">
      <c r="A177" s="36">
        <v>43615</v>
      </c>
      <c r="B177" s="37" t="s">
        <v>690</v>
      </c>
      <c r="C177" s="37" t="s">
        <v>691</v>
      </c>
      <c r="D177" s="37" t="s">
        <v>692</v>
      </c>
      <c r="E177" s="37" t="s">
        <v>693</v>
      </c>
      <c r="F177" s="37" t="s">
        <v>694</v>
      </c>
      <c r="G177" s="37">
        <v>1</v>
      </c>
      <c r="H177" s="37">
        <v>2</v>
      </c>
      <c r="I177" s="37">
        <v>2.34</v>
      </c>
      <c r="J177" s="37">
        <v>2.95</v>
      </c>
      <c r="K177" s="37">
        <v>3.18</v>
      </c>
      <c r="L177" s="37">
        <v>-0.84</v>
      </c>
      <c r="M177" s="37">
        <v>44</v>
      </c>
      <c r="N177" s="37">
        <v>37</v>
      </c>
      <c r="O177" s="37">
        <v>2</v>
      </c>
      <c r="P177" s="37">
        <v>23</v>
      </c>
      <c r="Q177" s="37">
        <v>19</v>
      </c>
      <c r="R177" s="37">
        <v>0</v>
      </c>
      <c r="S177" s="37">
        <v>0</v>
      </c>
      <c r="T177" s="37">
        <v>100</v>
      </c>
      <c r="U177" s="37">
        <v>56.82</v>
      </c>
      <c r="V177" s="37">
        <v>25</v>
      </c>
      <c r="W177" s="37">
        <v>18.18</v>
      </c>
      <c r="X177" s="37">
        <v>48.65</v>
      </c>
      <c r="Y177" s="37">
        <v>21.62</v>
      </c>
      <c r="Z177" s="37">
        <v>29.73</v>
      </c>
      <c r="AA177" s="37">
        <v>69.569999999999993</v>
      </c>
      <c r="AB177" s="37">
        <v>47.37</v>
      </c>
      <c r="AC177" s="24">
        <f t="shared" si="17"/>
        <v>-25.717999999999996</v>
      </c>
      <c r="AD177" s="25">
        <f t="shared" si="18"/>
        <v>25.717999999999996</v>
      </c>
      <c r="AE177" s="23" t="str">
        <f t="shared" si="19"/>
        <v>Loss</v>
      </c>
      <c r="AF177" s="23" t="str">
        <f t="shared" si="20"/>
        <v>Loss</v>
      </c>
      <c r="AG177" s="23" t="str">
        <f t="shared" si="21"/>
        <v>Win</v>
      </c>
      <c r="AH177" s="23">
        <f t="shared" si="22"/>
        <v>-50</v>
      </c>
      <c r="AI177" s="23">
        <f t="shared" si="23"/>
        <v>-50</v>
      </c>
      <c r="AJ177" s="23">
        <f t="shared" si="24"/>
        <v>109</v>
      </c>
    </row>
    <row r="178" spans="1:36" x14ac:dyDescent="0.2">
      <c r="A178" s="36">
        <v>43615</v>
      </c>
      <c r="B178" s="37" t="s">
        <v>695</v>
      </c>
      <c r="C178" s="37" t="s">
        <v>696</v>
      </c>
      <c r="D178" s="37" t="s">
        <v>697</v>
      </c>
      <c r="E178" s="37" t="s">
        <v>698</v>
      </c>
      <c r="F178" s="37" t="s">
        <v>699</v>
      </c>
      <c r="G178" s="37">
        <v>2</v>
      </c>
      <c r="H178" s="37">
        <v>0</v>
      </c>
      <c r="I178" s="37">
        <v>2.29</v>
      </c>
      <c r="J178" s="37">
        <v>3.1</v>
      </c>
      <c r="K178" s="37">
        <v>3.3</v>
      </c>
      <c r="L178" s="37">
        <v>-1.01</v>
      </c>
      <c r="M178" s="37">
        <v>42</v>
      </c>
      <c r="N178" s="37">
        <v>40</v>
      </c>
      <c r="O178" s="37">
        <v>2</v>
      </c>
      <c r="P178" s="37">
        <v>20</v>
      </c>
      <c r="Q178" s="37">
        <v>19</v>
      </c>
      <c r="R178" s="37">
        <v>50</v>
      </c>
      <c r="S178" s="37">
        <v>0</v>
      </c>
      <c r="T178" s="37">
        <v>50</v>
      </c>
      <c r="U178" s="37">
        <v>38.1</v>
      </c>
      <c r="V178" s="37">
        <v>35.71</v>
      </c>
      <c r="W178" s="37">
        <v>26.19</v>
      </c>
      <c r="X178" s="37">
        <v>37.5</v>
      </c>
      <c r="Y178" s="37">
        <v>35</v>
      </c>
      <c r="Z178" s="37">
        <v>27.5</v>
      </c>
      <c r="AA178" s="37">
        <v>50</v>
      </c>
      <c r="AB178" s="37">
        <v>26.32</v>
      </c>
      <c r="AC178" s="24">
        <f t="shared" si="17"/>
        <v>0.45300000000000029</v>
      </c>
      <c r="AD178" s="25">
        <f t="shared" si="18"/>
        <v>-0.45300000000000029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64.5</v>
      </c>
      <c r="AI178" s="23">
        <f t="shared" si="23"/>
        <v>-50</v>
      </c>
      <c r="AJ178" s="23">
        <f t="shared" si="24"/>
        <v>-50</v>
      </c>
    </row>
    <row r="179" spans="1:36" x14ac:dyDescent="0.2">
      <c r="A179" s="36">
        <v>43615</v>
      </c>
      <c r="B179" s="37" t="s">
        <v>514</v>
      </c>
      <c r="C179" s="37" t="s">
        <v>515</v>
      </c>
      <c r="D179" s="37" t="s">
        <v>700</v>
      </c>
      <c r="E179" s="37" t="s">
        <v>701</v>
      </c>
      <c r="F179" s="37" t="s">
        <v>702</v>
      </c>
      <c r="G179" s="37">
        <v>1</v>
      </c>
      <c r="H179" s="37">
        <v>3</v>
      </c>
      <c r="I179" s="37">
        <v>6.17</v>
      </c>
      <c r="J179" s="37">
        <v>4.75</v>
      </c>
      <c r="K179" s="37">
        <v>1.39</v>
      </c>
      <c r="L179" s="37">
        <v>4.78</v>
      </c>
      <c r="M179" s="37">
        <v>38</v>
      </c>
      <c r="N179" s="37">
        <v>39</v>
      </c>
      <c r="O179" s="37">
        <v>2</v>
      </c>
      <c r="P179" s="37">
        <v>17</v>
      </c>
      <c r="Q179" s="37">
        <v>18</v>
      </c>
      <c r="R179" s="37">
        <v>0</v>
      </c>
      <c r="S179" s="37">
        <v>50</v>
      </c>
      <c r="T179" s="37">
        <v>50</v>
      </c>
      <c r="U179" s="37">
        <v>39.47</v>
      </c>
      <c r="V179" s="37">
        <v>18.420000000000002</v>
      </c>
      <c r="W179" s="37">
        <v>42.11</v>
      </c>
      <c r="X179" s="37">
        <v>35.9</v>
      </c>
      <c r="Y179" s="37">
        <v>28.21</v>
      </c>
      <c r="Z179" s="37">
        <v>35.9</v>
      </c>
      <c r="AA179" s="37">
        <v>35.29</v>
      </c>
      <c r="AB179" s="37">
        <v>22.22</v>
      </c>
      <c r="AC179" s="24">
        <f t="shared" si="17"/>
        <v>-11.507000000000001</v>
      </c>
      <c r="AD179" s="25">
        <f t="shared" si="18"/>
        <v>21.507000000000001</v>
      </c>
      <c r="AE179" s="23" t="str">
        <f t="shared" si="19"/>
        <v>Loss</v>
      </c>
      <c r="AF179" s="23" t="str">
        <f t="shared" si="20"/>
        <v>Loss</v>
      </c>
      <c r="AG179" s="23" t="str">
        <f t="shared" si="21"/>
        <v>Win</v>
      </c>
      <c r="AH179" s="23">
        <f t="shared" si="22"/>
        <v>-50</v>
      </c>
      <c r="AI179" s="23">
        <f t="shared" si="23"/>
        <v>-50</v>
      </c>
      <c r="AJ179" s="23">
        <f t="shared" si="24"/>
        <v>19.5</v>
      </c>
    </row>
    <row r="180" spans="1:36" x14ac:dyDescent="0.2">
      <c r="A180" s="36">
        <v>43615</v>
      </c>
      <c r="B180" s="37" t="s">
        <v>514</v>
      </c>
      <c r="C180" s="37" t="s">
        <v>515</v>
      </c>
      <c r="D180" s="37" t="s">
        <v>703</v>
      </c>
      <c r="E180" s="37" t="s">
        <v>704</v>
      </c>
      <c r="F180" s="37" t="s">
        <v>705</v>
      </c>
      <c r="G180" s="37">
        <v>3</v>
      </c>
      <c r="H180" s="37">
        <v>1</v>
      </c>
      <c r="I180" s="37">
        <v>1.43</v>
      </c>
      <c r="J180" s="37">
        <v>4.58</v>
      </c>
      <c r="K180" s="37">
        <v>5.83</v>
      </c>
      <c r="L180" s="37">
        <v>-4.4000000000000004</v>
      </c>
      <c r="M180" s="37">
        <v>43</v>
      </c>
      <c r="N180" s="37">
        <v>40</v>
      </c>
      <c r="O180" s="37">
        <v>2</v>
      </c>
      <c r="P180" s="37">
        <v>21</v>
      </c>
      <c r="Q180" s="37">
        <v>17</v>
      </c>
      <c r="R180" s="37">
        <v>0</v>
      </c>
      <c r="S180" s="37">
        <v>100</v>
      </c>
      <c r="T180" s="37">
        <v>0</v>
      </c>
      <c r="U180" s="37">
        <v>65.12</v>
      </c>
      <c r="V180" s="37">
        <v>18.600000000000001</v>
      </c>
      <c r="W180" s="37">
        <v>16.28</v>
      </c>
      <c r="X180" s="37">
        <v>45</v>
      </c>
      <c r="Y180" s="37">
        <v>27.5</v>
      </c>
      <c r="Z180" s="37">
        <v>27.5</v>
      </c>
      <c r="AA180" s="37">
        <v>71.430000000000007</v>
      </c>
      <c r="AB180" s="37">
        <v>35.29</v>
      </c>
      <c r="AC180" s="24">
        <f t="shared" si="17"/>
        <v>15.378</v>
      </c>
      <c r="AD180" s="25">
        <f t="shared" si="18"/>
        <v>4.6219999999999999</v>
      </c>
      <c r="AE180" s="23" t="str">
        <f t="shared" si="19"/>
        <v>Win</v>
      </c>
      <c r="AF180" s="23" t="str">
        <f t="shared" si="20"/>
        <v>Loss</v>
      </c>
      <c r="AG180" s="23" t="str">
        <f t="shared" si="21"/>
        <v>Loss</v>
      </c>
      <c r="AH180" s="23">
        <f t="shared" si="22"/>
        <v>21.5</v>
      </c>
      <c r="AI180" s="23">
        <f t="shared" si="23"/>
        <v>-50</v>
      </c>
      <c r="AJ180" s="23">
        <f t="shared" si="24"/>
        <v>-50</v>
      </c>
    </row>
    <row r="181" spans="1:36" x14ac:dyDescent="0.2">
      <c r="A181" s="36">
        <v>43615</v>
      </c>
      <c r="B181" s="37" t="s">
        <v>171</v>
      </c>
      <c r="C181" s="37" t="s">
        <v>172</v>
      </c>
      <c r="D181" s="37" t="s">
        <v>706</v>
      </c>
      <c r="E181" s="37" t="s">
        <v>707</v>
      </c>
      <c r="F181" s="37" t="s">
        <v>708</v>
      </c>
      <c r="G181" s="37">
        <v>1</v>
      </c>
      <c r="H181" s="37">
        <v>1</v>
      </c>
      <c r="I181" s="37">
        <v>2.2200000000000002</v>
      </c>
      <c r="J181" s="37">
        <v>3.3</v>
      </c>
      <c r="K181" s="37">
        <v>2.85</v>
      </c>
      <c r="L181" s="37">
        <v>-0.63</v>
      </c>
      <c r="M181" s="37">
        <v>25</v>
      </c>
      <c r="N181" s="37">
        <v>27</v>
      </c>
      <c r="O181" s="37">
        <v>2</v>
      </c>
      <c r="P181" s="37">
        <v>13</v>
      </c>
      <c r="Q181" s="37">
        <v>14</v>
      </c>
      <c r="R181" s="37">
        <v>0</v>
      </c>
      <c r="S181" s="37">
        <v>0</v>
      </c>
      <c r="T181" s="37">
        <v>100</v>
      </c>
      <c r="U181" s="37">
        <v>32</v>
      </c>
      <c r="V181" s="37">
        <v>20</v>
      </c>
      <c r="W181" s="37">
        <v>48</v>
      </c>
      <c r="X181" s="37">
        <v>44.44</v>
      </c>
      <c r="Y181" s="37">
        <v>22.22</v>
      </c>
      <c r="Z181" s="37">
        <v>33.33</v>
      </c>
      <c r="AA181" s="37">
        <v>38.46</v>
      </c>
      <c r="AB181" s="37">
        <v>42.86</v>
      </c>
      <c r="AC181" s="24">
        <f t="shared" si="17"/>
        <v>-35.644000000000005</v>
      </c>
      <c r="AD181" s="25">
        <f t="shared" si="18"/>
        <v>35.644000000000005</v>
      </c>
      <c r="AE181" s="23" t="str">
        <f t="shared" si="19"/>
        <v>Loss</v>
      </c>
      <c r="AF181" s="23" t="str">
        <f t="shared" si="20"/>
        <v>Win</v>
      </c>
      <c r="AG181" s="23" t="str">
        <f t="shared" si="21"/>
        <v>Loss</v>
      </c>
      <c r="AH181" s="23">
        <f t="shared" si="22"/>
        <v>-50</v>
      </c>
      <c r="AI181" s="23">
        <f t="shared" si="23"/>
        <v>115</v>
      </c>
      <c r="AJ181" s="23">
        <f t="shared" si="24"/>
        <v>-50</v>
      </c>
    </row>
    <row r="182" spans="1:36" x14ac:dyDescent="0.2">
      <c r="A182" s="36">
        <v>43615</v>
      </c>
      <c r="B182" s="37" t="s">
        <v>709</v>
      </c>
      <c r="C182" s="37" t="s">
        <v>382</v>
      </c>
      <c r="D182" s="37" t="s">
        <v>710</v>
      </c>
      <c r="E182" s="37" t="s">
        <v>711</v>
      </c>
      <c r="F182" s="37" t="s">
        <v>712</v>
      </c>
      <c r="G182" s="37">
        <v>1</v>
      </c>
      <c r="H182" s="37">
        <v>1</v>
      </c>
      <c r="I182" s="37">
        <v>1.36</v>
      </c>
      <c r="J182" s="37">
        <v>4.66</v>
      </c>
      <c r="K182" s="37">
        <v>8.07</v>
      </c>
      <c r="L182" s="37">
        <v>-6.71</v>
      </c>
      <c r="M182" s="37">
        <v>32</v>
      </c>
      <c r="N182" s="37">
        <v>3</v>
      </c>
      <c r="O182" s="37">
        <v>0</v>
      </c>
      <c r="P182" s="37">
        <v>18</v>
      </c>
      <c r="Q182" s="37">
        <v>3</v>
      </c>
      <c r="R182" s="37">
        <v>0</v>
      </c>
      <c r="S182" s="37">
        <v>0</v>
      </c>
      <c r="T182" s="37">
        <v>0</v>
      </c>
      <c r="U182" s="37">
        <v>68.75</v>
      </c>
      <c r="V182" s="37">
        <v>18.75</v>
      </c>
      <c r="W182" s="37">
        <v>12.5</v>
      </c>
      <c r="X182" s="37">
        <v>0</v>
      </c>
      <c r="Y182" s="37">
        <v>33.33</v>
      </c>
      <c r="Z182" s="37">
        <v>66.67</v>
      </c>
      <c r="AA182" s="37">
        <v>77.78</v>
      </c>
      <c r="AB182" s="37">
        <v>0</v>
      </c>
      <c r="AC182" s="24">
        <f t="shared" si="17"/>
        <v>23.126000000000001</v>
      </c>
      <c r="AD182" s="25">
        <f t="shared" si="18"/>
        <v>-23.126000000000001</v>
      </c>
      <c r="AE182" s="23" t="str">
        <f t="shared" si="19"/>
        <v>Loss</v>
      </c>
      <c r="AF182" s="23" t="str">
        <f t="shared" si="20"/>
        <v>Win</v>
      </c>
      <c r="AG182" s="23" t="str">
        <f t="shared" si="21"/>
        <v>Loss</v>
      </c>
      <c r="AH182" s="23">
        <f t="shared" si="22"/>
        <v>-50</v>
      </c>
      <c r="AI182" s="23">
        <f t="shared" si="23"/>
        <v>183</v>
      </c>
      <c r="AJ182" s="23">
        <f t="shared" si="24"/>
        <v>-50</v>
      </c>
    </row>
    <row r="183" spans="1:36" x14ac:dyDescent="0.2">
      <c r="A183" s="36">
        <v>43615</v>
      </c>
      <c r="B183" s="37" t="s">
        <v>709</v>
      </c>
      <c r="C183" s="37" t="s">
        <v>382</v>
      </c>
      <c r="D183" s="37" t="s">
        <v>713</v>
      </c>
      <c r="E183" s="37" t="s">
        <v>714</v>
      </c>
      <c r="F183" s="37" t="s">
        <v>715</v>
      </c>
      <c r="G183" s="37">
        <v>1</v>
      </c>
      <c r="H183" s="37">
        <v>1</v>
      </c>
      <c r="I183" s="37">
        <v>3.34</v>
      </c>
      <c r="J183" s="37">
        <v>3.11</v>
      </c>
      <c r="K183" s="37">
        <v>2.19</v>
      </c>
      <c r="L183" s="37">
        <v>1.1499999999999999</v>
      </c>
      <c r="M183" s="37">
        <v>34</v>
      </c>
      <c r="N183" s="37">
        <v>34</v>
      </c>
      <c r="O183" s="37">
        <v>1</v>
      </c>
      <c r="P183" s="37">
        <v>15</v>
      </c>
      <c r="Q183" s="37">
        <v>16</v>
      </c>
      <c r="R183" s="37">
        <v>0</v>
      </c>
      <c r="S183" s="37">
        <v>0</v>
      </c>
      <c r="T183" s="37">
        <v>100</v>
      </c>
      <c r="U183" s="37">
        <v>29.41</v>
      </c>
      <c r="V183" s="37">
        <v>35.29</v>
      </c>
      <c r="W183" s="37">
        <v>35.29</v>
      </c>
      <c r="X183" s="37">
        <v>58.82</v>
      </c>
      <c r="Y183" s="37">
        <v>35.29</v>
      </c>
      <c r="Z183" s="37">
        <v>5.88</v>
      </c>
      <c r="AA183" s="37">
        <v>33.33</v>
      </c>
      <c r="AB183" s="37">
        <v>50</v>
      </c>
      <c r="AC183" s="24">
        <f t="shared" si="17"/>
        <v>-41.763999999999996</v>
      </c>
      <c r="AD183" s="25">
        <f t="shared" si="18"/>
        <v>41.763999999999996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105.5</v>
      </c>
      <c r="AJ183" s="23">
        <f t="shared" si="24"/>
        <v>-50</v>
      </c>
    </row>
    <row r="184" spans="1:36" x14ac:dyDescent="0.2">
      <c r="A184" s="36">
        <v>43615</v>
      </c>
      <c r="B184" s="37" t="s">
        <v>116</v>
      </c>
      <c r="C184" s="37" t="s">
        <v>117</v>
      </c>
      <c r="D184" s="37" t="s">
        <v>716</v>
      </c>
      <c r="E184" s="37" t="s">
        <v>717</v>
      </c>
      <c r="F184" s="37" t="s">
        <v>718</v>
      </c>
      <c r="G184" s="37">
        <v>0</v>
      </c>
      <c r="H184" s="37">
        <v>2</v>
      </c>
      <c r="I184" s="37">
        <v>4.0199999999999996</v>
      </c>
      <c r="J184" s="37">
        <v>2.92</v>
      </c>
      <c r="K184" s="37">
        <v>2.1</v>
      </c>
      <c r="L184" s="37">
        <v>1.92</v>
      </c>
      <c r="M184" s="37">
        <v>7</v>
      </c>
      <c r="N184" s="37">
        <v>3</v>
      </c>
      <c r="O184" s="37">
        <v>1</v>
      </c>
      <c r="P184" s="37">
        <v>3</v>
      </c>
      <c r="Q184" s="37">
        <v>1</v>
      </c>
      <c r="R184" s="37">
        <v>0</v>
      </c>
      <c r="S184" s="37">
        <v>0</v>
      </c>
      <c r="T184" s="37">
        <v>100</v>
      </c>
      <c r="U184" s="37">
        <v>14.29</v>
      </c>
      <c r="V184" s="37">
        <v>28.57</v>
      </c>
      <c r="W184" s="37">
        <v>57.14</v>
      </c>
      <c r="X184" s="37">
        <v>66.67</v>
      </c>
      <c r="Y184" s="37">
        <v>33.33</v>
      </c>
      <c r="Z184" s="37">
        <v>0</v>
      </c>
      <c r="AA184" s="37">
        <v>33.33</v>
      </c>
      <c r="AB184" s="37">
        <v>100</v>
      </c>
      <c r="AC184" s="24">
        <f t="shared" si="17"/>
        <v>-52.38</v>
      </c>
      <c r="AD184" s="25">
        <f t="shared" si="18"/>
        <v>52.38</v>
      </c>
      <c r="AE184" s="23" t="str">
        <f t="shared" si="19"/>
        <v>Loss</v>
      </c>
      <c r="AF184" s="23" t="str">
        <f t="shared" si="20"/>
        <v>Loss</v>
      </c>
      <c r="AG184" s="23" t="str">
        <f t="shared" si="21"/>
        <v>Win</v>
      </c>
      <c r="AH184" s="23">
        <f t="shared" si="22"/>
        <v>-50</v>
      </c>
      <c r="AI184" s="23">
        <f t="shared" si="23"/>
        <v>-50</v>
      </c>
      <c r="AJ184" s="23">
        <f t="shared" si="24"/>
        <v>55</v>
      </c>
    </row>
    <row r="185" spans="1:36" x14ac:dyDescent="0.2">
      <c r="A185" s="36">
        <v>43615</v>
      </c>
      <c r="B185" s="37" t="s">
        <v>719</v>
      </c>
      <c r="C185" s="37" t="s">
        <v>720</v>
      </c>
      <c r="D185" s="37" t="s">
        <v>721</v>
      </c>
      <c r="E185" s="37" t="s">
        <v>722</v>
      </c>
      <c r="F185" s="37" t="s">
        <v>723</v>
      </c>
      <c r="G185" s="37">
        <v>0</v>
      </c>
      <c r="H185" s="37">
        <v>3</v>
      </c>
      <c r="I185" s="37">
        <v>2.25</v>
      </c>
      <c r="J185" s="37">
        <v>2.14</v>
      </c>
      <c r="K185" s="37">
        <v>5.05</v>
      </c>
      <c r="L185" s="37">
        <v>-2.8</v>
      </c>
      <c r="M185" s="37">
        <v>11</v>
      </c>
      <c r="N185" s="37">
        <v>5</v>
      </c>
      <c r="O185" s="37">
        <v>0</v>
      </c>
      <c r="P185" s="37">
        <v>6</v>
      </c>
      <c r="Q185" s="37">
        <v>3</v>
      </c>
      <c r="R185" s="37">
        <v>0</v>
      </c>
      <c r="S185" s="37">
        <v>0</v>
      </c>
      <c r="T185" s="37">
        <v>0</v>
      </c>
      <c r="U185" s="37">
        <v>36.36</v>
      </c>
      <c r="V185" s="37">
        <v>27.27</v>
      </c>
      <c r="W185" s="37">
        <v>36.36</v>
      </c>
      <c r="X185" s="37">
        <v>20</v>
      </c>
      <c r="Y185" s="37">
        <v>60</v>
      </c>
      <c r="Z185" s="37">
        <v>20</v>
      </c>
      <c r="AA185" s="37">
        <v>33.33</v>
      </c>
      <c r="AB185" s="37">
        <v>0</v>
      </c>
      <c r="AC185" s="24">
        <f t="shared" si="17"/>
        <v>-3.2729999999999997</v>
      </c>
      <c r="AD185" s="25">
        <f t="shared" si="18"/>
        <v>3.2729999999999997</v>
      </c>
      <c r="AE185" s="23" t="str">
        <f t="shared" si="19"/>
        <v>Loss</v>
      </c>
      <c r="AF185" s="23" t="str">
        <f t="shared" si="20"/>
        <v>Loss</v>
      </c>
      <c r="AG185" s="23" t="str">
        <f t="shared" si="21"/>
        <v>Win</v>
      </c>
      <c r="AH185" s="23">
        <f t="shared" si="22"/>
        <v>-50</v>
      </c>
      <c r="AI185" s="23">
        <f t="shared" si="23"/>
        <v>-50</v>
      </c>
      <c r="AJ185" s="23">
        <f t="shared" si="24"/>
        <v>202.5</v>
      </c>
    </row>
    <row r="186" spans="1:36" x14ac:dyDescent="0.2">
      <c r="A186" s="36"/>
      <c r="AC186" s="24"/>
      <c r="AD186" s="25"/>
    </row>
    <row r="187" spans="1:36" x14ac:dyDescent="0.2">
      <c r="A187" s="36"/>
      <c r="AC187" s="24"/>
      <c r="AD187" s="25"/>
    </row>
    <row r="188" spans="1:36" x14ac:dyDescent="0.2">
      <c r="A188" s="36"/>
      <c r="AC188" s="24"/>
      <c r="AD188" s="25"/>
    </row>
    <row r="189" spans="1:36" x14ac:dyDescent="0.2">
      <c r="A189" s="36"/>
      <c r="AC189" s="24"/>
      <c r="AD189" s="25"/>
    </row>
    <row r="190" spans="1:36" x14ac:dyDescent="0.2">
      <c r="A190" s="36"/>
      <c r="AC190" s="24"/>
      <c r="AD190" s="25"/>
    </row>
    <row r="191" spans="1:36" x14ac:dyDescent="0.2">
      <c r="A191" s="36"/>
      <c r="AC191" s="24"/>
      <c r="AD191" s="25"/>
    </row>
    <row r="192" spans="1:36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BetList!betanalysis_2019_05_29T21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2019-06-01T04:59:57Z</dcterms:modified>
</cp:coreProperties>
</file>