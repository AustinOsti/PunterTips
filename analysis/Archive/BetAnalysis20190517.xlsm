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list_2019_05_16T21" localSheetId="1">BetList!$B$11:$AB$188</definedName>
  </definedNames>
  <calcPr calcId="145621"/>
</workbook>
</file>

<file path=xl/calcChain.xml><?xml version="1.0" encoding="utf-8"?>
<calcChain xmlns="http://schemas.openxmlformats.org/spreadsheetml/2006/main">
  <c r="AG188" i="1" l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H145" i="1"/>
  <c r="AG145" i="1"/>
  <c r="AJ145" i="1" s="1"/>
  <c r="AF145" i="1"/>
  <c r="AI145" i="1" s="1"/>
  <c r="AE145" i="1"/>
  <c r="AD145" i="1"/>
  <c r="AC145" i="1"/>
  <c r="AJ144" i="1"/>
  <c r="AG144" i="1"/>
  <c r="AF144" i="1"/>
  <c r="AI144" i="1" s="1"/>
  <c r="AE144" i="1"/>
  <c r="AH144" i="1" s="1"/>
  <c r="AD144" i="1"/>
  <c r="AC144" i="1"/>
  <c r="AH143" i="1"/>
  <c r="AG143" i="1"/>
  <c r="AJ143" i="1" s="1"/>
  <c r="AF143" i="1"/>
  <c r="AI143" i="1" s="1"/>
  <c r="AE143" i="1"/>
  <c r="AD143" i="1"/>
  <c r="AC143" i="1"/>
  <c r="AJ142" i="1"/>
  <c r="AG142" i="1"/>
  <c r="AF142" i="1"/>
  <c r="AI142" i="1" s="1"/>
  <c r="AE142" i="1"/>
  <c r="AH142" i="1" s="1"/>
  <c r="AD142" i="1"/>
  <c r="AC142" i="1"/>
  <c r="AH141" i="1"/>
  <c r="AG141" i="1"/>
  <c r="AJ141" i="1" s="1"/>
  <c r="AF141" i="1"/>
  <c r="AI141" i="1" s="1"/>
  <c r="AE141" i="1"/>
  <c r="AD141" i="1"/>
  <c r="AC141" i="1"/>
  <c r="AJ140" i="1"/>
  <c r="AG140" i="1"/>
  <c r="AF140" i="1"/>
  <c r="AI140" i="1" s="1"/>
  <c r="AE140" i="1"/>
  <c r="AH140" i="1" s="1"/>
  <c r="AD140" i="1"/>
  <c r="AC140" i="1"/>
  <c r="AH139" i="1"/>
  <c r="AG139" i="1"/>
  <c r="AJ139" i="1" s="1"/>
  <c r="AF139" i="1"/>
  <c r="AI139" i="1" s="1"/>
  <c r="AE139" i="1"/>
  <c r="AD139" i="1"/>
  <c r="AC139" i="1"/>
  <c r="AJ138" i="1"/>
  <c r="AG138" i="1"/>
  <c r="AF138" i="1"/>
  <c r="AI138" i="1" s="1"/>
  <c r="AE138" i="1"/>
  <c r="AH138" i="1" s="1"/>
  <c r="AD138" i="1"/>
  <c r="AC138" i="1"/>
  <c r="AH137" i="1"/>
  <c r="AG137" i="1"/>
  <c r="AJ137" i="1" s="1"/>
  <c r="AF137" i="1"/>
  <c r="AI137" i="1" s="1"/>
  <c r="AE137" i="1"/>
  <c r="AD137" i="1"/>
  <c r="AC137" i="1"/>
  <c r="AJ136" i="1"/>
  <c r="AG136" i="1"/>
  <c r="AF136" i="1"/>
  <c r="AI136" i="1" s="1"/>
  <c r="AE136" i="1"/>
  <c r="AH136" i="1" s="1"/>
  <c r="AD136" i="1"/>
  <c r="AC136" i="1"/>
  <c r="AH135" i="1"/>
  <c r="AG135" i="1"/>
  <c r="AJ135" i="1" s="1"/>
  <c r="AF135" i="1"/>
  <c r="AI135" i="1" s="1"/>
  <c r="AE135" i="1"/>
  <c r="AD135" i="1"/>
  <c r="AC135" i="1"/>
  <c r="AJ134" i="1"/>
  <c r="AG134" i="1"/>
  <c r="AF134" i="1"/>
  <c r="AI134" i="1" s="1"/>
  <c r="AE134" i="1"/>
  <c r="AH134" i="1" s="1"/>
  <c r="AD134" i="1"/>
  <c r="AC134" i="1"/>
  <c r="AH133" i="1"/>
  <c r="AG133" i="1"/>
  <c r="AJ133" i="1" s="1"/>
  <c r="AF133" i="1"/>
  <c r="AI133" i="1" s="1"/>
  <c r="AE133" i="1"/>
  <c r="AD133" i="1"/>
  <c r="AC133" i="1"/>
  <c r="AJ132" i="1"/>
  <c r="AG132" i="1"/>
  <c r="AF132" i="1"/>
  <c r="AI132" i="1" s="1"/>
  <c r="AE132" i="1"/>
  <c r="AH132" i="1" s="1"/>
  <c r="AD132" i="1"/>
  <c r="AC132" i="1"/>
  <c r="AH131" i="1"/>
  <c r="AG131" i="1"/>
  <c r="AJ131" i="1" s="1"/>
  <c r="AF131" i="1"/>
  <c r="AI131" i="1" s="1"/>
  <c r="AE131" i="1"/>
  <c r="AD131" i="1"/>
  <c r="AC131" i="1"/>
  <c r="AJ130" i="1"/>
  <c r="AG130" i="1"/>
  <c r="AF130" i="1"/>
  <c r="AI130" i="1" s="1"/>
  <c r="AE130" i="1"/>
  <c r="AH130" i="1" s="1"/>
  <c r="AD130" i="1"/>
  <c r="AC130" i="1"/>
  <c r="AH129" i="1"/>
  <c r="AG129" i="1"/>
  <c r="AJ129" i="1" s="1"/>
  <c r="AF129" i="1"/>
  <c r="AI129" i="1" s="1"/>
  <c r="AE129" i="1"/>
  <c r="AD129" i="1"/>
  <c r="AC129" i="1"/>
  <c r="AJ128" i="1"/>
  <c r="AG128" i="1"/>
  <c r="AF128" i="1"/>
  <c r="AI128" i="1" s="1"/>
  <c r="AE128" i="1"/>
  <c r="AH128" i="1" s="1"/>
  <c r="AD128" i="1"/>
  <c r="AC128" i="1"/>
  <c r="AH127" i="1"/>
  <c r="AG127" i="1"/>
  <c r="AJ127" i="1" s="1"/>
  <c r="AF127" i="1"/>
  <c r="AI127" i="1" s="1"/>
  <c r="AE127" i="1"/>
  <c r="AD127" i="1"/>
  <c r="AC127" i="1"/>
  <c r="AJ126" i="1"/>
  <c r="AG126" i="1"/>
  <c r="AF126" i="1"/>
  <c r="AI126" i="1" s="1"/>
  <c r="AE126" i="1"/>
  <c r="AH126" i="1" s="1"/>
  <c r="AD126" i="1"/>
  <c r="AC126" i="1"/>
  <c r="AH125" i="1"/>
  <c r="AG125" i="1"/>
  <c r="AJ125" i="1" s="1"/>
  <c r="AF125" i="1"/>
  <c r="AI125" i="1" s="1"/>
  <c r="AE125" i="1"/>
  <c r="AD125" i="1"/>
  <c r="AC125" i="1"/>
  <c r="AJ124" i="1"/>
  <c r="AG124" i="1"/>
  <c r="AF124" i="1"/>
  <c r="AI124" i="1" s="1"/>
  <c r="AE124" i="1"/>
  <c r="AH124" i="1" s="1"/>
  <c r="AD124" i="1"/>
  <c r="AC124" i="1"/>
  <c r="AH123" i="1"/>
  <c r="AG123" i="1"/>
  <c r="AJ123" i="1" s="1"/>
  <c r="AF123" i="1"/>
  <c r="AI123" i="1" s="1"/>
  <c r="AE123" i="1"/>
  <c r="AD123" i="1"/>
  <c r="AC123" i="1"/>
  <c r="AJ122" i="1"/>
  <c r="AG122" i="1"/>
  <c r="AF122" i="1"/>
  <c r="AI122" i="1" s="1"/>
  <c r="AE122" i="1"/>
  <c r="AH122" i="1" s="1"/>
  <c r="AD122" i="1"/>
  <c r="AC122" i="1"/>
  <c r="AH121" i="1"/>
  <c r="AG121" i="1"/>
  <c r="AJ121" i="1" s="1"/>
  <c r="AF121" i="1"/>
  <c r="AI121" i="1" s="1"/>
  <c r="AE121" i="1"/>
  <c r="AD121" i="1"/>
  <c r="AC121" i="1"/>
  <c r="AJ120" i="1"/>
  <c r="AG120" i="1"/>
  <c r="AF120" i="1"/>
  <c r="AI120" i="1" s="1"/>
  <c r="AE120" i="1"/>
  <c r="AH120" i="1" s="1"/>
  <c r="AD120" i="1"/>
  <c r="AC120" i="1"/>
  <c r="AH119" i="1"/>
  <c r="AG119" i="1"/>
  <c r="AJ119" i="1" s="1"/>
  <c r="AF119" i="1"/>
  <c r="AI119" i="1" s="1"/>
  <c r="AE119" i="1"/>
  <c r="AD119" i="1"/>
  <c r="AC119" i="1"/>
  <c r="AJ118" i="1"/>
  <c r="AG118" i="1"/>
  <c r="AF118" i="1"/>
  <c r="AI118" i="1" s="1"/>
  <c r="AE118" i="1"/>
  <c r="AH118" i="1" s="1"/>
  <c r="AD118" i="1"/>
  <c r="AC118" i="1"/>
  <c r="AH117" i="1"/>
  <c r="AG117" i="1"/>
  <c r="AJ117" i="1" s="1"/>
  <c r="AF117" i="1"/>
  <c r="AI117" i="1" s="1"/>
  <c r="AE117" i="1"/>
  <c r="AD117" i="1"/>
  <c r="AC117" i="1"/>
  <c r="AJ116" i="1"/>
  <c r="AG116" i="1"/>
  <c r="AF116" i="1"/>
  <c r="AI116" i="1" s="1"/>
  <c r="AE116" i="1"/>
  <c r="AH116" i="1" s="1"/>
  <c r="AD116" i="1"/>
  <c r="AC116" i="1"/>
  <c r="AH115" i="1"/>
  <c r="AG115" i="1"/>
  <c r="AJ115" i="1" s="1"/>
  <c r="AF115" i="1"/>
  <c r="AI115" i="1" s="1"/>
  <c r="AE115" i="1"/>
  <c r="AD115" i="1"/>
  <c r="AC115" i="1"/>
  <c r="AJ114" i="1"/>
  <c r="AG114" i="1"/>
  <c r="AF114" i="1"/>
  <c r="AI114" i="1" s="1"/>
  <c r="AE114" i="1"/>
  <c r="AH114" i="1" s="1"/>
  <c r="AD114" i="1"/>
  <c r="AC114" i="1"/>
  <c r="AH113" i="1"/>
  <c r="AG113" i="1"/>
  <c r="AJ113" i="1" s="1"/>
  <c r="AF113" i="1"/>
  <c r="AI113" i="1" s="1"/>
  <c r="AE113" i="1"/>
  <c r="AD113" i="1"/>
  <c r="AC113" i="1"/>
  <c r="AJ112" i="1"/>
  <c r="AG112" i="1"/>
  <c r="AF112" i="1"/>
  <c r="AI112" i="1" s="1"/>
  <c r="AE112" i="1"/>
  <c r="AH112" i="1" s="1"/>
  <c r="AD112" i="1"/>
  <c r="AC112" i="1"/>
  <c r="AH111" i="1"/>
  <c r="AG111" i="1"/>
  <c r="AJ111" i="1" s="1"/>
  <c r="AF111" i="1"/>
  <c r="AI111" i="1" s="1"/>
  <c r="AE111" i="1"/>
  <c r="AD111" i="1"/>
  <c r="AC111" i="1"/>
  <c r="AJ110" i="1"/>
  <c r="AG110" i="1"/>
  <c r="AF110" i="1"/>
  <c r="AI110" i="1" s="1"/>
  <c r="AE110" i="1"/>
  <c r="AH110" i="1" s="1"/>
  <c r="AD110" i="1"/>
  <c r="AC110" i="1"/>
  <c r="AH109" i="1"/>
  <c r="AG109" i="1"/>
  <c r="AJ109" i="1" s="1"/>
  <c r="AF109" i="1"/>
  <c r="AI109" i="1" s="1"/>
  <c r="AE109" i="1"/>
  <c r="AD109" i="1"/>
  <c r="AC109" i="1"/>
  <c r="AJ108" i="1"/>
  <c r="AG108" i="1"/>
  <c r="AF108" i="1"/>
  <c r="AI108" i="1" s="1"/>
  <c r="AE108" i="1"/>
  <c r="AH108" i="1" s="1"/>
  <c r="AD108" i="1"/>
  <c r="AC108" i="1"/>
  <c r="AH107" i="1"/>
  <c r="AG107" i="1"/>
  <c r="AJ107" i="1" s="1"/>
  <c r="AF107" i="1"/>
  <c r="AI107" i="1" s="1"/>
  <c r="AE107" i="1"/>
  <c r="AD107" i="1"/>
  <c r="AC107" i="1"/>
  <c r="AJ106" i="1"/>
  <c r="AG106" i="1"/>
  <c r="AF106" i="1"/>
  <c r="AI106" i="1" s="1"/>
  <c r="AE106" i="1"/>
  <c r="AH106" i="1" s="1"/>
  <c r="AD106" i="1"/>
  <c r="AC106" i="1"/>
  <c r="AH105" i="1"/>
  <c r="AG105" i="1"/>
  <c r="AJ105" i="1" s="1"/>
  <c r="AF105" i="1"/>
  <c r="AI105" i="1" s="1"/>
  <c r="AE105" i="1"/>
  <c r="AD105" i="1"/>
  <c r="AC105" i="1"/>
  <c r="AJ104" i="1"/>
  <c r="AG104" i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/>
  <c r="AH5" i="1"/>
  <c r="AJ5" i="1"/>
  <c r="AG3" i="1" l="1"/>
  <c r="AF3" i="1"/>
  <c r="AE3" i="1"/>
  <c r="AE2" i="1"/>
  <c r="AH3" i="1"/>
  <c r="AH2" i="1"/>
  <c r="AG2" i="1"/>
  <c r="AJ2" i="1"/>
  <c r="AJ3" i="1"/>
  <c r="AI2" i="1"/>
  <c r="AF2" i="1"/>
  <c r="AI3" i="1"/>
  <c r="AI4" i="1" s="1"/>
  <c r="AD5" i="1"/>
  <c r="AH6" i="1"/>
  <c r="AJ6" i="1"/>
  <c r="AG4" i="1" l="1"/>
  <c r="AF4" i="1"/>
  <c r="AJ4" i="1"/>
  <c r="AE4" i="1"/>
  <c r="AH4" i="1"/>
  <c r="AD6" i="1"/>
  <c r="AC9" i="1"/>
  <c r="AD9" i="1"/>
  <c r="AE9" i="1"/>
  <c r="AF9" i="1"/>
  <c r="AG9" i="1"/>
  <c r="AH9" i="1"/>
  <c r="AI9" i="1"/>
  <c r="AJ9" i="1"/>
</calcChain>
</file>

<file path=xl/connections.xml><?xml version="1.0" encoding="utf-8"?>
<connections xmlns="http://schemas.openxmlformats.org/spreadsheetml/2006/main">
  <connection id="1" name="betlist_2019-05-16T21" type="6" refreshedVersion="4" background="1" saveData="1">
    <textPr sourceFile="D:\PunterTips\extracts - Analysis\betlist_2019-05-16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<sst xmlns="http://schemas.openxmlformats.org/spreadsheetml/2006/main" count="1341" uniqueCount="768">
  <si>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</si>
  <si>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</si>
  <si>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</si>
  <si>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</si>
  <si>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</si>
  <si>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</si>
  <si>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</si>
  <si>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</si>
  <si>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</si>
  <si>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</si>
  <si>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</si>
  <si>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</si>
  <si>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</si>
  <si>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</si>
  <si>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</si>
  <si>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</si>
  <si>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</si>
  <si>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</si>
  <si>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</si>
  <si>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</si>
  <si>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</si>
  <si>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</si>
  <si>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</si>
  <si>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</si>
  <si>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</si>
  <si>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</si>
  <si>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</si>
  <si>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</si>
  <si>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</si>
  <si>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</si>
  <si>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</si>
  <si>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</si>
  <si>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</si>
  <si>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</si>
  <si>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</si>
  <si>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</si>
  <si>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</si>
  <si>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</si>
  <si>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</si>
  <si>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</si>
  <si>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</si>
  <si>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</si>
  <si>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</si>
  <si>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</si>
  <si>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</si>
  <si>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</si>
  <si>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</si>
  <si>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</si>
  <si>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</si>
  <si>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</si>
  <si>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</si>
  <si>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</si>
  <si>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</si>
  <si>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</si>
  <si>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</si>
  <si>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</si>
  <si>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</si>
  <si>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</si>
  <si>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</si>
  <si>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</si>
  <si>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</si>
  <si>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</si>
  <si>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</si>
  <si>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</si>
  <si>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</si>
  <si>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</si>
  <si>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</si>
  <si>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</si>
  <si>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</si>
  <si>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</si>
  <si>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</si>
  <si>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</si>
  <si>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</si>
  <si>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</si>
  <si>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</si>
  <si>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</si>
  <si>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</si>
  <si>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</si>
  <si>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</si>
  <si>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</si>
  <si>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</si>
  <si>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</si>
  <si>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</si>
  <si>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</si>
  <si>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</si>
  <si>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</si>
  <si>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</si>
  <si>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</si>
  <si>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</si>
  <si>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</si>
  <si>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</si>
  <si>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</si>
  <si>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</si>
  <si>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</si>
  <si>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</si>
  <si>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</si>
  <si>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</si>
  <si>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</si>
  <si>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</si>
  <si>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</si>
  <si>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</si>
  <si>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</si>
  <si>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</si>
  <si>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</si>
  <si>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</si>
  <si>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</si>
  <si>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Paraguay</t>
  </si>
  <si>
    <t>Primera Division</t>
  </si>
  <si>
    <t>Sp. Luqueno-Cerro Porteno</t>
  </si>
  <si>
    <t>Sp. Luqueno</t>
  </si>
  <si>
    <t>Cerro Porteno</t>
  </si>
  <si>
    <t>Algeria</t>
  </si>
  <si>
    <t>Ligue 1</t>
  </si>
  <si>
    <t>CR Belouizdad-Saoura</t>
  </si>
  <si>
    <t>CR Belouizdad</t>
  </si>
  <si>
    <t>Saoura</t>
  </si>
  <si>
    <t>ES Setif-Bordj Bou Arreridj</t>
  </si>
  <si>
    <t>ES Setif</t>
  </si>
  <si>
    <t>Bordj Bou Arreridj</t>
  </si>
  <si>
    <t>JS Kabylie-USM Alger</t>
  </si>
  <si>
    <t>JS Kabylie</t>
  </si>
  <si>
    <t>USM Alger</t>
  </si>
  <si>
    <t>MC Alger-MO Bejaia</t>
  </si>
  <si>
    <t>MC Alger</t>
  </si>
  <si>
    <t>MO Bejaia</t>
  </si>
  <si>
    <t>Oran-Constantine</t>
  </si>
  <si>
    <t>Oran</t>
  </si>
  <si>
    <t>Constantine</t>
  </si>
  <si>
    <t>Paradou-Bel Abbes</t>
  </si>
  <si>
    <t>Paradou</t>
  </si>
  <si>
    <t>Bel Abbes</t>
  </si>
  <si>
    <t>Argentina</t>
  </si>
  <si>
    <t>Copa de la Superliga</t>
  </si>
  <si>
    <t>Gimnasia L.P.-Argentinos Jrs</t>
  </si>
  <si>
    <t>Gimnasia L.P.</t>
  </si>
  <si>
    <t>Argentinos Jrs</t>
  </si>
  <si>
    <t>Brazil</t>
  </si>
  <si>
    <t>Copa do Brasil</t>
  </si>
  <si>
    <t>Fortaleza-Athletico PR</t>
  </si>
  <si>
    <t>Fortaleza</t>
  </si>
  <si>
    <t>Athletico PR</t>
  </si>
  <si>
    <t>North &amp; Central America</t>
  </si>
  <si>
    <t>Caribbean Club Championship</t>
  </si>
  <si>
    <t>Capoise-Real du Cap</t>
  </si>
  <si>
    <t>Capoise</t>
  </si>
  <si>
    <t>Real du Cap</t>
  </si>
  <si>
    <t>null</t>
  </si>
  <si>
    <t>CONCACAF Championship U17</t>
  </si>
  <si>
    <t>USA U17-Mexico U17</t>
  </si>
  <si>
    <t>USA U17</t>
  </si>
  <si>
    <t>Mexico U17</t>
  </si>
  <si>
    <t>Canada</t>
  </si>
  <si>
    <t>Canadian Premier League</t>
  </si>
  <si>
    <t>Valour-Forge</t>
  </si>
  <si>
    <t>Valour</t>
  </si>
  <si>
    <t>Forge</t>
  </si>
  <si>
    <t>Colombia</t>
  </si>
  <si>
    <t>Liga Aguila</t>
  </si>
  <si>
    <t>Dep. Cali-Junior</t>
  </si>
  <si>
    <t>Dep. Cali</t>
  </si>
  <si>
    <t>Junior</t>
  </si>
  <si>
    <t>Boca Juniors-Velez Sarsfield</t>
  </si>
  <si>
    <t>Boca Juniors</t>
  </si>
  <si>
    <t>Velez Sarsfield</t>
  </si>
  <si>
    <t>Bolivia</t>
  </si>
  <si>
    <t>Division Profesional</t>
  </si>
  <si>
    <t>Oriente Petrolero-Bolivar</t>
  </si>
  <si>
    <t>Oriente Petrolero</t>
  </si>
  <si>
    <t>Bolivar</t>
  </si>
  <si>
    <t>Copa do Brasil U20</t>
  </si>
  <si>
    <t>Cruzeiro-MG U20</t>
  </si>
  <si>
    <t>Cruzeiro</t>
  </si>
  <si>
    <t>MG U20</t>
  </si>
  <si>
    <t>Atl. Nacional-Deportes Tolima</t>
  </si>
  <si>
    <t>Atl. Nacional</t>
  </si>
  <si>
    <t>Deportes Tolima</t>
  </si>
  <si>
    <t>Portmore-Waterhouse</t>
  </si>
  <si>
    <t>Portmore</t>
  </si>
  <si>
    <t>Waterhouse</t>
  </si>
  <si>
    <t>Mexico</t>
  </si>
  <si>
    <t>Club America-Club Leon</t>
  </si>
  <si>
    <t>Club America</t>
  </si>
  <si>
    <t>Club Leon</t>
  </si>
  <si>
    <t>USA</t>
  </si>
  <si>
    <t>MLS</t>
  </si>
  <si>
    <t>Los Angeles FC-FC Dallas</t>
  </si>
  <si>
    <t>Los Angeles FC</t>
  </si>
  <si>
    <t>FC Dallas</t>
  </si>
  <si>
    <t>Australia</t>
  </si>
  <si>
    <t>NPL Queensland</t>
  </si>
  <si>
    <t>Redlands-Brisbane City</t>
  </si>
  <si>
    <t>Redlands</t>
  </si>
  <si>
    <t>Brisbane City</t>
  </si>
  <si>
    <t>NPL Victoria</t>
  </si>
  <si>
    <t>Melbourne Knights-Dandenong Thunder</t>
  </si>
  <si>
    <t>Melbourne Knights</t>
  </si>
  <si>
    <t>Dandenong Thunder</t>
  </si>
  <si>
    <t>NPL NSW</t>
  </si>
  <si>
    <t>Sydney Olympic-Sydney FC U21</t>
  </si>
  <si>
    <t>Sydney Olympic</t>
  </si>
  <si>
    <t>Sydney FC U21</t>
  </si>
  <si>
    <t>China</t>
  </si>
  <si>
    <t>Super League</t>
  </si>
  <si>
    <t>Henan Jianye-Shanghai SIPG</t>
  </si>
  <si>
    <t>Henan Jianye</t>
  </si>
  <si>
    <t>Shanghai SIPG</t>
  </si>
  <si>
    <t>Czech Republic</t>
  </si>
  <si>
    <t>U19 League</t>
  </si>
  <si>
    <t>FK Pardubice U19-Slovacko U19</t>
  </si>
  <si>
    <t>FK Pardubice U19</t>
  </si>
  <si>
    <t>Slovacko U19</t>
  </si>
  <si>
    <t>Japan</t>
  </si>
  <si>
    <t>J-League</t>
  </si>
  <si>
    <t>Kawasaki Frontale-Nagoya</t>
  </si>
  <si>
    <t>Kawasaki Frontale</t>
  </si>
  <si>
    <t>Nagoya</t>
  </si>
  <si>
    <t>Hiroshima-Sagan Tosu</t>
  </si>
  <si>
    <t>Hiroshima</t>
  </si>
  <si>
    <t>Sagan Tosu</t>
  </si>
  <si>
    <t>Russia</t>
  </si>
  <si>
    <t>Youth League</t>
  </si>
  <si>
    <t>Krylya Sovetov Samara U21-Spartak Moscow U21</t>
  </si>
  <si>
    <t>Krylya Sovetov Samara U21</t>
  </si>
  <si>
    <t>Spartak Moscow U21</t>
  </si>
  <si>
    <t>Ufa U21-FK Orenburg U21</t>
  </si>
  <si>
    <t>Ufa U21</t>
  </si>
  <si>
    <t>FK Orenburg U21</t>
  </si>
  <si>
    <t>Ukraine</t>
  </si>
  <si>
    <t>Dynamo Kiev U21-Vorskla Poltava U21</t>
  </si>
  <si>
    <t>Dynamo Kiev U21</t>
  </si>
  <si>
    <t>Vorskla Poltava U21</t>
  </si>
  <si>
    <t>Pascoe Vale-Altona Magic</t>
  </si>
  <si>
    <t>Pascoe Vale</t>
  </si>
  <si>
    <t>Altona Magic</t>
  </si>
  <si>
    <t>Dandenong City-Port Melbourne Sharks</t>
  </si>
  <si>
    <t>Dandenong City</t>
  </si>
  <si>
    <t>Port Melbourne Sharks</t>
  </si>
  <si>
    <t>Sparta Prague U19-Sigma Olomouc U19</t>
  </si>
  <si>
    <t>Sparta Prague U19</t>
  </si>
  <si>
    <t>Sigma Olomouc U19</t>
  </si>
  <si>
    <t>Urawa-Shonan</t>
  </si>
  <si>
    <t>Urawa</t>
  </si>
  <si>
    <t>Shonan</t>
  </si>
  <si>
    <t>NPL South Australian</t>
  </si>
  <si>
    <t>Adelaide City-NE Metrostars</t>
  </si>
  <si>
    <t>Adelaide City</t>
  </si>
  <si>
    <t>NE Metrostars</t>
  </si>
  <si>
    <t>West Adelaide-Adelaide Olympic</t>
  </si>
  <si>
    <t>West Adelaide</t>
  </si>
  <si>
    <t>Adelaide Olympic</t>
  </si>
  <si>
    <t>Europe</t>
  </si>
  <si>
    <t>Euro U17 Women</t>
  </si>
  <si>
    <t>Netherlands U17 W-Germany U17 W</t>
  </si>
  <si>
    <t>Netherlands U17 W</t>
  </si>
  <si>
    <t>Germany U17 W</t>
  </si>
  <si>
    <t>Vietnam</t>
  </si>
  <si>
    <t>V.League 1</t>
  </si>
  <si>
    <t>Than Quang Ninh-Ho Chi Minh</t>
  </si>
  <si>
    <t>Than Quang Ninh</t>
  </si>
  <si>
    <t>Ho Chi Minh</t>
  </si>
  <si>
    <t>Lviv U21-Ch. Odessa U21</t>
  </si>
  <si>
    <t>Lviv U21</t>
  </si>
  <si>
    <t>Ch. Odessa U21</t>
  </si>
  <si>
    <t>Beijing Guoan-Tianjin Tianhai</t>
  </si>
  <si>
    <t>Beijing Guoan</t>
  </si>
  <si>
    <t>Tianjin Tianhai</t>
  </si>
  <si>
    <t>Wuhan Zall-Guangzhou Evergrande</t>
  </si>
  <si>
    <t>Wuhan Zall</t>
  </si>
  <si>
    <t>Guangzhou Evergrande</t>
  </si>
  <si>
    <t>Shanghai Shenhua-Shandong Luneng</t>
  </si>
  <si>
    <t>Shanghai Shenhua</t>
  </si>
  <si>
    <t>Shandong Luneng</t>
  </si>
  <si>
    <t>Ethiopia</t>
  </si>
  <si>
    <t>Premier League</t>
  </si>
  <si>
    <t>Dedebit-Bahardar</t>
  </si>
  <si>
    <t>Dedebit</t>
  </si>
  <si>
    <t>Bahardar</t>
  </si>
  <si>
    <t>Singapore</t>
  </si>
  <si>
    <t>Warriors-Young Lions</t>
  </si>
  <si>
    <t>Warriors</t>
  </si>
  <si>
    <t>Young Lions</t>
  </si>
  <si>
    <t>Slavia Prague U19-Mlada Boleslav U19</t>
  </si>
  <si>
    <t>Slavia Prague U19</t>
  </si>
  <si>
    <t>Mlada Boleslav U19</t>
  </si>
  <si>
    <t>Bangladesh</t>
  </si>
  <si>
    <t>Mohammedan-Arambagh</t>
  </si>
  <si>
    <t>Mohammedan</t>
  </si>
  <si>
    <t>Arambagh</t>
  </si>
  <si>
    <t>Israel</t>
  </si>
  <si>
    <t>Leumit League</t>
  </si>
  <si>
    <t>H. Ironi Rishon-H. Marmorek</t>
  </si>
  <si>
    <t>H. Ironi Rishon</t>
  </si>
  <si>
    <t>H. Marmorek</t>
  </si>
  <si>
    <t>Hapoel Iksal Imad-Hapoel Petah Tikva</t>
  </si>
  <si>
    <t>Hapoel Iksal Imad</t>
  </si>
  <si>
    <t>Hapoel Petah Tikva</t>
  </si>
  <si>
    <t>Hapoel Bnei Lod-H. Akko</t>
  </si>
  <si>
    <t>Hapoel Bnei Lod</t>
  </si>
  <si>
    <t>H. Akko</t>
  </si>
  <si>
    <t>Ramat Hasharon-M. Nazareth</t>
  </si>
  <si>
    <t>Ramat Hasharon</t>
  </si>
  <si>
    <t>M. Nazareth</t>
  </si>
  <si>
    <t>Italy</t>
  </si>
  <si>
    <t>Primavera 1 2018/2019</t>
  </si>
  <si>
    <t>Genoa U19-Cagliari U19</t>
  </si>
  <si>
    <t>Genoa U19</t>
  </si>
  <si>
    <t>Cagliari U19</t>
  </si>
  <si>
    <t>Indonesia</t>
  </si>
  <si>
    <t>Liga 1</t>
  </si>
  <si>
    <t>Persela Lamongan-Madura United</t>
  </si>
  <si>
    <t>Persela Lamongan</t>
  </si>
  <si>
    <t>Madura United</t>
  </si>
  <si>
    <t>Rwanda</t>
  </si>
  <si>
    <t>National Football league</t>
  </si>
  <si>
    <t>Rayon Sport-Musanze</t>
  </si>
  <si>
    <t>Rayon Sport</t>
  </si>
  <si>
    <t>Musanze</t>
  </si>
  <si>
    <t>Turkey</t>
  </si>
  <si>
    <t>1. Lig</t>
  </si>
  <si>
    <t>Altay-Elazigspor</t>
  </si>
  <si>
    <t>Altay</t>
  </si>
  <si>
    <t>Elazigspor</t>
  </si>
  <si>
    <t>Boluspor-Eskisehirspor</t>
  </si>
  <si>
    <t>Boluspor</t>
  </si>
  <si>
    <t>Eskisehirspor</t>
  </si>
  <si>
    <t>Balikesirspor-Hatayspor</t>
  </si>
  <si>
    <t>Balikesirspor</t>
  </si>
  <si>
    <t>Hatayspor</t>
  </si>
  <si>
    <t>Afjet Afyonspor-Umraniyespor</t>
  </si>
  <si>
    <t>Afjet Afyonspor</t>
  </si>
  <si>
    <t>Umraniyespor</t>
  </si>
  <si>
    <t>2. Lig Play Offs</t>
  </si>
  <si>
    <t>Manisa-Karagumruk</t>
  </si>
  <si>
    <t>Manisa</t>
  </si>
  <si>
    <t>Karagumruk</t>
  </si>
  <si>
    <t>Uzbekistan</t>
  </si>
  <si>
    <t>Lok. Tashkent-Bunyodkor</t>
  </si>
  <si>
    <t>Lok. Tashkent</t>
  </si>
  <si>
    <t>Bunyodkor</t>
  </si>
  <si>
    <t>Belarus</t>
  </si>
  <si>
    <t>Vysshaya Liga</t>
  </si>
  <si>
    <t>Energetik BGU-FC Minsk</t>
  </si>
  <si>
    <t>Energetik BGU</t>
  </si>
  <si>
    <t>FC Minsk</t>
  </si>
  <si>
    <t>Malaysia</t>
  </si>
  <si>
    <t>Terengganu 2-PDRM FA</t>
  </si>
  <si>
    <t>Terengganu 2</t>
  </si>
  <si>
    <t>PDRM FA</t>
  </si>
  <si>
    <t>UKM-Sabah</t>
  </si>
  <si>
    <t>UKM</t>
  </si>
  <si>
    <t>Sabah</t>
  </si>
  <si>
    <t>PKNS FC-Johor DT</t>
  </si>
  <si>
    <t>PKNS FC</t>
  </si>
  <si>
    <t>Johor DT</t>
  </si>
  <si>
    <t>Petaling Jaya CFC-Kuala Lumpur</t>
  </si>
  <si>
    <t>Petaling Jaya CFC</t>
  </si>
  <si>
    <t>Kuala Lumpur</t>
  </si>
  <si>
    <t>Poland</t>
  </si>
  <si>
    <t>III Liga - Group II 2018/2019</t>
  </si>
  <si>
    <t>Koszalin-B. Gdynia</t>
  </si>
  <si>
    <t>Koszalin</t>
  </si>
  <si>
    <t>B. Gdynia</t>
  </si>
  <si>
    <t>MSFL</t>
  </si>
  <si>
    <t>Hulin-Valasske Mezirici</t>
  </si>
  <si>
    <t>Hulin</t>
  </si>
  <si>
    <t>Valasske Mezirici</t>
  </si>
  <si>
    <t>Lisen-Uhersky Brod</t>
  </si>
  <si>
    <t>Lisen</t>
  </si>
  <si>
    <t>Uhersky Brod</t>
  </si>
  <si>
    <t>Denmark</t>
  </si>
  <si>
    <t>Landspokal Cup</t>
  </si>
  <si>
    <t>Brondby-Midtjylland</t>
  </si>
  <si>
    <t>Brondby</t>
  </si>
  <si>
    <t>Midtjylland</t>
  </si>
  <si>
    <t>Latvia</t>
  </si>
  <si>
    <t>Optibet Virsliga</t>
  </si>
  <si>
    <t>RFS-Metta/LU</t>
  </si>
  <si>
    <t>RFS</t>
  </si>
  <si>
    <t>Metta/LU</t>
  </si>
  <si>
    <t>CSKA Moscow U21-Akhmat Grozny U21</t>
  </si>
  <si>
    <t>CSKA Moscow U21</t>
  </si>
  <si>
    <t>Akhmat Grozny U21</t>
  </si>
  <si>
    <t>Jihomoravsky KP</t>
  </si>
  <si>
    <t>Rousinov-Boskovice</t>
  </si>
  <si>
    <t>Rousinov</t>
  </si>
  <si>
    <t>Boskovice</t>
  </si>
  <si>
    <t>Finland</t>
  </si>
  <si>
    <t>Veikkausliiga</t>
  </si>
  <si>
    <t>Inter Turku-KuPS</t>
  </si>
  <si>
    <t>Inter Turku</t>
  </si>
  <si>
    <t>KuPS</t>
  </si>
  <si>
    <t>Ykkonen</t>
  </si>
  <si>
    <t>TPV-AC Oulu</t>
  </si>
  <si>
    <t>TPV</t>
  </si>
  <si>
    <t>AC Oulu</t>
  </si>
  <si>
    <t>Neman-BATE</t>
  </si>
  <si>
    <t>Neman</t>
  </si>
  <si>
    <t>BATE</t>
  </si>
  <si>
    <t>Austria</t>
  </si>
  <si>
    <t>Regionalliga West</t>
  </si>
  <si>
    <t>USK Anif-Grodig</t>
  </si>
  <si>
    <t>USK Anif</t>
  </si>
  <si>
    <t>Grodig</t>
  </si>
  <si>
    <t>Cyprus</t>
  </si>
  <si>
    <t>First Division</t>
  </si>
  <si>
    <t>Ermis-Paphos</t>
  </si>
  <si>
    <t>Ermis</t>
  </si>
  <si>
    <t>Paphos</t>
  </si>
  <si>
    <t>1. Liga</t>
  </si>
  <si>
    <t>Zlin-Mlada Boleslav</t>
  </si>
  <si>
    <t>Zlin</t>
  </si>
  <si>
    <t>Mlada Boleslav</t>
  </si>
  <si>
    <t>Bohunice-Rajecko</t>
  </si>
  <si>
    <t>Bohunice</t>
  </si>
  <si>
    <t>Rajecko</t>
  </si>
  <si>
    <t>Estonia</t>
  </si>
  <si>
    <t>Meistriliiga</t>
  </si>
  <si>
    <t>Kalju-Kuressaare</t>
  </si>
  <si>
    <t>Kalju</t>
  </si>
  <si>
    <t>Kuressaare</t>
  </si>
  <si>
    <t>FK Liepaja-Jelgava</t>
  </si>
  <si>
    <t>FK Liepaja</t>
  </si>
  <si>
    <t>Jelgava</t>
  </si>
  <si>
    <t>Lithuania</t>
  </si>
  <si>
    <t>A Lyga</t>
  </si>
  <si>
    <t>Zalgiris-Atlantas</t>
  </si>
  <si>
    <t>Zalgiris</t>
  </si>
  <si>
    <t>Atlantas</t>
  </si>
  <si>
    <t>Regionalliga East</t>
  </si>
  <si>
    <t>Traiskirchen-Neusiedl</t>
  </si>
  <si>
    <t>Traiskirchen</t>
  </si>
  <si>
    <t>Neusiedl</t>
  </si>
  <si>
    <t>Tulevik-Levadia</t>
  </si>
  <si>
    <t>Tulevik</t>
  </si>
  <si>
    <t>Levadia</t>
  </si>
  <si>
    <t>France</t>
  </si>
  <si>
    <t>National</t>
  </si>
  <si>
    <t>Dunkerque-Avranches</t>
  </si>
  <si>
    <t>Dunkerque</t>
  </si>
  <si>
    <t>Avranches</t>
  </si>
  <si>
    <t>Le Mans-Chambly</t>
  </si>
  <si>
    <t>Le Mans</t>
  </si>
  <si>
    <t>Chambly</t>
  </si>
  <si>
    <t>Pau-Marignane</t>
  </si>
  <si>
    <t>Pau</t>
  </si>
  <si>
    <t>Marignane</t>
  </si>
  <si>
    <t>Villefranche-Sannois</t>
  </si>
  <si>
    <t>Villefranche</t>
  </si>
  <si>
    <t>Sannois</t>
  </si>
  <si>
    <t>Tours-Cholet</t>
  </si>
  <si>
    <t>Tours</t>
  </si>
  <si>
    <t>Cholet</t>
  </si>
  <si>
    <t>Rodez-Lyon Duchere</t>
  </si>
  <si>
    <t>Rodez</t>
  </si>
  <si>
    <t>Lyon Duchere</t>
  </si>
  <si>
    <t>Quevilly Rouen-Laval</t>
  </si>
  <si>
    <t>Quevilly Rouen</t>
  </si>
  <si>
    <t>Laval</t>
  </si>
  <si>
    <t>Boulogne-JA Drancy</t>
  </si>
  <si>
    <t>Boulogne</t>
  </si>
  <si>
    <t>JA Drancy</t>
  </si>
  <si>
    <t>Germany</t>
  </si>
  <si>
    <t>Oberliga Bayern Nord</t>
  </si>
  <si>
    <t>Bayern Hof-Eltersdorf</t>
  </si>
  <si>
    <t>Bayern Hof</t>
  </si>
  <si>
    <t>Eltersdorf</t>
  </si>
  <si>
    <t>Division 1</t>
  </si>
  <si>
    <t>Chojniczanka-Tychy</t>
  </si>
  <si>
    <t>Chojniczanka</t>
  </si>
  <si>
    <t>Tychy</t>
  </si>
  <si>
    <t>Regionalliga Central</t>
  </si>
  <si>
    <t>Allerheiligen-Grazer</t>
  </si>
  <si>
    <t>Allerheiligen</t>
  </si>
  <si>
    <t>Grazer</t>
  </si>
  <si>
    <t>SC Weiz-Lendorf</t>
  </si>
  <si>
    <t>SC Weiz</t>
  </si>
  <si>
    <t>Lendorf</t>
  </si>
  <si>
    <t>Vocklamarkt-Deutschlandsberger</t>
  </si>
  <si>
    <t>Vocklamarkt</t>
  </si>
  <si>
    <t>Deutschlandsberger</t>
  </si>
  <si>
    <t>Wels-Gleisdorf</t>
  </si>
  <si>
    <t>Wels</t>
  </si>
  <si>
    <t>Gleisdorf</t>
  </si>
  <si>
    <t>Volkermarkt-Kalsdorf</t>
  </si>
  <si>
    <t>Volkermarkt</t>
  </si>
  <si>
    <t>Kalsdorf</t>
  </si>
  <si>
    <t>Mattersburg (Am)-Wiener Linien</t>
  </si>
  <si>
    <t>Mattersburg (Am)</t>
  </si>
  <si>
    <t>Wiener Linien</t>
  </si>
  <si>
    <t>Parndorf-Ebreichsdorf</t>
  </si>
  <si>
    <t>Parndorf</t>
  </si>
  <si>
    <t>Ebreichsdorf</t>
  </si>
  <si>
    <t>Kufstein-Reichenau</t>
  </si>
  <si>
    <t>Kufstein</t>
  </si>
  <si>
    <t>Reichenau</t>
  </si>
  <si>
    <t>Saalfelden-Wals Grunau</t>
  </si>
  <si>
    <t>Saalfelden</t>
  </si>
  <si>
    <t>Wals Grunau</t>
  </si>
  <si>
    <t>SV Worgl-Bischofshofen</t>
  </si>
  <si>
    <t>SV Worgl</t>
  </si>
  <si>
    <t>Bischofshofen</t>
  </si>
  <si>
    <t>Faroe Islands</t>
  </si>
  <si>
    <t>Skala Itrottarfelag-B36 Torshavn</t>
  </si>
  <si>
    <t>Skala Itrottarfelag</t>
  </si>
  <si>
    <t>B36 Torshavn</t>
  </si>
  <si>
    <t>Oberliga Hamburg</t>
  </si>
  <si>
    <t>Curslack Neuengamme-Dassendorf</t>
  </si>
  <si>
    <t>Curslack Neuengamme</t>
  </si>
  <si>
    <t>Dassendorf</t>
  </si>
  <si>
    <t>Niendorfer TSV-HEBC Hamburg</t>
  </si>
  <si>
    <t>Niendorfer TSV</t>
  </si>
  <si>
    <t>HEBC Hamburg</t>
  </si>
  <si>
    <t>SC Victoria Hamburg-Meiendorfer SV</t>
  </si>
  <si>
    <t>SC Victoria Hamburg</t>
  </si>
  <si>
    <t>Meiendorfer SV</t>
  </si>
  <si>
    <t>Altona-Teutonia Ottensen</t>
  </si>
  <si>
    <t>Altona</t>
  </si>
  <si>
    <t>Teutonia Ottensen</t>
  </si>
  <si>
    <t>Suderelbe-Condor Hamburg</t>
  </si>
  <si>
    <t>Suderelbe</t>
  </si>
  <si>
    <t>Condor Hamburg</t>
  </si>
  <si>
    <t>Pinneberg-Rugenbergen</t>
  </si>
  <si>
    <t>Pinneberg</t>
  </si>
  <si>
    <t>Rugenbergen</t>
  </si>
  <si>
    <t>TuS Osdorf-TSV Buchholz 08</t>
  </si>
  <si>
    <t>TuS Osdorf</t>
  </si>
  <si>
    <t>TSV Buchholz 08</t>
  </si>
  <si>
    <t>Wandsbeker Concordia-Sasel</t>
  </si>
  <si>
    <t>Wandsbeker Concordia</t>
  </si>
  <si>
    <t>Sasel</t>
  </si>
  <si>
    <t>Barmbek Uhlenhorst-Wedeler TSV</t>
  </si>
  <si>
    <t>Barmbek Uhlenhorst</t>
  </si>
  <si>
    <t>Wedeler TSV</t>
  </si>
  <si>
    <t>Oberliga Niedersachsen</t>
  </si>
  <si>
    <t>Bersenbruck-Spelle Venhaus</t>
  </si>
  <si>
    <t>Bersenbruck</t>
  </si>
  <si>
    <t>Spelle Venhaus</t>
  </si>
  <si>
    <t>Oberliga Rheinland-Pfalz/Saar</t>
  </si>
  <si>
    <t>Mechtersheim-Kaiserslautern II</t>
  </si>
  <si>
    <t>Mechtersheim</t>
  </si>
  <si>
    <t>Kaiserslautern II</t>
  </si>
  <si>
    <t>Regionalliga Nordost</t>
  </si>
  <si>
    <t>Erfurt-BFC Dynamo</t>
  </si>
  <si>
    <t>Erfurt</t>
  </si>
  <si>
    <t>BFC Dynamo</t>
  </si>
  <si>
    <t>Romania</t>
  </si>
  <si>
    <t>FC Botosani-Gaz Metan Medias</t>
  </si>
  <si>
    <t>FC Botosani</t>
  </si>
  <si>
    <t>Gaz Metan Medias</t>
  </si>
  <si>
    <t>Sweden</t>
  </si>
  <si>
    <t>Division 2 - Norra GÃ¶taland</t>
  </si>
  <si>
    <t>Grebbestads-Vanersborgs FK</t>
  </si>
  <si>
    <t>Grebbestads</t>
  </si>
  <si>
    <t>Vanersborgs FK</t>
  </si>
  <si>
    <t>Torslanda-Savedalens</t>
  </si>
  <si>
    <t>Torslanda</t>
  </si>
  <si>
    <t>Savedalens</t>
  </si>
  <si>
    <t>Vargarda IK-Stenungsunds</t>
  </si>
  <si>
    <t>Vargarda IK</t>
  </si>
  <si>
    <t>Stenungsunds</t>
  </si>
  <si>
    <t>Vanersborgs IF-Lidkopings FK</t>
  </si>
  <si>
    <t>Vanersborgs IF</t>
  </si>
  <si>
    <t>Lidkopings FK</t>
  </si>
  <si>
    <t>Division 2 - Ã–stra GÃ¶taland</t>
  </si>
  <si>
    <t>Hassleholms IF-IFK Berga</t>
  </si>
  <si>
    <t>Hassleholms IF</t>
  </si>
  <si>
    <t>IFK Berga</t>
  </si>
  <si>
    <t>2. Liga</t>
  </si>
  <si>
    <t>A. Lustenau-Ried</t>
  </si>
  <si>
    <t>A. Lustenau</t>
  </si>
  <si>
    <t>Ried</t>
  </si>
  <si>
    <t>BW Linz-FK Austria Vienna (Am)</t>
  </si>
  <si>
    <t>BW Linz</t>
  </si>
  <si>
    <t>FK Austria Vienna (Am)</t>
  </si>
  <si>
    <t>Neustadt-Kapfenberg</t>
  </si>
  <si>
    <t>Neustadt</t>
  </si>
  <si>
    <t>Kapfenberg</t>
  </si>
  <si>
    <t>Wacker Innsbruck (Am)-Horn</t>
  </si>
  <si>
    <t>Wacker Innsbruck (Am)</t>
  </si>
  <si>
    <t>Horn</t>
  </si>
  <si>
    <t>A. Klagenfurt-Lafnitz</t>
  </si>
  <si>
    <t>A. Klagenfurt</t>
  </si>
  <si>
    <t>Lafnitz</t>
  </si>
  <si>
    <t>FC Juniors-Vorwarts Steyr</t>
  </si>
  <si>
    <t>FC Juniors</t>
  </si>
  <si>
    <t>Vorwarts Steyr</t>
  </si>
  <si>
    <t>Floridsdorfer AC-Liefering</t>
  </si>
  <si>
    <t>Floridsdorfer AC</t>
  </si>
  <si>
    <t>Liefering</t>
  </si>
  <si>
    <t>Mauerwerk-SK Rapid Vienna (Am)</t>
  </si>
  <si>
    <t>Mauerwerk</t>
  </si>
  <si>
    <t>SK Rapid Vienna (Am)</t>
  </si>
  <si>
    <t>Wiener Sportklub-Marchfeld</t>
  </si>
  <si>
    <t>Wiener Sportklub</t>
  </si>
  <si>
    <t>Marchfeld</t>
  </si>
  <si>
    <t>Oberliga NOFV- SÃ¼d</t>
  </si>
  <si>
    <t>Eilenburg-Halle</t>
  </si>
  <si>
    <t>Eilenburg</t>
  </si>
  <si>
    <t>Halle</t>
  </si>
  <si>
    <t>Regionalliga North</t>
  </si>
  <si>
    <t>Werder Bremen II-Holstein Kiel II</t>
  </si>
  <si>
    <t>Werder Bremen II</t>
  </si>
  <si>
    <t>Holstein Kiel II</t>
  </si>
  <si>
    <t>Division 2 - SÃ¶dra Svealand</t>
  </si>
  <si>
    <t>Aspudden Tellus-Huddinge</t>
  </si>
  <si>
    <t>Aspudden Tellus</t>
  </si>
  <si>
    <t>Huddinge</t>
  </si>
  <si>
    <t>Super Lig</t>
  </si>
  <si>
    <t>Kasimpasa-Konyaspor</t>
  </si>
  <si>
    <t>Kasimpasa</t>
  </si>
  <si>
    <t>Konyaspor</t>
  </si>
  <si>
    <t>Gorodeja-Slavia Mozyr</t>
  </si>
  <si>
    <t>Gorodeja</t>
  </si>
  <si>
    <t>Slavia Mozyr</t>
  </si>
  <si>
    <t>Sakaryaspor-Sariyer</t>
  </si>
  <si>
    <t>Sakaryaspor</t>
  </si>
  <si>
    <t>Sariyer</t>
  </si>
  <si>
    <t>IF Fuglafjordur-Vikingur</t>
  </si>
  <si>
    <t>IF Fuglafjordur</t>
  </si>
  <si>
    <t>Vikingur</t>
  </si>
  <si>
    <t>Oberliga Hessen</t>
  </si>
  <si>
    <t>Bad Vilbel-Eddersheim</t>
  </si>
  <si>
    <t>Bad Vilbel</t>
  </si>
  <si>
    <t>Eddersheim</t>
  </si>
  <si>
    <t>Oberliga Mittelrhein</t>
  </si>
  <si>
    <t>Wegberg Beeck-Frechen</t>
  </si>
  <si>
    <t>Wegberg Beeck</t>
  </si>
  <si>
    <t>Frechen</t>
  </si>
  <si>
    <t>Belgium</t>
  </si>
  <si>
    <t>Jupiler League</t>
  </si>
  <si>
    <t>Kortrijk-Cercle Brugge KSV</t>
  </si>
  <si>
    <t>Kortrijk</t>
  </si>
  <si>
    <t>Cercle Brugge KSV</t>
  </si>
  <si>
    <t>Mouscron-Waasland Beveren</t>
  </si>
  <si>
    <t>Mouscron</t>
  </si>
  <si>
    <t>Waasland Beveren</t>
  </si>
  <si>
    <t>Waregem-St. Gilloise</t>
  </si>
  <si>
    <t>Waregem</t>
  </si>
  <si>
    <t>St. Gilloise</t>
  </si>
  <si>
    <t>Super League Women 2018/2019</t>
  </si>
  <si>
    <t>St. Liege W-RSC Anderlecht W</t>
  </si>
  <si>
    <t>St. Liege W</t>
  </si>
  <si>
    <t>RSC Anderlecht W</t>
  </si>
  <si>
    <t>Genk W-Gent W</t>
  </si>
  <si>
    <t>Genk W</t>
  </si>
  <si>
    <t>Gent W</t>
  </si>
  <si>
    <t>England</t>
  </si>
  <si>
    <t>League One</t>
  </si>
  <si>
    <t>Charlton-Doncaster</t>
  </si>
  <si>
    <t>Charlton</t>
  </si>
  <si>
    <t>Doncaster</t>
  </si>
  <si>
    <t>Ligue 2</t>
  </si>
  <si>
    <t>Auxerre-Valenciennes</t>
  </si>
  <si>
    <t>Auxerre</t>
  </si>
  <si>
    <t>Valenciennes</t>
  </si>
  <si>
    <t>Beziers-Nancy</t>
  </si>
  <si>
    <t>Beziers</t>
  </si>
  <si>
    <t>Nancy</t>
  </si>
  <si>
    <t>Chateauroux-Clermont</t>
  </si>
  <si>
    <t>Chateauroux</t>
  </si>
  <si>
    <t>Clermont</t>
  </si>
  <si>
    <t>Le Havre-Lorient</t>
  </si>
  <si>
    <t>Le Havre</t>
  </si>
  <si>
    <t>Lorient</t>
  </si>
  <si>
    <t>Lens-Orleans</t>
  </si>
  <si>
    <t>Lens</t>
  </si>
  <si>
    <t>Orleans</t>
  </si>
  <si>
    <t>Metz-Brest</t>
  </si>
  <si>
    <t>Metz</t>
  </si>
  <si>
    <t>Brest</t>
  </si>
  <si>
    <t>Niort-Red Star</t>
  </si>
  <si>
    <t>Niort</t>
  </si>
  <si>
    <t>Red Star</t>
  </si>
  <si>
    <t>Paris FC-GFC Ajaccio</t>
  </si>
  <si>
    <t>Paris FC</t>
  </si>
  <si>
    <t>GFC Ajaccio</t>
  </si>
  <si>
    <t>Sochaux-Grenoble</t>
  </si>
  <si>
    <t>Sochaux</t>
  </si>
  <si>
    <t>Grenoble</t>
  </si>
  <si>
    <t>Troyes-AC Ajaccio</t>
  </si>
  <si>
    <t>Troyes</t>
  </si>
  <si>
    <t>AC Ajaccio</t>
  </si>
  <si>
    <t>Ireland</t>
  </si>
  <si>
    <t>Athlone-Bray</t>
  </si>
  <si>
    <t>Athlone</t>
  </si>
  <si>
    <t>Bray</t>
  </si>
  <si>
    <t>Galway-Longford</t>
  </si>
  <si>
    <t>Galway</t>
  </si>
  <si>
    <t>Longford</t>
  </si>
  <si>
    <t>Wexford-Shelbourne</t>
  </si>
  <si>
    <t>Wexford</t>
  </si>
  <si>
    <t>Shelbourne</t>
  </si>
  <si>
    <t>Premier Division</t>
  </si>
  <si>
    <t>Cork City-Dundalk</t>
  </si>
  <si>
    <t>Cork City</t>
  </si>
  <si>
    <t>Dundalk</t>
  </si>
  <si>
    <t>St. Patricks-Bohemians</t>
  </si>
  <si>
    <t>St. Patricks</t>
  </si>
  <si>
    <t>Bohemians</t>
  </si>
  <si>
    <t>UC Dublin-Shamrock Rovers</t>
  </si>
  <si>
    <t>UC Dublin</t>
  </si>
  <si>
    <t>Shamrock Rovers</t>
  </si>
  <si>
    <t>San Marino</t>
  </si>
  <si>
    <t>Campionato Sammarinese</t>
  </si>
  <si>
    <t>Libertas-La Fiorita</t>
  </si>
  <si>
    <t>Libertas</t>
  </si>
  <si>
    <t>La Fiorita</t>
  </si>
  <si>
    <t>Scotland</t>
  </si>
  <si>
    <t>Premiership</t>
  </si>
  <si>
    <t>Dundee Utd-Inverness</t>
  </si>
  <si>
    <t>Dundee Utd</t>
  </si>
  <si>
    <t>Inverness</t>
  </si>
  <si>
    <t>Finn Harps-Waterford</t>
  </si>
  <si>
    <t>Finn Harps</t>
  </si>
  <si>
    <t>Waterford</t>
  </si>
  <si>
    <t>Serie B</t>
  </si>
  <si>
    <t>Spezia-Cittadella</t>
  </si>
  <si>
    <t>Spezia</t>
  </si>
  <si>
    <t>Cittadella</t>
  </si>
  <si>
    <t>Spain</t>
  </si>
  <si>
    <t>LaLiga2</t>
  </si>
  <si>
    <t>Zaragoza-Gijon</t>
  </si>
  <si>
    <t>Zaragoza</t>
  </si>
  <si>
    <t>Gijon</t>
  </si>
  <si>
    <t>Iceland</t>
  </si>
  <si>
    <t>Division 2</t>
  </si>
  <si>
    <t>IR Reykjavik-Selfoss</t>
  </si>
  <si>
    <t>IR Reykjavik</t>
  </si>
  <si>
    <t>Selfoss</t>
  </si>
  <si>
    <t>KFG Gardabaer-Throttur Vogar</t>
  </si>
  <si>
    <t>KFG Gardabaer</t>
  </si>
  <si>
    <t>Throttur Vogar</t>
  </si>
  <si>
    <t>Inkasso-deildin</t>
  </si>
  <si>
    <t>Throttur-Olafsvik</t>
  </si>
  <si>
    <t>Throttur</t>
  </si>
  <si>
    <t>Olafsvik</t>
  </si>
  <si>
    <t>Keflavik-Afturelding</t>
  </si>
  <si>
    <t>Keflavik</t>
  </si>
  <si>
    <t>Afturelding</t>
  </si>
  <si>
    <t>Leiknir-Njardvik</t>
  </si>
  <si>
    <t>Leiknir</t>
  </si>
  <si>
    <t>Njardvik</t>
  </si>
  <si>
    <t>Chile</t>
  </si>
  <si>
    <t>Palestino-Cobresal</t>
  </si>
  <si>
    <t>Palestino</t>
  </si>
  <si>
    <t>Cobresal</t>
  </si>
  <si>
    <t>Portugal</t>
  </si>
  <si>
    <t>Primeira Liga</t>
  </si>
  <si>
    <t>Braga-Portimonense</t>
  </si>
  <si>
    <t>Braga</t>
  </si>
  <si>
    <t>Portimonense</t>
  </si>
  <si>
    <t>Primera B</t>
  </si>
  <si>
    <t>Barnechea-Cobreloa</t>
  </si>
  <si>
    <t>Barnechea</t>
  </si>
  <si>
    <t>Cobreloa</t>
  </si>
  <si>
    <t>Egypt</t>
  </si>
  <si>
    <t>El Ismaily-El Daklyeh</t>
  </si>
  <si>
    <t>El Ismaily</t>
  </si>
  <si>
    <t>El Daklyeh</t>
  </si>
  <si>
    <t>Jordan</t>
  </si>
  <si>
    <t>Jordan Cup</t>
  </si>
  <si>
    <t>Al Ahli-Al Wehdat</t>
  </si>
  <si>
    <t>Al Ahli</t>
  </si>
  <si>
    <t>Al Wehdat</t>
  </si>
  <si>
    <t>Peru</t>
  </si>
  <si>
    <t>Binacional-Sport Huancayo</t>
  </si>
  <si>
    <t>Binacional</t>
  </si>
  <si>
    <t>Sport Huancayo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</si>
</sst>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list_2019-05-16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X120" sqref="X120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178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6" t="s">
        <v>4</v>
      </c>
      <c r="AI1" s="57"/>
      <c r="AJ1" s="58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178</v>
      </c>
      <c r="AF2" s="11">
        <f>SUBTOTAL(2,AI11:AI30387)</f>
        <v>178</v>
      </c>
      <c r="AG2" s="11">
        <f>SUBTOTAL(2,AJ11:AJ30387)</f>
        <v>178</v>
      </c>
      <c r="AH2" s="12">
        <f>SUBTOTAL(2,AH11:AH30387)*$B$2</f>
        <v>8900</v>
      </c>
      <c r="AI2" s="12">
        <f>SUBTOTAL(2,AI11:AI30387)*$B$2</f>
        <v>8900</v>
      </c>
      <c r="AJ2" s="12">
        <f>SUBTOTAL(2,AJ11:AJ30387)*$B$2</f>
        <v>8900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6</v>
      </c>
      <c r="AF3" s="11">
        <f ca="1">SUMPRODUCT(SUBTOTAL(3,OFFSET(AF11:AF30387,ROW(AF11:AF30387)-MIN(ROW(AF11:AF30387)),,1)), --(AF11:AF30387=$AD$3))</f>
        <v>164</v>
      </c>
      <c r="AG3" s="11">
        <f ca="1">SUMPRODUCT(SUBTOTAL(3,OFFSET(AG11:AG30387,ROW(AG11:AG30387)-MIN(ROW(AG11:AG30387)),,1)), --(AG11:AG30387=$AD$3))</f>
        <v>8</v>
      </c>
      <c r="AH3" s="12">
        <f>SUBTOTAL(9,AH11:AH30387)</f>
        <v>-8315.5</v>
      </c>
      <c r="AI3" s="12">
        <f>SUBTOTAL(9,AI11:AI30387)</f>
        <v>24327</v>
      </c>
      <c r="AJ3" s="12">
        <f>SUBTOTAL(9,AJ11:AJ30387)</f>
        <v>-7433.5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3.3707865168539325E-2</v>
      </c>
      <c r="AF4" s="14">
        <f t="shared" ca="1" si="0"/>
        <v>0.9213483146067416</v>
      </c>
      <c r="AG4" s="14">
        <f t="shared" ca="1" si="0"/>
        <v>4.49438202247191E-2</v>
      </c>
      <c r="AH4" s="14">
        <f t="shared" si="0"/>
        <v>-0.93432584269662922</v>
      </c>
      <c r="AI4" s="14">
        <f t="shared" si="0"/>
        <v>2.7333707865168537</v>
      </c>
      <c r="AJ4" s="14">
        <f t="shared" si="0"/>
        <v>-0.83522471910112361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0</v>
      </c>
      <c r="AH5" s="12">
        <f ca="1">[1]!COUNTBYCELLCOLOR(AH11:AH30387,$AD$5)*$B$2</f>
        <v>0</v>
      </c>
      <c r="AJ5" s="12">
        <f ca="1">[1]!COUNTBYCELLCOLOR(AJ11:AJ30387,$AD$5)*$B$2</f>
        <v>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0</v>
      </c>
      <c r="AH6" s="12">
        <f ca="1">[1]!SUMBYCELLCOLOR(AH11:AH30387,$AD$6)</f>
        <v>0</v>
      </c>
      <c r="AJ6" s="12">
        <f ca="1">[1]!SUMBYCELLCOLOR(AJ11:AJ30387,$AD$6)</f>
        <v>0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43602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2</v>
      </c>
      <c r="H11" s="37">
        <v>1</v>
      </c>
      <c r="I11" s="37">
        <v>2.8</v>
      </c>
      <c r="J11" s="37">
        <v>3.3</v>
      </c>
      <c r="K11" s="37">
        <v>2.25</v>
      </c>
      <c r="L11" s="37">
        <v>0.55000000000000004</v>
      </c>
      <c r="M11" s="37">
        <v>21</v>
      </c>
      <c r="N11" s="37">
        <v>20</v>
      </c>
      <c r="O11" s="37">
        <v>1</v>
      </c>
      <c r="P11" s="37">
        <v>10</v>
      </c>
      <c r="Q11" s="37">
        <v>9</v>
      </c>
      <c r="R11" s="37">
        <v>0</v>
      </c>
      <c r="S11" s="37">
        <v>0</v>
      </c>
      <c r="T11" s="37">
        <v>100</v>
      </c>
      <c r="U11" s="37">
        <v>33.33</v>
      </c>
      <c r="V11" s="37">
        <v>33.33</v>
      </c>
      <c r="W11" s="37">
        <v>33.33</v>
      </c>
      <c r="X11" s="37">
        <v>60</v>
      </c>
      <c r="Y11" s="37">
        <v>20</v>
      </c>
      <c r="Z11" s="37">
        <v>20</v>
      </c>
      <c r="AA11" s="37">
        <v>20</v>
      </c>
      <c r="AB11" s="37">
        <v>55.56</v>
      </c>
      <c r="AC11" s="24">
        <f t="shared" ref="AC11:AC74" si="1">(+R11*$R$8)+(S11*$S$8)-(T11*$T$8)+(U11*$U$8)+(V11*$V$8)-(W11*$W$8)-(X11*$X$8)-(Y11*$Y$8)+(Z11*$Z$8)</f>
        <v>-36.667000000000002</v>
      </c>
      <c r="AD11" s="25">
        <f t="shared" ref="AD11:AD74" si="2">(-R11*$R$8)+(S11*$S$8)+(T11*$T$8)-(U11*$U$8)-(V11*$V$8)+(W11*$W$8)+(X11*$X$8)+(Y11*$Y$8)-(Z11*$Z$8)</f>
        <v>36.667000000000002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90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43602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1</v>
      </c>
      <c r="H12" s="37">
        <v>1</v>
      </c>
      <c r="I12" s="37">
        <v>1.55</v>
      </c>
      <c r="J12" s="37">
        <v>3.56</v>
      </c>
      <c r="K12" s="37">
        <v>6.12</v>
      </c>
      <c r="L12" s="37">
        <v>-4.57</v>
      </c>
      <c r="M12" s="37">
        <v>33</v>
      </c>
      <c r="N12" s="37">
        <v>28</v>
      </c>
      <c r="O12" s="37">
        <v>1</v>
      </c>
      <c r="P12" s="37">
        <v>15</v>
      </c>
      <c r="Q12" s="37">
        <v>14</v>
      </c>
      <c r="R12" s="37">
        <v>0</v>
      </c>
      <c r="S12" s="37">
        <v>0</v>
      </c>
      <c r="T12" s="37">
        <v>100</v>
      </c>
      <c r="U12" s="37">
        <v>42.42</v>
      </c>
      <c r="V12" s="37">
        <v>30.3</v>
      </c>
      <c r="W12" s="37">
        <v>27.27</v>
      </c>
      <c r="X12" s="37">
        <v>39.29</v>
      </c>
      <c r="Y12" s="37">
        <v>25</v>
      </c>
      <c r="Z12" s="37">
        <v>35.71</v>
      </c>
      <c r="AA12" s="37">
        <v>53.33</v>
      </c>
      <c r="AB12" s="37">
        <v>14.29</v>
      </c>
      <c r="AC12" s="24">
        <f t="shared" si="1"/>
        <v>-27.156000000000002</v>
      </c>
      <c r="AD12" s="25">
        <f t="shared" si="2"/>
        <v>27.156000000000002</v>
      </c>
      <c r="AE12" s="23" t="str">
        <f t="shared" si="3"/>
        <v>Loss</v>
      </c>
      <c r="AF12" s="23" t="str">
        <f t="shared" si="4"/>
        <v>Win</v>
      </c>
      <c r="AG12" s="23" t="str">
        <f t="shared" si="5"/>
        <v>Loss</v>
      </c>
      <c r="AH12" s="23">
        <f t="shared" si="6"/>
        <v>-50</v>
      </c>
      <c r="AI12" s="23">
        <f t="shared" si="7"/>
        <v>128</v>
      </c>
      <c r="AJ12" s="23">
        <f t="shared" si="8"/>
        <v>-50</v>
      </c>
    </row>
    <row r="13" spans="1:39" x14ac:dyDescent="0.2">
      <c r="A13" s="36">
        <v>43602</v>
      </c>
      <c r="B13" s="37" t="s">
        <v>111</v>
      </c>
      <c r="C13" s="37" t="s">
        <v>112</v>
      </c>
      <c r="D13" s="37" t="s">
        <v>116</v>
      </c>
      <c r="E13" s="37" t="s">
        <v>117</v>
      </c>
      <c r="F13" s="37" t="s">
        <v>118</v>
      </c>
      <c r="G13" s="37">
        <v>1</v>
      </c>
      <c r="H13" s="37">
        <v>0</v>
      </c>
      <c r="I13" s="37">
        <v>1.83</v>
      </c>
      <c r="J13" s="37">
        <v>3.17</v>
      </c>
      <c r="K13" s="37">
        <v>4.42</v>
      </c>
      <c r="L13" s="37">
        <v>-2.59</v>
      </c>
      <c r="M13" s="37">
        <v>34</v>
      </c>
      <c r="N13" s="37">
        <v>30</v>
      </c>
      <c r="O13" s="37">
        <v>1</v>
      </c>
      <c r="P13" s="37">
        <v>17</v>
      </c>
      <c r="Q13" s="37">
        <v>15</v>
      </c>
      <c r="R13" s="37">
        <v>100</v>
      </c>
      <c r="S13" s="37">
        <v>0</v>
      </c>
      <c r="T13" s="37">
        <v>0</v>
      </c>
      <c r="U13" s="37">
        <v>47.06</v>
      </c>
      <c r="V13" s="37">
        <v>17.649999999999999</v>
      </c>
      <c r="W13" s="37">
        <v>35.29</v>
      </c>
      <c r="X13" s="37">
        <v>33.33</v>
      </c>
      <c r="Y13" s="37">
        <v>33.33</v>
      </c>
      <c r="Z13" s="37">
        <v>33.33</v>
      </c>
      <c r="AA13" s="37">
        <v>58.82</v>
      </c>
      <c r="AB13" s="37">
        <v>13.33</v>
      </c>
      <c r="AC13" s="24">
        <f t="shared" si="1"/>
        <v>30.785999999999998</v>
      </c>
      <c r="AD13" s="25">
        <f t="shared" si="2"/>
        <v>-30.785999999999998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23">
        <f t="shared" si="6"/>
        <v>41.5</v>
      </c>
      <c r="AI13" s="23">
        <f t="shared" si="7"/>
        <v>-50</v>
      </c>
      <c r="AJ13" s="23">
        <f t="shared" si="8"/>
        <v>-50</v>
      </c>
    </row>
    <row r="14" spans="1:39" x14ac:dyDescent="0.2">
      <c r="A14" s="36">
        <v>43602</v>
      </c>
      <c r="B14" s="37" t="s">
        <v>111</v>
      </c>
      <c r="C14" s="37" t="s">
        <v>112</v>
      </c>
      <c r="D14" s="37" t="s">
        <v>119</v>
      </c>
      <c r="E14" s="37" t="s">
        <v>120</v>
      </c>
      <c r="F14" s="37" t="s">
        <v>121</v>
      </c>
      <c r="G14" s="37">
        <v>2</v>
      </c>
      <c r="H14" s="37">
        <v>1</v>
      </c>
      <c r="I14" s="37">
        <v>2.0699999999999998</v>
      </c>
      <c r="J14" s="37">
        <v>3.01</v>
      </c>
      <c r="K14" s="37">
        <v>3.64</v>
      </c>
      <c r="L14" s="37">
        <v>-1.57</v>
      </c>
      <c r="M14" s="37">
        <v>27</v>
      </c>
      <c r="N14" s="37">
        <v>30</v>
      </c>
      <c r="O14" s="37">
        <v>1</v>
      </c>
      <c r="P14" s="37">
        <v>13</v>
      </c>
      <c r="Q14" s="37">
        <v>14</v>
      </c>
      <c r="R14" s="37">
        <v>0</v>
      </c>
      <c r="S14" s="37">
        <v>0</v>
      </c>
      <c r="T14" s="37">
        <v>100</v>
      </c>
      <c r="U14" s="37">
        <v>44.44</v>
      </c>
      <c r="V14" s="37">
        <v>25.93</v>
      </c>
      <c r="W14" s="37">
        <v>29.63</v>
      </c>
      <c r="X14" s="37">
        <v>53.33</v>
      </c>
      <c r="Y14" s="37">
        <v>23.33</v>
      </c>
      <c r="Z14" s="37">
        <v>23.33</v>
      </c>
      <c r="AA14" s="37">
        <v>61.54</v>
      </c>
      <c r="AB14" s="37">
        <v>28.57</v>
      </c>
      <c r="AC14" s="24">
        <f t="shared" si="1"/>
        <v>-32.778000000000006</v>
      </c>
      <c r="AD14" s="25">
        <f t="shared" si="2"/>
        <v>32.778000000000006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53.499999999999986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43602</v>
      </c>
      <c r="B15" s="37" t="s">
        <v>111</v>
      </c>
      <c r="C15" s="37" t="s">
        <v>112</v>
      </c>
      <c r="D15" s="37" t="s">
        <v>122</v>
      </c>
      <c r="E15" s="37" t="s">
        <v>123</v>
      </c>
      <c r="F15" s="37" t="s">
        <v>124</v>
      </c>
      <c r="G15" s="37">
        <v>0</v>
      </c>
      <c r="H15" s="37">
        <v>0</v>
      </c>
      <c r="I15" s="37">
        <v>1.98</v>
      </c>
      <c r="J15" s="37">
        <v>3.14</v>
      </c>
      <c r="K15" s="37">
        <v>3.75</v>
      </c>
      <c r="L15" s="37">
        <v>-1.77</v>
      </c>
      <c r="M15" s="37">
        <v>29</v>
      </c>
      <c r="N15" s="37">
        <v>29</v>
      </c>
      <c r="O15" s="37">
        <v>1</v>
      </c>
      <c r="P15" s="37">
        <v>13</v>
      </c>
      <c r="Q15" s="37">
        <v>14</v>
      </c>
      <c r="R15" s="37">
        <v>0</v>
      </c>
      <c r="S15" s="37">
        <v>100</v>
      </c>
      <c r="T15" s="37">
        <v>0</v>
      </c>
      <c r="U15" s="37">
        <v>37.93</v>
      </c>
      <c r="V15" s="37">
        <v>31.03</v>
      </c>
      <c r="W15" s="37">
        <v>31.03</v>
      </c>
      <c r="X15" s="37">
        <v>24.14</v>
      </c>
      <c r="Y15" s="37">
        <v>37.93</v>
      </c>
      <c r="Z15" s="37">
        <v>37.93</v>
      </c>
      <c r="AA15" s="37">
        <v>46.15</v>
      </c>
      <c r="AB15" s="37">
        <v>14.29</v>
      </c>
      <c r="AC15" s="24">
        <f t="shared" si="1"/>
        <v>13.448</v>
      </c>
      <c r="AD15" s="25">
        <f t="shared" si="2"/>
        <v>6.5519999999999978</v>
      </c>
      <c r="AE15" s="23" t="str">
        <f t="shared" si="3"/>
        <v>Loss</v>
      </c>
      <c r="AF15" s="23" t="str">
        <f t="shared" si="4"/>
        <v>Win</v>
      </c>
      <c r="AG15" s="23" t="str">
        <f t="shared" si="5"/>
        <v>Loss</v>
      </c>
      <c r="AH15" s="23">
        <f t="shared" si="6"/>
        <v>-50</v>
      </c>
      <c r="AI15" s="23">
        <f t="shared" si="7"/>
        <v>107</v>
      </c>
      <c r="AJ15" s="23">
        <f t="shared" si="8"/>
        <v>-50</v>
      </c>
    </row>
    <row r="16" spans="1:39" x14ac:dyDescent="0.2">
      <c r="A16" s="36">
        <v>43602</v>
      </c>
      <c r="B16" s="37" t="s">
        <v>111</v>
      </c>
      <c r="C16" s="37" t="s">
        <v>112</v>
      </c>
      <c r="D16" s="37" t="s">
        <v>125</v>
      </c>
      <c r="E16" s="37" t="s">
        <v>126</v>
      </c>
      <c r="F16" s="37" t="s">
        <v>127</v>
      </c>
      <c r="G16" s="37">
        <v>1</v>
      </c>
      <c r="H16" s="37">
        <v>0</v>
      </c>
      <c r="I16" s="37">
        <v>1.58</v>
      </c>
      <c r="J16" s="37">
        <v>3.52</v>
      </c>
      <c r="K16" s="37">
        <v>5.84</v>
      </c>
      <c r="L16" s="37">
        <v>-4.26</v>
      </c>
      <c r="M16" s="37">
        <v>32</v>
      </c>
      <c r="N16" s="37">
        <v>34</v>
      </c>
      <c r="O16" s="37">
        <v>3</v>
      </c>
      <c r="P16" s="37">
        <v>16</v>
      </c>
      <c r="Q16" s="37">
        <v>17</v>
      </c>
      <c r="R16" s="37">
        <v>0</v>
      </c>
      <c r="S16" s="37">
        <v>66.67</v>
      </c>
      <c r="T16" s="37">
        <v>33.33</v>
      </c>
      <c r="U16" s="37">
        <v>28.13</v>
      </c>
      <c r="V16" s="37">
        <v>37.5</v>
      </c>
      <c r="W16" s="37">
        <v>34.380000000000003</v>
      </c>
      <c r="X16" s="37">
        <v>41.18</v>
      </c>
      <c r="Y16" s="37">
        <v>29.41</v>
      </c>
      <c r="Z16" s="37">
        <v>29.41</v>
      </c>
      <c r="AA16" s="37">
        <v>37.5</v>
      </c>
      <c r="AB16" s="37">
        <v>35.29</v>
      </c>
      <c r="AC16" s="24">
        <f t="shared" si="1"/>
        <v>-6.1269999999999998</v>
      </c>
      <c r="AD16" s="25">
        <f t="shared" si="2"/>
        <v>19.460999999999999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29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43602</v>
      </c>
      <c r="B17" s="37" t="s">
        <v>111</v>
      </c>
      <c r="C17" s="37" t="s">
        <v>112</v>
      </c>
      <c r="D17" s="37" t="s">
        <v>128</v>
      </c>
      <c r="E17" s="37" t="s">
        <v>129</v>
      </c>
      <c r="F17" s="37" t="s">
        <v>130</v>
      </c>
      <c r="G17" s="37">
        <v>1</v>
      </c>
      <c r="H17" s="37">
        <v>2</v>
      </c>
      <c r="I17" s="37">
        <v>1.39</v>
      </c>
      <c r="J17" s="37">
        <v>4.09</v>
      </c>
      <c r="K17" s="37">
        <v>7.92</v>
      </c>
      <c r="L17" s="37">
        <v>-6.53</v>
      </c>
      <c r="M17" s="37">
        <v>32</v>
      </c>
      <c r="N17" s="37">
        <v>30</v>
      </c>
      <c r="O17" s="37">
        <v>1</v>
      </c>
      <c r="P17" s="37">
        <v>15</v>
      </c>
      <c r="Q17" s="37">
        <v>15</v>
      </c>
      <c r="R17" s="37">
        <v>0</v>
      </c>
      <c r="S17" s="37">
        <v>100</v>
      </c>
      <c r="T17" s="37">
        <v>0</v>
      </c>
      <c r="U17" s="37">
        <v>50</v>
      </c>
      <c r="V17" s="37">
        <v>25</v>
      </c>
      <c r="W17" s="37">
        <v>25</v>
      </c>
      <c r="X17" s="37">
        <v>30</v>
      </c>
      <c r="Y17" s="37">
        <v>26.67</v>
      </c>
      <c r="Z17" s="37">
        <v>43.33</v>
      </c>
      <c r="AA17" s="37">
        <v>73.33</v>
      </c>
      <c r="AB17" s="37">
        <v>13.33</v>
      </c>
      <c r="AC17" s="24">
        <f t="shared" si="1"/>
        <v>17.499000000000002</v>
      </c>
      <c r="AD17" s="25">
        <f t="shared" si="2"/>
        <v>2.5009999999999994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23">
        <f t="shared" si="6"/>
        <v>-50</v>
      </c>
      <c r="AI17" s="23">
        <f t="shared" si="7"/>
        <v>-50</v>
      </c>
      <c r="AJ17" s="23">
        <f t="shared" si="8"/>
        <v>346</v>
      </c>
    </row>
    <row r="18" spans="1:36" x14ac:dyDescent="0.2">
      <c r="A18" s="36">
        <v>43602</v>
      </c>
      <c r="B18" s="37" t="s">
        <v>131</v>
      </c>
      <c r="C18" s="37" t="s">
        <v>132</v>
      </c>
      <c r="D18" s="37" t="s">
        <v>133</v>
      </c>
      <c r="E18" s="37" t="s">
        <v>134</v>
      </c>
      <c r="F18" s="37" t="s">
        <v>135</v>
      </c>
      <c r="G18" s="37">
        <v>1</v>
      </c>
      <c r="H18" s="37">
        <v>2</v>
      </c>
      <c r="I18" s="37">
        <v>2.44</v>
      </c>
      <c r="J18" s="37">
        <v>2.78</v>
      </c>
      <c r="K18" s="37">
        <v>3.22</v>
      </c>
      <c r="L18" s="37">
        <v>-0.78</v>
      </c>
      <c r="M18" s="37">
        <v>33</v>
      </c>
      <c r="N18" s="37">
        <v>31</v>
      </c>
      <c r="O18" s="37">
        <v>2</v>
      </c>
      <c r="P18" s="37">
        <v>16</v>
      </c>
      <c r="Q18" s="37">
        <v>15</v>
      </c>
      <c r="R18" s="37">
        <v>50</v>
      </c>
      <c r="S18" s="37">
        <v>50</v>
      </c>
      <c r="T18" s="37">
        <v>0</v>
      </c>
      <c r="U18" s="37">
        <v>39.39</v>
      </c>
      <c r="V18" s="37">
        <v>18.18</v>
      </c>
      <c r="W18" s="37">
        <v>42.42</v>
      </c>
      <c r="X18" s="37">
        <v>25.81</v>
      </c>
      <c r="Y18" s="37">
        <v>32.26</v>
      </c>
      <c r="Z18" s="37">
        <v>41.94</v>
      </c>
      <c r="AA18" s="37">
        <v>56.25</v>
      </c>
      <c r="AB18" s="37">
        <v>20</v>
      </c>
      <c r="AC18" s="24">
        <f t="shared" si="1"/>
        <v>21.212000000000003</v>
      </c>
      <c r="AD18" s="25">
        <f t="shared" si="2"/>
        <v>-11.212000000000002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23">
        <f t="shared" si="8"/>
        <v>111</v>
      </c>
    </row>
    <row r="19" spans="1:36" x14ac:dyDescent="0.2">
      <c r="A19" s="36">
        <v>43602</v>
      </c>
      <c r="B19" s="37" t="s">
        <v>136</v>
      </c>
      <c r="C19" s="37" t="s">
        <v>137</v>
      </c>
      <c r="D19" s="37" t="s">
        <v>138</v>
      </c>
      <c r="E19" s="37" t="s">
        <v>139</v>
      </c>
      <c r="F19" s="37" t="s">
        <v>140</v>
      </c>
      <c r="G19" s="37">
        <v>0</v>
      </c>
      <c r="H19" s="37">
        <v>0</v>
      </c>
      <c r="I19" s="37">
        <v>2.89</v>
      </c>
      <c r="J19" s="37">
        <v>2.95</v>
      </c>
      <c r="K19" s="37">
        <v>2.59</v>
      </c>
      <c r="L19" s="37">
        <v>0.3</v>
      </c>
      <c r="M19" s="37">
        <v>63</v>
      </c>
      <c r="N19" s="37">
        <v>50</v>
      </c>
      <c r="O19" s="37">
        <v>1</v>
      </c>
      <c r="P19" s="37">
        <v>33</v>
      </c>
      <c r="Q19" s="37">
        <v>23</v>
      </c>
      <c r="R19" s="37">
        <v>100</v>
      </c>
      <c r="S19" s="37">
        <v>0</v>
      </c>
      <c r="T19" s="37">
        <v>0</v>
      </c>
      <c r="U19" s="37">
        <v>53.97</v>
      </c>
      <c r="V19" s="37">
        <v>22.22</v>
      </c>
      <c r="W19" s="37">
        <v>23.81</v>
      </c>
      <c r="X19" s="37">
        <v>48</v>
      </c>
      <c r="Y19" s="37">
        <v>20</v>
      </c>
      <c r="Z19" s="37">
        <v>32</v>
      </c>
      <c r="AA19" s="37">
        <v>66.67</v>
      </c>
      <c r="AB19" s="37">
        <v>17.39</v>
      </c>
      <c r="AC19" s="24">
        <f t="shared" si="1"/>
        <v>33.053999999999995</v>
      </c>
      <c r="AD19" s="25">
        <f t="shared" si="2"/>
        <v>-33.053999999999995</v>
      </c>
      <c r="AE19" s="23" t="str">
        <f t="shared" si="3"/>
        <v>Loss</v>
      </c>
      <c r="AF19" s="23" t="str">
        <f t="shared" si="4"/>
        <v>Win</v>
      </c>
      <c r="AG19" s="23" t="str">
        <f t="shared" si="5"/>
        <v>Loss</v>
      </c>
      <c r="AH19" s="23">
        <f t="shared" si="6"/>
        <v>-50</v>
      </c>
      <c r="AI19" s="23">
        <f t="shared" si="7"/>
        <v>97.5</v>
      </c>
      <c r="AJ19" s="23">
        <f t="shared" si="8"/>
        <v>-50</v>
      </c>
    </row>
    <row r="20" spans="1:36" x14ac:dyDescent="0.2">
      <c r="A20" s="36">
        <v>43602</v>
      </c>
      <c r="B20" s="37" t="s">
        <v>141</v>
      </c>
      <c r="C20" s="37" t="s">
        <v>142</v>
      </c>
      <c r="D20" s="37" t="s">
        <v>143</v>
      </c>
      <c r="E20" s="37" t="s">
        <v>144</v>
      </c>
      <c r="F20" s="37" t="s">
        <v>145</v>
      </c>
      <c r="G20" s="37" t="s">
        <v>146</v>
      </c>
      <c r="H20" s="37" t="s">
        <v>146</v>
      </c>
      <c r="I20" s="37">
        <v>1.96</v>
      </c>
      <c r="J20" s="37">
        <v>3.1</v>
      </c>
      <c r="K20" s="37">
        <v>3.81</v>
      </c>
      <c r="L20" s="37">
        <v>-1.85</v>
      </c>
      <c r="M20" s="37">
        <v>2</v>
      </c>
      <c r="N20" s="37">
        <v>5</v>
      </c>
      <c r="O20" s="37">
        <v>0</v>
      </c>
      <c r="P20" s="37">
        <v>1</v>
      </c>
      <c r="Q20" s="37">
        <v>3</v>
      </c>
      <c r="R20" s="37">
        <v>0</v>
      </c>
      <c r="S20" s="37">
        <v>0</v>
      </c>
      <c r="T20" s="37">
        <v>0</v>
      </c>
      <c r="U20" s="37">
        <v>0</v>
      </c>
      <c r="V20" s="37">
        <v>50</v>
      </c>
      <c r="W20" s="37">
        <v>50</v>
      </c>
      <c r="X20" s="37">
        <v>20</v>
      </c>
      <c r="Y20" s="37">
        <v>0</v>
      </c>
      <c r="Z20" s="37">
        <v>80</v>
      </c>
      <c r="AA20" s="37">
        <v>0</v>
      </c>
      <c r="AB20" s="37">
        <v>33.33</v>
      </c>
      <c r="AC20" s="24">
        <f t="shared" si="1"/>
        <v>7</v>
      </c>
      <c r="AD20" s="25">
        <f t="shared" si="2"/>
        <v>-7</v>
      </c>
      <c r="AE20" s="23" t="str">
        <f t="shared" si="3"/>
        <v>Loss</v>
      </c>
      <c r="AF20" s="23" t="str">
        <f t="shared" si="4"/>
        <v>Win</v>
      </c>
      <c r="AG20" s="23" t="str">
        <f t="shared" si="5"/>
        <v>Loss</v>
      </c>
      <c r="AH20" s="23">
        <f t="shared" si="6"/>
        <v>-50</v>
      </c>
      <c r="AI20" s="23">
        <f t="shared" si="7"/>
        <v>105</v>
      </c>
      <c r="AJ20" s="23">
        <f t="shared" si="8"/>
        <v>-50</v>
      </c>
    </row>
    <row r="21" spans="1:36" x14ac:dyDescent="0.2">
      <c r="A21" s="36">
        <v>43602</v>
      </c>
      <c r="B21" s="37" t="s">
        <v>141</v>
      </c>
      <c r="C21" s="37" t="s">
        <v>147</v>
      </c>
      <c r="D21" s="37" t="s">
        <v>148</v>
      </c>
      <c r="E21" s="37" t="s">
        <v>149</v>
      </c>
      <c r="F21" s="37" t="s">
        <v>150</v>
      </c>
      <c r="G21" s="37">
        <v>1</v>
      </c>
      <c r="H21" s="37">
        <v>2</v>
      </c>
      <c r="I21" s="37">
        <v>2.33</v>
      </c>
      <c r="J21" s="37">
        <v>3.32</v>
      </c>
      <c r="K21" s="37">
        <v>3.06</v>
      </c>
      <c r="L21" s="37">
        <v>-0.73</v>
      </c>
      <c r="M21" s="37">
        <v>8</v>
      </c>
      <c r="N21" s="37">
        <v>9</v>
      </c>
      <c r="O21" s="37">
        <v>2</v>
      </c>
      <c r="P21" s="37">
        <v>3</v>
      </c>
      <c r="Q21" s="37">
        <v>4</v>
      </c>
      <c r="R21" s="37">
        <v>50</v>
      </c>
      <c r="S21" s="37">
        <v>0</v>
      </c>
      <c r="T21" s="37">
        <v>50</v>
      </c>
      <c r="U21" s="37">
        <v>87.5</v>
      </c>
      <c r="V21" s="37">
        <v>0</v>
      </c>
      <c r="W21" s="37">
        <v>12.5</v>
      </c>
      <c r="X21" s="37">
        <v>88.89</v>
      </c>
      <c r="Y21" s="37">
        <v>0</v>
      </c>
      <c r="Z21" s="37">
        <v>11.11</v>
      </c>
      <c r="AA21" s="37">
        <v>66.67</v>
      </c>
      <c r="AB21" s="37">
        <v>100</v>
      </c>
      <c r="AC21" s="24">
        <f t="shared" si="1"/>
        <v>-0.55600000000000227</v>
      </c>
      <c r="AD21" s="25">
        <f t="shared" si="2"/>
        <v>0.55600000000000227</v>
      </c>
      <c r="AE21" s="23" t="str">
        <f t="shared" si="3"/>
        <v>Loss</v>
      </c>
      <c r="AF21" s="23" t="str">
        <f t="shared" si="4"/>
        <v>Loss</v>
      </c>
      <c r="AG21" s="23" t="str">
        <f t="shared" si="5"/>
        <v>Win</v>
      </c>
      <c r="AH21" s="23">
        <f t="shared" si="6"/>
        <v>-50</v>
      </c>
      <c r="AI21" s="23">
        <f t="shared" si="7"/>
        <v>-50</v>
      </c>
      <c r="AJ21" s="23">
        <f t="shared" si="8"/>
        <v>103</v>
      </c>
    </row>
    <row r="22" spans="1:36" x14ac:dyDescent="0.2">
      <c r="A22" s="36">
        <v>43602</v>
      </c>
      <c r="B22" s="37" t="s">
        <v>151</v>
      </c>
      <c r="C22" s="37" t="s">
        <v>152</v>
      </c>
      <c r="D22" s="37" t="s">
        <v>153</v>
      </c>
      <c r="E22" s="37" t="s">
        <v>154</v>
      </c>
      <c r="F22" s="37" t="s">
        <v>155</v>
      </c>
      <c r="G22" s="37">
        <v>0</v>
      </c>
      <c r="H22" s="37">
        <v>2</v>
      </c>
      <c r="I22" s="37">
        <v>2.72</v>
      </c>
      <c r="J22" s="37">
        <v>3.48</v>
      </c>
      <c r="K22" s="37">
        <v>2.58</v>
      </c>
      <c r="L22" s="37">
        <v>0.14000000000000001</v>
      </c>
      <c r="M22" s="37">
        <v>0</v>
      </c>
      <c r="N22" s="37">
        <v>0</v>
      </c>
      <c r="O22" s="37">
        <v>0</v>
      </c>
      <c r="P22" s="37">
        <v>0</v>
      </c>
      <c r="Q22" s="37">
        <v>0</v>
      </c>
      <c r="R22" s="37">
        <v>0</v>
      </c>
      <c r="S22" s="37">
        <v>0</v>
      </c>
      <c r="T22" s="37">
        <v>0</v>
      </c>
      <c r="U22" s="37">
        <v>0</v>
      </c>
      <c r="V22" s="37">
        <v>0</v>
      </c>
      <c r="W22" s="37">
        <v>0</v>
      </c>
      <c r="X22" s="37">
        <v>0</v>
      </c>
      <c r="Y22" s="37">
        <v>0</v>
      </c>
      <c r="Z22" s="37">
        <v>0</v>
      </c>
      <c r="AA22" s="37">
        <v>0</v>
      </c>
      <c r="AB22" s="37">
        <v>0</v>
      </c>
      <c r="AC22" s="24">
        <f t="shared" si="1"/>
        <v>0</v>
      </c>
      <c r="AD22" s="25">
        <f t="shared" si="2"/>
        <v>0</v>
      </c>
      <c r="AE22" s="23" t="str">
        <f t="shared" si="3"/>
        <v>Loss</v>
      </c>
      <c r="AF22" s="23" t="str">
        <f t="shared" si="4"/>
        <v>Loss</v>
      </c>
      <c r="AG22" s="23" t="str">
        <f t="shared" si="5"/>
        <v>Win</v>
      </c>
      <c r="AH22" s="23">
        <f t="shared" si="6"/>
        <v>-50</v>
      </c>
      <c r="AI22" s="23">
        <f t="shared" si="7"/>
        <v>-50</v>
      </c>
      <c r="AJ22" s="23">
        <f t="shared" si="8"/>
        <v>79</v>
      </c>
    </row>
    <row r="23" spans="1:36" x14ac:dyDescent="0.2">
      <c r="A23" s="36">
        <v>43602</v>
      </c>
      <c r="B23" s="37" t="s">
        <v>156</v>
      </c>
      <c r="C23" s="37" t="s">
        <v>157</v>
      </c>
      <c r="D23" s="37" t="s">
        <v>158</v>
      </c>
      <c r="E23" s="37" t="s">
        <v>159</v>
      </c>
      <c r="F23" s="37" t="s">
        <v>160</v>
      </c>
      <c r="G23" s="37">
        <v>1</v>
      </c>
      <c r="H23" s="37">
        <v>2</v>
      </c>
      <c r="I23" s="37">
        <v>2.13</v>
      </c>
      <c r="J23" s="37">
        <v>2.83</v>
      </c>
      <c r="K23" s="37">
        <v>3.91</v>
      </c>
      <c r="L23" s="37">
        <v>-1.78</v>
      </c>
      <c r="M23" s="37">
        <v>21</v>
      </c>
      <c r="N23" s="37">
        <v>23</v>
      </c>
      <c r="O23" s="37">
        <v>1</v>
      </c>
      <c r="P23" s="37">
        <v>10</v>
      </c>
      <c r="Q23" s="37">
        <v>11</v>
      </c>
      <c r="R23" s="37">
        <v>0</v>
      </c>
      <c r="S23" s="37">
        <v>100</v>
      </c>
      <c r="T23" s="37">
        <v>0</v>
      </c>
      <c r="U23" s="37">
        <v>42.86</v>
      </c>
      <c r="V23" s="37">
        <v>33.33</v>
      </c>
      <c r="W23" s="37">
        <v>23.81</v>
      </c>
      <c r="X23" s="37">
        <v>30.43</v>
      </c>
      <c r="Y23" s="37">
        <v>56.52</v>
      </c>
      <c r="Z23" s="37">
        <v>13.04</v>
      </c>
      <c r="AA23" s="37">
        <v>60</v>
      </c>
      <c r="AB23" s="37">
        <v>36.36</v>
      </c>
      <c r="AC23" s="24">
        <f t="shared" si="1"/>
        <v>8.0129999999999999</v>
      </c>
      <c r="AD23" s="25">
        <f t="shared" si="2"/>
        <v>11.986999999999998</v>
      </c>
      <c r="AE23" s="23" t="str">
        <f t="shared" si="3"/>
        <v>Loss</v>
      </c>
      <c r="AF23" s="23" t="str">
        <f t="shared" si="4"/>
        <v>Loss</v>
      </c>
      <c r="AG23" s="23" t="str">
        <f t="shared" si="5"/>
        <v>Win</v>
      </c>
      <c r="AH23" s="23">
        <f t="shared" si="6"/>
        <v>-50</v>
      </c>
      <c r="AI23" s="23">
        <f t="shared" si="7"/>
        <v>-50</v>
      </c>
      <c r="AJ23" s="23">
        <f t="shared" si="8"/>
        <v>145.5</v>
      </c>
    </row>
    <row r="24" spans="1:36" x14ac:dyDescent="0.2">
      <c r="A24" s="36">
        <v>43602</v>
      </c>
      <c r="B24" s="37" t="s">
        <v>131</v>
      </c>
      <c r="C24" s="37" t="s">
        <v>132</v>
      </c>
      <c r="D24" s="37" t="s">
        <v>161</v>
      </c>
      <c r="E24" s="37" t="s">
        <v>162</v>
      </c>
      <c r="F24" s="37" t="s">
        <v>163</v>
      </c>
      <c r="G24" s="37">
        <v>1</v>
      </c>
      <c r="H24" s="37">
        <v>0</v>
      </c>
      <c r="I24" s="37">
        <v>2.09</v>
      </c>
      <c r="J24" s="37">
        <v>3.13</v>
      </c>
      <c r="K24" s="37">
        <v>3.59</v>
      </c>
      <c r="L24" s="37">
        <v>-1.5</v>
      </c>
      <c r="M24" s="37">
        <v>32</v>
      </c>
      <c r="N24" s="37">
        <v>29</v>
      </c>
      <c r="O24" s="37">
        <v>2</v>
      </c>
      <c r="P24" s="37">
        <v>17</v>
      </c>
      <c r="Q24" s="37">
        <v>13</v>
      </c>
      <c r="R24" s="37">
        <v>50</v>
      </c>
      <c r="S24" s="37">
        <v>50</v>
      </c>
      <c r="T24" s="37">
        <v>0</v>
      </c>
      <c r="U24" s="37">
        <v>62.5</v>
      </c>
      <c r="V24" s="37">
        <v>21.88</v>
      </c>
      <c r="W24" s="37">
        <v>15.63</v>
      </c>
      <c r="X24" s="37">
        <v>44.83</v>
      </c>
      <c r="Y24" s="37">
        <v>27.59</v>
      </c>
      <c r="Z24" s="37">
        <v>27.59</v>
      </c>
      <c r="AA24" s="37">
        <v>76.47</v>
      </c>
      <c r="AB24" s="37">
        <v>30.77</v>
      </c>
      <c r="AC24" s="24">
        <f t="shared" si="1"/>
        <v>25.355000000000004</v>
      </c>
      <c r="AD24" s="25">
        <f t="shared" si="2"/>
        <v>-15.354999999999999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54.5</v>
      </c>
      <c r="AI24" s="23">
        <f t="shared" si="7"/>
        <v>-50</v>
      </c>
      <c r="AJ24" s="23">
        <f t="shared" si="8"/>
        <v>-50</v>
      </c>
    </row>
    <row r="25" spans="1:36" x14ac:dyDescent="0.2">
      <c r="A25" s="36">
        <v>43602</v>
      </c>
      <c r="B25" s="37" t="s">
        <v>164</v>
      </c>
      <c r="C25" s="37" t="s">
        <v>165</v>
      </c>
      <c r="D25" s="37" t="s">
        <v>166</v>
      </c>
      <c r="E25" s="37" t="s">
        <v>167</v>
      </c>
      <c r="F25" s="37" t="s">
        <v>168</v>
      </c>
      <c r="G25" s="37">
        <v>1</v>
      </c>
      <c r="H25" s="37">
        <v>2</v>
      </c>
      <c r="I25" s="37">
        <v>2.57</v>
      </c>
      <c r="J25" s="37">
        <v>3.6</v>
      </c>
      <c r="K25" s="37">
        <v>2.39</v>
      </c>
      <c r="L25" s="37">
        <v>0.18</v>
      </c>
      <c r="M25" s="37">
        <v>23</v>
      </c>
      <c r="N25" s="37">
        <v>23</v>
      </c>
      <c r="O25" s="37">
        <v>1</v>
      </c>
      <c r="P25" s="37">
        <v>11</v>
      </c>
      <c r="Q25" s="37">
        <v>11</v>
      </c>
      <c r="R25" s="37">
        <v>0</v>
      </c>
      <c r="S25" s="37">
        <v>0</v>
      </c>
      <c r="T25" s="37">
        <v>100</v>
      </c>
      <c r="U25" s="37">
        <v>43.48</v>
      </c>
      <c r="V25" s="37">
        <v>17.39</v>
      </c>
      <c r="W25" s="37">
        <v>39.130000000000003</v>
      </c>
      <c r="X25" s="37">
        <v>65.22</v>
      </c>
      <c r="Y25" s="37">
        <v>26.09</v>
      </c>
      <c r="Z25" s="37">
        <v>8.6999999999999993</v>
      </c>
      <c r="AA25" s="37">
        <v>63.64</v>
      </c>
      <c r="AB25" s="37">
        <v>45.45</v>
      </c>
      <c r="AC25" s="24">
        <f t="shared" si="1"/>
        <v>-41.304000000000002</v>
      </c>
      <c r="AD25" s="25">
        <f t="shared" si="2"/>
        <v>41.304000000000002</v>
      </c>
      <c r="AE25" s="23" t="str">
        <f t="shared" si="3"/>
        <v>Loss</v>
      </c>
      <c r="AF25" s="23" t="str">
        <f t="shared" si="4"/>
        <v>Loss</v>
      </c>
      <c r="AG25" s="23" t="str">
        <f t="shared" si="5"/>
        <v>Win</v>
      </c>
      <c r="AH25" s="23">
        <f t="shared" si="6"/>
        <v>-50</v>
      </c>
      <c r="AI25" s="23">
        <f t="shared" si="7"/>
        <v>-50</v>
      </c>
      <c r="AJ25" s="23">
        <f t="shared" si="8"/>
        <v>69.5</v>
      </c>
    </row>
    <row r="26" spans="1:36" x14ac:dyDescent="0.2">
      <c r="A26" s="36">
        <v>43602</v>
      </c>
      <c r="B26" s="37" t="s">
        <v>136</v>
      </c>
      <c r="C26" s="37" t="s">
        <v>169</v>
      </c>
      <c r="D26" s="37" t="s">
        <v>170</v>
      </c>
      <c r="E26" s="37" t="s">
        <v>171</v>
      </c>
      <c r="F26" s="37" t="s">
        <v>172</v>
      </c>
      <c r="G26" s="37">
        <v>4</v>
      </c>
      <c r="H26" s="37">
        <v>4</v>
      </c>
      <c r="I26" s="37">
        <v>2.39</v>
      </c>
      <c r="J26" s="37">
        <v>3.39</v>
      </c>
      <c r="K26" s="37">
        <v>2.61</v>
      </c>
      <c r="L26" s="37">
        <v>-0.22</v>
      </c>
      <c r="M26" s="37">
        <v>64</v>
      </c>
      <c r="N26" s="37">
        <v>2</v>
      </c>
      <c r="O26" s="37">
        <v>2</v>
      </c>
      <c r="P26" s="37">
        <v>32</v>
      </c>
      <c r="Q26" s="37">
        <v>2</v>
      </c>
      <c r="R26" s="37">
        <v>100</v>
      </c>
      <c r="S26" s="37">
        <v>0</v>
      </c>
      <c r="T26" s="37">
        <v>0</v>
      </c>
      <c r="U26" s="37">
        <v>48.44</v>
      </c>
      <c r="V26" s="37">
        <v>29.69</v>
      </c>
      <c r="W26" s="37">
        <v>21.88</v>
      </c>
      <c r="X26" s="37">
        <v>0</v>
      </c>
      <c r="Y26" s="37">
        <v>0</v>
      </c>
      <c r="Z26" s="37">
        <v>100</v>
      </c>
      <c r="AA26" s="37">
        <v>71.88</v>
      </c>
      <c r="AB26" s="37">
        <v>0</v>
      </c>
      <c r="AC26" s="24">
        <f t="shared" si="1"/>
        <v>58.281000000000006</v>
      </c>
      <c r="AD26" s="25">
        <f t="shared" si="2"/>
        <v>-58.281000000000006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119.5</v>
      </c>
      <c r="AJ26" s="23">
        <f t="shared" si="8"/>
        <v>-50</v>
      </c>
    </row>
    <row r="27" spans="1:36" x14ac:dyDescent="0.2">
      <c r="A27" s="36">
        <v>43602</v>
      </c>
      <c r="B27" s="37" t="s">
        <v>156</v>
      </c>
      <c r="C27" s="37" t="s">
        <v>157</v>
      </c>
      <c r="D27" s="37" t="s">
        <v>173</v>
      </c>
      <c r="E27" s="37" t="s">
        <v>174</v>
      </c>
      <c r="F27" s="37" t="s">
        <v>175</v>
      </c>
      <c r="G27" s="37">
        <v>1</v>
      </c>
      <c r="H27" s="37">
        <v>2</v>
      </c>
      <c r="I27" s="37">
        <v>2.11</v>
      </c>
      <c r="J27" s="37">
        <v>2.99</v>
      </c>
      <c r="K27" s="37">
        <v>3.74</v>
      </c>
      <c r="L27" s="37">
        <v>-1.63</v>
      </c>
      <c r="M27" s="37">
        <v>21</v>
      </c>
      <c r="N27" s="37">
        <v>23</v>
      </c>
      <c r="O27" s="37">
        <v>1</v>
      </c>
      <c r="P27" s="37">
        <v>10</v>
      </c>
      <c r="Q27" s="37">
        <v>11</v>
      </c>
      <c r="R27" s="37">
        <v>0</v>
      </c>
      <c r="S27" s="37">
        <v>0</v>
      </c>
      <c r="T27" s="37">
        <v>100</v>
      </c>
      <c r="U27" s="37">
        <v>38.1</v>
      </c>
      <c r="V27" s="37">
        <v>38.1</v>
      </c>
      <c r="W27" s="37">
        <v>23.81</v>
      </c>
      <c r="X27" s="37">
        <v>43.48</v>
      </c>
      <c r="Y27" s="37">
        <v>26.09</v>
      </c>
      <c r="Z27" s="37">
        <v>30.43</v>
      </c>
      <c r="AA27" s="37">
        <v>60</v>
      </c>
      <c r="AB27" s="37">
        <v>54.55</v>
      </c>
      <c r="AC27" s="24">
        <f t="shared" si="1"/>
        <v>-28.551000000000002</v>
      </c>
      <c r="AD27" s="25">
        <f t="shared" si="2"/>
        <v>28.551000000000002</v>
      </c>
      <c r="AE27" s="23" t="str">
        <f t="shared" si="3"/>
        <v>Loss</v>
      </c>
      <c r="AF27" s="23" t="str">
        <f t="shared" si="4"/>
        <v>Loss</v>
      </c>
      <c r="AG27" s="23" t="str">
        <f t="shared" si="5"/>
        <v>Win</v>
      </c>
      <c r="AH27" s="23">
        <f t="shared" si="6"/>
        <v>-50</v>
      </c>
      <c r="AI27" s="23">
        <f t="shared" si="7"/>
        <v>-50</v>
      </c>
      <c r="AJ27" s="23">
        <f t="shared" si="8"/>
        <v>137</v>
      </c>
    </row>
    <row r="28" spans="1:36" x14ac:dyDescent="0.2">
      <c r="A28" s="36">
        <v>43602</v>
      </c>
      <c r="B28" s="37" t="s">
        <v>141</v>
      </c>
      <c r="C28" s="37" t="s">
        <v>142</v>
      </c>
      <c r="D28" s="37" t="s">
        <v>176</v>
      </c>
      <c r="E28" s="37" t="s">
        <v>177</v>
      </c>
      <c r="F28" s="37" t="s">
        <v>178</v>
      </c>
      <c r="G28" s="37" t="s">
        <v>146</v>
      </c>
      <c r="H28" s="37" t="s">
        <v>146</v>
      </c>
      <c r="I28" s="37">
        <v>2.59</v>
      </c>
      <c r="J28" s="37">
        <v>2.98</v>
      </c>
      <c r="K28" s="37">
        <v>2.67</v>
      </c>
      <c r="L28" s="37">
        <v>-0.08</v>
      </c>
      <c r="M28" s="37">
        <v>10</v>
      </c>
      <c r="N28" s="37">
        <v>2</v>
      </c>
      <c r="O28" s="37">
        <v>0</v>
      </c>
      <c r="P28" s="37">
        <v>5</v>
      </c>
      <c r="Q28" s="37">
        <v>1</v>
      </c>
      <c r="R28" s="37">
        <v>0</v>
      </c>
      <c r="S28" s="37">
        <v>0</v>
      </c>
      <c r="T28" s="37">
        <v>0</v>
      </c>
      <c r="U28" s="37">
        <v>50</v>
      </c>
      <c r="V28" s="37">
        <v>20</v>
      </c>
      <c r="W28" s="37">
        <v>30</v>
      </c>
      <c r="X28" s="37">
        <v>50</v>
      </c>
      <c r="Y28" s="37">
        <v>50</v>
      </c>
      <c r="Z28" s="37">
        <v>0</v>
      </c>
      <c r="AA28" s="37">
        <v>40</v>
      </c>
      <c r="AB28" s="37">
        <v>100</v>
      </c>
      <c r="AC28" s="24">
        <f t="shared" si="1"/>
        <v>-9</v>
      </c>
      <c r="AD28" s="25">
        <f t="shared" si="2"/>
        <v>9</v>
      </c>
      <c r="AE28" s="23" t="str">
        <f t="shared" si="3"/>
        <v>Loss</v>
      </c>
      <c r="AF28" s="23" t="str">
        <f t="shared" si="4"/>
        <v>Win</v>
      </c>
      <c r="AG28" s="23" t="str">
        <f t="shared" si="5"/>
        <v>Loss</v>
      </c>
      <c r="AH28" s="23">
        <f t="shared" si="6"/>
        <v>-50</v>
      </c>
      <c r="AI28" s="23">
        <f t="shared" si="7"/>
        <v>99</v>
      </c>
      <c r="AJ28" s="23">
        <f t="shared" si="8"/>
        <v>-50</v>
      </c>
    </row>
    <row r="29" spans="1:36" x14ac:dyDescent="0.2">
      <c r="A29" s="36">
        <v>43602</v>
      </c>
      <c r="B29" s="37" t="s">
        <v>179</v>
      </c>
      <c r="C29" s="37" t="s">
        <v>107</v>
      </c>
      <c r="D29" s="37" t="s">
        <v>180</v>
      </c>
      <c r="E29" s="37" t="s">
        <v>181</v>
      </c>
      <c r="F29" s="37" t="s">
        <v>182</v>
      </c>
      <c r="G29" s="37">
        <v>0</v>
      </c>
      <c r="H29" s="37">
        <v>1</v>
      </c>
      <c r="I29" s="37">
        <v>2.79</v>
      </c>
      <c r="J29" s="37">
        <v>3.21</v>
      </c>
      <c r="K29" s="37">
        <v>2.5099999999999998</v>
      </c>
      <c r="L29" s="37">
        <v>0.28000000000000003</v>
      </c>
      <c r="M29" s="37">
        <v>59</v>
      </c>
      <c r="N29" s="37">
        <v>48</v>
      </c>
      <c r="O29" s="37">
        <v>2</v>
      </c>
      <c r="P29" s="37">
        <v>32</v>
      </c>
      <c r="Q29" s="37">
        <v>25</v>
      </c>
      <c r="R29" s="37">
        <v>0</v>
      </c>
      <c r="S29" s="37">
        <v>0</v>
      </c>
      <c r="T29" s="37">
        <v>100</v>
      </c>
      <c r="U29" s="37">
        <v>57.63</v>
      </c>
      <c r="V29" s="37">
        <v>22.03</v>
      </c>
      <c r="W29" s="37">
        <v>20.34</v>
      </c>
      <c r="X29" s="37">
        <v>52.08</v>
      </c>
      <c r="Y29" s="37">
        <v>14.58</v>
      </c>
      <c r="Z29" s="37">
        <v>33.33</v>
      </c>
      <c r="AA29" s="37">
        <v>68.75</v>
      </c>
      <c r="AB29" s="37">
        <v>48</v>
      </c>
      <c r="AC29" s="24">
        <f t="shared" si="1"/>
        <v>-25.547000000000001</v>
      </c>
      <c r="AD29" s="25">
        <f t="shared" si="2"/>
        <v>25.547000000000001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75.499999999999986</v>
      </c>
    </row>
    <row r="30" spans="1:36" x14ac:dyDescent="0.2">
      <c r="A30" s="36">
        <v>43602</v>
      </c>
      <c r="B30" s="37" t="s">
        <v>183</v>
      </c>
      <c r="C30" s="37" t="s">
        <v>184</v>
      </c>
      <c r="D30" s="37" t="s">
        <v>185</v>
      </c>
      <c r="E30" s="37" t="s">
        <v>186</v>
      </c>
      <c r="F30" s="37" t="s">
        <v>187</v>
      </c>
      <c r="G30" s="37">
        <v>2</v>
      </c>
      <c r="H30" s="37">
        <v>0</v>
      </c>
      <c r="I30" s="37">
        <v>1.32</v>
      </c>
      <c r="J30" s="37">
        <v>5.33</v>
      </c>
      <c r="K30" s="37">
        <v>9.0500000000000007</v>
      </c>
      <c r="L30" s="37">
        <v>-7.73</v>
      </c>
      <c r="M30" s="37">
        <v>16</v>
      </c>
      <c r="N30" s="37">
        <v>13</v>
      </c>
      <c r="O30" s="37">
        <v>0</v>
      </c>
      <c r="P30" s="37">
        <v>9</v>
      </c>
      <c r="Q30" s="37">
        <v>7</v>
      </c>
      <c r="R30" s="37">
        <v>0</v>
      </c>
      <c r="S30" s="37">
        <v>0</v>
      </c>
      <c r="T30" s="37">
        <v>0</v>
      </c>
      <c r="U30" s="37">
        <v>68.75</v>
      </c>
      <c r="V30" s="37">
        <v>18.75</v>
      </c>
      <c r="W30" s="37">
        <v>12.5</v>
      </c>
      <c r="X30" s="37">
        <v>46.15</v>
      </c>
      <c r="Y30" s="37">
        <v>15.38</v>
      </c>
      <c r="Z30" s="37">
        <v>38.46</v>
      </c>
      <c r="AA30" s="37">
        <v>88.89</v>
      </c>
      <c r="AB30" s="37">
        <v>42.86</v>
      </c>
      <c r="AC30" s="24">
        <f t="shared" si="1"/>
        <v>10.048999999999999</v>
      </c>
      <c r="AD30" s="25">
        <f t="shared" si="2"/>
        <v>-10.048999999999999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16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43602</v>
      </c>
      <c r="B31" s="37" t="s">
        <v>188</v>
      </c>
      <c r="C31" s="37" t="s">
        <v>189</v>
      </c>
      <c r="D31" s="37" t="s">
        <v>190</v>
      </c>
      <c r="E31" s="37" t="s">
        <v>191</v>
      </c>
      <c r="F31" s="37" t="s">
        <v>192</v>
      </c>
      <c r="G31" s="37" t="s">
        <v>146</v>
      </c>
      <c r="H31" s="37" t="s">
        <v>146</v>
      </c>
      <c r="I31" s="37">
        <v>4.51</v>
      </c>
      <c r="J31" s="37">
        <v>4.6900000000000004</v>
      </c>
      <c r="K31" s="37">
        <v>1.53</v>
      </c>
      <c r="L31" s="37">
        <v>2.98</v>
      </c>
      <c r="M31" s="37">
        <v>13</v>
      </c>
      <c r="N31" s="37">
        <v>13</v>
      </c>
      <c r="O31" s="37">
        <v>1</v>
      </c>
      <c r="P31" s="37">
        <v>7</v>
      </c>
      <c r="Q31" s="37">
        <v>8</v>
      </c>
      <c r="R31" s="37">
        <v>0</v>
      </c>
      <c r="S31" s="37">
        <v>0</v>
      </c>
      <c r="T31" s="37">
        <v>100</v>
      </c>
      <c r="U31" s="37">
        <v>23.08</v>
      </c>
      <c r="V31" s="37">
        <v>7.69</v>
      </c>
      <c r="W31" s="37">
        <v>69.23</v>
      </c>
      <c r="X31" s="37">
        <v>53.85</v>
      </c>
      <c r="Y31" s="37">
        <v>7.69</v>
      </c>
      <c r="Z31" s="37">
        <v>38.46</v>
      </c>
      <c r="AA31" s="37">
        <v>28.57</v>
      </c>
      <c r="AB31" s="37">
        <v>62.5</v>
      </c>
      <c r="AC31" s="24">
        <f t="shared" si="1"/>
        <v>-42.308000000000007</v>
      </c>
      <c r="AD31" s="25">
        <f t="shared" si="2"/>
        <v>42.308000000000007</v>
      </c>
      <c r="AE31" s="23" t="str">
        <f t="shared" si="3"/>
        <v>Loss</v>
      </c>
      <c r="AF31" s="23" t="str">
        <f t="shared" si="4"/>
        <v>Win</v>
      </c>
      <c r="AG31" s="23" t="str">
        <f t="shared" si="5"/>
        <v>Loss</v>
      </c>
      <c r="AH31" s="23">
        <f t="shared" si="6"/>
        <v>-50</v>
      </c>
      <c r="AI31" s="23">
        <f t="shared" si="7"/>
        <v>184.50000000000003</v>
      </c>
      <c r="AJ31" s="23">
        <f t="shared" si="8"/>
        <v>-50</v>
      </c>
    </row>
    <row r="32" spans="1:36" x14ac:dyDescent="0.2">
      <c r="A32" s="36">
        <v>43602</v>
      </c>
      <c r="B32" s="37" t="s">
        <v>188</v>
      </c>
      <c r="C32" s="37" t="s">
        <v>193</v>
      </c>
      <c r="D32" s="37" t="s">
        <v>194</v>
      </c>
      <c r="E32" s="37" t="s">
        <v>195</v>
      </c>
      <c r="F32" s="37" t="s">
        <v>196</v>
      </c>
      <c r="G32" s="37" t="s">
        <v>146</v>
      </c>
      <c r="H32" s="37" t="s">
        <v>146</v>
      </c>
      <c r="I32" s="37">
        <v>1.7</v>
      </c>
      <c r="J32" s="37">
        <v>4.08</v>
      </c>
      <c r="K32" s="37">
        <v>3.98</v>
      </c>
      <c r="L32" s="37">
        <v>-2.2799999999999998</v>
      </c>
      <c r="M32" s="37">
        <v>12</v>
      </c>
      <c r="N32" s="37">
        <v>12</v>
      </c>
      <c r="O32" s="37">
        <v>0</v>
      </c>
      <c r="P32" s="37">
        <v>6</v>
      </c>
      <c r="Q32" s="37">
        <v>6</v>
      </c>
      <c r="R32" s="37">
        <v>0</v>
      </c>
      <c r="S32" s="37">
        <v>0</v>
      </c>
      <c r="T32" s="37">
        <v>0</v>
      </c>
      <c r="U32" s="37">
        <v>58.33</v>
      </c>
      <c r="V32" s="37">
        <v>8.33</v>
      </c>
      <c r="W32" s="37">
        <v>33.33</v>
      </c>
      <c r="X32" s="37">
        <v>25</v>
      </c>
      <c r="Y32" s="37">
        <v>25</v>
      </c>
      <c r="Z32" s="37">
        <v>50</v>
      </c>
      <c r="AA32" s="37">
        <v>66.67</v>
      </c>
      <c r="AB32" s="37">
        <v>50</v>
      </c>
      <c r="AC32" s="24">
        <f t="shared" si="1"/>
        <v>8.3330000000000002</v>
      </c>
      <c r="AD32" s="25">
        <f t="shared" si="2"/>
        <v>-8.3330000000000002</v>
      </c>
      <c r="AE32" s="23" t="str">
        <f t="shared" si="3"/>
        <v>Loss</v>
      </c>
      <c r="AF32" s="23" t="str">
        <f t="shared" si="4"/>
        <v>Win</v>
      </c>
      <c r="AG32" s="23" t="str">
        <f t="shared" si="5"/>
        <v>Loss</v>
      </c>
      <c r="AH32" s="23">
        <f t="shared" si="6"/>
        <v>-50</v>
      </c>
      <c r="AI32" s="23">
        <f t="shared" si="7"/>
        <v>154</v>
      </c>
      <c r="AJ32" s="23">
        <f t="shared" si="8"/>
        <v>-50</v>
      </c>
    </row>
    <row r="33" spans="1:36" x14ac:dyDescent="0.2">
      <c r="A33" s="36">
        <v>43602</v>
      </c>
      <c r="B33" s="37" t="s">
        <v>188</v>
      </c>
      <c r="C33" s="37" t="s">
        <v>197</v>
      </c>
      <c r="D33" s="37" t="s">
        <v>198</v>
      </c>
      <c r="E33" s="37" t="s">
        <v>199</v>
      </c>
      <c r="F33" s="37" t="s">
        <v>200</v>
      </c>
      <c r="G33" s="37" t="s">
        <v>146</v>
      </c>
      <c r="H33" s="37" t="s">
        <v>146</v>
      </c>
      <c r="I33" s="37">
        <v>1.29</v>
      </c>
      <c r="J33" s="37">
        <v>5.48</v>
      </c>
      <c r="K33" s="37">
        <v>7.3</v>
      </c>
      <c r="L33" s="37">
        <v>-6.01</v>
      </c>
      <c r="M33" s="37">
        <v>12</v>
      </c>
      <c r="N33" s="37">
        <v>18</v>
      </c>
      <c r="O33" s="37">
        <v>0</v>
      </c>
      <c r="P33" s="37">
        <v>6</v>
      </c>
      <c r="Q33" s="37">
        <v>9</v>
      </c>
      <c r="R33" s="37">
        <v>0</v>
      </c>
      <c r="S33" s="37">
        <v>0</v>
      </c>
      <c r="T33" s="37">
        <v>0</v>
      </c>
      <c r="U33" s="37">
        <v>41.67</v>
      </c>
      <c r="V33" s="37">
        <v>25</v>
      </c>
      <c r="W33" s="37">
        <v>33.33</v>
      </c>
      <c r="X33" s="37">
        <v>38.89</v>
      </c>
      <c r="Y33" s="37">
        <v>11.11</v>
      </c>
      <c r="Z33" s="37">
        <v>50</v>
      </c>
      <c r="AA33" s="37">
        <v>33.33</v>
      </c>
      <c r="AB33" s="37">
        <v>55.56</v>
      </c>
      <c r="AC33" s="24">
        <f t="shared" si="1"/>
        <v>5.2790000000000008</v>
      </c>
      <c r="AD33" s="25">
        <f t="shared" si="2"/>
        <v>-5.2790000000000008</v>
      </c>
      <c r="AE33" s="23" t="str">
        <f t="shared" si="3"/>
        <v>Loss</v>
      </c>
      <c r="AF33" s="23" t="str">
        <f t="shared" si="4"/>
        <v>Win</v>
      </c>
      <c r="AG33" s="23" t="str">
        <f t="shared" si="5"/>
        <v>Loss</v>
      </c>
      <c r="AH33" s="23">
        <f t="shared" si="6"/>
        <v>-50</v>
      </c>
      <c r="AI33" s="23">
        <f t="shared" si="7"/>
        <v>224</v>
      </c>
      <c r="AJ33" s="23">
        <f t="shared" si="8"/>
        <v>-50</v>
      </c>
    </row>
    <row r="34" spans="1:36" x14ac:dyDescent="0.2">
      <c r="A34" s="36">
        <v>43602</v>
      </c>
      <c r="B34" s="37" t="s">
        <v>201</v>
      </c>
      <c r="C34" s="37" t="s">
        <v>202</v>
      </c>
      <c r="D34" s="37" t="s">
        <v>203</v>
      </c>
      <c r="E34" s="37" t="s">
        <v>204</v>
      </c>
      <c r="F34" s="37" t="s">
        <v>205</v>
      </c>
      <c r="G34" s="37" t="s">
        <v>146</v>
      </c>
      <c r="H34" s="37" t="s">
        <v>146</v>
      </c>
      <c r="I34" s="37">
        <v>3.76</v>
      </c>
      <c r="J34" s="37">
        <v>3.59</v>
      </c>
      <c r="K34" s="37">
        <v>1.92</v>
      </c>
      <c r="L34" s="37">
        <v>1.84</v>
      </c>
      <c r="M34" s="37">
        <v>9</v>
      </c>
      <c r="N34" s="37">
        <v>11</v>
      </c>
      <c r="O34" s="37">
        <v>0</v>
      </c>
      <c r="P34" s="37">
        <v>4</v>
      </c>
      <c r="Q34" s="37">
        <v>5</v>
      </c>
      <c r="R34" s="37">
        <v>0</v>
      </c>
      <c r="S34" s="37">
        <v>0</v>
      </c>
      <c r="T34" s="37">
        <v>0</v>
      </c>
      <c r="U34" s="37">
        <v>33.33</v>
      </c>
      <c r="V34" s="37">
        <v>22.22</v>
      </c>
      <c r="W34" s="37">
        <v>44.44</v>
      </c>
      <c r="X34" s="37">
        <v>81.819999999999993</v>
      </c>
      <c r="Y34" s="37">
        <v>9.09</v>
      </c>
      <c r="Z34" s="37">
        <v>9.09</v>
      </c>
      <c r="AA34" s="37">
        <v>25</v>
      </c>
      <c r="AB34" s="37">
        <v>80</v>
      </c>
      <c r="AC34" s="24">
        <f t="shared" si="1"/>
        <v>-15.455</v>
      </c>
      <c r="AD34" s="25">
        <f t="shared" si="2"/>
        <v>15.455</v>
      </c>
      <c r="AE34" s="23" t="str">
        <f t="shared" si="3"/>
        <v>Loss</v>
      </c>
      <c r="AF34" s="23" t="str">
        <f t="shared" si="4"/>
        <v>Win</v>
      </c>
      <c r="AG34" s="23" t="str">
        <f t="shared" si="5"/>
        <v>Loss</v>
      </c>
      <c r="AH34" s="23">
        <f t="shared" si="6"/>
        <v>-50</v>
      </c>
      <c r="AI34" s="23">
        <f t="shared" si="7"/>
        <v>129.5</v>
      </c>
      <c r="AJ34" s="23">
        <f t="shared" si="8"/>
        <v>-50</v>
      </c>
    </row>
    <row r="35" spans="1:36" x14ac:dyDescent="0.2">
      <c r="A35" s="36">
        <v>43602</v>
      </c>
      <c r="B35" s="37" t="s">
        <v>206</v>
      </c>
      <c r="C35" s="37" t="s">
        <v>207</v>
      </c>
      <c r="D35" s="37" t="s">
        <v>208</v>
      </c>
      <c r="E35" s="37" t="s">
        <v>209</v>
      </c>
      <c r="F35" s="37" t="s">
        <v>210</v>
      </c>
      <c r="G35" s="37" t="s">
        <v>146</v>
      </c>
      <c r="H35" s="37" t="s">
        <v>146</v>
      </c>
      <c r="I35" s="37">
        <v>1.87</v>
      </c>
      <c r="J35" s="37">
        <v>4.07</v>
      </c>
      <c r="K35" s="37">
        <v>3.17</v>
      </c>
      <c r="L35" s="37">
        <v>-1.3</v>
      </c>
      <c r="M35" s="37">
        <v>26</v>
      </c>
      <c r="N35" s="37">
        <v>28</v>
      </c>
      <c r="O35" s="37">
        <v>1</v>
      </c>
      <c r="P35" s="37">
        <v>13</v>
      </c>
      <c r="Q35" s="37">
        <v>14</v>
      </c>
      <c r="R35" s="37">
        <v>0</v>
      </c>
      <c r="S35" s="37">
        <v>0</v>
      </c>
      <c r="T35" s="37">
        <v>100</v>
      </c>
      <c r="U35" s="37">
        <v>46.15</v>
      </c>
      <c r="V35" s="37">
        <v>0</v>
      </c>
      <c r="W35" s="37">
        <v>53.85</v>
      </c>
      <c r="X35" s="37">
        <v>39.29</v>
      </c>
      <c r="Y35" s="37">
        <v>0</v>
      </c>
      <c r="Z35" s="37">
        <v>60.71</v>
      </c>
      <c r="AA35" s="37">
        <v>46.15</v>
      </c>
      <c r="AB35" s="37">
        <v>28.57</v>
      </c>
      <c r="AC35" s="24">
        <f t="shared" si="1"/>
        <v>-27.255999999999993</v>
      </c>
      <c r="AD35" s="25">
        <f t="shared" si="2"/>
        <v>27.255999999999993</v>
      </c>
      <c r="AE35" s="23" t="str">
        <f t="shared" si="3"/>
        <v>Loss</v>
      </c>
      <c r="AF35" s="23" t="str">
        <f t="shared" si="4"/>
        <v>Win</v>
      </c>
      <c r="AG35" s="23" t="str">
        <f t="shared" si="5"/>
        <v>Loss</v>
      </c>
      <c r="AH35" s="23">
        <f t="shared" si="6"/>
        <v>-50</v>
      </c>
      <c r="AI35" s="23">
        <f t="shared" si="7"/>
        <v>153.5</v>
      </c>
      <c r="AJ35" s="23">
        <f t="shared" si="8"/>
        <v>-50</v>
      </c>
    </row>
    <row r="36" spans="1:36" x14ac:dyDescent="0.2">
      <c r="A36" s="36">
        <v>43602</v>
      </c>
      <c r="B36" s="37" t="s">
        <v>211</v>
      </c>
      <c r="C36" s="37" t="s">
        <v>212</v>
      </c>
      <c r="D36" s="37" t="s">
        <v>213</v>
      </c>
      <c r="E36" s="37" t="s">
        <v>214</v>
      </c>
      <c r="F36" s="37" t="s">
        <v>215</v>
      </c>
      <c r="G36" s="37" t="s">
        <v>146</v>
      </c>
      <c r="H36" s="37" t="s">
        <v>146</v>
      </c>
      <c r="I36" s="37">
        <v>1.91</v>
      </c>
      <c r="J36" s="37">
        <v>3.79</v>
      </c>
      <c r="K36" s="37">
        <v>3.69</v>
      </c>
      <c r="L36" s="37">
        <v>-1.78</v>
      </c>
      <c r="M36" s="37">
        <v>16</v>
      </c>
      <c r="N36" s="37">
        <v>18</v>
      </c>
      <c r="O36" s="37">
        <v>0</v>
      </c>
      <c r="P36" s="37">
        <v>11</v>
      </c>
      <c r="Q36" s="37">
        <v>9</v>
      </c>
      <c r="R36" s="37">
        <v>0</v>
      </c>
      <c r="S36" s="37">
        <v>0</v>
      </c>
      <c r="T36" s="37">
        <v>0</v>
      </c>
      <c r="U36" s="37">
        <v>62.5</v>
      </c>
      <c r="V36" s="37">
        <v>25</v>
      </c>
      <c r="W36" s="37">
        <v>12.5</v>
      </c>
      <c r="X36" s="37">
        <v>50</v>
      </c>
      <c r="Y36" s="37">
        <v>27.78</v>
      </c>
      <c r="Z36" s="37">
        <v>22.22</v>
      </c>
      <c r="AA36" s="37">
        <v>54.55</v>
      </c>
      <c r="AB36" s="37">
        <v>22.22</v>
      </c>
      <c r="AC36" s="24">
        <f t="shared" si="1"/>
        <v>4.1659999999999995</v>
      </c>
      <c r="AD36" s="25">
        <f t="shared" si="2"/>
        <v>-4.1659999999999995</v>
      </c>
      <c r="AE36" s="23" t="str">
        <f t="shared" si="3"/>
        <v>Loss</v>
      </c>
      <c r="AF36" s="23" t="str">
        <f t="shared" si="4"/>
        <v>Win</v>
      </c>
      <c r="AG36" s="23" t="str">
        <f t="shared" si="5"/>
        <v>Loss</v>
      </c>
      <c r="AH36" s="23">
        <f t="shared" si="6"/>
        <v>-50</v>
      </c>
      <c r="AI36" s="23">
        <f t="shared" si="7"/>
        <v>139.5</v>
      </c>
      <c r="AJ36" s="23">
        <f t="shared" si="8"/>
        <v>-50</v>
      </c>
    </row>
    <row r="37" spans="1:36" x14ac:dyDescent="0.2">
      <c r="A37" s="36">
        <v>43602</v>
      </c>
      <c r="B37" s="37" t="s">
        <v>211</v>
      </c>
      <c r="C37" s="37" t="s">
        <v>212</v>
      </c>
      <c r="D37" s="37" t="s">
        <v>216</v>
      </c>
      <c r="E37" s="37" t="s">
        <v>217</v>
      </c>
      <c r="F37" s="37" t="s">
        <v>218</v>
      </c>
      <c r="G37" s="37" t="s">
        <v>146</v>
      </c>
      <c r="H37" s="37" t="s">
        <v>146</v>
      </c>
      <c r="I37" s="37">
        <v>1.86</v>
      </c>
      <c r="J37" s="37">
        <v>3.31</v>
      </c>
      <c r="K37" s="37">
        <v>4.4800000000000004</v>
      </c>
      <c r="L37" s="37">
        <v>-2.62</v>
      </c>
      <c r="M37" s="37">
        <v>14</v>
      </c>
      <c r="N37" s="37">
        <v>20</v>
      </c>
      <c r="O37" s="37">
        <v>0</v>
      </c>
      <c r="P37" s="37">
        <v>8</v>
      </c>
      <c r="Q37" s="37">
        <v>10</v>
      </c>
      <c r="R37" s="37">
        <v>0</v>
      </c>
      <c r="S37" s="37">
        <v>0</v>
      </c>
      <c r="T37" s="37">
        <v>0</v>
      </c>
      <c r="U37" s="37">
        <v>50</v>
      </c>
      <c r="V37" s="37">
        <v>14.29</v>
      </c>
      <c r="W37" s="37">
        <v>35.71</v>
      </c>
      <c r="X37" s="37">
        <v>30</v>
      </c>
      <c r="Y37" s="37">
        <v>15</v>
      </c>
      <c r="Z37" s="37">
        <v>55</v>
      </c>
      <c r="AA37" s="37">
        <v>50</v>
      </c>
      <c r="AB37" s="37">
        <v>10</v>
      </c>
      <c r="AC37" s="24">
        <f t="shared" si="1"/>
        <v>7.7869999999999999</v>
      </c>
      <c r="AD37" s="25">
        <f t="shared" si="2"/>
        <v>-7.7869999999999999</v>
      </c>
      <c r="AE37" s="23" t="str">
        <f t="shared" si="3"/>
        <v>Loss</v>
      </c>
      <c r="AF37" s="23" t="str">
        <f t="shared" si="4"/>
        <v>Win</v>
      </c>
      <c r="AG37" s="23" t="str">
        <f t="shared" si="5"/>
        <v>Loss</v>
      </c>
      <c r="AH37" s="23">
        <f t="shared" si="6"/>
        <v>-50</v>
      </c>
      <c r="AI37" s="23">
        <f t="shared" si="7"/>
        <v>115.5</v>
      </c>
      <c r="AJ37" s="23">
        <f t="shared" si="8"/>
        <v>-50</v>
      </c>
    </row>
    <row r="38" spans="1:36" x14ac:dyDescent="0.2">
      <c r="A38" s="36">
        <v>43602</v>
      </c>
      <c r="B38" s="37" t="s">
        <v>219</v>
      </c>
      <c r="C38" s="37" t="s">
        <v>220</v>
      </c>
      <c r="D38" s="37" t="s">
        <v>221</v>
      </c>
      <c r="E38" s="37" t="s">
        <v>222</v>
      </c>
      <c r="F38" s="37" t="s">
        <v>223</v>
      </c>
      <c r="G38" s="37" t="s">
        <v>146</v>
      </c>
      <c r="H38" s="37" t="s">
        <v>146</v>
      </c>
      <c r="I38" s="37">
        <v>3.11</v>
      </c>
      <c r="J38" s="37">
        <v>3.57</v>
      </c>
      <c r="K38" s="37">
        <v>2.0499999999999998</v>
      </c>
      <c r="L38" s="37">
        <v>1.06</v>
      </c>
      <c r="M38" s="37">
        <v>28</v>
      </c>
      <c r="N38" s="37">
        <v>28</v>
      </c>
      <c r="O38" s="37">
        <v>1</v>
      </c>
      <c r="P38" s="37">
        <v>14</v>
      </c>
      <c r="Q38" s="37">
        <v>13</v>
      </c>
      <c r="R38" s="37">
        <v>0</v>
      </c>
      <c r="S38" s="37">
        <v>0</v>
      </c>
      <c r="T38" s="37">
        <v>100</v>
      </c>
      <c r="U38" s="37">
        <v>46.43</v>
      </c>
      <c r="V38" s="37">
        <v>14.29</v>
      </c>
      <c r="W38" s="37">
        <v>39.29</v>
      </c>
      <c r="X38" s="37">
        <v>64.290000000000006</v>
      </c>
      <c r="Y38" s="37">
        <v>10.71</v>
      </c>
      <c r="Z38" s="37">
        <v>25</v>
      </c>
      <c r="AA38" s="37">
        <v>50</v>
      </c>
      <c r="AB38" s="37">
        <v>61.54</v>
      </c>
      <c r="AC38" s="24">
        <f t="shared" si="1"/>
        <v>-36.072000000000003</v>
      </c>
      <c r="AD38" s="25">
        <f t="shared" si="2"/>
        <v>36.072000000000003</v>
      </c>
      <c r="AE38" s="23" t="str">
        <f t="shared" si="3"/>
        <v>Loss</v>
      </c>
      <c r="AF38" s="23" t="str">
        <f t="shared" si="4"/>
        <v>Win</v>
      </c>
      <c r="AG38" s="23" t="str">
        <f t="shared" si="5"/>
        <v>Loss</v>
      </c>
      <c r="AH38" s="23">
        <f t="shared" si="6"/>
        <v>-50</v>
      </c>
      <c r="AI38" s="23">
        <f t="shared" si="7"/>
        <v>128.5</v>
      </c>
      <c r="AJ38" s="23">
        <f t="shared" si="8"/>
        <v>-50</v>
      </c>
    </row>
    <row r="39" spans="1:36" x14ac:dyDescent="0.2">
      <c r="A39" s="36">
        <v>43602</v>
      </c>
      <c r="B39" s="37" t="s">
        <v>219</v>
      </c>
      <c r="C39" s="37" t="s">
        <v>220</v>
      </c>
      <c r="D39" s="37" t="s">
        <v>224</v>
      </c>
      <c r="E39" s="37" t="s">
        <v>225</v>
      </c>
      <c r="F39" s="37" t="s">
        <v>226</v>
      </c>
      <c r="G39" s="37" t="s">
        <v>146</v>
      </c>
      <c r="H39" s="37" t="s">
        <v>146</v>
      </c>
      <c r="I39" s="37">
        <v>2.23</v>
      </c>
      <c r="J39" s="37">
        <v>3.62</v>
      </c>
      <c r="K39" s="37">
        <v>2.71</v>
      </c>
      <c r="L39" s="37">
        <v>-0.48</v>
      </c>
      <c r="M39" s="37">
        <v>28</v>
      </c>
      <c r="N39" s="37">
        <v>28</v>
      </c>
      <c r="O39" s="37">
        <v>1</v>
      </c>
      <c r="P39" s="37">
        <v>14</v>
      </c>
      <c r="Q39" s="37">
        <v>14</v>
      </c>
      <c r="R39" s="37">
        <v>100</v>
      </c>
      <c r="S39" s="37">
        <v>0</v>
      </c>
      <c r="T39" s="37">
        <v>0</v>
      </c>
      <c r="U39" s="37">
        <v>21.43</v>
      </c>
      <c r="V39" s="37">
        <v>14.29</v>
      </c>
      <c r="W39" s="37">
        <v>64.290000000000006</v>
      </c>
      <c r="X39" s="37">
        <v>14.29</v>
      </c>
      <c r="Y39" s="37">
        <v>17.86</v>
      </c>
      <c r="Z39" s="37">
        <v>67.86</v>
      </c>
      <c r="AA39" s="37">
        <v>21.43</v>
      </c>
      <c r="AB39" s="37">
        <v>14.29</v>
      </c>
      <c r="AC39" s="24">
        <f t="shared" si="1"/>
        <v>31.784999999999997</v>
      </c>
      <c r="AD39" s="25">
        <f t="shared" si="2"/>
        <v>-31.784999999999997</v>
      </c>
      <c r="AE39" s="23" t="str">
        <f t="shared" si="3"/>
        <v>Loss</v>
      </c>
      <c r="AF39" s="23" t="str">
        <f t="shared" si="4"/>
        <v>Win</v>
      </c>
      <c r="AG39" s="23" t="str">
        <f t="shared" si="5"/>
        <v>Loss</v>
      </c>
      <c r="AH39" s="23">
        <f t="shared" si="6"/>
        <v>-50</v>
      </c>
      <c r="AI39" s="23">
        <f t="shared" si="7"/>
        <v>131</v>
      </c>
      <c r="AJ39" s="23">
        <f t="shared" si="8"/>
        <v>-50</v>
      </c>
    </row>
    <row r="40" spans="1:36" x14ac:dyDescent="0.2">
      <c r="A40" s="36">
        <v>43602</v>
      </c>
      <c r="B40" s="37" t="s">
        <v>227</v>
      </c>
      <c r="C40" s="37" t="s">
        <v>220</v>
      </c>
      <c r="D40" s="37" t="s">
        <v>228</v>
      </c>
      <c r="E40" s="37" t="s">
        <v>229</v>
      </c>
      <c r="F40" s="37" t="s">
        <v>230</v>
      </c>
      <c r="G40" s="37" t="s">
        <v>146</v>
      </c>
      <c r="H40" s="37" t="s">
        <v>146</v>
      </c>
      <c r="I40" s="37">
        <v>1.24</v>
      </c>
      <c r="J40" s="37">
        <v>5.77</v>
      </c>
      <c r="K40" s="37">
        <v>8.16</v>
      </c>
      <c r="L40" s="37">
        <v>-6.92</v>
      </c>
      <c r="M40" s="37">
        <v>14</v>
      </c>
      <c r="N40" s="37">
        <v>17</v>
      </c>
      <c r="O40" s="37">
        <v>2</v>
      </c>
      <c r="P40" s="37">
        <v>9</v>
      </c>
      <c r="Q40" s="37">
        <v>9</v>
      </c>
      <c r="R40" s="37">
        <v>100</v>
      </c>
      <c r="S40" s="37">
        <v>0</v>
      </c>
      <c r="T40" s="37">
        <v>0</v>
      </c>
      <c r="U40" s="37">
        <v>78.569999999999993</v>
      </c>
      <c r="V40" s="37">
        <v>7.14</v>
      </c>
      <c r="W40" s="37">
        <v>14.29</v>
      </c>
      <c r="X40" s="37">
        <v>41.18</v>
      </c>
      <c r="Y40" s="37">
        <v>11.76</v>
      </c>
      <c r="Z40" s="37">
        <v>47.06</v>
      </c>
      <c r="AA40" s="37">
        <v>77.78</v>
      </c>
      <c r="AB40" s="37">
        <v>33.33</v>
      </c>
      <c r="AC40" s="24">
        <f t="shared" si="1"/>
        <v>43.57</v>
      </c>
      <c r="AD40" s="25">
        <f t="shared" si="2"/>
        <v>-43.57</v>
      </c>
      <c r="AE40" s="23" t="str">
        <f t="shared" si="3"/>
        <v>Loss</v>
      </c>
      <c r="AF40" s="23" t="str">
        <f t="shared" si="4"/>
        <v>Win</v>
      </c>
      <c r="AG40" s="23" t="str">
        <f t="shared" si="5"/>
        <v>Loss</v>
      </c>
      <c r="AH40" s="23">
        <f t="shared" si="6"/>
        <v>-50</v>
      </c>
      <c r="AI40" s="23">
        <f t="shared" si="7"/>
        <v>238.5</v>
      </c>
      <c r="AJ40" s="23">
        <f t="shared" si="8"/>
        <v>-50</v>
      </c>
    </row>
    <row r="41" spans="1:36" x14ac:dyDescent="0.2">
      <c r="A41" s="36">
        <v>43602</v>
      </c>
      <c r="B41" s="37" t="s">
        <v>188</v>
      </c>
      <c r="C41" s="37" t="s">
        <v>193</v>
      </c>
      <c r="D41" s="37" t="s">
        <v>231</v>
      </c>
      <c r="E41" s="37" t="s">
        <v>232</v>
      </c>
      <c r="F41" s="37" t="s">
        <v>233</v>
      </c>
      <c r="G41" s="37" t="s">
        <v>146</v>
      </c>
      <c r="H41" s="37" t="s">
        <v>146</v>
      </c>
      <c r="I41" s="37">
        <v>3.34</v>
      </c>
      <c r="J41" s="37">
        <v>3.59</v>
      </c>
      <c r="K41" s="37">
        <v>1.99</v>
      </c>
      <c r="L41" s="37">
        <v>1.35</v>
      </c>
      <c r="M41" s="37">
        <v>12</v>
      </c>
      <c r="N41" s="37">
        <v>12</v>
      </c>
      <c r="O41" s="37">
        <v>0</v>
      </c>
      <c r="P41" s="37">
        <v>6</v>
      </c>
      <c r="Q41" s="37">
        <v>6</v>
      </c>
      <c r="R41" s="37">
        <v>0</v>
      </c>
      <c r="S41" s="37">
        <v>0</v>
      </c>
      <c r="T41" s="37">
        <v>0</v>
      </c>
      <c r="U41" s="37">
        <v>25</v>
      </c>
      <c r="V41" s="37">
        <v>16.670000000000002</v>
      </c>
      <c r="W41" s="37">
        <v>58.33</v>
      </c>
      <c r="X41" s="37">
        <v>50</v>
      </c>
      <c r="Y41" s="37">
        <v>8.33</v>
      </c>
      <c r="Z41" s="37">
        <v>41.67</v>
      </c>
      <c r="AA41" s="37">
        <v>33.33</v>
      </c>
      <c r="AB41" s="37">
        <v>50</v>
      </c>
      <c r="AC41" s="24">
        <f t="shared" si="1"/>
        <v>-7.4979999999999993</v>
      </c>
      <c r="AD41" s="25">
        <f t="shared" si="2"/>
        <v>7.4979999999999993</v>
      </c>
      <c r="AE41" s="23" t="str">
        <f t="shared" si="3"/>
        <v>Loss</v>
      </c>
      <c r="AF41" s="23" t="str">
        <f t="shared" si="4"/>
        <v>Win</v>
      </c>
      <c r="AG41" s="23" t="str">
        <f t="shared" si="5"/>
        <v>Loss</v>
      </c>
      <c r="AH41" s="23">
        <f t="shared" si="6"/>
        <v>-50</v>
      </c>
      <c r="AI41" s="23">
        <f t="shared" si="7"/>
        <v>129.5</v>
      </c>
      <c r="AJ41" s="23">
        <f t="shared" si="8"/>
        <v>-50</v>
      </c>
    </row>
    <row r="42" spans="1:36" x14ac:dyDescent="0.2">
      <c r="A42" s="36">
        <v>43602</v>
      </c>
      <c r="B42" s="37" t="s">
        <v>188</v>
      </c>
      <c r="C42" s="37" t="s">
        <v>193</v>
      </c>
      <c r="D42" s="37" t="s">
        <v>234</v>
      </c>
      <c r="E42" s="37" t="s">
        <v>235</v>
      </c>
      <c r="F42" s="37" t="s">
        <v>236</v>
      </c>
      <c r="G42" s="37" t="s">
        <v>146</v>
      </c>
      <c r="H42" s="37" t="s">
        <v>146</v>
      </c>
      <c r="I42" s="37">
        <v>2.86</v>
      </c>
      <c r="J42" s="37">
        <v>3.63</v>
      </c>
      <c r="K42" s="37">
        <v>2.19</v>
      </c>
      <c r="L42" s="37">
        <v>0.67</v>
      </c>
      <c r="M42" s="37">
        <v>12</v>
      </c>
      <c r="N42" s="37">
        <v>13</v>
      </c>
      <c r="O42" s="37">
        <v>0</v>
      </c>
      <c r="P42" s="37">
        <v>7</v>
      </c>
      <c r="Q42" s="37">
        <v>7</v>
      </c>
      <c r="R42" s="37">
        <v>0</v>
      </c>
      <c r="S42" s="37">
        <v>0</v>
      </c>
      <c r="T42" s="37">
        <v>0</v>
      </c>
      <c r="U42" s="37">
        <v>16.670000000000002</v>
      </c>
      <c r="V42" s="37">
        <v>8.33</v>
      </c>
      <c r="W42" s="37">
        <v>75</v>
      </c>
      <c r="X42" s="37">
        <v>30.77</v>
      </c>
      <c r="Y42" s="37">
        <v>7.69</v>
      </c>
      <c r="Z42" s="37">
        <v>61.54</v>
      </c>
      <c r="AA42" s="37">
        <v>14.29</v>
      </c>
      <c r="AB42" s="37">
        <v>28.57</v>
      </c>
      <c r="AC42" s="24">
        <f t="shared" si="1"/>
        <v>-5.4480000000000004</v>
      </c>
      <c r="AD42" s="25">
        <f t="shared" si="2"/>
        <v>5.4480000000000004</v>
      </c>
      <c r="AE42" s="23" t="str">
        <f t="shared" si="3"/>
        <v>Loss</v>
      </c>
      <c r="AF42" s="23" t="str">
        <f t="shared" si="4"/>
        <v>Win</v>
      </c>
      <c r="AG42" s="23" t="str">
        <f t="shared" si="5"/>
        <v>Loss</v>
      </c>
      <c r="AH42" s="23">
        <f t="shared" si="6"/>
        <v>-50</v>
      </c>
      <c r="AI42" s="23">
        <f t="shared" si="7"/>
        <v>131.5</v>
      </c>
      <c r="AJ42" s="23">
        <f t="shared" si="8"/>
        <v>-50</v>
      </c>
    </row>
    <row r="43" spans="1:36" x14ac:dyDescent="0.2">
      <c r="A43" s="36">
        <v>43602</v>
      </c>
      <c r="B43" s="37" t="s">
        <v>206</v>
      </c>
      <c r="C43" s="37" t="s">
        <v>207</v>
      </c>
      <c r="D43" s="37" t="s">
        <v>237</v>
      </c>
      <c r="E43" s="37" t="s">
        <v>238</v>
      </c>
      <c r="F43" s="37" t="s">
        <v>239</v>
      </c>
      <c r="G43" s="37" t="s">
        <v>146</v>
      </c>
      <c r="H43" s="37" t="s">
        <v>146</v>
      </c>
      <c r="I43" s="37">
        <v>1.55</v>
      </c>
      <c r="J43" s="37">
        <v>4.3</v>
      </c>
      <c r="K43" s="37">
        <v>4.55</v>
      </c>
      <c r="L43" s="37">
        <v>-3</v>
      </c>
      <c r="M43" s="37">
        <v>27</v>
      </c>
      <c r="N43" s="37">
        <v>27</v>
      </c>
      <c r="O43" s="37">
        <v>1</v>
      </c>
      <c r="P43" s="37">
        <v>13</v>
      </c>
      <c r="Q43" s="37">
        <v>13</v>
      </c>
      <c r="R43" s="37">
        <v>100</v>
      </c>
      <c r="S43" s="37">
        <v>0</v>
      </c>
      <c r="T43" s="37">
        <v>0</v>
      </c>
      <c r="U43" s="37">
        <v>66.67</v>
      </c>
      <c r="V43" s="37">
        <v>0</v>
      </c>
      <c r="W43" s="37">
        <v>33.33</v>
      </c>
      <c r="X43" s="37">
        <v>59.26</v>
      </c>
      <c r="Y43" s="37">
        <v>0</v>
      </c>
      <c r="Z43" s="37">
        <v>40.74</v>
      </c>
      <c r="AA43" s="37">
        <v>61.54</v>
      </c>
      <c r="AB43" s="37">
        <v>61.54</v>
      </c>
      <c r="AC43" s="24">
        <f t="shared" si="1"/>
        <v>32.964000000000006</v>
      </c>
      <c r="AD43" s="25">
        <f t="shared" si="2"/>
        <v>-32.964000000000006</v>
      </c>
      <c r="AE43" s="23" t="str">
        <f t="shared" si="3"/>
        <v>Loss</v>
      </c>
      <c r="AF43" s="23" t="str">
        <f t="shared" si="4"/>
        <v>Win</v>
      </c>
      <c r="AG43" s="23" t="str">
        <f t="shared" si="5"/>
        <v>Loss</v>
      </c>
      <c r="AH43" s="23">
        <f t="shared" si="6"/>
        <v>-50</v>
      </c>
      <c r="AI43" s="23">
        <f t="shared" si="7"/>
        <v>165</v>
      </c>
      <c r="AJ43" s="23">
        <f t="shared" si="8"/>
        <v>-50</v>
      </c>
    </row>
    <row r="44" spans="1:36" x14ac:dyDescent="0.2">
      <c r="A44" s="36">
        <v>43602</v>
      </c>
      <c r="B44" s="37" t="s">
        <v>211</v>
      </c>
      <c r="C44" s="37" t="s">
        <v>212</v>
      </c>
      <c r="D44" s="37" t="s">
        <v>240</v>
      </c>
      <c r="E44" s="37" t="s">
        <v>241</v>
      </c>
      <c r="F44" s="37" t="s">
        <v>242</v>
      </c>
      <c r="G44" s="37" t="s">
        <v>146</v>
      </c>
      <c r="H44" s="37" t="s">
        <v>146</v>
      </c>
      <c r="I44" s="37">
        <v>2.2000000000000002</v>
      </c>
      <c r="J44" s="37">
        <v>3.28</v>
      </c>
      <c r="K44" s="37">
        <v>3.33</v>
      </c>
      <c r="L44" s="37">
        <v>-1.1299999999999999</v>
      </c>
      <c r="M44" s="37">
        <v>18</v>
      </c>
      <c r="N44" s="37">
        <v>19</v>
      </c>
      <c r="O44" s="37">
        <v>0</v>
      </c>
      <c r="P44" s="37">
        <v>11</v>
      </c>
      <c r="Q44" s="37">
        <v>8</v>
      </c>
      <c r="R44" s="37">
        <v>0</v>
      </c>
      <c r="S44" s="37">
        <v>0</v>
      </c>
      <c r="T44" s="37">
        <v>0</v>
      </c>
      <c r="U44" s="37">
        <v>61.11</v>
      </c>
      <c r="V44" s="37">
        <v>11.11</v>
      </c>
      <c r="W44" s="37">
        <v>27.78</v>
      </c>
      <c r="X44" s="37">
        <v>42.11</v>
      </c>
      <c r="Y44" s="37">
        <v>10.53</v>
      </c>
      <c r="Z44" s="37">
        <v>47.37</v>
      </c>
      <c r="AA44" s="37">
        <v>63.64</v>
      </c>
      <c r="AB44" s="37">
        <v>25</v>
      </c>
      <c r="AC44" s="24">
        <f t="shared" si="1"/>
        <v>7.7760000000000007</v>
      </c>
      <c r="AD44" s="25">
        <f t="shared" si="2"/>
        <v>-7.7760000000000007</v>
      </c>
      <c r="AE44" s="23" t="str">
        <f t="shared" si="3"/>
        <v>Loss</v>
      </c>
      <c r="AF44" s="23" t="str">
        <f t="shared" si="4"/>
        <v>Win</v>
      </c>
      <c r="AG44" s="23" t="str">
        <f t="shared" si="5"/>
        <v>Loss</v>
      </c>
      <c r="AH44" s="23">
        <f t="shared" si="6"/>
        <v>-50</v>
      </c>
      <c r="AI44" s="23">
        <f t="shared" si="7"/>
        <v>114</v>
      </c>
      <c r="AJ44" s="23">
        <f t="shared" si="8"/>
        <v>-50</v>
      </c>
    </row>
    <row r="45" spans="1:36" x14ac:dyDescent="0.2">
      <c r="A45" s="36">
        <v>43602</v>
      </c>
      <c r="B45" s="37" t="s">
        <v>188</v>
      </c>
      <c r="C45" s="37" t="s">
        <v>243</v>
      </c>
      <c r="D45" s="37" t="s">
        <v>244</v>
      </c>
      <c r="E45" s="37" t="s">
        <v>245</v>
      </c>
      <c r="F45" s="37" t="s">
        <v>246</v>
      </c>
      <c r="G45" s="37" t="s">
        <v>146</v>
      </c>
      <c r="H45" s="37" t="s">
        <v>146</v>
      </c>
      <c r="I45" s="37">
        <v>3.43</v>
      </c>
      <c r="J45" s="37">
        <v>3.82</v>
      </c>
      <c r="K45" s="37">
        <v>1.85</v>
      </c>
      <c r="L45" s="37">
        <v>1.58</v>
      </c>
      <c r="M45" s="37">
        <v>9</v>
      </c>
      <c r="N45" s="37">
        <v>9</v>
      </c>
      <c r="O45" s="37">
        <v>0</v>
      </c>
      <c r="P45" s="37">
        <v>5</v>
      </c>
      <c r="Q45" s="37">
        <v>8</v>
      </c>
      <c r="R45" s="37">
        <v>0</v>
      </c>
      <c r="S45" s="37">
        <v>0</v>
      </c>
      <c r="T45" s="37">
        <v>0</v>
      </c>
      <c r="U45" s="37">
        <v>22.22</v>
      </c>
      <c r="V45" s="37">
        <v>33.33</v>
      </c>
      <c r="W45" s="37">
        <v>44.44</v>
      </c>
      <c r="X45" s="37">
        <v>55.56</v>
      </c>
      <c r="Y45" s="37">
        <v>11.11</v>
      </c>
      <c r="Z45" s="37">
        <v>33.33</v>
      </c>
      <c r="AA45" s="37">
        <v>40</v>
      </c>
      <c r="AB45" s="37">
        <v>50</v>
      </c>
      <c r="AC45" s="24">
        <f t="shared" si="1"/>
        <v>-6.6680000000000028</v>
      </c>
      <c r="AD45" s="25">
        <f t="shared" si="2"/>
        <v>6.6680000000000028</v>
      </c>
      <c r="AE45" s="23" t="str">
        <f t="shared" si="3"/>
        <v>Loss</v>
      </c>
      <c r="AF45" s="23" t="str">
        <f t="shared" si="4"/>
        <v>Win</v>
      </c>
      <c r="AG45" s="23" t="str">
        <f t="shared" si="5"/>
        <v>Loss</v>
      </c>
      <c r="AH45" s="23">
        <f t="shared" si="6"/>
        <v>-50</v>
      </c>
      <c r="AI45" s="23">
        <f t="shared" si="7"/>
        <v>141</v>
      </c>
      <c r="AJ45" s="23">
        <f t="shared" si="8"/>
        <v>-50</v>
      </c>
    </row>
    <row r="46" spans="1:36" x14ac:dyDescent="0.2">
      <c r="A46" s="36">
        <v>43602</v>
      </c>
      <c r="B46" s="37" t="s">
        <v>188</v>
      </c>
      <c r="C46" s="37" t="s">
        <v>243</v>
      </c>
      <c r="D46" s="37" t="s">
        <v>247</v>
      </c>
      <c r="E46" s="37" t="s">
        <v>248</v>
      </c>
      <c r="F46" s="37" t="s">
        <v>249</v>
      </c>
      <c r="G46" s="37" t="s">
        <v>146</v>
      </c>
      <c r="H46" s="37" t="s">
        <v>146</v>
      </c>
      <c r="I46" s="37">
        <v>2.92</v>
      </c>
      <c r="J46" s="37">
        <v>3.86</v>
      </c>
      <c r="K46" s="37">
        <v>2.04</v>
      </c>
      <c r="L46" s="37">
        <v>0.88</v>
      </c>
      <c r="M46" s="37">
        <v>9</v>
      </c>
      <c r="N46" s="37">
        <v>9</v>
      </c>
      <c r="O46" s="37">
        <v>0</v>
      </c>
      <c r="P46" s="37">
        <v>2</v>
      </c>
      <c r="Q46" s="37">
        <v>3</v>
      </c>
      <c r="R46" s="37">
        <v>0</v>
      </c>
      <c r="S46" s="37">
        <v>0</v>
      </c>
      <c r="T46" s="37">
        <v>0</v>
      </c>
      <c r="U46" s="37">
        <v>22.22</v>
      </c>
      <c r="V46" s="37">
        <v>11.11</v>
      </c>
      <c r="W46" s="37">
        <v>66.67</v>
      </c>
      <c r="X46" s="37">
        <v>33.33</v>
      </c>
      <c r="Y46" s="37">
        <v>22.22</v>
      </c>
      <c r="Z46" s="37">
        <v>44.44</v>
      </c>
      <c r="AA46" s="37">
        <v>50</v>
      </c>
      <c r="AB46" s="37">
        <v>0</v>
      </c>
      <c r="AC46" s="24">
        <f t="shared" si="1"/>
        <v>-7.7790000000000017</v>
      </c>
      <c r="AD46" s="25">
        <f t="shared" si="2"/>
        <v>7.7790000000000017</v>
      </c>
      <c r="AE46" s="23" t="str">
        <f t="shared" si="3"/>
        <v>Loss</v>
      </c>
      <c r="AF46" s="23" t="str">
        <f t="shared" si="4"/>
        <v>Win</v>
      </c>
      <c r="AG46" s="23" t="str">
        <f t="shared" si="5"/>
        <v>Loss</v>
      </c>
      <c r="AH46" s="23">
        <f t="shared" si="6"/>
        <v>-50</v>
      </c>
      <c r="AI46" s="23">
        <f t="shared" si="7"/>
        <v>143</v>
      </c>
      <c r="AJ46" s="23">
        <f t="shared" si="8"/>
        <v>-50</v>
      </c>
    </row>
    <row r="47" spans="1:36" x14ac:dyDescent="0.2">
      <c r="A47" s="36">
        <v>43602</v>
      </c>
      <c r="B47" s="37" t="s">
        <v>250</v>
      </c>
      <c r="C47" s="37" t="s">
        <v>251</v>
      </c>
      <c r="D47" s="37" t="s">
        <v>252</v>
      </c>
      <c r="E47" s="37" t="s">
        <v>253</v>
      </c>
      <c r="F47" s="37" t="s">
        <v>254</v>
      </c>
      <c r="G47" s="37" t="s">
        <v>146</v>
      </c>
      <c r="H47" s="37" t="s">
        <v>146</v>
      </c>
      <c r="I47" s="37">
        <v>2.57</v>
      </c>
      <c r="J47" s="37">
        <v>3.73</v>
      </c>
      <c r="K47" s="37">
        <v>2.34</v>
      </c>
      <c r="L47" s="37">
        <v>0.23</v>
      </c>
      <c r="M47" s="37">
        <v>7</v>
      </c>
      <c r="N47" s="37">
        <v>7</v>
      </c>
      <c r="O47" s="37">
        <v>1</v>
      </c>
      <c r="P47" s="37">
        <v>2</v>
      </c>
      <c r="Q47" s="37">
        <v>2</v>
      </c>
      <c r="R47" s="37">
        <v>100</v>
      </c>
      <c r="S47" s="37">
        <v>0</v>
      </c>
      <c r="T47" s="37">
        <v>0</v>
      </c>
      <c r="U47" s="37">
        <v>71.430000000000007</v>
      </c>
      <c r="V47" s="37">
        <v>14.29</v>
      </c>
      <c r="W47" s="37">
        <v>14.29</v>
      </c>
      <c r="X47" s="37">
        <v>85.71</v>
      </c>
      <c r="Y47" s="37">
        <v>0</v>
      </c>
      <c r="Z47" s="37">
        <v>14.29</v>
      </c>
      <c r="AA47" s="37">
        <v>50</v>
      </c>
      <c r="AB47" s="37">
        <v>100</v>
      </c>
      <c r="AC47" s="24">
        <f t="shared" si="1"/>
        <v>28.573000000000008</v>
      </c>
      <c r="AD47" s="25">
        <f t="shared" si="2"/>
        <v>-28.573000000000008</v>
      </c>
      <c r="AE47" s="23" t="str">
        <f t="shared" si="3"/>
        <v>Loss</v>
      </c>
      <c r="AF47" s="23" t="str">
        <f t="shared" si="4"/>
        <v>Win</v>
      </c>
      <c r="AG47" s="23" t="str">
        <f t="shared" si="5"/>
        <v>Loss</v>
      </c>
      <c r="AH47" s="23">
        <f t="shared" si="6"/>
        <v>-50</v>
      </c>
      <c r="AI47" s="23">
        <f t="shared" si="7"/>
        <v>136.5</v>
      </c>
      <c r="AJ47" s="23">
        <f t="shared" si="8"/>
        <v>-50</v>
      </c>
    </row>
    <row r="48" spans="1:36" x14ac:dyDescent="0.2">
      <c r="A48" s="36">
        <v>43602</v>
      </c>
      <c r="B48" s="37" t="s">
        <v>255</v>
      </c>
      <c r="C48" s="37" t="s">
        <v>256</v>
      </c>
      <c r="D48" s="37" t="s">
        <v>257</v>
      </c>
      <c r="E48" s="37" t="s">
        <v>258</v>
      </c>
      <c r="F48" s="37" t="s">
        <v>259</v>
      </c>
      <c r="G48" s="37" t="s">
        <v>146</v>
      </c>
      <c r="H48" s="37" t="s">
        <v>146</v>
      </c>
      <c r="I48" s="37">
        <v>2.14</v>
      </c>
      <c r="J48" s="37">
        <v>3.28</v>
      </c>
      <c r="K48" s="37">
        <v>3.05</v>
      </c>
      <c r="L48" s="37">
        <v>-0.91</v>
      </c>
      <c r="M48" s="37">
        <v>9</v>
      </c>
      <c r="N48" s="37">
        <v>9</v>
      </c>
      <c r="O48" s="37">
        <v>0</v>
      </c>
      <c r="P48" s="37">
        <v>4</v>
      </c>
      <c r="Q48" s="37">
        <v>5</v>
      </c>
      <c r="R48" s="37">
        <v>0</v>
      </c>
      <c r="S48" s="37">
        <v>0</v>
      </c>
      <c r="T48" s="37">
        <v>0</v>
      </c>
      <c r="U48" s="37">
        <v>44.44</v>
      </c>
      <c r="V48" s="37">
        <v>22.22</v>
      </c>
      <c r="W48" s="37">
        <v>33.33</v>
      </c>
      <c r="X48" s="37">
        <v>66.67</v>
      </c>
      <c r="Y48" s="37">
        <v>22.22</v>
      </c>
      <c r="Z48" s="37">
        <v>11.11</v>
      </c>
      <c r="AA48" s="37">
        <v>75</v>
      </c>
      <c r="AB48" s="37">
        <v>60</v>
      </c>
      <c r="AC48" s="24">
        <f t="shared" si="1"/>
        <v>-8.8900000000000023</v>
      </c>
      <c r="AD48" s="25">
        <f t="shared" si="2"/>
        <v>8.8900000000000023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114</v>
      </c>
      <c r="AJ48" s="23">
        <f t="shared" si="8"/>
        <v>-50</v>
      </c>
    </row>
    <row r="49" spans="1:36" x14ac:dyDescent="0.2">
      <c r="A49" s="36">
        <v>43602</v>
      </c>
      <c r="B49" s="37" t="s">
        <v>227</v>
      </c>
      <c r="C49" s="37" t="s">
        <v>220</v>
      </c>
      <c r="D49" s="37" t="s">
        <v>260</v>
      </c>
      <c r="E49" s="37" t="s">
        <v>261</v>
      </c>
      <c r="F49" s="37" t="s">
        <v>262</v>
      </c>
      <c r="G49" s="37" t="s">
        <v>146</v>
      </c>
      <c r="H49" s="37" t="s">
        <v>146</v>
      </c>
      <c r="I49" s="37">
        <v>3.42</v>
      </c>
      <c r="J49" s="37">
        <v>3.96</v>
      </c>
      <c r="K49" s="37">
        <v>1.81</v>
      </c>
      <c r="L49" s="37">
        <v>1.61</v>
      </c>
      <c r="M49" s="37">
        <v>15</v>
      </c>
      <c r="N49" s="37">
        <v>16</v>
      </c>
      <c r="O49" s="37">
        <v>2</v>
      </c>
      <c r="P49" s="37">
        <v>8</v>
      </c>
      <c r="Q49" s="37">
        <v>9</v>
      </c>
      <c r="R49" s="37">
        <v>0</v>
      </c>
      <c r="S49" s="37">
        <v>0</v>
      </c>
      <c r="T49" s="37">
        <v>100</v>
      </c>
      <c r="U49" s="37">
        <v>13.33</v>
      </c>
      <c r="V49" s="37">
        <v>13.33</v>
      </c>
      <c r="W49" s="37">
        <v>73.33</v>
      </c>
      <c r="X49" s="37">
        <v>37.5</v>
      </c>
      <c r="Y49" s="37">
        <v>31.25</v>
      </c>
      <c r="Z49" s="37">
        <v>31.25</v>
      </c>
      <c r="AA49" s="37">
        <v>12.5</v>
      </c>
      <c r="AB49" s="37">
        <v>22.22</v>
      </c>
      <c r="AC49" s="24">
        <f t="shared" si="1"/>
        <v>-45.042000000000002</v>
      </c>
      <c r="AD49" s="25">
        <f t="shared" si="2"/>
        <v>45.042000000000002</v>
      </c>
      <c r="AE49" s="23" t="str">
        <f t="shared" si="3"/>
        <v>Loss</v>
      </c>
      <c r="AF49" s="23" t="str">
        <f t="shared" si="4"/>
        <v>Win</v>
      </c>
      <c r="AG49" s="23" t="str">
        <f t="shared" si="5"/>
        <v>Loss</v>
      </c>
      <c r="AH49" s="23">
        <f t="shared" si="6"/>
        <v>-50</v>
      </c>
      <c r="AI49" s="23">
        <f t="shared" si="7"/>
        <v>148</v>
      </c>
      <c r="AJ49" s="23">
        <f t="shared" si="8"/>
        <v>-50</v>
      </c>
    </row>
    <row r="50" spans="1:36" x14ac:dyDescent="0.2">
      <c r="A50" s="36">
        <v>43602</v>
      </c>
      <c r="B50" s="37" t="s">
        <v>201</v>
      </c>
      <c r="C50" s="37" t="s">
        <v>202</v>
      </c>
      <c r="D50" s="37" t="s">
        <v>263</v>
      </c>
      <c r="E50" s="37" t="s">
        <v>264</v>
      </c>
      <c r="F50" s="37" t="s">
        <v>265</v>
      </c>
      <c r="G50" s="37" t="s">
        <v>146</v>
      </c>
      <c r="H50" s="37" t="s">
        <v>146</v>
      </c>
      <c r="I50" s="37">
        <v>1.1599999999999999</v>
      </c>
      <c r="J50" s="37">
        <v>7.05</v>
      </c>
      <c r="K50" s="37">
        <v>14.97</v>
      </c>
      <c r="L50" s="37">
        <v>-13.81</v>
      </c>
      <c r="M50" s="37">
        <v>11</v>
      </c>
      <c r="N50" s="37">
        <v>10</v>
      </c>
      <c r="O50" s="37">
        <v>0</v>
      </c>
      <c r="P50" s="37">
        <v>4</v>
      </c>
      <c r="Q50" s="37">
        <v>4</v>
      </c>
      <c r="R50" s="37">
        <v>0</v>
      </c>
      <c r="S50" s="37">
        <v>0</v>
      </c>
      <c r="T50" s="37">
        <v>0</v>
      </c>
      <c r="U50" s="37">
        <v>90.91</v>
      </c>
      <c r="V50" s="37">
        <v>0</v>
      </c>
      <c r="W50" s="37">
        <v>9.09</v>
      </c>
      <c r="X50" s="37">
        <v>20</v>
      </c>
      <c r="Y50" s="37">
        <v>40</v>
      </c>
      <c r="Z50" s="37">
        <v>40</v>
      </c>
      <c r="AA50" s="37">
        <v>100</v>
      </c>
      <c r="AB50" s="37">
        <v>25</v>
      </c>
      <c r="AC50" s="24">
        <f t="shared" si="1"/>
        <v>16.363999999999997</v>
      </c>
      <c r="AD50" s="25">
        <f t="shared" si="2"/>
        <v>-16.363999999999997</v>
      </c>
      <c r="AE50" s="23" t="str">
        <f t="shared" si="3"/>
        <v>Loss</v>
      </c>
      <c r="AF50" s="23" t="str">
        <f t="shared" si="4"/>
        <v>Win</v>
      </c>
      <c r="AG50" s="23" t="str">
        <f t="shared" si="5"/>
        <v>Loss</v>
      </c>
      <c r="AH50" s="23">
        <f t="shared" si="6"/>
        <v>-50</v>
      </c>
      <c r="AI50" s="23">
        <f t="shared" si="7"/>
        <v>302.5</v>
      </c>
      <c r="AJ50" s="23">
        <f t="shared" si="8"/>
        <v>-50</v>
      </c>
    </row>
    <row r="51" spans="1:36" x14ac:dyDescent="0.2">
      <c r="A51" s="36">
        <v>43602</v>
      </c>
      <c r="B51" s="37" t="s">
        <v>201</v>
      </c>
      <c r="C51" s="37" t="s">
        <v>202</v>
      </c>
      <c r="D51" s="37" t="s">
        <v>266</v>
      </c>
      <c r="E51" s="37" t="s">
        <v>267</v>
      </c>
      <c r="F51" s="37" t="s">
        <v>268</v>
      </c>
      <c r="G51" s="37" t="s">
        <v>146</v>
      </c>
      <c r="H51" s="37" t="s">
        <v>146</v>
      </c>
      <c r="I51" s="37">
        <v>4.95</v>
      </c>
      <c r="J51" s="37">
        <v>4.0199999999999996</v>
      </c>
      <c r="K51" s="37">
        <v>1.62</v>
      </c>
      <c r="L51" s="37">
        <v>3.33</v>
      </c>
      <c r="M51" s="37">
        <v>9</v>
      </c>
      <c r="N51" s="37">
        <v>10</v>
      </c>
      <c r="O51" s="37">
        <v>0</v>
      </c>
      <c r="P51" s="37">
        <v>5</v>
      </c>
      <c r="Q51" s="37">
        <v>3</v>
      </c>
      <c r="R51" s="37">
        <v>0</v>
      </c>
      <c r="S51" s="37">
        <v>0</v>
      </c>
      <c r="T51" s="37">
        <v>0</v>
      </c>
      <c r="U51" s="37">
        <v>22.22</v>
      </c>
      <c r="V51" s="37">
        <v>22.22</v>
      </c>
      <c r="W51" s="37">
        <v>55.56</v>
      </c>
      <c r="X51" s="37">
        <v>70</v>
      </c>
      <c r="Y51" s="37">
        <v>10</v>
      </c>
      <c r="Z51" s="37">
        <v>20</v>
      </c>
      <c r="AA51" s="37">
        <v>20</v>
      </c>
      <c r="AB51" s="37">
        <v>66.67</v>
      </c>
      <c r="AC51" s="24">
        <f t="shared" si="1"/>
        <v>-15.446000000000002</v>
      </c>
      <c r="AD51" s="25">
        <f t="shared" si="2"/>
        <v>15.446000000000002</v>
      </c>
      <c r="AE51" s="23" t="str">
        <f t="shared" si="3"/>
        <v>Loss</v>
      </c>
      <c r="AF51" s="23" t="str">
        <f t="shared" si="4"/>
        <v>Win</v>
      </c>
      <c r="AG51" s="23" t="str">
        <f t="shared" si="5"/>
        <v>Loss</v>
      </c>
      <c r="AH51" s="23">
        <f t="shared" si="6"/>
        <v>-50</v>
      </c>
      <c r="AI51" s="23">
        <f t="shared" si="7"/>
        <v>150.99999999999997</v>
      </c>
      <c r="AJ51" s="23">
        <f t="shared" si="8"/>
        <v>-50</v>
      </c>
    </row>
    <row r="52" spans="1:36" x14ac:dyDescent="0.2">
      <c r="A52" s="36">
        <v>43602</v>
      </c>
      <c r="B52" s="37" t="s">
        <v>201</v>
      </c>
      <c r="C52" s="37" t="s">
        <v>202</v>
      </c>
      <c r="D52" s="37" t="s">
        <v>269</v>
      </c>
      <c r="E52" s="37" t="s">
        <v>270</v>
      </c>
      <c r="F52" s="37" t="s">
        <v>271</v>
      </c>
      <c r="G52" s="37" t="s">
        <v>146</v>
      </c>
      <c r="H52" s="37" t="s">
        <v>146</v>
      </c>
      <c r="I52" s="37">
        <v>3.21</v>
      </c>
      <c r="J52" s="37">
        <v>3.53</v>
      </c>
      <c r="K52" s="37">
        <v>2.11</v>
      </c>
      <c r="L52" s="37">
        <v>1.1000000000000001</v>
      </c>
      <c r="M52" s="37">
        <v>9</v>
      </c>
      <c r="N52" s="37">
        <v>10</v>
      </c>
      <c r="O52" s="37">
        <v>0</v>
      </c>
      <c r="P52" s="37">
        <v>4</v>
      </c>
      <c r="Q52" s="37">
        <v>4</v>
      </c>
      <c r="R52" s="37">
        <v>0</v>
      </c>
      <c r="S52" s="37">
        <v>0</v>
      </c>
      <c r="T52" s="37">
        <v>0</v>
      </c>
      <c r="U52" s="37">
        <v>22.22</v>
      </c>
      <c r="V52" s="37">
        <v>22.22</v>
      </c>
      <c r="W52" s="37">
        <v>55.56</v>
      </c>
      <c r="X52" s="37">
        <v>50</v>
      </c>
      <c r="Y52" s="37">
        <v>20</v>
      </c>
      <c r="Z52" s="37">
        <v>30</v>
      </c>
      <c r="AA52" s="37">
        <v>25</v>
      </c>
      <c r="AB52" s="37">
        <v>25</v>
      </c>
      <c r="AC52" s="24">
        <f t="shared" si="1"/>
        <v>-10.446000000000002</v>
      </c>
      <c r="AD52" s="25">
        <f t="shared" si="2"/>
        <v>10.446000000000002</v>
      </c>
      <c r="AE52" s="23" t="str">
        <f t="shared" si="3"/>
        <v>Loss</v>
      </c>
      <c r="AF52" s="23" t="str">
        <f t="shared" si="4"/>
        <v>Win</v>
      </c>
      <c r="AG52" s="23" t="str">
        <f t="shared" si="5"/>
        <v>Loss</v>
      </c>
      <c r="AH52" s="23">
        <f t="shared" si="6"/>
        <v>-50</v>
      </c>
      <c r="AI52" s="23">
        <f t="shared" si="7"/>
        <v>126.5</v>
      </c>
      <c r="AJ52" s="23">
        <f t="shared" si="8"/>
        <v>-50</v>
      </c>
    </row>
    <row r="53" spans="1:36" x14ac:dyDescent="0.2">
      <c r="A53" s="36">
        <v>43602</v>
      </c>
      <c r="B53" s="37" t="s">
        <v>272</v>
      </c>
      <c r="C53" s="37" t="s">
        <v>273</v>
      </c>
      <c r="D53" s="37" t="s">
        <v>274</v>
      </c>
      <c r="E53" s="37" t="s">
        <v>275</v>
      </c>
      <c r="F53" s="37" t="s">
        <v>276</v>
      </c>
      <c r="G53" s="37" t="s">
        <v>146</v>
      </c>
      <c r="H53" s="37" t="s">
        <v>146</v>
      </c>
      <c r="I53" s="37">
        <v>2.76</v>
      </c>
      <c r="J53" s="37">
        <v>3.17</v>
      </c>
      <c r="K53" s="37">
        <v>2.25</v>
      </c>
      <c r="L53" s="37">
        <v>0.51</v>
      </c>
      <c r="M53" s="37">
        <v>13</v>
      </c>
      <c r="N53" s="37">
        <v>5</v>
      </c>
      <c r="O53" s="37">
        <v>0</v>
      </c>
      <c r="P53" s="37">
        <v>7</v>
      </c>
      <c r="Q53" s="37">
        <v>5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100</v>
      </c>
      <c r="X53" s="37">
        <v>0</v>
      </c>
      <c r="Y53" s="37">
        <v>40</v>
      </c>
      <c r="Z53" s="37">
        <v>60</v>
      </c>
      <c r="AA53" s="37">
        <v>0</v>
      </c>
      <c r="AB53" s="37">
        <v>0</v>
      </c>
      <c r="AC53" s="24">
        <f t="shared" si="1"/>
        <v>-12</v>
      </c>
      <c r="AD53" s="25">
        <f t="shared" si="2"/>
        <v>12</v>
      </c>
      <c r="AE53" s="23" t="str">
        <f t="shared" si="3"/>
        <v>Loss</v>
      </c>
      <c r="AF53" s="23" t="str">
        <f t="shared" si="4"/>
        <v>Win</v>
      </c>
      <c r="AG53" s="23" t="str">
        <f t="shared" si="5"/>
        <v>Loss</v>
      </c>
      <c r="AH53" s="23">
        <f t="shared" si="6"/>
        <v>-50</v>
      </c>
      <c r="AI53" s="23">
        <f t="shared" si="7"/>
        <v>108.5</v>
      </c>
      <c r="AJ53" s="23">
        <f t="shared" si="8"/>
        <v>-50</v>
      </c>
    </row>
    <row r="54" spans="1:36" x14ac:dyDescent="0.2">
      <c r="A54" s="36">
        <v>43602</v>
      </c>
      <c r="B54" s="37" t="s">
        <v>277</v>
      </c>
      <c r="C54" s="37" t="s">
        <v>273</v>
      </c>
      <c r="D54" s="37" t="s">
        <v>278</v>
      </c>
      <c r="E54" s="37" t="s">
        <v>279</v>
      </c>
      <c r="F54" s="37" t="s">
        <v>280</v>
      </c>
      <c r="G54" s="37" t="s">
        <v>146</v>
      </c>
      <c r="H54" s="37" t="s">
        <v>146</v>
      </c>
      <c r="I54" s="37">
        <v>2.15</v>
      </c>
      <c r="J54" s="37">
        <v>3.72</v>
      </c>
      <c r="K54" s="37">
        <v>2.88</v>
      </c>
      <c r="L54" s="37">
        <v>-0.73</v>
      </c>
      <c r="M54" s="37">
        <v>15</v>
      </c>
      <c r="N54" s="37">
        <v>8</v>
      </c>
      <c r="O54" s="37">
        <v>1</v>
      </c>
      <c r="P54" s="37">
        <v>5</v>
      </c>
      <c r="Q54" s="37">
        <v>4</v>
      </c>
      <c r="R54" s="37">
        <v>100</v>
      </c>
      <c r="S54" s="37">
        <v>0</v>
      </c>
      <c r="T54" s="37">
        <v>0</v>
      </c>
      <c r="U54" s="37">
        <v>20</v>
      </c>
      <c r="V54" s="37">
        <v>20</v>
      </c>
      <c r="W54" s="37">
        <v>60</v>
      </c>
      <c r="X54" s="37">
        <v>25</v>
      </c>
      <c r="Y54" s="37">
        <v>12.5</v>
      </c>
      <c r="Z54" s="37">
        <v>62.5</v>
      </c>
      <c r="AA54" s="37">
        <v>20</v>
      </c>
      <c r="AB54" s="37">
        <v>25</v>
      </c>
      <c r="AC54" s="24">
        <f t="shared" si="1"/>
        <v>30.25</v>
      </c>
      <c r="AD54" s="25">
        <f t="shared" si="2"/>
        <v>-30.25</v>
      </c>
      <c r="AE54" s="23" t="str">
        <f t="shared" si="3"/>
        <v>Loss</v>
      </c>
      <c r="AF54" s="23" t="str">
        <f t="shared" si="4"/>
        <v>Win</v>
      </c>
      <c r="AG54" s="23" t="str">
        <f t="shared" si="5"/>
        <v>Loss</v>
      </c>
      <c r="AH54" s="23">
        <f t="shared" si="6"/>
        <v>-50</v>
      </c>
      <c r="AI54" s="23">
        <f t="shared" si="7"/>
        <v>136</v>
      </c>
      <c r="AJ54" s="23">
        <f t="shared" si="8"/>
        <v>-50</v>
      </c>
    </row>
    <row r="55" spans="1:36" x14ac:dyDescent="0.2">
      <c r="A55" s="36">
        <v>43602</v>
      </c>
      <c r="B55" s="37" t="s">
        <v>206</v>
      </c>
      <c r="C55" s="37" t="s">
        <v>207</v>
      </c>
      <c r="D55" s="37" t="s">
        <v>281</v>
      </c>
      <c r="E55" s="37" t="s">
        <v>282</v>
      </c>
      <c r="F55" s="37" t="s">
        <v>283</v>
      </c>
      <c r="G55" s="37" t="s">
        <v>146</v>
      </c>
      <c r="H55" s="37" t="s">
        <v>146</v>
      </c>
      <c r="I55" s="37">
        <v>1.23</v>
      </c>
      <c r="J55" s="37">
        <v>6.07</v>
      </c>
      <c r="K55" s="37">
        <v>8.2200000000000006</v>
      </c>
      <c r="L55" s="37">
        <v>-6.99</v>
      </c>
      <c r="M55" s="37">
        <v>28</v>
      </c>
      <c r="N55" s="37">
        <v>27</v>
      </c>
      <c r="O55" s="37">
        <v>1</v>
      </c>
      <c r="P55" s="37">
        <v>13</v>
      </c>
      <c r="Q55" s="37">
        <v>13</v>
      </c>
      <c r="R55" s="37">
        <v>100</v>
      </c>
      <c r="S55" s="37">
        <v>0</v>
      </c>
      <c r="T55" s="37">
        <v>0</v>
      </c>
      <c r="U55" s="37">
        <v>67.86</v>
      </c>
      <c r="V55" s="37">
        <v>0</v>
      </c>
      <c r="W55" s="37">
        <v>32.14</v>
      </c>
      <c r="X55" s="37">
        <v>37.04</v>
      </c>
      <c r="Y55" s="37">
        <v>0</v>
      </c>
      <c r="Z55" s="37">
        <v>62.96</v>
      </c>
      <c r="AA55" s="37">
        <v>76.92</v>
      </c>
      <c r="AB55" s="37">
        <v>38.46</v>
      </c>
      <c r="AC55" s="24">
        <f t="shared" si="1"/>
        <v>42.328000000000003</v>
      </c>
      <c r="AD55" s="25">
        <f t="shared" si="2"/>
        <v>-42.328000000000003</v>
      </c>
      <c r="AE55" s="23" t="str">
        <f t="shared" si="3"/>
        <v>Loss</v>
      </c>
      <c r="AF55" s="23" t="str">
        <f t="shared" si="4"/>
        <v>Win</v>
      </c>
      <c r="AG55" s="23" t="str">
        <f t="shared" si="5"/>
        <v>Loss</v>
      </c>
      <c r="AH55" s="23">
        <f t="shared" si="6"/>
        <v>-50</v>
      </c>
      <c r="AI55" s="23">
        <f t="shared" si="7"/>
        <v>253.5</v>
      </c>
      <c r="AJ55" s="23">
        <f t="shared" si="8"/>
        <v>-50</v>
      </c>
    </row>
    <row r="56" spans="1:36" x14ac:dyDescent="0.2">
      <c r="A56" s="36">
        <v>43602</v>
      </c>
      <c r="B56" s="37" t="s">
        <v>284</v>
      </c>
      <c r="C56" s="37" t="s">
        <v>273</v>
      </c>
      <c r="D56" s="37" t="s">
        <v>285</v>
      </c>
      <c r="E56" s="37" t="s">
        <v>286</v>
      </c>
      <c r="F56" s="37" t="s">
        <v>287</v>
      </c>
      <c r="G56" s="37" t="s">
        <v>146</v>
      </c>
      <c r="H56" s="37" t="s">
        <v>146</v>
      </c>
      <c r="I56" s="37">
        <v>2.75</v>
      </c>
      <c r="J56" s="37">
        <v>3.48</v>
      </c>
      <c r="K56" s="37">
        <v>2.2200000000000002</v>
      </c>
      <c r="L56" s="37">
        <v>0.53</v>
      </c>
      <c r="M56" s="37">
        <v>11</v>
      </c>
      <c r="N56" s="37">
        <v>8</v>
      </c>
      <c r="O56" s="37">
        <v>1</v>
      </c>
      <c r="P56" s="37">
        <v>5</v>
      </c>
      <c r="Q56" s="37">
        <v>3</v>
      </c>
      <c r="R56" s="37">
        <v>0</v>
      </c>
      <c r="S56" s="37">
        <v>0</v>
      </c>
      <c r="T56" s="37">
        <v>100</v>
      </c>
      <c r="U56" s="37">
        <v>18.18</v>
      </c>
      <c r="V56" s="37">
        <v>18.18</v>
      </c>
      <c r="W56" s="37">
        <v>63.64</v>
      </c>
      <c r="X56" s="37">
        <v>50</v>
      </c>
      <c r="Y56" s="37">
        <v>0</v>
      </c>
      <c r="Z56" s="37">
        <v>50</v>
      </c>
      <c r="AA56" s="37">
        <v>20</v>
      </c>
      <c r="AB56" s="37">
        <v>0</v>
      </c>
      <c r="AC56" s="24">
        <f t="shared" si="1"/>
        <v>-37.274000000000001</v>
      </c>
      <c r="AD56" s="25">
        <f t="shared" si="2"/>
        <v>37.274000000000001</v>
      </c>
      <c r="AE56" s="23" t="str">
        <f t="shared" si="3"/>
        <v>Loss</v>
      </c>
      <c r="AF56" s="23" t="str">
        <f t="shared" si="4"/>
        <v>Win</v>
      </c>
      <c r="AG56" s="23" t="str">
        <f t="shared" si="5"/>
        <v>Loss</v>
      </c>
      <c r="AH56" s="23">
        <f t="shared" si="6"/>
        <v>-50</v>
      </c>
      <c r="AI56" s="23">
        <f t="shared" si="7"/>
        <v>124</v>
      </c>
      <c r="AJ56" s="23">
        <f t="shared" si="8"/>
        <v>-50</v>
      </c>
    </row>
    <row r="57" spans="1:36" x14ac:dyDescent="0.2">
      <c r="A57" s="36">
        <v>43602</v>
      </c>
      <c r="B57" s="37" t="s">
        <v>288</v>
      </c>
      <c r="C57" s="37" t="s">
        <v>289</v>
      </c>
      <c r="D57" s="37" t="s">
        <v>290</v>
      </c>
      <c r="E57" s="37" t="s">
        <v>291</v>
      </c>
      <c r="F57" s="37" t="s">
        <v>292</v>
      </c>
      <c r="G57" s="37" t="s">
        <v>146</v>
      </c>
      <c r="H57" s="37" t="s">
        <v>146</v>
      </c>
      <c r="I57" s="37">
        <v>1.44</v>
      </c>
      <c r="J57" s="37">
        <v>4.28</v>
      </c>
      <c r="K57" s="37">
        <v>5.79</v>
      </c>
      <c r="L57" s="37">
        <v>-4.3499999999999996</v>
      </c>
      <c r="M57" s="37">
        <v>37</v>
      </c>
      <c r="N57" s="37">
        <v>37</v>
      </c>
      <c r="O57" s="37">
        <v>2</v>
      </c>
      <c r="P57" s="37">
        <v>19</v>
      </c>
      <c r="Q57" s="37">
        <v>19</v>
      </c>
      <c r="R57" s="37">
        <v>50</v>
      </c>
      <c r="S57" s="37">
        <v>50</v>
      </c>
      <c r="T57" s="37">
        <v>0</v>
      </c>
      <c r="U57" s="37">
        <v>27.03</v>
      </c>
      <c r="V57" s="37">
        <v>35.14</v>
      </c>
      <c r="W57" s="37">
        <v>37.840000000000003</v>
      </c>
      <c r="X57" s="37">
        <v>27.03</v>
      </c>
      <c r="Y57" s="37">
        <v>18.920000000000002</v>
      </c>
      <c r="Z57" s="37">
        <v>54.05</v>
      </c>
      <c r="AA57" s="37">
        <v>36.840000000000003</v>
      </c>
      <c r="AB57" s="37">
        <v>26.32</v>
      </c>
      <c r="AC57" s="24">
        <f t="shared" si="1"/>
        <v>24.863999999999997</v>
      </c>
      <c r="AD57" s="25">
        <f t="shared" si="2"/>
        <v>-14.864000000000001</v>
      </c>
      <c r="AE57" s="23" t="str">
        <f t="shared" si="3"/>
        <v>Loss</v>
      </c>
      <c r="AF57" s="23" t="str">
        <f t="shared" si="4"/>
        <v>Win</v>
      </c>
      <c r="AG57" s="23" t="str">
        <f t="shared" si="5"/>
        <v>Loss</v>
      </c>
      <c r="AH57" s="23">
        <f t="shared" si="6"/>
        <v>-50</v>
      </c>
      <c r="AI57" s="23">
        <f t="shared" si="7"/>
        <v>164</v>
      </c>
      <c r="AJ57" s="23">
        <f t="shared" si="8"/>
        <v>-50</v>
      </c>
    </row>
    <row r="58" spans="1:36" x14ac:dyDescent="0.2">
      <c r="A58" s="36">
        <v>43602</v>
      </c>
      <c r="B58" s="37" t="s">
        <v>288</v>
      </c>
      <c r="C58" s="37" t="s">
        <v>289</v>
      </c>
      <c r="D58" s="37" t="s">
        <v>293</v>
      </c>
      <c r="E58" s="37" t="s">
        <v>294</v>
      </c>
      <c r="F58" s="37" t="s">
        <v>295</v>
      </c>
      <c r="G58" s="37" t="s">
        <v>146</v>
      </c>
      <c r="H58" s="37" t="s">
        <v>146</v>
      </c>
      <c r="I58" s="37">
        <v>10.47</v>
      </c>
      <c r="J58" s="37">
        <v>5.98</v>
      </c>
      <c r="K58" s="37">
        <v>1.2</v>
      </c>
      <c r="L58" s="37">
        <v>9.27</v>
      </c>
      <c r="M58" s="37">
        <v>37</v>
      </c>
      <c r="N58" s="37">
        <v>36</v>
      </c>
      <c r="O58" s="37">
        <v>2</v>
      </c>
      <c r="P58" s="37">
        <v>17</v>
      </c>
      <c r="Q58" s="37">
        <v>16</v>
      </c>
      <c r="R58" s="37">
        <v>0</v>
      </c>
      <c r="S58" s="37">
        <v>50</v>
      </c>
      <c r="T58" s="37">
        <v>50</v>
      </c>
      <c r="U58" s="37">
        <v>21.62</v>
      </c>
      <c r="V58" s="37">
        <v>27.03</v>
      </c>
      <c r="W58" s="37">
        <v>51.35</v>
      </c>
      <c r="X58" s="37">
        <v>38.89</v>
      </c>
      <c r="Y58" s="37">
        <v>33.33</v>
      </c>
      <c r="Z58" s="37">
        <v>27.78</v>
      </c>
      <c r="AA58" s="37">
        <v>41.18</v>
      </c>
      <c r="AB58" s="37">
        <v>31.25</v>
      </c>
      <c r="AC58" s="24">
        <f t="shared" si="1"/>
        <v>-18.797999999999998</v>
      </c>
      <c r="AD58" s="25">
        <f t="shared" si="2"/>
        <v>28.797999999999998</v>
      </c>
      <c r="AE58" s="23" t="str">
        <f t="shared" si="3"/>
        <v>Loss</v>
      </c>
      <c r="AF58" s="23" t="str">
        <f t="shared" si="4"/>
        <v>Win</v>
      </c>
      <c r="AG58" s="23" t="str">
        <f t="shared" si="5"/>
        <v>Loss</v>
      </c>
      <c r="AH58" s="23">
        <f t="shared" si="6"/>
        <v>-50</v>
      </c>
      <c r="AI58" s="23">
        <f t="shared" si="7"/>
        <v>249</v>
      </c>
      <c r="AJ58" s="23">
        <f t="shared" si="8"/>
        <v>-50</v>
      </c>
    </row>
    <row r="59" spans="1:36" x14ac:dyDescent="0.2">
      <c r="A59" s="36">
        <v>43602</v>
      </c>
      <c r="B59" s="37" t="s">
        <v>288</v>
      </c>
      <c r="C59" s="37" t="s">
        <v>289</v>
      </c>
      <c r="D59" s="37" t="s">
        <v>296</v>
      </c>
      <c r="E59" s="37" t="s">
        <v>297</v>
      </c>
      <c r="F59" s="37" t="s">
        <v>298</v>
      </c>
      <c r="G59" s="37" t="s">
        <v>146</v>
      </c>
      <c r="H59" s="37" t="s">
        <v>146</v>
      </c>
      <c r="I59" s="37">
        <v>6.51</v>
      </c>
      <c r="J59" s="37">
        <v>3.96</v>
      </c>
      <c r="K59" s="37">
        <v>1.46</v>
      </c>
      <c r="L59" s="37">
        <v>5.05</v>
      </c>
      <c r="M59" s="37">
        <v>37</v>
      </c>
      <c r="N59" s="37">
        <v>38</v>
      </c>
      <c r="O59" s="37">
        <v>2</v>
      </c>
      <c r="P59" s="37">
        <v>17</v>
      </c>
      <c r="Q59" s="37">
        <v>19</v>
      </c>
      <c r="R59" s="37">
        <v>0</v>
      </c>
      <c r="S59" s="37">
        <v>0</v>
      </c>
      <c r="T59" s="37">
        <v>100</v>
      </c>
      <c r="U59" s="37">
        <v>32.43</v>
      </c>
      <c r="V59" s="37">
        <v>27.03</v>
      </c>
      <c r="W59" s="37">
        <v>40.54</v>
      </c>
      <c r="X59" s="37">
        <v>28.95</v>
      </c>
      <c r="Y59" s="37">
        <v>36.840000000000003</v>
      </c>
      <c r="Z59" s="37">
        <v>34.21</v>
      </c>
      <c r="AA59" s="37">
        <v>35.29</v>
      </c>
      <c r="AB59" s="37">
        <v>26.32</v>
      </c>
      <c r="AC59" s="24">
        <f t="shared" si="1"/>
        <v>-31.551000000000002</v>
      </c>
      <c r="AD59" s="25">
        <f t="shared" si="2"/>
        <v>31.551000000000002</v>
      </c>
      <c r="AE59" s="23" t="str">
        <f t="shared" si="3"/>
        <v>Loss</v>
      </c>
      <c r="AF59" s="23" t="str">
        <f t="shared" si="4"/>
        <v>Win</v>
      </c>
      <c r="AG59" s="23" t="str">
        <f t="shared" si="5"/>
        <v>Loss</v>
      </c>
      <c r="AH59" s="23">
        <f t="shared" si="6"/>
        <v>-50</v>
      </c>
      <c r="AI59" s="23">
        <f t="shared" si="7"/>
        <v>148</v>
      </c>
      <c r="AJ59" s="23">
        <f t="shared" si="8"/>
        <v>-50</v>
      </c>
    </row>
    <row r="60" spans="1:36" x14ac:dyDescent="0.2">
      <c r="A60" s="36">
        <v>43602</v>
      </c>
      <c r="B60" s="37" t="s">
        <v>288</v>
      </c>
      <c r="C60" s="37" t="s">
        <v>289</v>
      </c>
      <c r="D60" s="37" t="s">
        <v>299</v>
      </c>
      <c r="E60" s="37" t="s">
        <v>300</v>
      </c>
      <c r="F60" s="37" t="s">
        <v>301</v>
      </c>
      <c r="G60" s="37" t="s">
        <v>146</v>
      </c>
      <c r="H60" s="37" t="s">
        <v>146</v>
      </c>
      <c r="I60" s="37">
        <v>1.45</v>
      </c>
      <c r="J60" s="37">
        <v>4.34</v>
      </c>
      <c r="K60" s="37">
        <v>5.63</v>
      </c>
      <c r="L60" s="37">
        <v>-4.18</v>
      </c>
      <c r="M60" s="37">
        <v>38</v>
      </c>
      <c r="N60" s="37">
        <v>38</v>
      </c>
      <c r="O60" s="37">
        <v>2</v>
      </c>
      <c r="P60" s="37">
        <v>19</v>
      </c>
      <c r="Q60" s="37">
        <v>19</v>
      </c>
      <c r="R60" s="37">
        <v>50</v>
      </c>
      <c r="S60" s="37">
        <v>0</v>
      </c>
      <c r="T60" s="37">
        <v>50</v>
      </c>
      <c r="U60" s="37">
        <v>28.95</v>
      </c>
      <c r="V60" s="37">
        <v>31.58</v>
      </c>
      <c r="W60" s="37">
        <v>39.47</v>
      </c>
      <c r="X60" s="37">
        <v>34.21</v>
      </c>
      <c r="Y60" s="37">
        <v>26.32</v>
      </c>
      <c r="Z60" s="37">
        <v>39.47</v>
      </c>
      <c r="AA60" s="37">
        <v>26.32</v>
      </c>
      <c r="AB60" s="37">
        <v>42.11</v>
      </c>
      <c r="AC60" s="24">
        <f t="shared" si="1"/>
        <v>-0.5259999999999998</v>
      </c>
      <c r="AD60" s="25">
        <f t="shared" si="2"/>
        <v>0.5259999999999998</v>
      </c>
      <c r="AE60" s="23" t="str">
        <f t="shared" si="3"/>
        <v>Loss</v>
      </c>
      <c r="AF60" s="23" t="str">
        <f t="shared" si="4"/>
        <v>Win</v>
      </c>
      <c r="AG60" s="23" t="str">
        <f t="shared" si="5"/>
        <v>Loss</v>
      </c>
      <c r="AH60" s="23">
        <f t="shared" si="6"/>
        <v>-50</v>
      </c>
      <c r="AI60" s="23">
        <f t="shared" si="7"/>
        <v>167</v>
      </c>
      <c r="AJ60" s="23">
        <f t="shared" si="8"/>
        <v>-50</v>
      </c>
    </row>
    <row r="61" spans="1:36" x14ac:dyDescent="0.2">
      <c r="A61" s="36">
        <v>43602</v>
      </c>
      <c r="B61" s="37" t="s">
        <v>302</v>
      </c>
      <c r="C61" s="37" t="s">
        <v>303</v>
      </c>
      <c r="D61" s="37" t="s">
        <v>304</v>
      </c>
      <c r="E61" s="37" t="s">
        <v>305</v>
      </c>
      <c r="F61" s="37" t="s">
        <v>306</v>
      </c>
      <c r="G61" s="37" t="s">
        <v>146</v>
      </c>
      <c r="H61" s="37" t="s">
        <v>146</v>
      </c>
      <c r="I61" s="37">
        <v>3.22</v>
      </c>
      <c r="J61" s="37">
        <v>3.54</v>
      </c>
      <c r="K61" s="37">
        <v>1.97</v>
      </c>
      <c r="L61" s="37">
        <v>1.25</v>
      </c>
      <c r="M61" s="37">
        <v>40</v>
      </c>
      <c r="N61" s="37">
        <v>38</v>
      </c>
      <c r="O61" s="37">
        <v>2</v>
      </c>
      <c r="P61" s="37">
        <v>20</v>
      </c>
      <c r="Q61" s="37">
        <v>20</v>
      </c>
      <c r="R61" s="37">
        <v>100</v>
      </c>
      <c r="S61" s="37">
        <v>0</v>
      </c>
      <c r="T61" s="37">
        <v>0</v>
      </c>
      <c r="U61" s="37">
        <v>37.5</v>
      </c>
      <c r="V61" s="37">
        <v>15</v>
      </c>
      <c r="W61" s="37">
        <v>47.5</v>
      </c>
      <c r="X61" s="37">
        <v>39.47</v>
      </c>
      <c r="Y61" s="37">
        <v>23.68</v>
      </c>
      <c r="Z61" s="37">
        <v>36.840000000000003</v>
      </c>
      <c r="AA61" s="37">
        <v>45</v>
      </c>
      <c r="AB61" s="37">
        <v>45</v>
      </c>
      <c r="AC61" s="24">
        <f t="shared" si="1"/>
        <v>26.606000000000005</v>
      </c>
      <c r="AD61" s="25">
        <f t="shared" si="2"/>
        <v>-26.606000000000005</v>
      </c>
      <c r="AE61" s="23" t="str">
        <f t="shared" si="3"/>
        <v>Loss</v>
      </c>
      <c r="AF61" s="23" t="str">
        <f t="shared" si="4"/>
        <v>Win</v>
      </c>
      <c r="AG61" s="23" t="str">
        <f t="shared" si="5"/>
        <v>Loss</v>
      </c>
      <c r="AH61" s="23">
        <f t="shared" si="6"/>
        <v>-50</v>
      </c>
      <c r="AI61" s="23">
        <f t="shared" si="7"/>
        <v>127</v>
      </c>
      <c r="AJ61" s="23">
        <f t="shared" si="8"/>
        <v>-50</v>
      </c>
    </row>
    <row r="62" spans="1:36" x14ac:dyDescent="0.2">
      <c r="A62" s="36">
        <v>43602</v>
      </c>
      <c r="B62" s="37" t="s">
        <v>307</v>
      </c>
      <c r="C62" s="37" t="s">
        <v>308</v>
      </c>
      <c r="D62" s="37" t="s">
        <v>309</v>
      </c>
      <c r="E62" s="37" t="s">
        <v>310</v>
      </c>
      <c r="F62" s="37" t="s">
        <v>311</v>
      </c>
      <c r="G62" s="37" t="s">
        <v>146</v>
      </c>
      <c r="H62" s="37" t="s">
        <v>146</v>
      </c>
      <c r="I62" s="37">
        <v>2.88</v>
      </c>
      <c r="J62" s="37">
        <v>3.4</v>
      </c>
      <c r="K62" s="37">
        <v>2.1800000000000002</v>
      </c>
      <c r="L62" s="37">
        <v>0.7</v>
      </c>
      <c r="M62" s="37">
        <v>42</v>
      </c>
      <c r="N62" s="37">
        <v>44</v>
      </c>
      <c r="O62" s="37">
        <v>3</v>
      </c>
      <c r="P62" s="37">
        <v>21</v>
      </c>
      <c r="Q62" s="37">
        <v>22</v>
      </c>
      <c r="R62" s="37">
        <v>0</v>
      </c>
      <c r="S62" s="37">
        <v>33.33</v>
      </c>
      <c r="T62" s="37">
        <v>66.67</v>
      </c>
      <c r="U62" s="37">
        <v>33.33</v>
      </c>
      <c r="V62" s="37">
        <v>26.19</v>
      </c>
      <c r="W62" s="37">
        <v>40.479999999999997</v>
      </c>
      <c r="X62" s="37">
        <v>43.18</v>
      </c>
      <c r="Y62" s="37">
        <v>25</v>
      </c>
      <c r="Z62" s="37">
        <v>31.82</v>
      </c>
      <c r="AA62" s="37">
        <v>57.14</v>
      </c>
      <c r="AB62" s="37">
        <v>27.27</v>
      </c>
      <c r="AC62" s="24">
        <f t="shared" si="1"/>
        <v>-20.251000000000001</v>
      </c>
      <c r="AD62" s="25">
        <f t="shared" si="2"/>
        <v>26.917000000000005</v>
      </c>
      <c r="AE62" s="23" t="str">
        <f t="shared" si="3"/>
        <v>Loss</v>
      </c>
      <c r="AF62" s="23" t="str">
        <f t="shared" si="4"/>
        <v>Win</v>
      </c>
      <c r="AG62" s="23" t="str">
        <f t="shared" si="5"/>
        <v>Loss</v>
      </c>
      <c r="AH62" s="23">
        <f t="shared" si="6"/>
        <v>-50</v>
      </c>
      <c r="AI62" s="23">
        <f t="shared" si="7"/>
        <v>120</v>
      </c>
      <c r="AJ62" s="23">
        <f t="shared" si="8"/>
        <v>-50</v>
      </c>
    </row>
    <row r="63" spans="1:36" x14ac:dyDescent="0.2">
      <c r="A63" s="36">
        <v>43602</v>
      </c>
      <c r="B63" s="37" t="s">
        <v>312</v>
      </c>
      <c r="C63" s="37" t="s">
        <v>313</v>
      </c>
      <c r="D63" s="37" t="s">
        <v>314</v>
      </c>
      <c r="E63" s="37" t="s">
        <v>315</v>
      </c>
      <c r="F63" s="37" t="s">
        <v>316</v>
      </c>
      <c r="G63" s="37" t="s">
        <v>146</v>
      </c>
      <c r="H63" s="37" t="s">
        <v>146</v>
      </c>
      <c r="I63" s="37">
        <v>1.2</v>
      </c>
      <c r="J63" s="37">
        <v>5.25</v>
      </c>
      <c r="K63" s="37">
        <v>10.24</v>
      </c>
      <c r="L63" s="37">
        <v>-9.0399999999999991</v>
      </c>
      <c r="M63" s="37">
        <v>26</v>
      </c>
      <c r="N63" s="37">
        <v>26</v>
      </c>
      <c r="O63" s="37">
        <v>1</v>
      </c>
      <c r="P63" s="37">
        <v>13</v>
      </c>
      <c r="Q63" s="37">
        <v>13</v>
      </c>
      <c r="R63" s="37">
        <v>100</v>
      </c>
      <c r="S63" s="37">
        <v>0</v>
      </c>
      <c r="T63" s="37">
        <v>0</v>
      </c>
      <c r="U63" s="37">
        <v>73.08</v>
      </c>
      <c r="V63" s="37">
        <v>11.54</v>
      </c>
      <c r="W63" s="37">
        <v>15.38</v>
      </c>
      <c r="X63" s="37">
        <v>34.619999999999997</v>
      </c>
      <c r="Y63" s="37">
        <v>19.23</v>
      </c>
      <c r="Z63" s="37">
        <v>46.15</v>
      </c>
      <c r="AA63" s="37">
        <v>84.62</v>
      </c>
      <c r="AB63" s="37">
        <v>0</v>
      </c>
      <c r="AC63" s="24">
        <f t="shared" si="1"/>
        <v>43.076999999999998</v>
      </c>
      <c r="AD63" s="25">
        <f t="shared" si="2"/>
        <v>-43.076999999999998</v>
      </c>
      <c r="AE63" s="23" t="str">
        <f t="shared" si="3"/>
        <v>Loss</v>
      </c>
      <c r="AF63" s="23" t="str">
        <f t="shared" si="4"/>
        <v>Win</v>
      </c>
      <c r="AG63" s="23" t="str">
        <f t="shared" si="5"/>
        <v>Loss</v>
      </c>
      <c r="AH63" s="23">
        <f t="shared" si="6"/>
        <v>-50</v>
      </c>
      <c r="AI63" s="23">
        <f t="shared" si="7"/>
        <v>212.5</v>
      </c>
      <c r="AJ63" s="23">
        <f t="shared" si="8"/>
        <v>-50</v>
      </c>
    </row>
    <row r="64" spans="1:36" x14ac:dyDescent="0.2">
      <c r="A64" s="36">
        <v>43602</v>
      </c>
      <c r="B64" s="37" t="s">
        <v>317</v>
      </c>
      <c r="C64" s="37" t="s">
        <v>318</v>
      </c>
      <c r="D64" s="37" t="s">
        <v>319</v>
      </c>
      <c r="E64" s="37" t="s">
        <v>320</v>
      </c>
      <c r="F64" s="37" t="s">
        <v>321</v>
      </c>
      <c r="G64" s="37" t="s">
        <v>146</v>
      </c>
      <c r="H64" s="37" t="s">
        <v>146</v>
      </c>
      <c r="I64" s="37">
        <v>1.41</v>
      </c>
      <c r="J64" s="37">
        <v>4.5199999999999996</v>
      </c>
      <c r="K64" s="37">
        <v>6.42</v>
      </c>
      <c r="L64" s="37">
        <v>-5.01</v>
      </c>
      <c r="M64" s="37">
        <v>37</v>
      </c>
      <c r="N64" s="37">
        <v>34</v>
      </c>
      <c r="O64" s="37">
        <v>1</v>
      </c>
      <c r="P64" s="37">
        <v>17</v>
      </c>
      <c r="Q64" s="37">
        <v>16</v>
      </c>
      <c r="R64" s="37">
        <v>0</v>
      </c>
      <c r="S64" s="37">
        <v>100</v>
      </c>
      <c r="T64" s="37">
        <v>0</v>
      </c>
      <c r="U64" s="37">
        <v>35.14</v>
      </c>
      <c r="V64" s="37">
        <v>29.73</v>
      </c>
      <c r="W64" s="37">
        <v>35.14</v>
      </c>
      <c r="X64" s="37">
        <v>17.649999999999999</v>
      </c>
      <c r="Y64" s="37">
        <v>20.59</v>
      </c>
      <c r="Z64" s="37">
        <v>61.76</v>
      </c>
      <c r="AA64" s="37">
        <v>35.29</v>
      </c>
      <c r="AB64" s="37">
        <v>18.75</v>
      </c>
      <c r="AC64" s="24">
        <f t="shared" si="1"/>
        <v>19.735999999999997</v>
      </c>
      <c r="AD64" s="25">
        <f t="shared" si="2"/>
        <v>0.26399999999999935</v>
      </c>
      <c r="AE64" s="23" t="str">
        <f t="shared" si="3"/>
        <v>Loss</v>
      </c>
      <c r="AF64" s="23" t="str">
        <f t="shared" si="4"/>
        <v>Win</v>
      </c>
      <c r="AG64" s="23" t="str">
        <f t="shared" si="5"/>
        <v>Loss</v>
      </c>
      <c r="AH64" s="23">
        <f t="shared" si="6"/>
        <v>-50</v>
      </c>
      <c r="AI64" s="23">
        <f t="shared" si="7"/>
        <v>175.99999999999997</v>
      </c>
      <c r="AJ64" s="23">
        <f t="shared" si="8"/>
        <v>-50</v>
      </c>
    </row>
    <row r="65" spans="1:36" x14ac:dyDescent="0.2">
      <c r="A65" s="36">
        <v>43602</v>
      </c>
      <c r="B65" s="37" t="s">
        <v>317</v>
      </c>
      <c r="C65" s="37" t="s">
        <v>318</v>
      </c>
      <c r="D65" s="37" t="s">
        <v>322</v>
      </c>
      <c r="E65" s="37" t="s">
        <v>323</v>
      </c>
      <c r="F65" s="37" t="s">
        <v>324</v>
      </c>
      <c r="G65" s="37" t="s">
        <v>146</v>
      </c>
      <c r="H65" s="37" t="s">
        <v>146</v>
      </c>
      <c r="I65" s="37">
        <v>1.69</v>
      </c>
      <c r="J65" s="37">
        <v>3.9</v>
      </c>
      <c r="K65" s="37">
        <v>4.28</v>
      </c>
      <c r="L65" s="37">
        <v>-2.59</v>
      </c>
      <c r="M65" s="37">
        <v>39</v>
      </c>
      <c r="N65" s="37">
        <v>34</v>
      </c>
      <c r="O65" s="37">
        <v>1</v>
      </c>
      <c r="P65" s="37">
        <v>19</v>
      </c>
      <c r="Q65" s="37">
        <v>17</v>
      </c>
      <c r="R65" s="37">
        <v>0</v>
      </c>
      <c r="S65" s="37">
        <v>100</v>
      </c>
      <c r="T65" s="37">
        <v>0</v>
      </c>
      <c r="U65" s="37">
        <v>41.03</v>
      </c>
      <c r="V65" s="37">
        <v>20.51</v>
      </c>
      <c r="W65" s="37">
        <v>38.46</v>
      </c>
      <c r="X65" s="37">
        <v>26.47</v>
      </c>
      <c r="Y65" s="37">
        <v>23.53</v>
      </c>
      <c r="Z65" s="37">
        <v>50</v>
      </c>
      <c r="AA65" s="37">
        <v>47.37</v>
      </c>
      <c r="AB65" s="37">
        <v>11.76</v>
      </c>
      <c r="AC65" s="24">
        <f t="shared" si="1"/>
        <v>14.918000000000005</v>
      </c>
      <c r="AD65" s="25">
        <f t="shared" si="2"/>
        <v>5.081999999999999</v>
      </c>
      <c r="AE65" s="23" t="str">
        <f t="shared" si="3"/>
        <v>Loss</v>
      </c>
      <c r="AF65" s="23" t="str">
        <f t="shared" si="4"/>
        <v>Win</v>
      </c>
      <c r="AG65" s="23" t="str">
        <f t="shared" si="5"/>
        <v>Loss</v>
      </c>
      <c r="AH65" s="23">
        <f t="shared" si="6"/>
        <v>-50</v>
      </c>
      <c r="AI65" s="23">
        <f t="shared" si="7"/>
        <v>145</v>
      </c>
      <c r="AJ65" s="23">
        <f t="shared" si="8"/>
        <v>-50</v>
      </c>
    </row>
    <row r="66" spans="1:36" x14ac:dyDescent="0.2">
      <c r="A66" s="36">
        <v>43602</v>
      </c>
      <c r="B66" s="37" t="s">
        <v>317</v>
      </c>
      <c r="C66" s="37" t="s">
        <v>318</v>
      </c>
      <c r="D66" s="37" t="s">
        <v>325</v>
      </c>
      <c r="E66" s="37" t="s">
        <v>326</v>
      </c>
      <c r="F66" s="37" t="s">
        <v>327</v>
      </c>
      <c r="G66" s="37" t="s">
        <v>146</v>
      </c>
      <c r="H66" s="37" t="s">
        <v>146</v>
      </c>
      <c r="I66" s="37">
        <v>2.23</v>
      </c>
      <c r="J66" s="37">
        <v>3.39</v>
      </c>
      <c r="K66" s="37">
        <v>2.96</v>
      </c>
      <c r="L66" s="37">
        <v>-0.73</v>
      </c>
      <c r="M66" s="37">
        <v>38</v>
      </c>
      <c r="N66" s="37">
        <v>41</v>
      </c>
      <c r="O66" s="37">
        <v>1</v>
      </c>
      <c r="P66" s="37">
        <v>19</v>
      </c>
      <c r="Q66" s="37">
        <v>19</v>
      </c>
      <c r="R66" s="37">
        <v>0</v>
      </c>
      <c r="S66" s="37">
        <v>0</v>
      </c>
      <c r="T66" s="37">
        <v>100</v>
      </c>
      <c r="U66" s="37">
        <v>36.840000000000003</v>
      </c>
      <c r="V66" s="37">
        <v>21.05</v>
      </c>
      <c r="W66" s="37">
        <v>42.11</v>
      </c>
      <c r="X66" s="37">
        <v>56.1</v>
      </c>
      <c r="Y66" s="37">
        <v>24.39</v>
      </c>
      <c r="Z66" s="37">
        <v>19.510000000000002</v>
      </c>
      <c r="AA66" s="37">
        <v>52.63</v>
      </c>
      <c r="AB66" s="37">
        <v>42.11</v>
      </c>
      <c r="AC66" s="24">
        <f t="shared" si="1"/>
        <v>-38.705999999999996</v>
      </c>
      <c r="AD66" s="25">
        <f t="shared" si="2"/>
        <v>38.705999999999996</v>
      </c>
      <c r="AE66" s="23" t="str">
        <f t="shared" si="3"/>
        <v>Loss</v>
      </c>
      <c r="AF66" s="23" t="str">
        <f t="shared" si="4"/>
        <v>Win</v>
      </c>
      <c r="AG66" s="23" t="str">
        <f t="shared" si="5"/>
        <v>Loss</v>
      </c>
      <c r="AH66" s="23">
        <f t="shared" si="6"/>
        <v>-50</v>
      </c>
      <c r="AI66" s="23">
        <f t="shared" si="7"/>
        <v>119.5</v>
      </c>
      <c r="AJ66" s="23">
        <f t="shared" si="8"/>
        <v>-50</v>
      </c>
    </row>
    <row r="67" spans="1:36" x14ac:dyDescent="0.2">
      <c r="A67" s="36">
        <v>43602</v>
      </c>
      <c r="B67" s="37" t="s">
        <v>317</v>
      </c>
      <c r="C67" s="37" t="s">
        <v>318</v>
      </c>
      <c r="D67" s="37" t="s">
        <v>328</v>
      </c>
      <c r="E67" s="37" t="s">
        <v>329</v>
      </c>
      <c r="F67" s="37" t="s">
        <v>330</v>
      </c>
      <c r="G67" s="37" t="s">
        <v>146</v>
      </c>
      <c r="H67" s="37" t="s">
        <v>146</v>
      </c>
      <c r="I67" s="37">
        <v>2.54</v>
      </c>
      <c r="J67" s="37">
        <v>3.36</v>
      </c>
      <c r="K67" s="37">
        <v>2.56</v>
      </c>
      <c r="L67" s="37">
        <v>-0.02</v>
      </c>
      <c r="M67" s="37">
        <v>40</v>
      </c>
      <c r="N67" s="37">
        <v>42</v>
      </c>
      <c r="O67" s="37">
        <v>1</v>
      </c>
      <c r="P67" s="37">
        <v>19</v>
      </c>
      <c r="Q67" s="37">
        <v>20</v>
      </c>
      <c r="R67" s="37">
        <v>0</v>
      </c>
      <c r="S67" s="37">
        <v>0</v>
      </c>
      <c r="T67" s="37">
        <v>100</v>
      </c>
      <c r="U67" s="37">
        <v>27.5</v>
      </c>
      <c r="V67" s="37">
        <v>22.5</v>
      </c>
      <c r="W67" s="37">
        <v>50</v>
      </c>
      <c r="X67" s="37">
        <v>45.24</v>
      </c>
      <c r="Y67" s="37">
        <v>26.19</v>
      </c>
      <c r="Z67" s="37">
        <v>28.57</v>
      </c>
      <c r="AA67" s="37">
        <v>26.32</v>
      </c>
      <c r="AB67" s="37">
        <v>30</v>
      </c>
      <c r="AC67" s="24">
        <f t="shared" si="1"/>
        <v>-38.203000000000003</v>
      </c>
      <c r="AD67" s="25">
        <f t="shared" si="2"/>
        <v>38.203000000000003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118</v>
      </c>
      <c r="AJ67" s="23">
        <f t="shared" si="8"/>
        <v>-50</v>
      </c>
    </row>
    <row r="68" spans="1:36" x14ac:dyDescent="0.2">
      <c r="A68" s="36">
        <v>43602</v>
      </c>
      <c r="B68" s="37" t="s">
        <v>317</v>
      </c>
      <c r="C68" s="37" t="s">
        <v>331</v>
      </c>
      <c r="D68" s="37" t="s">
        <v>332</v>
      </c>
      <c r="E68" s="37" t="s">
        <v>333</v>
      </c>
      <c r="F68" s="37" t="s">
        <v>334</v>
      </c>
      <c r="G68" s="37" t="s">
        <v>146</v>
      </c>
      <c r="H68" s="37" t="s">
        <v>146</v>
      </c>
      <c r="I68" s="37">
        <v>2.2200000000000002</v>
      </c>
      <c r="J68" s="37">
        <v>3.24</v>
      </c>
      <c r="K68" s="37">
        <v>2.82</v>
      </c>
      <c r="L68" s="37">
        <v>-0.6</v>
      </c>
      <c r="M68" s="37">
        <v>30</v>
      </c>
      <c r="N68" s="37">
        <v>31</v>
      </c>
      <c r="O68" s="37">
        <v>2</v>
      </c>
      <c r="P68" s="37">
        <v>16</v>
      </c>
      <c r="Q68" s="37">
        <v>15</v>
      </c>
      <c r="R68" s="37">
        <v>100</v>
      </c>
      <c r="S68" s="37">
        <v>0</v>
      </c>
      <c r="T68" s="37">
        <v>0</v>
      </c>
      <c r="U68" s="37">
        <v>46.67</v>
      </c>
      <c r="V68" s="37">
        <v>30</v>
      </c>
      <c r="W68" s="37">
        <v>23.33</v>
      </c>
      <c r="X68" s="37">
        <v>61.29</v>
      </c>
      <c r="Y68" s="37">
        <v>9.68</v>
      </c>
      <c r="Z68" s="37">
        <v>29.03</v>
      </c>
      <c r="AA68" s="37">
        <v>62.5</v>
      </c>
      <c r="AB68" s="37">
        <v>46.67</v>
      </c>
      <c r="AC68" s="24">
        <f t="shared" si="1"/>
        <v>30.248000000000005</v>
      </c>
      <c r="AD68" s="25">
        <f t="shared" si="2"/>
        <v>-30.248000000000005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23">
        <f t="shared" si="6"/>
        <v>-50</v>
      </c>
      <c r="AI68" s="23">
        <f t="shared" si="7"/>
        <v>112</v>
      </c>
      <c r="AJ68" s="23">
        <f t="shared" si="8"/>
        <v>-50</v>
      </c>
    </row>
    <row r="69" spans="1:36" x14ac:dyDescent="0.2">
      <c r="A69" s="36">
        <v>43602</v>
      </c>
      <c r="B69" s="37" t="s">
        <v>335</v>
      </c>
      <c r="C69" s="37" t="s">
        <v>202</v>
      </c>
      <c r="D69" s="37" t="s">
        <v>336</v>
      </c>
      <c r="E69" s="37" t="s">
        <v>337</v>
      </c>
      <c r="F69" s="37" t="s">
        <v>338</v>
      </c>
      <c r="G69" s="37" t="s">
        <v>146</v>
      </c>
      <c r="H69" s="37" t="s">
        <v>146</v>
      </c>
      <c r="I69" s="37">
        <v>1.56</v>
      </c>
      <c r="J69" s="37">
        <v>3.48</v>
      </c>
      <c r="K69" s="37">
        <v>5.38</v>
      </c>
      <c r="L69" s="37">
        <v>-3.82</v>
      </c>
      <c r="M69" s="37">
        <v>11</v>
      </c>
      <c r="N69" s="37">
        <v>11</v>
      </c>
      <c r="O69" s="37">
        <v>0</v>
      </c>
      <c r="P69" s="37">
        <v>7</v>
      </c>
      <c r="Q69" s="37">
        <v>6</v>
      </c>
      <c r="R69" s="37">
        <v>0</v>
      </c>
      <c r="S69" s="37">
        <v>0</v>
      </c>
      <c r="T69" s="37">
        <v>0</v>
      </c>
      <c r="U69" s="37">
        <v>63.64</v>
      </c>
      <c r="V69" s="37">
        <v>18.18</v>
      </c>
      <c r="W69" s="37">
        <v>18.18</v>
      </c>
      <c r="X69" s="37">
        <v>54.55</v>
      </c>
      <c r="Y69" s="37">
        <v>9.09</v>
      </c>
      <c r="Z69" s="37">
        <v>36.36</v>
      </c>
      <c r="AA69" s="37">
        <v>85.71</v>
      </c>
      <c r="AB69" s="37">
        <v>50</v>
      </c>
      <c r="AC69" s="24">
        <f t="shared" si="1"/>
        <v>6.3630000000000004</v>
      </c>
      <c r="AD69" s="25">
        <f t="shared" si="2"/>
        <v>-6.3630000000000004</v>
      </c>
      <c r="AE69" s="23" t="str">
        <f t="shared" si="3"/>
        <v>Loss</v>
      </c>
      <c r="AF69" s="23" t="str">
        <f t="shared" si="4"/>
        <v>Win</v>
      </c>
      <c r="AG69" s="23" t="str">
        <f t="shared" si="5"/>
        <v>Loss</v>
      </c>
      <c r="AH69" s="23">
        <f t="shared" si="6"/>
        <v>-50</v>
      </c>
      <c r="AI69" s="23">
        <f t="shared" si="7"/>
        <v>124</v>
      </c>
      <c r="AJ69" s="23">
        <f t="shared" si="8"/>
        <v>-50</v>
      </c>
    </row>
    <row r="70" spans="1:36" x14ac:dyDescent="0.2">
      <c r="A70" s="36">
        <v>43602</v>
      </c>
      <c r="B70" s="37" t="s">
        <v>339</v>
      </c>
      <c r="C70" s="37" t="s">
        <v>340</v>
      </c>
      <c r="D70" s="37" t="s">
        <v>341</v>
      </c>
      <c r="E70" s="37" t="s">
        <v>342</v>
      </c>
      <c r="F70" s="37" t="s">
        <v>343</v>
      </c>
      <c r="G70" s="37" t="s">
        <v>146</v>
      </c>
      <c r="H70" s="37" t="s">
        <v>146</v>
      </c>
      <c r="I70" s="37">
        <v>2.97</v>
      </c>
      <c r="J70" s="37">
        <v>3.17</v>
      </c>
      <c r="K70" s="37">
        <v>2.2400000000000002</v>
      </c>
      <c r="L70" s="37">
        <v>0.73</v>
      </c>
      <c r="M70" s="37">
        <v>31</v>
      </c>
      <c r="N70" s="37">
        <v>39</v>
      </c>
      <c r="O70" s="37">
        <v>0</v>
      </c>
      <c r="P70" s="37">
        <v>16</v>
      </c>
      <c r="Q70" s="37">
        <v>20</v>
      </c>
      <c r="R70" s="37">
        <v>0</v>
      </c>
      <c r="S70" s="37">
        <v>0</v>
      </c>
      <c r="T70" s="37">
        <v>0</v>
      </c>
      <c r="U70" s="37">
        <v>64.52</v>
      </c>
      <c r="V70" s="37">
        <v>16.13</v>
      </c>
      <c r="W70" s="37">
        <v>19.350000000000001</v>
      </c>
      <c r="X70" s="37">
        <v>20.51</v>
      </c>
      <c r="Y70" s="37">
        <v>33.33</v>
      </c>
      <c r="Z70" s="37">
        <v>46.15</v>
      </c>
      <c r="AA70" s="37">
        <v>62.5</v>
      </c>
      <c r="AB70" s="37">
        <v>25</v>
      </c>
      <c r="AC70" s="24">
        <f t="shared" si="1"/>
        <v>12.441999999999998</v>
      </c>
      <c r="AD70" s="25">
        <f t="shared" si="2"/>
        <v>-12.441999999999998</v>
      </c>
      <c r="AE70" s="23" t="str">
        <f t="shared" si="3"/>
        <v>Loss</v>
      </c>
      <c r="AF70" s="23" t="str">
        <f t="shared" si="4"/>
        <v>Win</v>
      </c>
      <c r="AG70" s="23" t="str">
        <f t="shared" si="5"/>
        <v>Loss</v>
      </c>
      <c r="AH70" s="23">
        <f t="shared" si="6"/>
        <v>-50</v>
      </c>
      <c r="AI70" s="23">
        <f t="shared" si="7"/>
        <v>108.5</v>
      </c>
      <c r="AJ70" s="23">
        <f t="shared" si="8"/>
        <v>-50</v>
      </c>
    </row>
    <row r="71" spans="1:36" x14ac:dyDescent="0.2">
      <c r="A71" s="36">
        <v>43602</v>
      </c>
      <c r="B71" s="37" t="s">
        <v>344</v>
      </c>
      <c r="C71" s="37" t="s">
        <v>273</v>
      </c>
      <c r="D71" s="37" t="s">
        <v>345</v>
      </c>
      <c r="E71" s="37" t="s">
        <v>346</v>
      </c>
      <c r="F71" s="37" t="s">
        <v>347</v>
      </c>
      <c r="G71" s="37" t="s">
        <v>146</v>
      </c>
      <c r="H71" s="37" t="s">
        <v>146</v>
      </c>
      <c r="I71" s="37">
        <v>1.99</v>
      </c>
      <c r="J71" s="37">
        <v>3.4</v>
      </c>
      <c r="K71" s="37">
        <v>3.15</v>
      </c>
      <c r="L71" s="37">
        <v>-1.1599999999999999</v>
      </c>
      <c r="M71" s="37">
        <v>12</v>
      </c>
      <c r="N71" s="37">
        <v>21</v>
      </c>
      <c r="O71" s="37">
        <v>1</v>
      </c>
      <c r="P71" s="37">
        <v>6</v>
      </c>
      <c r="Q71" s="37">
        <v>9</v>
      </c>
      <c r="R71" s="37">
        <v>0</v>
      </c>
      <c r="S71" s="37">
        <v>100</v>
      </c>
      <c r="T71" s="37">
        <v>0</v>
      </c>
      <c r="U71" s="37">
        <v>41.67</v>
      </c>
      <c r="V71" s="37">
        <v>33.33</v>
      </c>
      <c r="W71" s="37">
        <v>25</v>
      </c>
      <c r="X71" s="37">
        <v>23.81</v>
      </c>
      <c r="Y71" s="37">
        <v>19.05</v>
      </c>
      <c r="Z71" s="37">
        <v>57.14</v>
      </c>
      <c r="AA71" s="37">
        <v>50</v>
      </c>
      <c r="AB71" s="37">
        <v>33.33</v>
      </c>
      <c r="AC71" s="24">
        <f t="shared" si="1"/>
        <v>21.428000000000001</v>
      </c>
      <c r="AD71" s="25">
        <f t="shared" si="2"/>
        <v>-1.4280000000000008</v>
      </c>
      <c r="AE71" s="23" t="str">
        <f t="shared" si="3"/>
        <v>Loss</v>
      </c>
      <c r="AF71" s="23" t="str">
        <f t="shared" si="4"/>
        <v>Win</v>
      </c>
      <c r="AG71" s="23" t="str">
        <f t="shared" si="5"/>
        <v>Loss</v>
      </c>
      <c r="AH71" s="23">
        <f t="shared" si="6"/>
        <v>-50</v>
      </c>
      <c r="AI71" s="23">
        <f t="shared" si="7"/>
        <v>120</v>
      </c>
      <c r="AJ71" s="23">
        <f t="shared" si="8"/>
        <v>-50</v>
      </c>
    </row>
    <row r="72" spans="1:36" x14ac:dyDescent="0.2">
      <c r="A72" s="36">
        <v>43602</v>
      </c>
      <c r="B72" s="37" t="s">
        <v>344</v>
      </c>
      <c r="C72" s="37" t="s">
        <v>273</v>
      </c>
      <c r="D72" s="37" t="s">
        <v>348</v>
      </c>
      <c r="E72" s="37" t="s">
        <v>349</v>
      </c>
      <c r="F72" s="37" t="s">
        <v>350</v>
      </c>
      <c r="G72" s="37" t="s">
        <v>146</v>
      </c>
      <c r="H72" s="37" t="s">
        <v>146</v>
      </c>
      <c r="I72" s="37">
        <v>3.62</v>
      </c>
      <c r="J72" s="37">
        <v>3.76</v>
      </c>
      <c r="K72" s="37">
        <v>1.75</v>
      </c>
      <c r="L72" s="37">
        <v>1.87</v>
      </c>
      <c r="M72" s="37">
        <v>17</v>
      </c>
      <c r="N72" s="37">
        <v>23</v>
      </c>
      <c r="O72" s="37">
        <v>1</v>
      </c>
      <c r="P72" s="37">
        <v>9</v>
      </c>
      <c r="Q72" s="37">
        <v>10</v>
      </c>
      <c r="R72" s="37">
        <v>0</v>
      </c>
      <c r="S72" s="37">
        <v>0</v>
      </c>
      <c r="T72" s="37">
        <v>100</v>
      </c>
      <c r="U72" s="37">
        <v>29.41</v>
      </c>
      <c r="V72" s="37">
        <v>23.53</v>
      </c>
      <c r="W72" s="37">
        <v>47.06</v>
      </c>
      <c r="X72" s="37">
        <v>47.83</v>
      </c>
      <c r="Y72" s="37">
        <v>21.74</v>
      </c>
      <c r="Z72" s="37">
        <v>30.43</v>
      </c>
      <c r="AA72" s="37">
        <v>33.33</v>
      </c>
      <c r="AB72" s="37">
        <v>30</v>
      </c>
      <c r="AC72" s="24">
        <f t="shared" si="1"/>
        <v>-36.831000000000003</v>
      </c>
      <c r="AD72" s="25">
        <f t="shared" si="2"/>
        <v>36.831000000000003</v>
      </c>
      <c r="AE72" s="23" t="str">
        <f t="shared" si="3"/>
        <v>Loss</v>
      </c>
      <c r="AF72" s="23" t="str">
        <f t="shared" si="4"/>
        <v>Win</v>
      </c>
      <c r="AG72" s="23" t="str">
        <f t="shared" si="5"/>
        <v>Loss</v>
      </c>
      <c r="AH72" s="23">
        <f t="shared" si="6"/>
        <v>-50</v>
      </c>
      <c r="AI72" s="23">
        <f t="shared" si="7"/>
        <v>138</v>
      </c>
      <c r="AJ72" s="23">
        <f t="shared" si="8"/>
        <v>-50</v>
      </c>
    </row>
    <row r="73" spans="1:36" x14ac:dyDescent="0.2">
      <c r="A73" s="36">
        <v>43602</v>
      </c>
      <c r="B73" s="37" t="s">
        <v>344</v>
      </c>
      <c r="C73" s="37" t="s">
        <v>202</v>
      </c>
      <c r="D73" s="37" t="s">
        <v>351</v>
      </c>
      <c r="E73" s="37" t="s">
        <v>352</v>
      </c>
      <c r="F73" s="37" t="s">
        <v>353</v>
      </c>
      <c r="G73" s="37" t="s">
        <v>146</v>
      </c>
      <c r="H73" s="37" t="s">
        <v>146</v>
      </c>
      <c r="I73" s="37">
        <v>5.99</v>
      </c>
      <c r="J73" s="37">
        <v>4.38</v>
      </c>
      <c r="K73" s="37">
        <v>1.42</v>
      </c>
      <c r="L73" s="37">
        <v>4.57</v>
      </c>
      <c r="M73" s="37">
        <v>31</v>
      </c>
      <c r="N73" s="37">
        <v>28</v>
      </c>
      <c r="O73" s="37">
        <v>2</v>
      </c>
      <c r="P73" s="37">
        <v>16</v>
      </c>
      <c r="Q73" s="37">
        <v>14</v>
      </c>
      <c r="R73" s="37">
        <v>50</v>
      </c>
      <c r="S73" s="37">
        <v>0</v>
      </c>
      <c r="T73" s="37">
        <v>50</v>
      </c>
      <c r="U73" s="37">
        <v>41.94</v>
      </c>
      <c r="V73" s="37">
        <v>29.03</v>
      </c>
      <c r="W73" s="37">
        <v>29.03</v>
      </c>
      <c r="X73" s="37">
        <v>57.14</v>
      </c>
      <c r="Y73" s="37">
        <v>21.43</v>
      </c>
      <c r="Z73" s="37">
        <v>21.43</v>
      </c>
      <c r="AA73" s="37">
        <v>56.25</v>
      </c>
      <c r="AB73" s="37">
        <v>42.86</v>
      </c>
      <c r="AC73" s="24">
        <f t="shared" si="1"/>
        <v>-3.8000000000000016</v>
      </c>
      <c r="AD73" s="25">
        <f t="shared" si="2"/>
        <v>3.8000000000000016</v>
      </c>
      <c r="AE73" s="23" t="str">
        <f t="shared" si="3"/>
        <v>Loss</v>
      </c>
      <c r="AF73" s="23" t="str">
        <f t="shared" si="4"/>
        <v>Win</v>
      </c>
      <c r="AG73" s="23" t="str">
        <f t="shared" si="5"/>
        <v>Loss</v>
      </c>
      <c r="AH73" s="23">
        <f t="shared" si="6"/>
        <v>-50</v>
      </c>
      <c r="AI73" s="23">
        <f t="shared" si="7"/>
        <v>169</v>
      </c>
      <c r="AJ73" s="23">
        <f t="shared" si="8"/>
        <v>-50</v>
      </c>
    </row>
    <row r="74" spans="1:36" x14ac:dyDescent="0.2">
      <c r="A74" s="36">
        <v>43602</v>
      </c>
      <c r="B74" s="37" t="s">
        <v>344</v>
      </c>
      <c r="C74" s="37" t="s">
        <v>202</v>
      </c>
      <c r="D74" s="37" t="s">
        <v>354</v>
      </c>
      <c r="E74" s="37" t="s">
        <v>355</v>
      </c>
      <c r="F74" s="37" t="s">
        <v>356</v>
      </c>
      <c r="G74" s="37" t="s">
        <v>146</v>
      </c>
      <c r="H74" s="37" t="s">
        <v>146</v>
      </c>
      <c r="I74" s="37">
        <v>1.73</v>
      </c>
      <c r="J74" s="37">
        <v>3.8</v>
      </c>
      <c r="K74" s="37">
        <v>3.84</v>
      </c>
      <c r="L74" s="37">
        <v>-2.11</v>
      </c>
      <c r="M74" s="37">
        <v>22</v>
      </c>
      <c r="N74" s="37">
        <v>26</v>
      </c>
      <c r="O74" s="37">
        <v>1</v>
      </c>
      <c r="P74" s="37">
        <v>10</v>
      </c>
      <c r="Q74" s="37">
        <v>13</v>
      </c>
      <c r="R74" s="37">
        <v>0</v>
      </c>
      <c r="S74" s="37">
        <v>0</v>
      </c>
      <c r="T74" s="37">
        <v>100</v>
      </c>
      <c r="U74" s="37">
        <v>31.82</v>
      </c>
      <c r="V74" s="37">
        <v>18.18</v>
      </c>
      <c r="W74" s="37">
        <v>50</v>
      </c>
      <c r="X74" s="37">
        <v>34.619999999999997</v>
      </c>
      <c r="Y74" s="37">
        <v>15.38</v>
      </c>
      <c r="Z74" s="37">
        <v>50</v>
      </c>
      <c r="AA74" s="37">
        <v>30</v>
      </c>
      <c r="AB74" s="37">
        <v>38.46</v>
      </c>
      <c r="AC74" s="24">
        <f t="shared" si="1"/>
        <v>-30.28</v>
      </c>
      <c r="AD74" s="25">
        <f t="shared" si="2"/>
        <v>30.28</v>
      </c>
      <c r="AE74" s="23" t="str">
        <f t="shared" si="3"/>
        <v>Loss</v>
      </c>
      <c r="AF74" s="23" t="str">
        <f t="shared" si="4"/>
        <v>Win</v>
      </c>
      <c r="AG74" s="23" t="str">
        <f t="shared" si="5"/>
        <v>Loss</v>
      </c>
      <c r="AH74" s="23">
        <f t="shared" si="6"/>
        <v>-50</v>
      </c>
      <c r="AI74" s="23">
        <f t="shared" si="7"/>
        <v>140</v>
      </c>
      <c r="AJ74" s="23">
        <f t="shared" si="8"/>
        <v>-50</v>
      </c>
    </row>
    <row r="75" spans="1:36" x14ac:dyDescent="0.2">
      <c r="A75" s="36">
        <v>43602</v>
      </c>
      <c r="B75" s="37" t="s">
        <v>357</v>
      </c>
      <c r="C75" s="37" t="s">
        <v>358</v>
      </c>
      <c r="D75" s="37" t="s">
        <v>359</v>
      </c>
      <c r="E75" s="37" t="s">
        <v>360</v>
      </c>
      <c r="F75" s="37" t="s">
        <v>361</v>
      </c>
      <c r="G75" s="37" t="s">
        <v>146</v>
      </c>
      <c r="H75" s="37" t="s">
        <v>146</v>
      </c>
      <c r="I75" s="37">
        <v>2.2599999999999998</v>
      </c>
      <c r="J75" s="37">
        <v>3.51</v>
      </c>
      <c r="K75" s="37">
        <v>2.64</v>
      </c>
      <c r="L75" s="37">
        <v>-0.38</v>
      </c>
      <c r="M75" s="37">
        <v>21</v>
      </c>
      <c r="N75" s="37">
        <v>23</v>
      </c>
      <c r="O75" s="37">
        <v>1</v>
      </c>
      <c r="P75" s="37">
        <v>9</v>
      </c>
      <c r="Q75" s="37">
        <v>12</v>
      </c>
      <c r="R75" s="37">
        <v>100</v>
      </c>
      <c r="S75" s="37">
        <v>0</v>
      </c>
      <c r="T75" s="37">
        <v>0</v>
      </c>
      <c r="U75" s="37">
        <v>28.57</v>
      </c>
      <c r="V75" s="37">
        <v>9.52</v>
      </c>
      <c r="W75" s="37">
        <v>61.9</v>
      </c>
      <c r="X75" s="37">
        <v>47.83</v>
      </c>
      <c r="Y75" s="37">
        <v>8.6999999999999993</v>
      </c>
      <c r="Z75" s="37">
        <v>43.48</v>
      </c>
      <c r="AA75" s="37">
        <v>22.22</v>
      </c>
      <c r="AB75" s="37">
        <v>33.33</v>
      </c>
      <c r="AC75" s="24">
        <f t="shared" ref="AC75:AC138" si="9">(+R75*$R$8)+(S75*$S$8)-(T75*$T$8)+(U75*$U$8)+(V75*$V$8)-(W75*$W$8)-(X75*$X$8)-(Y75*$Y$8)+(Z75*$Z$8)</f>
        <v>22.545999999999992</v>
      </c>
      <c r="AD75" s="25">
        <f t="shared" ref="AD75:AD138" si="10">(-R75*$R$8)+(S75*$S$8)+(T75*$T$8)-(U75*$U$8)-(V75*$V$8)+(W75*$W$8)+(X75*$X$8)+(Y75*$Y$8)-(Z75*$Z$8)</f>
        <v>-22.545999999999992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Win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125.5</v>
      </c>
      <c r="AJ75" s="23">
        <f t="shared" ref="AJ75:AJ138" si="16">IF(AG75="Win",(K75*$B$2)-$B$2,-$B$2)</f>
        <v>-50</v>
      </c>
    </row>
    <row r="76" spans="1:36" x14ac:dyDescent="0.2">
      <c r="A76" s="36">
        <v>43602</v>
      </c>
      <c r="B76" s="37" t="s">
        <v>206</v>
      </c>
      <c r="C76" s="37" t="s">
        <v>362</v>
      </c>
      <c r="D76" s="37" t="s">
        <v>363</v>
      </c>
      <c r="E76" s="37" t="s">
        <v>364</v>
      </c>
      <c r="F76" s="37" t="s">
        <v>365</v>
      </c>
      <c r="G76" s="37" t="s">
        <v>146</v>
      </c>
      <c r="H76" s="37" t="s">
        <v>146</v>
      </c>
      <c r="I76" s="37">
        <v>1.1000000000000001</v>
      </c>
      <c r="J76" s="37">
        <v>8.3000000000000007</v>
      </c>
      <c r="K76" s="37">
        <v>11.77</v>
      </c>
      <c r="L76" s="37">
        <v>-10.67</v>
      </c>
      <c r="M76" s="37">
        <v>24</v>
      </c>
      <c r="N76" s="37">
        <v>25</v>
      </c>
      <c r="O76" s="37">
        <v>1</v>
      </c>
      <c r="P76" s="37">
        <v>12</v>
      </c>
      <c r="Q76" s="37">
        <v>12</v>
      </c>
      <c r="R76" s="37">
        <v>100</v>
      </c>
      <c r="S76" s="37">
        <v>0</v>
      </c>
      <c r="T76" s="37">
        <v>0</v>
      </c>
      <c r="U76" s="37">
        <v>25</v>
      </c>
      <c r="V76" s="37">
        <v>16.670000000000002</v>
      </c>
      <c r="W76" s="37">
        <v>58.33</v>
      </c>
      <c r="X76" s="37">
        <v>0</v>
      </c>
      <c r="Y76" s="37">
        <v>16</v>
      </c>
      <c r="Z76" s="37">
        <v>84</v>
      </c>
      <c r="AA76" s="37">
        <v>25</v>
      </c>
      <c r="AB76" s="37">
        <v>0</v>
      </c>
      <c r="AC76" s="24">
        <f t="shared" si="9"/>
        <v>40.201000000000001</v>
      </c>
      <c r="AD76" s="25">
        <f t="shared" si="10"/>
        <v>-40.201000000000001</v>
      </c>
      <c r="AE76" s="23" t="str">
        <f t="shared" si="11"/>
        <v>Loss</v>
      </c>
      <c r="AF76" s="23" t="str">
        <f t="shared" si="12"/>
        <v>Win</v>
      </c>
      <c r="AG76" s="23" t="str">
        <f t="shared" si="13"/>
        <v>Loss</v>
      </c>
      <c r="AH76" s="23">
        <f t="shared" si="14"/>
        <v>-50</v>
      </c>
      <c r="AI76" s="23">
        <f t="shared" si="15"/>
        <v>365.00000000000006</v>
      </c>
      <c r="AJ76" s="23">
        <f t="shared" si="16"/>
        <v>-50</v>
      </c>
    </row>
    <row r="77" spans="1:36" x14ac:dyDescent="0.2">
      <c r="A77" s="36">
        <v>43602</v>
      </c>
      <c r="B77" s="37" t="s">
        <v>206</v>
      </c>
      <c r="C77" s="37" t="s">
        <v>362</v>
      </c>
      <c r="D77" s="37" t="s">
        <v>366</v>
      </c>
      <c r="E77" s="37" t="s">
        <v>367</v>
      </c>
      <c r="F77" s="37" t="s">
        <v>368</v>
      </c>
      <c r="G77" s="37" t="s">
        <v>146</v>
      </c>
      <c r="H77" s="37" t="s">
        <v>146</v>
      </c>
      <c r="I77" s="37">
        <v>1.34</v>
      </c>
      <c r="J77" s="37">
        <v>5.13</v>
      </c>
      <c r="K77" s="37">
        <v>5.75</v>
      </c>
      <c r="L77" s="37">
        <v>-4.41</v>
      </c>
      <c r="M77" s="37">
        <v>27</v>
      </c>
      <c r="N77" s="37">
        <v>25</v>
      </c>
      <c r="O77" s="37">
        <v>1</v>
      </c>
      <c r="P77" s="37">
        <v>15</v>
      </c>
      <c r="Q77" s="37">
        <v>12</v>
      </c>
      <c r="R77" s="37">
        <v>100</v>
      </c>
      <c r="S77" s="37">
        <v>0</v>
      </c>
      <c r="T77" s="37">
        <v>0</v>
      </c>
      <c r="U77" s="37">
        <v>55.56</v>
      </c>
      <c r="V77" s="37">
        <v>22.22</v>
      </c>
      <c r="W77" s="37">
        <v>22.22</v>
      </c>
      <c r="X77" s="37">
        <v>40</v>
      </c>
      <c r="Y77" s="37">
        <v>24</v>
      </c>
      <c r="Z77" s="37">
        <v>36</v>
      </c>
      <c r="AA77" s="37">
        <v>60</v>
      </c>
      <c r="AB77" s="37">
        <v>41.67</v>
      </c>
      <c r="AC77" s="24">
        <f t="shared" si="9"/>
        <v>35.690000000000005</v>
      </c>
      <c r="AD77" s="25">
        <f t="shared" si="10"/>
        <v>-35.690000000000005</v>
      </c>
      <c r="AE77" s="23" t="str">
        <f t="shared" si="11"/>
        <v>Loss</v>
      </c>
      <c r="AF77" s="23" t="str">
        <f t="shared" si="12"/>
        <v>Win</v>
      </c>
      <c r="AG77" s="23" t="str">
        <f t="shared" si="13"/>
        <v>Loss</v>
      </c>
      <c r="AH77" s="23">
        <f t="shared" si="14"/>
        <v>-50</v>
      </c>
      <c r="AI77" s="23">
        <f t="shared" si="15"/>
        <v>206.5</v>
      </c>
      <c r="AJ77" s="23">
        <f t="shared" si="16"/>
        <v>-50</v>
      </c>
    </row>
    <row r="78" spans="1:36" x14ac:dyDescent="0.2">
      <c r="A78" s="36">
        <v>43602</v>
      </c>
      <c r="B78" s="37" t="s">
        <v>369</v>
      </c>
      <c r="C78" s="37" t="s">
        <v>370</v>
      </c>
      <c r="D78" s="37" t="s">
        <v>371</v>
      </c>
      <c r="E78" s="37" t="s">
        <v>372</v>
      </c>
      <c r="F78" s="37" t="s">
        <v>373</v>
      </c>
      <c r="G78" s="37" t="s">
        <v>146</v>
      </c>
      <c r="H78" s="37" t="s">
        <v>146</v>
      </c>
      <c r="I78" s="37">
        <v>3.25</v>
      </c>
      <c r="J78" s="37">
        <v>3.59</v>
      </c>
      <c r="K78" s="37">
        <v>2.09</v>
      </c>
      <c r="L78" s="37">
        <v>1.1599999999999999</v>
      </c>
      <c r="M78" s="37">
        <v>38</v>
      </c>
      <c r="N78" s="37">
        <v>38</v>
      </c>
      <c r="O78" s="37">
        <v>3</v>
      </c>
      <c r="P78" s="37">
        <v>18</v>
      </c>
      <c r="Q78" s="37">
        <v>19</v>
      </c>
      <c r="R78" s="37">
        <v>33.33</v>
      </c>
      <c r="S78" s="37">
        <v>33.33</v>
      </c>
      <c r="T78" s="37">
        <v>33.33</v>
      </c>
      <c r="U78" s="37">
        <v>44.74</v>
      </c>
      <c r="V78" s="37">
        <v>18.420000000000002</v>
      </c>
      <c r="W78" s="37">
        <v>36.840000000000003</v>
      </c>
      <c r="X78" s="37">
        <v>65.790000000000006</v>
      </c>
      <c r="Y78" s="37">
        <v>21.05</v>
      </c>
      <c r="Z78" s="37">
        <v>13.16</v>
      </c>
      <c r="AA78" s="37">
        <v>33.33</v>
      </c>
      <c r="AB78" s="37">
        <v>52.63</v>
      </c>
      <c r="AC78" s="24">
        <f t="shared" si="9"/>
        <v>-5.8760000000000012</v>
      </c>
      <c r="AD78" s="25">
        <f t="shared" si="10"/>
        <v>12.542000000000003</v>
      </c>
      <c r="AE78" s="23" t="str">
        <f t="shared" si="11"/>
        <v>Loss</v>
      </c>
      <c r="AF78" s="23" t="str">
        <f t="shared" si="12"/>
        <v>Win</v>
      </c>
      <c r="AG78" s="23" t="str">
        <f t="shared" si="13"/>
        <v>Loss</v>
      </c>
      <c r="AH78" s="23">
        <f t="shared" si="14"/>
        <v>-50</v>
      </c>
      <c r="AI78" s="23">
        <f t="shared" si="15"/>
        <v>129.5</v>
      </c>
      <c r="AJ78" s="23">
        <f t="shared" si="16"/>
        <v>-50</v>
      </c>
    </row>
    <row r="79" spans="1:36" x14ac:dyDescent="0.2">
      <c r="A79" s="36">
        <v>43602</v>
      </c>
      <c r="B79" s="37" t="s">
        <v>374</v>
      </c>
      <c r="C79" s="37" t="s">
        <v>375</v>
      </c>
      <c r="D79" s="37" t="s">
        <v>376</v>
      </c>
      <c r="E79" s="37" t="s">
        <v>377</v>
      </c>
      <c r="F79" s="37" t="s">
        <v>378</v>
      </c>
      <c r="G79" s="37" t="s">
        <v>146</v>
      </c>
      <c r="H79" s="37" t="s">
        <v>146</v>
      </c>
      <c r="I79" s="37">
        <v>1.37</v>
      </c>
      <c r="J79" s="37">
        <v>4.68</v>
      </c>
      <c r="K79" s="37">
        <v>6.17</v>
      </c>
      <c r="L79" s="37">
        <v>-4.8</v>
      </c>
      <c r="M79" s="37">
        <v>16</v>
      </c>
      <c r="N79" s="37">
        <v>18</v>
      </c>
      <c r="O79" s="37">
        <v>1</v>
      </c>
      <c r="P79" s="37">
        <v>5</v>
      </c>
      <c r="Q79" s="37">
        <v>7</v>
      </c>
      <c r="R79" s="37">
        <v>100</v>
      </c>
      <c r="S79" s="37">
        <v>0</v>
      </c>
      <c r="T79" s="37">
        <v>0</v>
      </c>
      <c r="U79" s="37">
        <v>68.75</v>
      </c>
      <c r="V79" s="37">
        <v>18.75</v>
      </c>
      <c r="W79" s="37">
        <v>12.5</v>
      </c>
      <c r="X79" s="37">
        <v>44.44</v>
      </c>
      <c r="Y79" s="37">
        <v>0</v>
      </c>
      <c r="Z79" s="37">
        <v>55.56</v>
      </c>
      <c r="AA79" s="37">
        <v>80</v>
      </c>
      <c r="AB79" s="37">
        <v>42.86</v>
      </c>
      <c r="AC79" s="24">
        <f t="shared" si="9"/>
        <v>45.349000000000004</v>
      </c>
      <c r="AD79" s="25">
        <f t="shared" si="10"/>
        <v>-45.349000000000004</v>
      </c>
      <c r="AE79" s="23" t="str">
        <f t="shared" si="11"/>
        <v>Loss</v>
      </c>
      <c r="AF79" s="23" t="str">
        <f t="shared" si="12"/>
        <v>Win</v>
      </c>
      <c r="AG79" s="23" t="str">
        <f t="shared" si="13"/>
        <v>Loss</v>
      </c>
      <c r="AH79" s="23">
        <f t="shared" si="14"/>
        <v>-50</v>
      </c>
      <c r="AI79" s="23">
        <f t="shared" si="15"/>
        <v>184</v>
      </c>
      <c r="AJ79" s="23">
        <f t="shared" si="16"/>
        <v>-50</v>
      </c>
    </row>
    <row r="80" spans="1:36" x14ac:dyDescent="0.2">
      <c r="A80" s="36">
        <v>43602</v>
      </c>
      <c r="B80" s="37" t="s">
        <v>219</v>
      </c>
      <c r="C80" s="37" t="s">
        <v>220</v>
      </c>
      <c r="D80" s="37" t="s">
        <v>379</v>
      </c>
      <c r="E80" s="37" t="s">
        <v>380</v>
      </c>
      <c r="F80" s="37" t="s">
        <v>381</v>
      </c>
      <c r="G80" s="37" t="s">
        <v>146</v>
      </c>
      <c r="H80" s="37" t="s">
        <v>146</v>
      </c>
      <c r="I80" s="37">
        <v>1.29</v>
      </c>
      <c r="J80" s="37">
        <v>5.0999999999999996</v>
      </c>
      <c r="K80" s="37">
        <v>7.91</v>
      </c>
      <c r="L80" s="37">
        <v>-6.62</v>
      </c>
      <c r="M80" s="37">
        <v>28</v>
      </c>
      <c r="N80" s="37">
        <v>28</v>
      </c>
      <c r="O80" s="37">
        <v>1</v>
      </c>
      <c r="P80" s="37">
        <v>13</v>
      </c>
      <c r="Q80" s="37">
        <v>14</v>
      </c>
      <c r="R80" s="37">
        <v>100</v>
      </c>
      <c r="S80" s="37">
        <v>0</v>
      </c>
      <c r="T80" s="37">
        <v>0</v>
      </c>
      <c r="U80" s="37">
        <v>71.430000000000007</v>
      </c>
      <c r="V80" s="37">
        <v>17.86</v>
      </c>
      <c r="W80" s="37">
        <v>10.71</v>
      </c>
      <c r="X80" s="37">
        <v>28.57</v>
      </c>
      <c r="Y80" s="37">
        <v>21.43</v>
      </c>
      <c r="Z80" s="37">
        <v>50</v>
      </c>
      <c r="AA80" s="37">
        <v>69.23</v>
      </c>
      <c r="AB80" s="37">
        <v>14.29</v>
      </c>
      <c r="AC80" s="24">
        <f t="shared" si="9"/>
        <v>46.073</v>
      </c>
      <c r="AD80" s="25">
        <f t="shared" si="10"/>
        <v>-46.073</v>
      </c>
      <c r="AE80" s="23" t="str">
        <f t="shared" si="11"/>
        <v>Loss</v>
      </c>
      <c r="AF80" s="23" t="str">
        <f t="shared" si="12"/>
        <v>Win</v>
      </c>
      <c r="AG80" s="23" t="str">
        <f t="shared" si="13"/>
        <v>Loss</v>
      </c>
      <c r="AH80" s="23">
        <f t="shared" si="14"/>
        <v>-50</v>
      </c>
      <c r="AI80" s="23">
        <f t="shared" si="15"/>
        <v>204.99999999999997</v>
      </c>
      <c r="AJ80" s="23">
        <f t="shared" si="16"/>
        <v>-50</v>
      </c>
    </row>
    <row r="81" spans="1:36" x14ac:dyDescent="0.2">
      <c r="A81" s="36">
        <v>43602</v>
      </c>
      <c r="B81" s="37" t="s">
        <v>206</v>
      </c>
      <c r="C81" s="37" t="s">
        <v>382</v>
      </c>
      <c r="D81" s="37" t="s">
        <v>383</v>
      </c>
      <c r="E81" s="37" t="s">
        <v>384</v>
      </c>
      <c r="F81" s="37" t="s">
        <v>385</v>
      </c>
      <c r="G81" s="37" t="s">
        <v>146</v>
      </c>
      <c r="H81" s="37" t="s">
        <v>146</v>
      </c>
      <c r="I81" s="37">
        <v>2.13</v>
      </c>
      <c r="J81" s="37">
        <v>3.6</v>
      </c>
      <c r="K81" s="37">
        <v>2.8</v>
      </c>
      <c r="L81" s="37">
        <v>-0.67</v>
      </c>
      <c r="M81" s="37">
        <v>5</v>
      </c>
      <c r="N81" s="37">
        <v>6</v>
      </c>
      <c r="O81" s="37">
        <v>0</v>
      </c>
      <c r="P81" s="37">
        <v>3</v>
      </c>
      <c r="Q81" s="37">
        <v>1</v>
      </c>
      <c r="R81" s="37">
        <v>0</v>
      </c>
      <c r="S81" s="37">
        <v>0</v>
      </c>
      <c r="T81" s="37">
        <v>0</v>
      </c>
      <c r="U81" s="37">
        <v>60</v>
      </c>
      <c r="V81" s="37">
        <v>20</v>
      </c>
      <c r="W81" s="37">
        <v>20</v>
      </c>
      <c r="X81" s="37">
        <v>50</v>
      </c>
      <c r="Y81" s="37">
        <v>33.33</v>
      </c>
      <c r="Z81" s="37">
        <v>16.670000000000002</v>
      </c>
      <c r="AA81" s="37">
        <v>100</v>
      </c>
      <c r="AB81" s="37">
        <v>0</v>
      </c>
      <c r="AC81" s="24">
        <f t="shared" si="9"/>
        <v>1.000000000000334E-3</v>
      </c>
      <c r="AD81" s="25">
        <f t="shared" si="10"/>
        <v>-1.000000000000334E-3</v>
      </c>
      <c r="AE81" s="23" t="str">
        <f t="shared" si="11"/>
        <v>Loss</v>
      </c>
      <c r="AF81" s="23" t="str">
        <f t="shared" si="12"/>
        <v>Win</v>
      </c>
      <c r="AG81" s="23" t="str">
        <f t="shared" si="13"/>
        <v>Loss</v>
      </c>
      <c r="AH81" s="23">
        <f t="shared" si="14"/>
        <v>-50</v>
      </c>
      <c r="AI81" s="23">
        <f t="shared" si="15"/>
        <v>130</v>
      </c>
      <c r="AJ81" s="23">
        <f t="shared" si="16"/>
        <v>-50</v>
      </c>
    </row>
    <row r="82" spans="1:36" x14ac:dyDescent="0.2">
      <c r="A82" s="36">
        <v>43602</v>
      </c>
      <c r="B82" s="37" t="s">
        <v>386</v>
      </c>
      <c r="C82" s="37" t="s">
        <v>387</v>
      </c>
      <c r="D82" s="37" t="s">
        <v>388</v>
      </c>
      <c r="E82" s="37" t="s">
        <v>389</v>
      </c>
      <c r="F82" s="37" t="s">
        <v>390</v>
      </c>
      <c r="G82" s="37" t="s">
        <v>146</v>
      </c>
      <c r="H82" s="37" t="s">
        <v>146</v>
      </c>
      <c r="I82" s="37">
        <v>2.2000000000000002</v>
      </c>
      <c r="J82" s="37">
        <v>3.35</v>
      </c>
      <c r="K82" s="37">
        <v>3.23</v>
      </c>
      <c r="L82" s="37">
        <v>-1.03</v>
      </c>
      <c r="M82" s="37">
        <v>20</v>
      </c>
      <c r="N82" s="37">
        <v>18</v>
      </c>
      <c r="O82" s="37">
        <v>0</v>
      </c>
      <c r="P82" s="37">
        <v>10</v>
      </c>
      <c r="Q82" s="37">
        <v>11</v>
      </c>
      <c r="R82" s="37">
        <v>0</v>
      </c>
      <c r="S82" s="37">
        <v>0</v>
      </c>
      <c r="T82" s="37">
        <v>0</v>
      </c>
      <c r="U82" s="37">
        <v>50</v>
      </c>
      <c r="V82" s="37">
        <v>15</v>
      </c>
      <c r="W82" s="37">
        <v>35</v>
      </c>
      <c r="X82" s="37">
        <v>22.22</v>
      </c>
      <c r="Y82" s="37">
        <v>38.89</v>
      </c>
      <c r="Z82" s="37">
        <v>38.89</v>
      </c>
      <c r="AA82" s="37">
        <v>50</v>
      </c>
      <c r="AB82" s="37">
        <v>27.27</v>
      </c>
      <c r="AC82" s="24">
        <f t="shared" si="9"/>
        <v>3.9450000000000003</v>
      </c>
      <c r="AD82" s="25">
        <f t="shared" si="10"/>
        <v>-3.9450000000000003</v>
      </c>
      <c r="AE82" s="23" t="str">
        <f t="shared" si="11"/>
        <v>Loss</v>
      </c>
      <c r="AF82" s="23" t="str">
        <f t="shared" si="12"/>
        <v>Win</v>
      </c>
      <c r="AG82" s="23" t="str">
        <f t="shared" si="13"/>
        <v>Loss</v>
      </c>
      <c r="AH82" s="23">
        <f t="shared" si="14"/>
        <v>-50</v>
      </c>
      <c r="AI82" s="23">
        <f t="shared" si="15"/>
        <v>117.5</v>
      </c>
      <c r="AJ82" s="23">
        <f t="shared" si="16"/>
        <v>-50</v>
      </c>
    </row>
    <row r="83" spans="1:36" x14ac:dyDescent="0.2">
      <c r="A83" s="36">
        <v>43602</v>
      </c>
      <c r="B83" s="37" t="s">
        <v>386</v>
      </c>
      <c r="C83" s="37" t="s">
        <v>391</v>
      </c>
      <c r="D83" s="37" t="s">
        <v>392</v>
      </c>
      <c r="E83" s="37" t="s">
        <v>393</v>
      </c>
      <c r="F83" s="37" t="s">
        <v>394</v>
      </c>
      <c r="G83" s="37" t="s">
        <v>146</v>
      </c>
      <c r="H83" s="37" t="s">
        <v>146</v>
      </c>
      <c r="I83" s="37">
        <v>5.0199999999999996</v>
      </c>
      <c r="J83" s="37">
        <v>3.68</v>
      </c>
      <c r="K83" s="37">
        <v>1.66</v>
      </c>
      <c r="L83" s="37">
        <v>3.36</v>
      </c>
      <c r="M83" s="37">
        <v>59</v>
      </c>
      <c r="N83" s="37">
        <v>24</v>
      </c>
      <c r="O83" s="37">
        <v>0</v>
      </c>
      <c r="P83" s="37">
        <v>30</v>
      </c>
      <c r="Q83" s="37">
        <v>12</v>
      </c>
      <c r="R83" s="37">
        <v>0</v>
      </c>
      <c r="S83" s="37">
        <v>0</v>
      </c>
      <c r="T83" s="37">
        <v>0</v>
      </c>
      <c r="U83" s="37">
        <v>50.85</v>
      </c>
      <c r="V83" s="37">
        <v>18.64</v>
      </c>
      <c r="W83" s="37">
        <v>30.51</v>
      </c>
      <c r="X83" s="37">
        <v>45.83</v>
      </c>
      <c r="Y83" s="37">
        <v>20.83</v>
      </c>
      <c r="Z83" s="37">
        <v>33.33</v>
      </c>
      <c r="AA83" s="37">
        <v>60</v>
      </c>
      <c r="AB83" s="37">
        <v>41.67</v>
      </c>
      <c r="AC83" s="24">
        <f t="shared" si="9"/>
        <v>1.349000000000002</v>
      </c>
      <c r="AD83" s="25">
        <f t="shared" si="10"/>
        <v>-1.349000000000002</v>
      </c>
      <c r="AE83" s="23" t="str">
        <f t="shared" si="11"/>
        <v>Loss</v>
      </c>
      <c r="AF83" s="23" t="str">
        <f t="shared" si="12"/>
        <v>Win</v>
      </c>
      <c r="AG83" s="23" t="str">
        <f t="shared" si="13"/>
        <v>Loss</v>
      </c>
      <c r="AH83" s="23">
        <f t="shared" si="14"/>
        <v>-50</v>
      </c>
      <c r="AI83" s="23">
        <f t="shared" si="15"/>
        <v>134</v>
      </c>
      <c r="AJ83" s="23">
        <f t="shared" si="16"/>
        <v>-50</v>
      </c>
    </row>
    <row r="84" spans="1:36" x14ac:dyDescent="0.2">
      <c r="A84" s="36">
        <v>43602</v>
      </c>
      <c r="B84" s="37" t="s">
        <v>339</v>
      </c>
      <c r="C84" s="37" t="s">
        <v>340</v>
      </c>
      <c r="D84" s="37" t="s">
        <v>395</v>
      </c>
      <c r="E84" s="37" t="s">
        <v>396</v>
      </c>
      <c r="F84" s="37" t="s">
        <v>397</v>
      </c>
      <c r="G84" s="37" t="s">
        <v>146</v>
      </c>
      <c r="H84" s="37" t="s">
        <v>146</v>
      </c>
      <c r="I84" s="37">
        <v>5.58</v>
      </c>
      <c r="J84" s="37">
        <v>3.55</v>
      </c>
      <c r="K84" s="37">
        <v>1.57</v>
      </c>
      <c r="L84" s="37">
        <v>4.01</v>
      </c>
      <c r="M84" s="37">
        <v>38</v>
      </c>
      <c r="N84" s="37">
        <v>42</v>
      </c>
      <c r="O84" s="37">
        <v>2</v>
      </c>
      <c r="P84" s="37">
        <v>18</v>
      </c>
      <c r="Q84" s="37">
        <v>20</v>
      </c>
      <c r="R84" s="37">
        <v>0</v>
      </c>
      <c r="S84" s="37">
        <v>0</v>
      </c>
      <c r="T84" s="37">
        <v>100</v>
      </c>
      <c r="U84" s="37">
        <v>42.11</v>
      </c>
      <c r="V84" s="37">
        <v>21.05</v>
      </c>
      <c r="W84" s="37">
        <v>36.840000000000003</v>
      </c>
      <c r="X84" s="37">
        <v>71.430000000000007</v>
      </c>
      <c r="Y84" s="37">
        <v>11.9</v>
      </c>
      <c r="Z84" s="37">
        <v>16.670000000000002</v>
      </c>
      <c r="AA84" s="37">
        <v>33.33</v>
      </c>
      <c r="AB84" s="37">
        <v>70</v>
      </c>
      <c r="AC84" s="24">
        <f t="shared" si="9"/>
        <v>-38.982999999999997</v>
      </c>
      <c r="AD84" s="25">
        <f t="shared" si="10"/>
        <v>38.982999999999997</v>
      </c>
      <c r="AE84" s="23" t="str">
        <f t="shared" si="11"/>
        <v>Loss</v>
      </c>
      <c r="AF84" s="23" t="str">
        <f t="shared" si="12"/>
        <v>Win</v>
      </c>
      <c r="AG84" s="23" t="str">
        <f t="shared" si="13"/>
        <v>Loss</v>
      </c>
      <c r="AH84" s="23">
        <f t="shared" si="14"/>
        <v>-50</v>
      </c>
      <c r="AI84" s="23">
        <f t="shared" si="15"/>
        <v>127.5</v>
      </c>
      <c r="AJ84" s="23">
        <f t="shared" si="16"/>
        <v>-50</v>
      </c>
    </row>
    <row r="85" spans="1:36" x14ac:dyDescent="0.2">
      <c r="A85" s="36">
        <v>43602</v>
      </c>
      <c r="B85" s="37" t="s">
        <v>398</v>
      </c>
      <c r="C85" s="37" t="s">
        <v>399</v>
      </c>
      <c r="D85" s="37" t="s">
        <v>400</v>
      </c>
      <c r="E85" s="37" t="s">
        <v>401</v>
      </c>
      <c r="F85" s="37" t="s">
        <v>402</v>
      </c>
      <c r="G85" s="37" t="s">
        <v>146</v>
      </c>
      <c r="H85" s="37" t="s">
        <v>146</v>
      </c>
      <c r="I85" s="37">
        <v>1.47</v>
      </c>
      <c r="J85" s="37">
        <v>4.41</v>
      </c>
      <c r="K85" s="37">
        <v>5.03</v>
      </c>
      <c r="L85" s="37">
        <v>-3.56</v>
      </c>
      <c r="M85" s="37">
        <v>25</v>
      </c>
      <c r="N85" s="37">
        <v>25</v>
      </c>
      <c r="O85" s="37">
        <v>1</v>
      </c>
      <c r="P85" s="37">
        <v>14</v>
      </c>
      <c r="Q85" s="37">
        <v>12</v>
      </c>
      <c r="R85" s="37">
        <v>0</v>
      </c>
      <c r="S85" s="37">
        <v>0</v>
      </c>
      <c r="T85" s="37">
        <v>100</v>
      </c>
      <c r="U85" s="37">
        <v>64</v>
      </c>
      <c r="V85" s="37">
        <v>12</v>
      </c>
      <c r="W85" s="37">
        <v>24</v>
      </c>
      <c r="X85" s="37">
        <v>40</v>
      </c>
      <c r="Y85" s="37">
        <v>12</v>
      </c>
      <c r="Z85" s="37">
        <v>48</v>
      </c>
      <c r="AA85" s="37">
        <v>64.290000000000006</v>
      </c>
      <c r="AB85" s="37">
        <v>25</v>
      </c>
      <c r="AC85" s="24">
        <f t="shared" si="9"/>
        <v>-20.399999999999999</v>
      </c>
      <c r="AD85" s="25">
        <f t="shared" si="10"/>
        <v>20.399999999999999</v>
      </c>
      <c r="AE85" s="23" t="str">
        <f t="shared" si="11"/>
        <v>Loss</v>
      </c>
      <c r="AF85" s="23" t="str">
        <f t="shared" si="12"/>
        <v>Win</v>
      </c>
      <c r="AG85" s="23" t="str">
        <f t="shared" si="13"/>
        <v>Loss</v>
      </c>
      <c r="AH85" s="23">
        <f t="shared" si="14"/>
        <v>-50</v>
      </c>
      <c r="AI85" s="23">
        <f t="shared" si="15"/>
        <v>170.5</v>
      </c>
      <c r="AJ85" s="23">
        <f t="shared" si="16"/>
        <v>-50</v>
      </c>
    </row>
    <row r="86" spans="1:36" x14ac:dyDescent="0.2">
      <c r="A86" s="36">
        <v>43602</v>
      </c>
      <c r="B86" s="37" t="s">
        <v>403</v>
      </c>
      <c r="C86" s="37" t="s">
        <v>404</v>
      </c>
      <c r="D86" s="37" t="s">
        <v>405</v>
      </c>
      <c r="E86" s="37" t="s">
        <v>406</v>
      </c>
      <c r="F86" s="37" t="s">
        <v>407</v>
      </c>
      <c r="G86" s="37" t="s">
        <v>146</v>
      </c>
      <c r="H86" s="37" t="s">
        <v>146</v>
      </c>
      <c r="I86" s="37">
        <v>6.11</v>
      </c>
      <c r="J86" s="37">
        <v>4.58</v>
      </c>
      <c r="K86" s="37">
        <v>1.43</v>
      </c>
      <c r="L86" s="37">
        <v>4.68</v>
      </c>
      <c r="M86" s="37">
        <v>35</v>
      </c>
      <c r="N86" s="37">
        <v>39</v>
      </c>
      <c r="O86" s="37">
        <v>3</v>
      </c>
      <c r="P86" s="37">
        <v>17</v>
      </c>
      <c r="Q86" s="37">
        <v>20</v>
      </c>
      <c r="R86" s="37">
        <v>33.33</v>
      </c>
      <c r="S86" s="37">
        <v>0</v>
      </c>
      <c r="T86" s="37">
        <v>66.67</v>
      </c>
      <c r="U86" s="37">
        <v>14.29</v>
      </c>
      <c r="V86" s="37">
        <v>11.43</v>
      </c>
      <c r="W86" s="37">
        <v>74.290000000000006</v>
      </c>
      <c r="X86" s="37">
        <v>38.46</v>
      </c>
      <c r="Y86" s="37">
        <v>25.64</v>
      </c>
      <c r="Z86" s="37">
        <v>35.9</v>
      </c>
      <c r="AA86" s="37">
        <v>17.649999999999999</v>
      </c>
      <c r="AB86" s="37">
        <v>30</v>
      </c>
      <c r="AC86" s="24">
        <f t="shared" si="9"/>
        <v>-23.935000000000006</v>
      </c>
      <c r="AD86" s="25">
        <f t="shared" si="10"/>
        <v>23.935000000000006</v>
      </c>
      <c r="AE86" s="23" t="str">
        <f t="shared" si="11"/>
        <v>Loss</v>
      </c>
      <c r="AF86" s="23" t="str">
        <f t="shared" si="12"/>
        <v>Win</v>
      </c>
      <c r="AG86" s="23" t="str">
        <f t="shared" si="13"/>
        <v>Loss</v>
      </c>
      <c r="AH86" s="23">
        <f t="shared" si="14"/>
        <v>-50</v>
      </c>
      <c r="AI86" s="23">
        <f t="shared" si="15"/>
        <v>179</v>
      </c>
      <c r="AJ86" s="23">
        <f t="shared" si="16"/>
        <v>-50</v>
      </c>
    </row>
    <row r="87" spans="1:36" x14ac:dyDescent="0.2">
      <c r="A87" s="36">
        <v>43602</v>
      </c>
      <c r="B87" s="37" t="s">
        <v>206</v>
      </c>
      <c r="C87" s="37" t="s">
        <v>408</v>
      </c>
      <c r="D87" s="37" t="s">
        <v>409</v>
      </c>
      <c r="E87" s="37" t="s">
        <v>410</v>
      </c>
      <c r="F87" s="37" t="s">
        <v>411</v>
      </c>
      <c r="G87" s="37" t="s">
        <v>146</v>
      </c>
      <c r="H87" s="37" t="s">
        <v>146</v>
      </c>
      <c r="I87" s="37">
        <v>2.67</v>
      </c>
      <c r="J87" s="37">
        <v>3.33</v>
      </c>
      <c r="K87" s="37">
        <v>2.5099999999999998</v>
      </c>
      <c r="L87" s="37">
        <v>0.16</v>
      </c>
      <c r="M87" s="37">
        <v>35</v>
      </c>
      <c r="N87" s="37">
        <v>36</v>
      </c>
      <c r="O87" s="37">
        <v>2</v>
      </c>
      <c r="P87" s="37">
        <v>16</v>
      </c>
      <c r="Q87" s="37">
        <v>19</v>
      </c>
      <c r="R87" s="37">
        <v>50</v>
      </c>
      <c r="S87" s="37">
        <v>0</v>
      </c>
      <c r="T87" s="37">
        <v>50</v>
      </c>
      <c r="U87" s="37">
        <v>42.86</v>
      </c>
      <c r="V87" s="37">
        <v>8.57</v>
      </c>
      <c r="W87" s="37">
        <v>48.57</v>
      </c>
      <c r="X87" s="37">
        <v>38.89</v>
      </c>
      <c r="Y87" s="37">
        <v>27.78</v>
      </c>
      <c r="Z87" s="37">
        <v>33.33</v>
      </c>
      <c r="AA87" s="37">
        <v>56.25</v>
      </c>
      <c r="AB87" s="37">
        <v>36.840000000000003</v>
      </c>
      <c r="AC87" s="24">
        <f t="shared" si="9"/>
        <v>-4.1750000000000007</v>
      </c>
      <c r="AD87" s="25">
        <f t="shared" si="10"/>
        <v>4.1750000000000007</v>
      </c>
      <c r="AE87" s="23" t="str">
        <f t="shared" si="11"/>
        <v>Loss</v>
      </c>
      <c r="AF87" s="23" t="str">
        <f t="shared" si="12"/>
        <v>Win</v>
      </c>
      <c r="AG87" s="23" t="str">
        <f t="shared" si="13"/>
        <v>Loss</v>
      </c>
      <c r="AH87" s="23">
        <f t="shared" si="14"/>
        <v>-50</v>
      </c>
      <c r="AI87" s="23">
        <f t="shared" si="15"/>
        <v>116.5</v>
      </c>
      <c r="AJ87" s="23">
        <f t="shared" si="16"/>
        <v>-50</v>
      </c>
    </row>
    <row r="88" spans="1:36" x14ac:dyDescent="0.2">
      <c r="A88" s="36">
        <v>43602</v>
      </c>
      <c r="B88" s="37" t="s">
        <v>206</v>
      </c>
      <c r="C88" s="37" t="s">
        <v>382</v>
      </c>
      <c r="D88" s="37" t="s">
        <v>412</v>
      </c>
      <c r="E88" s="37" t="s">
        <v>413</v>
      </c>
      <c r="F88" s="37" t="s">
        <v>414</v>
      </c>
      <c r="G88" s="37" t="s">
        <v>146</v>
      </c>
      <c r="H88" s="37" t="s">
        <v>146</v>
      </c>
      <c r="I88" s="37">
        <v>2.38</v>
      </c>
      <c r="J88" s="37">
        <v>3.76</v>
      </c>
      <c r="K88" s="37">
        <v>2.29</v>
      </c>
      <c r="L88" s="37">
        <v>0.09</v>
      </c>
      <c r="M88" s="37">
        <v>7</v>
      </c>
      <c r="N88" s="37">
        <v>4</v>
      </c>
      <c r="O88" s="37">
        <v>0</v>
      </c>
      <c r="P88" s="37">
        <v>5</v>
      </c>
      <c r="Q88" s="37">
        <v>1</v>
      </c>
      <c r="R88" s="37">
        <v>0</v>
      </c>
      <c r="S88" s="37">
        <v>0</v>
      </c>
      <c r="T88" s="37">
        <v>0</v>
      </c>
      <c r="U88" s="37">
        <v>42.86</v>
      </c>
      <c r="V88" s="37">
        <v>42.86</v>
      </c>
      <c r="W88" s="37">
        <v>14.29</v>
      </c>
      <c r="X88" s="37">
        <v>50</v>
      </c>
      <c r="Y88" s="37">
        <v>25</v>
      </c>
      <c r="Z88" s="37">
        <v>25</v>
      </c>
      <c r="AA88" s="37">
        <v>40</v>
      </c>
      <c r="AB88" s="37">
        <v>0</v>
      </c>
      <c r="AC88" s="24">
        <f t="shared" si="9"/>
        <v>2.5</v>
      </c>
      <c r="AD88" s="25">
        <f t="shared" si="10"/>
        <v>-2.5</v>
      </c>
      <c r="AE88" s="23" t="str">
        <f t="shared" si="11"/>
        <v>Loss</v>
      </c>
      <c r="AF88" s="23" t="str">
        <f t="shared" si="12"/>
        <v>Win</v>
      </c>
      <c r="AG88" s="23" t="str">
        <f t="shared" si="13"/>
        <v>Loss</v>
      </c>
      <c r="AH88" s="23">
        <f t="shared" si="14"/>
        <v>-50</v>
      </c>
      <c r="AI88" s="23">
        <f t="shared" si="15"/>
        <v>138</v>
      </c>
      <c r="AJ88" s="23">
        <f t="shared" si="16"/>
        <v>-50</v>
      </c>
    </row>
    <row r="89" spans="1:36" x14ac:dyDescent="0.2">
      <c r="A89" s="36">
        <v>43602</v>
      </c>
      <c r="B89" s="37" t="s">
        <v>415</v>
      </c>
      <c r="C89" s="37" t="s">
        <v>416</v>
      </c>
      <c r="D89" s="37" t="s">
        <v>417</v>
      </c>
      <c r="E89" s="37" t="s">
        <v>418</v>
      </c>
      <c r="F89" s="37" t="s">
        <v>419</v>
      </c>
      <c r="G89" s="37" t="s">
        <v>146</v>
      </c>
      <c r="H89" s="37" t="s">
        <v>146</v>
      </c>
      <c r="I89" s="37">
        <v>1.1399999999999999</v>
      </c>
      <c r="J89" s="37">
        <v>7.45</v>
      </c>
      <c r="K89" s="37">
        <v>12.04</v>
      </c>
      <c r="L89" s="37">
        <v>-10.9</v>
      </c>
      <c r="M89" s="37">
        <v>15</v>
      </c>
      <c r="N89" s="37">
        <v>11</v>
      </c>
      <c r="O89" s="37">
        <v>2</v>
      </c>
      <c r="P89" s="37">
        <v>9</v>
      </c>
      <c r="Q89" s="37">
        <v>5</v>
      </c>
      <c r="R89" s="37">
        <v>50</v>
      </c>
      <c r="S89" s="37">
        <v>50</v>
      </c>
      <c r="T89" s="37">
        <v>0</v>
      </c>
      <c r="U89" s="37">
        <v>66.67</v>
      </c>
      <c r="V89" s="37">
        <v>20</v>
      </c>
      <c r="W89" s="37">
        <v>13.33</v>
      </c>
      <c r="X89" s="37">
        <v>27.27</v>
      </c>
      <c r="Y89" s="37">
        <v>27.27</v>
      </c>
      <c r="Z89" s="37">
        <v>45.45</v>
      </c>
      <c r="AA89" s="37">
        <v>66.67</v>
      </c>
      <c r="AB89" s="37">
        <v>20</v>
      </c>
      <c r="AC89" s="24">
        <f t="shared" si="9"/>
        <v>33.577000000000005</v>
      </c>
      <c r="AD89" s="25">
        <f t="shared" si="10"/>
        <v>-23.577000000000005</v>
      </c>
      <c r="AE89" s="23" t="str">
        <f t="shared" si="11"/>
        <v>Loss</v>
      </c>
      <c r="AF89" s="23" t="str">
        <f t="shared" si="12"/>
        <v>Win</v>
      </c>
      <c r="AG89" s="23" t="str">
        <f t="shared" si="13"/>
        <v>Loss</v>
      </c>
      <c r="AH89" s="23">
        <f t="shared" si="14"/>
        <v>-50</v>
      </c>
      <c r="AI89" s="23">
        <f t="shared" si="15"/>
        <v>322.5</v>
      </c>
      <c r="AJ89" s="23">
        <f t="shared" si="16"/>
        <v>-50</v>
      </c>
    </row>
    <row r="90" spans="1:36" x14ac:dyDescent="0.2">
      <c r="A90" s="36">
        <v>43602</v>
      </c>
      <c r="B90" s="37" t="s">
        <v>374</v>
      </c>
      <c r="C90" s="37" t="s">
        <v>375</v>
      </c>
      <c r="D90" s="37" t="s">
        <v>420</v>
      </c>
      <c r="E90" s="37" t="s">
        <v>421</v>
      </c>
      <c r="F90" s="37" t="s">
        <v>422</v>
      </c>
      <c r="G90" s="37" t="s">
        <v>146</v>
      </c>
      <c r="H90" s="37" t="s">
        <v>146</v>
      </c>
      <c r="I90" s="37">
        <v>2.2200000000000002</v>
      </c>
      <c r="J90" s="37">
        <v>3.49</v>
      </c>
      <c r="K90" s="37">
        <v>2.76</v>
      </c>
      <c r="L90" s="37">
        <v>-0.54</v>
      </c>
      <c r="M90" s="37">
        <v>14</v>
      </c>
      <c r="N90" s="37">
        <v>14</v>
      </c>
      <c r="O90" s="37">
        <v>1</v>
      </c>
      <c r="P90" s="37">
        <v>6</v>
      </c>
      <c r="Q90" s="37">
        <v>8</v>
      </c>
      <c r="R90" s="37">
        <v>100</v>
      </c>
      <c r="S90" s="37">
        <v>0</v>
      </c>
      <c r="T90" s="37">
        <v>0</v>
      </c>
      <c r="U90" s="37">
        <v>28.57</v>
      </c>
      <c r="V90" s="37">
        <v>14.29</v>
      </c>
      <c r="W90" s="37">
        <v>57.14</v>
      </c>
      <c r="X90" s="37">
        <v>21.43</v>
      </c>
      <c r="Y90" s="37">
        <v>28.57</v>
      </c>
      <c r="Z90" s="37">
        <v>50</v>
      </c>
      <c r="AA90" s="37">
        <v>16.670000000000002</v>
      </c>
      <c r="AB90" s="37">
        <v>12.5</v>
      </c>
      <c r="AC90" s="24">
        <f t="shared" si="9"/>
        <v>28.571999999999999</v>
      </c>
      <c r="AD90" s="25">
        <f t="shared" si="10"/>
        <v>-28.571999999999999</v>
      </c>
      <c r="AE90" s="23" t="str">
        <f t="shared" si="11"/>
        <v>Loss</v>
      </c>
      <c r="AF90" s="23" t="str">
        <f t="shared" si="12"/>
        <v>Win</v>
      </c>
      <c r="AG90" s="23" t="str">
        <f t="shared" si="13"/>
        <v>Loss</v>
      </c>
      <c r="AH90" s="23">
        <f t="shared" si="14"/>
        <v>-50</v>
      </c>
      <c r="AI90" s="23">
        <f t="shared" si="15"/>
        <v>124.5</v>
      </c>
      <c r="AJ90" s="23">
        <f t="shared" si="16"/>
        <v>-50</v>
      </c>
    </row>
    <row r="91" spans="1:36" x14ac:dyDescent="0.2">
      <c r="A91" s="36">
        <v>43602</v>
      </c>
      <c r="B91" s="37" t="s">
        <v>423</v>
      </c>
      <c r="C91" s="37" t="s">
        <v>424</v>
      </c>
      <c r="D91" s="37" t="s">
        <v>425</v>
      </c>
      <c r="E91" s="37" t="s">
        <v>426</v>
      </c>
      <c r="F91" s="37" t="s">
        <v>427</v>
      </c>
      <c r="G91" s="37" t="s">
        <v>146</v>
      </c>
      <c r="H91" s="37" t="s">
        <v>146</v>
      </c>
      <c r="I91" s="37">
        <v>1.1499999999999999</v>
      </c>
      <c r="J91" s="37">
        <v>6.89</v>
      </c>
      <c r="K91" s="37">
        <v>11.63</v>
      </c>
      <c r="L91" s="37">
        <v>-10.48</v>
      </c>
      <c r="M91" s="37">
        <v>15</v>
      </c>
      <c r="N91" s="37">
        <v>12</v>
      </c>
      <c r="O91" s="37">
        <v>1</v>
      </c>
      <c r="P91" s="37">
        <v>5</v>
      </c>
      <c r="Q91" s="37">
        <v>6</v>
      </c>
      <c r="R91" s="37">
        <v>100</v>
      </c>
      <c r="S91" s="37">
        <v>0</v>
      </c>
      <c r="T91" s="37">
        <v>0</v>
      </c>
      <c r="U91" s="37">
        <v>73.33</v>
      </c>
      <c r="V91" s="37">
        <v>6.67</v>
      </c>
      <c r="W91" s="37">
        <v>20</v>
      </c>
      <c r="X91" s="37">
        <v>25</v>
      </c>
      <c r="Y91" s="37">
        <v>16.670000000000002</v>
      </c>
      <c r="Z91" s="37">
        <v>58.33</v>
      </c>
      <c r="AA91" s="37">
        <v>80</v>
      </c>
      <c r="AB91" s="37">
        <v>16.670000000000002</v>
      </c>
      <c r="AC91" s="24">
        <f t="shared" si="9"/>
        <v>46.331999999999994</v>
      </c>
      <c r="AD91" s="25">
        <f t="shared" si="10"/>
        <v>-46.331999999999994</v>
      </c>
      <c r="AE91" s="23" t="str">
        <f t="shared" si="11"/>
        <v>Loss</v>
      </c>
      <c r="AF91" s="23" t="str">
        <f t="shared" si="12"/>
        <v>Win</v>
      </c>
      <c r="AG91" s="23" t="str">
        <f t="shared" si="13"/>
        <v>Loss</v>
      </c>
      <c r="AH91" s="23">
        <f t="shared" si="14"/>
        <v>-50</v>
      </c>
      <c r="AI91" s="23">
        <f t="shared" si="15"/>
        <v>294.5</v>
      </c>
      <c r="AJ91" s="23">
        <f t="shared" si="16"/>
        <v>-50</v>
      </c>
    </row>
    <row r="92" spans="1:36" x14ac:dyDescent="0.2">
      <c r="A92" s="36">
        <v>43602</v>
      </c>
      <c r="B92" s="37" t="s">
        <v>398</v>
      </c>
      <c r="C92" s="37" t="s">
        <v>428</v>
      </c>
      <c r="D92" s="37" t="s">
        <v>429</v>
      </c>
      <c r="E92" s="37" t="s">
        <v>430</v>
      </c>
      <c r="F92" s="37" t="s">
        <v>431</v>
      </c>
      <c r="G92" s="37" t="s">
        <v>146</v>
      </c>
      <c r="H92" s="37" t="s">
        <v>146</v>
      </c>
      <c r="I92" s="37">
        <v>2.21</v>
      </c>
      <c r="J92" s="37">
        <v>3.56</v>
      </c>
      <c r="K92" s="37">
        <v>2.69</v>
      </c>
      <c r="L92" s="37">
        <v>-0.48</v>
      </c>
      <c r="M92" s="37">
        <v>23</v>
      </c>
      <c r="N92" s="37">
        <v>24</v>
      </c>
      <c r="O92" s="37">
        <v>1</v>
      </c>
      <c r="P92" s="37">
        <v>12</v>
      </c>
      <c r="Q92" s="37">
        <v>10</v>
      </c>
      <c r="R92" s="37">
        <v>0</v>
      </c>
      <c r="S92" s="37">
        <v>0</v>
      </c>
      <c r="T92" s="37">
        <v>100</v>
      </c>
      <c r="U92" s="37">
        <v>39.130000000000003</v>
      </c>
      <c r="V92" s="37">
        <v>17.39</v>
      </c>
      <c r="W92" s="37">
        <v>43.48</v>
      </c>
      <c r="X92" s="37">
        <v>41.67</v>
      </c>
      <c r="Y92" s="37">
        <v>20.83</v>
      </c>
      <c r="Z92" s="37">
        <v>37.5</v>
      </c>
      <c r="AA92" s="37">
        <v>33.33</v>
      </c>
      <c r="AB92" s="37">
        <v>40</v>
      </c>
      <c r="AC92" s="24">
        <f t="shared" si="9"/>
        <v>-32.048000000000002</v>
      </c>
      <c r="AD92" s="25">
        <f t="shared" si="10"/>
        <v>32.048000000000002</v>
      </c>
      <c r="AE92" s="23" t="str">
        <f t="shared" si="11"/>
        <v>Loss</v>
      </c>
      <c r="AF92" s="23" t="str">
        <f t="shared" si="12"/>
        <v>Win</v>
      </c>
      <c r="AG92" s="23" t="str">
        <f t="shared" si="13"/>
        <v>Loss</v>
      </c>
      <c r="AH92" s="23">
        <f t="shared" si="14"/>
        <v>-50</v>
      </c>
      <c r="AI92" s="23">
        <f t="shared" si="15"/>
        <v>128</v>
      </c>
      <c r="AJ92" s="23">
        <f t="shared" si="16"/>
        <v>-50</v>
      </c>
    </row>
    <row r="93" spans="1:36" x14ac:dyDescent="0.2">
      <c r="A93" s="36">
        <v>43602</v>
      </c>
      <c r="B93" s="37" t="s">
        <v>415</v>
      </c>
      <c r="C93" s="37" t="s">
        <v>416</v>
      </c>
      <c r="D93" s="37" t="s">
        <v>432</v>
      </c>
      <c r="E93" s="37" t="s">
        <v>433</v>
      </c>
      <c r="F93" s="37" t="s">
        <v>434</v>
      </c>
      <c r="G93" s="37" t="s">
        <v>146</v>
      </c>
      <c r="H93" s="37" t="s">
        <v>146</v>
      </c>
      <c r="I93" s="37">
        <v>15.92</v>
      </c>
      <c r="J93" s="37">
        <v>9.06</v>
      </c>
      <c r="K93" s="37">
        <v>1.0900000000000001</v>
      </c>
      <c r="L93" s="37">
        <v>14.83</v>
      </c>
      <c r="M93" s="37">
        <v>11</v>
      </c>
      <c r="N93" s="37">
        <v>17</v>
      </c>
      <c r="O93" s="37">
        <v>1</v>
      </c>
      <c r="P93" s="37">
        <v>5</v>
      </c>
      <c r="Q93" s="37">
        <v>10</v>
      </c>
      <c r="R93" s="37">
        <v>0</v>
      </c>
      <c r="S93" s="37">
        <v>0</v>
      </c>
      <c r="T93" s="37">
        <v>100</v>
      </c>
      <c r="U93" s="37">
        <v>18.18</v>
      </c>
      <c r="V93" s="37">
        <v>18.18</v>
      </c>
      <c r="W93" s="37">
        <v>63.64</v>
      </c>
      <c r="X93" s="37">
        <v>76.47</v>
      </c>
      <c r="Y93" s="37">
        <v>0</v>
      </c>
      <c r="Z93" s="37">
        <v>23.53</v>
      </c>
      <c r="AA93" s="37">
        <v>0</v>
      </c>
      <c r="AB93" s="37">
        <v>70</v>
      </c>
      <c r="AC93" s="24">
        <f t="shared" si="9"/>
        <v>-47.861999999999995</v>
      </c>
      <c r="AD93" s="25">
        <f t="shared" si="10"/>
        <v>47.861999999999995</v>
      </c>
      <c r="AE93" s="23" t="str">
        <f t="shared" si="11"/>
        <v>Loss</v>
      </c>
      <c r="AF93" s="23" t="str">
        <f t="shared" si="12"/>
        <v>Win</v>
      </c>
      <c r="AG93" s="23" t="str">
        <f t="shared" si="13"/>
        <v>Loss</v>
      </c>
      <c r="AH93" s="23">
        <f t="shared" si="14"/>
        <v>-50</v>
      </c>
      <c r="AI93" s="23">
        <f t="shared" si="15"/>
        <v>403</v>
      </c>
      <c r="AJ93" s="23">
        <f t="shared" si="16"/>
        <v>-50</v>
      </c>
    </row>
    <row r="94" spans="1:36" x14ac:dyDescent="0.2">
      <c r="A94" s="36">
        <v>43602</v>
      </c>
      <c r="B94" s="37" t="s">
        <v>435</v>
      </c>
      <c r="C94" s="37" t="s">
        <v>436</v>
      </c>
      <c r="D94" s="37" t="s">
        <v>437</v>
      </c>
      <c r="E94" s="37" t="s">
        <v>438</v>
      </c>
      <c r="F94" s="37" t="s">
        <v>439</v>
      </c>
      <c r="G94" s="37" t="s">
        <v>146</v>
      </c>
      <c r="H94" s="37" t="s">
        <v>146</v>
      </c>
      <c r="I94" s="37">
        <v>2.2200000000000002</v>
      </c>
      <c r="J94" s="37">
        <v>3.37</v>
      </c>
      <c r="K94" s="37">
        <v>2.91</v>
      </c>
      <c r="L94" s="37">
        <v>-0.69</v>
      </c>
      <c r="M94" s="37">
        <v>34</v>
      </c>
      <c r="N94" s="37">
        <v>35</v>
      </c>
      <c r="O94" s="37">
        <v>1</v>
      </c>
      <c r="P94" s="37">
        <v>16</v>
      </c>
      <c r="Q94" s="37">
        <v>18</v>
      </c>
      <c r="R94" s="37">
        <v>0</v>
      </c>
      <c r="S94" s="37">
        <v>0</v>
      </c>
      <c r="T94" s="37">
        <v>100</v>
      </c>
      <c r="U94" s="37">
        <v>29.41</v>
      </c>
      <c r="V94" s="37">
        <v>29.41</v>
      </c>
      <c r="W94" s="37">
        <v>41.18</v>
      </c>
      <c r="X94" s="37">
        <v>37.14</v>
      </c>
      <c r="Y94" s="37">
        <v>25.71</v>
      </c>
      <c r="Z94" s="37">
        <v>37.14</v>
      </c>
      <c r="AA94" s="37">
        <v>31.25</v>
      </c>
      <c r="AB94" s="37">
        <v>27.78</v>
      </c>
      <c r="AC94" s="24">
        <f t="shared" si="9"/>
        <v>-31.983999999999998</v>
      </c>
      <c r="AD94" s="25">
        <f t="shared" si="10"/>
        <v>31.983999999999998</v>
      </c>
      <c r="AE94" s="23" t="str">
        <f t="shared" si="11"/>
        <v>Loss</v>
      </c>
      <c r="AF94" s="23" t="str">
        <f t="shared" si="12"/>
        <v>Win</v>
      </c>
      <c r="AG94" s="23" t="str">
        <f t="shared" si="13"/>
        <v>Loss</v>
      </c>
      <c r="AH94" s="23">
        <f t="shared" si="14"/>
        <v>-50</v>
      </c>
      <c r="AI94" s="23">
        <f t="shared" si="15"/>
        <v>118.5</v>
      </c>
      <c r="AJ94" s="23">
        <f t="shared" si="16"/>
        <v>-50</v>
      </c>
    </row>
    <row r="95" spans="1:36" x14ac:dyDescent="0.2">
      <c r="A95" s="36">
        <v>43602</v>
      </c>
      <c r="B95" s="37" t="s">
        <v>435</v>
      </c>
      <c r="C95" s="37" t="s">
        <v>436</v>
      </c>
      <c r="D95" s="37" t="s">
        <v>440</v>
      </c>
      <c r="E95" s="37" t="s">
        <v>441</v>
      </c>
      <c r="F95" s="37" t="s">
        <v>442</v>
      </c>
      <c r="G95" s="37" t="s">
        <v>146</v>
      </c>
      <c r="H95" s="37" t="s">
        <v>146</v>
      </c>
      <c r="I95" s="37">
        <v>1.63</v>
      </c>
      <c r="J95" s="37">
        <v>3.84</v>
      </c>
      <c r="K95" s="37">
        <v>4.6399999999999997</v>
      </c>
      <c r="L95" s="37">
        <v>-3.01</v>
      </c>
      <c r="M95" s="37">
        <v>34</v>
      </c>
      <c r="N95" s="37">
        <v>33</v>
      </c>
      <c r="O95" s="37">
        <v>1</v>
      </c>
      <c r="P95" s="37">
        <v>16</v>
      </c>
      <c r="Q95" s="37">
        <v>16</v>
      </c>
      <c r="R95" s="37">
        <v>0</v>
      </c>
      <c r="S95" s="37">
        <v>100</v>
      </c>
      <c r="T95" s="37">
        <v>0</v>
      </c>
      <c r="U95" s="37">
        <v>44.12</v>
      </c>
      <c r="V95" s="37">
        <v>32.35</v>
      </c>
      <c r="W95" s="37">
        <v>23.53</v>
      </c>
      <c r="X95" s="37">
        <v>54.55</v>
      </c>
      <c r="Y95" s="37">
        <v>24.24</v>
      </c>
      <c r="Z95" s="37">
        <v>21.21</v>
      </c>
      <c r="AA95" s="37">
        <v>50</v>
      </c>
      <c r="AB95" s="37">
        <v>43.75</v>
      </c>
      <c r="AC95" s="24">
        <f t="shared" si="9"/>
        <v>8.2609999999999992</v>
      </c>
      <c r="AD95" s="25">
        <f t="shared" si="10"/>
        <v>11.739000000000001</v>
      </c>
      <c r="AE95" s="23" t="str">
        <f t="shared" si="11"/>
        <v>Loss</v>
      </c>
      <c r="AF95" s="23" t="str">
        <f t="shared" si="12"/>
        <v>Win</v>
      </c>
      <c r="AG95" s="23" t="str">
        <f t="shared" si="13"/>
        <v>Loss</v>
      </c>
      <c r="AH95" s="23">
        <f t="shared" si="14"/>
        <v>-50</v>
      </c>
      <c r="AI95" s="23">
        <f t="shared" si="15"/>
        <v>142</v>
      </c>
      <c r="AJ95" s="23">
        <f t="shared" si="16"/>
        <v>-50</v>
      </c>
    </row>
    <row r="96" spans="1:36" x14ac:dyDescent="0.2">
      <c r="A96" s="36">
        <v>43602</v>
      </c>
      <c r="B96" s="37" t="s">
        <v>435</v>
      </c>
      <c r="C96" s="37" t="s">
        <v>436</v>
      </c>
      <c r="D96" s="37" t="s">
        <v>443</v>
      </c>
      <c r="E96" s="37" t="s">
        <v>444</v>
      </c>
      <c r="F96" s="37" t="s">
        <v>445</v>
      </c>
      <c r="G96" s="37" t="s">
        <v>146</v>
      </c>
      <c r="H96" s="37" t="s">
        <v>146</v>
      </c>
      <c r="I96" s="37">
        <v>1.61</v>
      </c>
      <c r="J96" s="37">
        <v>3.64</v>
      </c>
      <c r="K96" s="37">
        <v>5.16</v>
      </c>
      <c r="L96" s="37">
        <v>-3.55</v>
      </c>
      <c r="M96" s="37">
        <v>34</v>
      </c>
      <c r="N96" s="37">
        <v>36</v>
      </c>
      <c r="O96" s="37">
        <v>1</v>
      </c>
      <c r="P96" s="37">
        <v>16</v>
      </c>
      <c r="Q96" s="37">
        <v>17</v>
      </c>
      <c r="R96" s="37">
        <v>0</v>
      </c>
      <c r="S96" s="37">
        <v>0</v>
      </c>
      <c r="T96" s="37">
        <v>100</v>
      </c>
      <c r="U96" s="37">
        <v>38.24</v>
      </c>
      <c r="V96" s="37">
        <v>17.649999999999999</v>
      </c>
      <c r="W96" s="37">
        <v>44.12</v>
      </c>
      <c r="X96" s="37">
        <v>27.78</v>
      </c>
      <c r="Y96" s="37">
        <v>27.78</v>
      </c>
      <c r="Z96" s="37">
        <v>44.44</v>
      </c>
      <c r="AA96" s="37">
        <v>56.25</v>
      </c>
      <c r="AB96" s="37">
        <v>11.76</v>
      </c>
      <c r="AC96" s="24">
        <f t="shared" si="9"/>
        <v>-28.856999999999999</v>
      </c>
      <c r="AD96" s="25">
        <f t="shared" si="10"/>
        <v>28.856999999999999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132</v>
      </c>
      <c r="AJ96" s="23">
        <f t="shared" si="16"/>
        <v>-50</v>
      </c>
    </row>
    <row r="97" spans="1:36" x14ac:dyDescent="0.2">
      <c r="A97" s="36">
        <v>43602</v>
      </c>
      <c r="B97" s="37" t="s">
        <v>435</v>
      </c>
      <c r="C97" s="37" t="s">
        <v>436</v>
      </c>
      <c r="D97" s="37" t="s">
        <v>446</v>
      </c>
      <c r="E97" s="37" t="s">
        <v>447</v>
      </c>
      <c r="F97" s="37" t="s">
        <v>448</v>
      </c>
      <c r="G97" s="37" t="s">
        <v>146</v>
      </c>
      <c r="H97" s="37" t="s">
        <v>146</v>
      </c>
      <c r="I97" s="37">
        <v>1.59</v>
      </c>
      <c r="J97" s="37">
        <v>3.65</v>
      </c>
      <c r="K97" s="37">
        <v>5.26</v>
      </c>
      <c r="L97" s="37">
        <v>-3.67</v>
      </c>
      <c r="M97" s="37">
        <v>36</v>
      </c>
      <c r="N97" s="37">
        <v>36</v>
      </c>
      <c r="O97" s="37">
        <v>1</v>
      </c>
      <c r="P97" s="37">
        <v>18</v>
      </c>
      <c r="Q97" s="37">
        <v>16</v>
      </c>
      <c r="R97" s="37">
        <v>0</v>
      </c>
      <c r="S97" s="37">
        <v>100</v>
      </c>
      <c r="T97" s="37">
        <v>0</v>
      </c>
      <c r="U97" s="37">
        <v>27.78</v>
      </c>
      <c r="V97" s="37">
        <v>47.22</v>
      </c>
      <c r="W97" s="37">
        <v>25</v>
      </c>
      <c r="X97" s="37">
        <v>19.440000000000001</v>
      </c>
      <c r="Y97" s="37">
        <v>36.11</v>
      </c>
      <c r="Z97" s="37">
        <v>44.44</v>
      </c>
      <c r="AA97" s="37">
        <v>27.78</v>
      </c>
      <c r="AB97" s="37">
        <v>18.75</v>
      </c>
      <c r="AC97" s="24">
        <f t="shared" si="9"/>
        <v>16.667000000000002</v>
      </c>
      <c r="AD97" s="25">
        <f t="shared" si="10"/>
        <v>3.3330000000000002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132.5</v>
      </c>
      <c r="AJ97" s="23">
        <f t="shared" si="16"/>
        <v>-50</v>
      </c>
    </row>
    <row r="98" spans="1:36" x14ac:dyDescent="0.2">
      <c r="A98" s="36">
        <v>43602</v>
      </c>
      <c r="B98" s="37" t="s">
        <v>435</v>
      </c>
      <c r="C98" s="37" t="s">
        <v>436</v>
      </c>
      <c r="D98" s="37" t="s">
        <v>449</v>
      </c>
      <c r="E98" s="37" t="s">
        <v>450</v>
      </c>
      <c r="F98" s="37" t="s">
        <v>451</v>
      </c>
      <c r="G98" s="37" t="s">
        <v>146</v>
      </c>
      <c r="H98" s="37" t="s">
        <v>146</v>
      </c>
      <c r="I98" s="37">
        <v>1.56</v>
      </c>
      <c r="J98" s="37">
        <v>3.86</v>
      </c>
      <c r="K98" s="37">
        <v>5.1100000000000003</v>
      </c>
      <c r="L98" s="37">
        <v>-3.55</v>
      </c>
      <c r="M98" s="37">
        <v>36</v>
      </c>
      <c r="N98" s="37">
        <v>34</v>
      </c>
      <c r="O98" s="37">
        <v>1</v>
      </c>
      <c r="P98" s="37">
        <v>18</v>
      </c>
      <c r="Q98" s="37">
        <v>17</v>
      </c>
      <c r="R98" s="37">
        <v>100</v>
      </c>
      <c r="S98" s="37">
        <v>0</v>
      </c>
      <c r="T98" s="37">
        <v>0</v>
      </c>
      <c r="U98" s="37">
        <v>22.22</v>
      </c>
      <c r="V98" s="37">
        <v>41.67</v>
      </c>
      <c r="W98" s="37">
        <v>36.11</v>
      </c>
      <c r="X98" s="37">
        <v>32.35</v>
      </c>
      <c r="Y98" s="37">
        <v>35.29</v>
      </c>
      <c r="Z98" s="37">
        <v>32.35</v>
      </c>
      <c r="AA98" s="37">
        <v>22.22</v>
      </c>
      <c r="AB98" s="37">
        <v>35.29</v>
      </c>
      <c r="AC98" s="24">
        <f t="shared" si="9"/>
        <v>27.860000000000007</v>
      </c>
      <c r="AD98" s="25">
        <f t="shared" si="10"/>
        <v>-27.860000000000007</v>
      </c>
      <c r="AE98" s="23" t="str">
        <f t="shared" si="11"/>
        <v>Loss</v>
      </c>
      <c r="AF98" s="23" t="str">
        <f t="shared" si="12"/>
        <v>Win</v>
      </c>
      <c r="AG98" s="23" t="str">
        <f t="shared" si="13"/>
        <v>Loss</v>
      </c>
      <c r="AH98" s="23">
        <f t="shared" si="14"/>
        <v>-50</v>
      </c>
      <c r="AI98" s="23">
        <f t="shared" si="15"/>
        <v>143</v>
      </c>
      <c r="AJ98" s="23">
        <f t="shared" si="16"/>
        <v>-50</v>
      </c>
    </row>
    <row r="99" spans="1:36" x14ac:dyDescent="0.2">
      <c r="A99" s="36">
        <v>43602</v>
      </c>
      <c r="B99" s="37" t="s">
        <v>435</v>
      </c>
      <c r="C99" s="37" t="s">
        <v>436</v>
      </c>
      <c r="D99" s="37" t="s">
        <v>452</v>
      </c>
      <c r="E99" s="37" t="s">
        <v>453</v>
      </c>
      <c r="F99" s="37" t="s">
        <v>454</v>
      </c>
      <c r="G99" s="37" t="s">
        <v>146</v>
      </c>
      <c r="H99" s="37" t="s">
        <v>146</v>
      </c>
      <c r="I99" s="37">
        <v>1.52</v>
      </c>
      <c r="J99" s="37">
        <v>3.97</v>
      </c>
      <c r="K99" s="37">
        <v>5.46</v>
      </c>
      <c r="L99" s="37">
        <v>-3.94</v>
      </c>
      <c r="M99" s="37">
        <v>34</v>
      </c>
      <c r="N99" s="37">
        <v>37</v>
      </c>
      <c r="O99" s="37">
        <v>1</v>
      </c>
      <c r="P99" s="37">
        <v>16</v>
      </c>
      <c r="Q99" s="37">
        <v>19</v>
      </c>
      <c r="R99" s="37">
        <v>0</v>
      </c>
      <c r="S99" s="37">
        <v>100</v>
      </c>
      <c r="T99" s="37">
        <v>0</v>
      </c>
      <c r="U99" s="37">
        <v>64.709999999999994</v>
      </c>
      <c r="V99" s="37">
        <v>20.59</v>
      </c>
      <c r="W99" s="37">
        <v>14.71</v>
      </c>
      <c r="X99" s="37">
        <v>43.24</v>
      </c>
      <c r="Y99" s="37">
        <v>29.73</v>
      </c>
      <c r="Z99" s="37">
        <v>27.03</v>
      </c>
      <c r="AA99" s="37">
        <v>81.25</v>
      </c>
      <c r="AB99" s="37">
        <v>42.11</v>
      </c>
      <c r="AC99" s="24">
        <f t="shared" si="9"/>
        <v>15.843999999999999</v>
      </c>
      <c r="AD99" s="25">
        <f t="shared" si="10"/>
        <v>4.1560000000000006</v>
      </c>
      <c r="AE99" s="23" t="str">
        <f t="shared" si="11"/>
        <v>Loss</v>
      </c>
      <c r="AF99" s="23" t="str">
        <f t="shared" si="12"/>
        <v>Win</v>
      </c>
      <c r="AG99" s="23" t="str">
        <f t="shared" si="13"/>
        <v>Loss</v>
      </c>
      <c r="AH99" s="23">
        <f t="shared" si="14"/>
        <v>-50</v>
      </c>
      <c r="AI99" s="23">
        <f t="shared" si="15"/>
        <v>148.5</v>
      </c>
      <c r="AJ99" s="23">
        <f t="shared" si="16"/>
        <v>-50</v>
      </c>
    </row>
    <row r="100" spans="1:36" x14ac:dyDescent="0.2">
      <c r="A100" s="36">
        <v>43602</v>
      </c>
      <c r="B100" s="37" t="s">
        <v>435</v>
      </c>
      <c r="C100" s="37" t="s">
        <v>436</v>
      </c>
      <c r="D100" s="37" t="s">
        <v>455</v>
      </c>
      <c r="E100" s="37" t="s">
        <v>456</v>
      </c>
      <c r="F100" s="37" t="s">
        <v>457</v>
      </c>
      <c r="G100" s="37" t="s">
        <v>146</v>
      </c>
      <c r="H100" s="37" t="s">
        <v>146</v>
      </c>
      <c r="I100" s="37">
        <v>3.43</v>
      </c>
      <c r="J100" s="37">
        <v>3.44</v>
      </c>
      <c r="K100" s="37">
        <v>1.96</v>
      </c>
      <c r="L100" s="37">
        <v>1.47</v>
      </c>
      <c r="M100" s="37">
        <v>34</v>
      </c>
      <c r="N100" s="37">
        <v>34</v>
      </c>
      <c r="O100" s="37">
        <v>1</v>
      </c>
      <c r="P100" s="37">
        <v>17</v>
      </c>
      <c r="Q100" s="37">
        <v>16</v>
      </c>
      <c r="R100" s="37">
        <v>0</v>
      </c>
      <c r="S100" s="37">
        <v>100</v>
      </c>
      <c r="T100" s="37">
        <v>0</v>
      </c>
      <c r="U100" s="37">
        <v>29.41</v>
      </c>
      <c r="V100" s="37">
        <v>35.29</v>
      </c>
      <c r="W100" s="37">
        <v>35.29</v>
      </c>
      <c r="X100" s="37">
        <v>47.06</v>
      </c>
      <c r="Y100" s="37">
        <v>17.649999999999999</v>
      </c>
      <c r="Z100" s="37">
        <v>35.29</v>
      </c>
      <c r="AA100" s="37">
        <v>35.29</v>
      </c>
      <c r="AB100" s="37">
        <v>18.75</v>
      </c>
      <c r="AC100" s="24">
        <f t="shared" si="9"/>
        <v>8.234</v>
      </c>
      <c r="AD100" s="25">
        <f t="shared" si="10"/>
        <v>11.766000000000002</v>
      </c>
      <c r="AE100" s="23" t="str">
        <f t="shared" si="11"/>
        <v>Loss</v>
      </c>
      <c r="AF100" s="23" t="str">
        <f t="shared" si="12"/>
        <v>Win</v>
      </c>
      <c r="AG100" s="23" t="str">
        <f t="shared" si="13"/>
        <v>Loss</v>
      </c>
      <c r="AH100" s="23">
        <f t="shared" si="14"/>
        <v>-50</v>
      </c>
      <c r="AI100" s="23">
        <f t="shared" si="15"/>
        <v>122</v>
      </c>
      <c r="AJ100" s="23">
        <f t="shared" si="16"/>
        <v>-50</v>
      </c>
    </row>
    <row r="101" spans="1:36" x14ac:dyDescent="0.2">
      <c r="A101" s="36">
        <v>43602</v>
      </c>
      <c r="B101" s="37" t="s">
        <v>435</v>
      </c>
      <c r="C101" s="37" t="s">
        <v>436</v>
      </c>
      <c r="D101" s="37" t="s">
        <v>458</v>
      </c>
      <c r="E101" s="37" t="s">
        <v>459</v>
      </c>
      <c r="F101" s="37" t="s">
        <v>460</v>
      </c>
      <c r="G101" s="37" t="s">
        <v>146</v>
      </c>
      <c r="H101" s="37" t="s">
        <v>146</v>
      </c>
      <c r="I101" s="37">
        <v>1.6</v>
      </c>
      <c r="J101" s="37">
        <v>3.76</v>
      </c>
      <c r="K101" s="37">
        <v>4.99</v>
      </c>
      <c r="L101" s="37">
        <v>-3.39</v>
      </c>
      <c r="M101" s="37">
        <v>54</v>
      </c>
      <c r="N101" s="37">
        <v>34</v>
      </c>
      <c r="O101" s="37">
        <v>1</v>
      </c>
      <c r="P101" s="37">
        <v>30</v>
      </c>
      <c r="Q101" s="37">
        <v>17</v>
      </c>
      <c r="R101" s="37">
        <v>0</v>
      </c>
      <c r="S101" s="37">
        <v>100</v>
      </c>
      <c r="T101" s="37">
        <v>0</v>
      </c>
      <c r="U101" s="37">
        <v>31.48</v>
      </c>
      <c r="V101" s="37">
        <v>29.63</v>
      </c>
      <c r="W101" s="37">
        <v>38.89</v>
      </c>
      <c r="X101" s="37">
        <v>14.71</v>
      </c>
      <c r="Y101" s="37">
        <v>32.35</v>
      </c>
      <c r="Z101" s="37">
        <v>52.94</v>
      </c>
      <c r="AA101" s="37">
        <v>33.33</v>
      </c>
      <c r="AB101" s="37">
        <v>0</v>
      </c>
      <c r="AC101" s="24">
        <f t="shared" si="9"/>
        <v>15.891999999999999</v>
      </c>
      <c r="AD101" s="25">
        <f t="shared" si="10"/>
        <v>4.1080000000000005</v>
      </c>
      <c r="AE101" s="23" t="str">
        <f t="shared" si="11"/>
        <v>Loss</v>
      </c>
      <c r="AF101" s="23" t="str">
        <f t="shared" si="12"/>
        <v>Win</v>
      </c>
      <c r="AG101" s="23" t="str">
        <f t="shared" si="13"/>
        <v>Loss</v>
      </c>
      <c r="AH101" s="23">
        <f t="shared" si="14"/>
        <v>-50</v>
      </c>
      <c r="AI101" s="23">
        <f t="shared" si="15"/>
        <v>138</v>
      </c>
      <c r="AJ101" s="23">
        <f t="shared" si="16"/>
        <v>-50</v>
      </c>
    </row>
    <row r="102" spans="1:36" x14ac:dyDescent="0.2">
      <c r="A102" s="36">
        <v>43602</v>
      </c>
      <c r="B102" s="37" t="s">
        <v>461</v>
      </c>
      <c r="C102" s="37" t="s">
        <v>462</v>
      </c>
      <c r="D102" s="37" t="s">
        <v>463</v>
      </c>
      <c r="E102" s="37" t="s">
        <v>464</v>
      </c>
      <c r="F102" s="37" t="s">
        <v>465</v>
      </c>
      <c r="G102" s="37" t="s">
        <v>146</v>
      </c>
      <c r="H102" s="37" t="s">
        <v>146</v>
      </c>
      <c r="I102" s="37">
        <v>1.97</v>
      </c>
      <c r="J102" s="37">
        <v>3.63</v>
      </c>
      <c r="K102" s="37">
        <v>2.93</v>
      </c>
      <c r="L102" s="37">
        <v>-0.96</v>
      </c>
      <c r="M102" s="37">
        <v>59</v>
      </c>
      <c r="N102" s="37">
        <v>61</v>
      </c>
      <c r="O102" s="37">
        <v>2</v>
      </c>
      <c r="P102" s="37">
        <v>30</v>
      </c>
      <c r="Q102" s="37">
        <v>29</v>
      </c>
      <c r="R102" s="37">
        <v>0</v>
      </c>
      <c r="S102" s="37">
        <v>0</v>
      </c>
      <c r="T102" s="37">
        <v>100</v>
      </c>
      <c r="U102" s="37">
        <v>47.46</v>
      </c>
      <c r="V102" s="37">
        <v>20.34</v>
      </c>
      <c r="W102" s="37">
        <v>32.200000000000003</v>
      </c>
      <c r="X102" s="37">
        <v>50.82</v>
      </c>
      <c r="Y102" s="37">
        <v>21.31</v>
      </c>
      <c r="Z102" s="37">
        <v>27.87</v>
      </c>
      <c r="AA102" s="37">
        <v>56.67</v>
      </c>
      <c r="AB102" s="37">
        <v>41.38</v>
      </c>
      <c r="AC102" s="24">
        <f t="shared" si="9"/>
        <v>-31.635000000000002</v>
      </c>
      <c r="AD102" s="25">
        <f t="shared" si="10"/>
        <v>31.635000000000002</v>
      </c>
      <c r="AE102" s="23" t="str">
        <f t="shared" si="11"/>
        <v>Loss</v>
      </c>
      <c r="AF102" s="23" t="str">
        <f t="shared" si="12"/>
        <v>Win</v>
      </c>
      <c r="AG102" s="23" t="str">
        <f t="shared" si="13"/>
        <v>Loss</v>
      </c>
      <c r="AH102" s="23">
        <f t="shared" si="14"/>
        <v>-50</v>
      </c>
      <c r="AI102" s="23">
        <f t="shared" si="15"/>
        <v>131.5</v>
      </c>
      <c r="AJ102" s="23">
        <f t="shared" si="16"/>
        <v>-50</v>
      </c>
    </row>
    <row r="103" spans="1:36" x14ac:dyDescent="0.2">
      <c r="A103" s="36">
        <v>43602</v>
      </c>
      <c r="B103" s="37" t="s">
        <v>357</v>
      </c>
      <c r="C103" s="37" t="s">
        <v>466</v>
      </c>
      <c r="D103" s="37" t="s">
        <v>467</v>
      </c>
      <c r="E103" s="37" t="s">
        <v>468</v>
      </c>
      <c r="F103" s="37" t="s">
        <v>469</v>
      </c>
      <c r="G103" s="37" t="s">
        <v>146</v>
      </c>
      <c r="H103" s="37" t="s">
        <v>146</v>
      </c>
      <c r="I103" s="37">
        <v>2.85</v>
      </c>
      <c r="J103" s="37">
        <v>3.36</v>
      </c>
      <c r="K103" s="37">
        <v>2.34</v>
      </c>
      <c r="L103" s="37">
        <v>0.51</v>
      </c>
      <c r="M103" s="37">
        <v>34</v>
      </c>
      <c r="N103" s="37">
        <v>34</v>
      </c>
      <c r="O103" s="37">
        <v>1</v>
      </c>
      <c r="P103" s="37">
        <v>17</v>
      </c>
      <c r="Q103" s="37">
        <v>17</v>
      </c>
      <c r="R103" s="37">
        <v>100</v>
      </c>
      <c r="S103" s="37">
        <v>0</v>
      </c>
      <c r="T103" s="37">
        <v>0</v>
      </c>
      <c r="U103" s="37">
        <v>26.47</v>
      </c>
      <c r="V103" s="37">
        <v>35.29</v>
      </c>
      <c r="W103" s="37">
        <v>38.24</v>
      </c>
      <c r="X103" s="37">
        <v>35.29</v>
      </c>
      <c r="Y103" s="37">
        <v>32.35</v>
      </c>
      <c r="Z103" s="37">
        <v>32.35</v>
      </c>
      <c r="AA103" s="37">
        <v>35.29</v>
      </c>
      <c r="AB103" s="37">
        <v>17.649999999999999</v>
      </c>
      <c r="AC103" s="24">
        <f t="shared" si="9"/>
        <v>27.351999999999997</v>
      </c>
      <c r="AD103" s="25">
        <f t="shared" si="10"/>
        <v>-27.351999999999997</v>
      </c>
      <c r="AE103" s="23" t="str">
        <f t="shared" si="11"/>
        <v>Loss</v>
      </c>
      <c r="AF103" s="23" t="str">
        <f t="shared" si="12"/>
        <v>Win</v>
      </c>
      <c r="AG103" s="23" t="str">
        <f t="shared" si="13"/>
        <v>Loss</v>
      </c>
      <c r="AH103" s="23">
        <f t="shared" si="14"/>
        <v>-50</v>
      </c>
      <c r="AI103" s="23">
        <f t="shared" si="15"/>
        <v>118</v>
      </c>
      <c r="AJ103" s="23">
        <f t="shared" si="16"/>
        <v>-50</v>
      </c>
    </row>
    <row r="104" spans="1:36" x14ac:dyDescent="0.2">
      <c r="A104" s="36">
        <v>43602</v>
      </c>
      <c r="B104" s="37" t="s">
        <v>398</v>
      </c>
      <c r="C104" s="37" t="s">
        <v>470</v>
      </c>
      <c r="D104" s="37" t="s">
        <v>471</v>
      </c>
      <c r="E104" s="37" t="s">
        <v>472</v>
      </c>
      <c r="F104" s="37" t="s">
        <v>473</v>
      </c>
      <c r="G104" s="37" t="s">
        <v>146</v>
      </c>
      <c r="H104" s="37" t="s">
        <v>146</v>
      </c>
      <c r="I104" s="37">
        <v>3.69</v>
      </c>
      <c r="J104" s="37">
        <v>4.01</v>
      </c>
      <c r="K104" s="37">
        <v>1.71</v>
      </c>
      <c r="L104" s="37">
        <v>1.98</v>
      </c>
      <c r="M104" s="37">
        <v>27</v>
      </c>
      <c r="N104" s="37">
        <v>30</v>
      </c>
      <c r="O104" s="37">
        <v>1</v>
      </c>
      <c r="P104" s="37">
        <v>14</v>
      </c>
      <c r="Q104" s="37">
        <v>13</v>
      </c>
      <c r="R104" s="37">
        <v>0</v>
      </c>
      <c r="S104" s="37">
        <v>0</v>
      </c>
      <c r="T104" s="37">
        <v>100</v>
      </c>
      <c r="U104" s="37">
        <v>44.44</v>
      </c>
      <c r="V104" s="37">
        <v>22.22</v>
      </c>
      <c r="W104" s="37">
        <v>33.33</v>
      </c>
      <c r="X104" s="37">
        <v>83.33</v>
      </c>
      <c r="Y104" s="37">
        <v>10</v>
      </c>
      <c r="Z104" s="37">
        <v>6.67</v>
      </c>
      <c r="AA104" s="37">
        <v>50</v>
      </c>
      <c r="AB104" s="37">
        <v>76.92</v>
      </c>
      <c r="AC104" s="24">
        <f t="shared" si="9"/>
        <v>-41.887999999999998</v>
      </c>
      <c r="AD104" s="25">
        <f t="shared" si="10"/>
        <v>41.887999999999998</v>
      </c>
      <c r="AE104" s="23" t="str">
        <f t="shared" si="11"/>
        <v>Loss</v>
      </c>
      <c r="AF104" s="23" t="str">
        <f t="shared" si="12"/>
        <v>Win</v>
      </c>
      <c r="AG104" s="23" t="str">
        <f t="shared" si="13"/>
        <v>Loss</v>
      </c>
      <c r="AH104" s="23">
        <f t="shared" si="14"/>
        <v>-50</v>
      </c>
      <c r="AI104" s="23">
        <f t="shared" si="15"/>
        <v>150.5</v>
      </c>
      <c r="AJ104" s="23">
        <f t="shared" si="16"/>
        <v>-50</v>
      </c>
    </row>
    <row r="105" spans="1:36" x14ac:dyDescent="0.2">
      <c r="A105" s="36">
        <v>43602</v>
      </c>
      <c r="B105" s="37" t="s">
        <v>398</v>
      </c>
      <c r="C105" s="37" t="s">
        <v>470</v>
      </c>
      <c r="D105" s="37" t="s">
        <v>474</v>
      </c>
      <c r="E105" s="37" t="s">
        <v>475</v>
      </c>
      <c r="F105" s="37" t="s">
        <v>476</v>
      </c>
      <c r="G105" s="37" t="s">
        <v>146</v>
      </c>
      <c r="H105" s="37" t="s">
        <v>146</v>
      </c>
      <c r="I105" s="37">
        <v>1.44</v>
      </c>
      <c r="J105" s="37">
        <v>4.72</v>
      </c>
      <c r="K105" s="37">
        <v>5.03</v>
      </c>
      <c r="L105" s="37">
        <v>-3.59</v>
      </c>
      <c r="M105" s="37">
        <v>26</v>
      </c>
      <c r="N105" s="37">
        <v>27</v>
      </c>
      <c r="O105" s="37">
        <v>1</v>
      </c>
      <c r="P105" s="37">
        <v>13</v>
      </c>
      <c r="Q105" s="37">
        <v>13</v>
      </c>
      <c r="R105" s="37">
        <v>100</v>
      </c>
      <c r="S105" s="37">
        <v>0</v>
      </c>
      <c r="T105" s="37">
        <v>0</v>
      </c>
      <c r="U105" s="37">
        <v>42.31</v>
      </c>
      <c r="V105" s="37">
        <v>19.23</v>
      </c>
      <c r="W105" s="37">
        <v>38.46</v>
      </c>
      <c r="X105" s="37">
        <v>11.11</v>
      </c>
      <c r="Y105" s="37">
        <v>18.52</v>
      </c>
      <c r="Z105" s="37">
        <v>70.37</v>
      </c>
      <c r="AA105" s="37">
        <v>38.46</v>
      </c>
      <c r="AB105" s="37">
        <v>15.38</v>
      </c>
      <c r="AC105" s="24">
        <f t="shared" si="9"/>
        <v>42.693000000000005</v>
      </c>
      <c r="AD105" s="25">
        <f t="shared" si="10"/>
        <v>-42.693000000000005</v>
      </c>
      <c r="AE105" s="23" t="str">
        <f t="shared" si="11"/>
        <v>Loss</v>
      </c>
      <c r="AF105" s="23" t="str">
        <f t="shared" si="12"/>
        <v>Win</v>
      </c>
      <c r="AG105" s="23" t="str">
        <f t="shared" si="13"/>
        <v>Loss</v>
      </c>
      <c r="AH105" s="23">
        <f t="shared" si="14"/>
        <v>-50</v>
      </c>
      <c r="AI105" s="23">
        <f t="shared" si="15"/>
        <v>186</v>
      </c>
      <c r="AJ105" s="23">
        <f t="shared" si="16"/>
        <v>-50</v>
      </c>
    </row>
    <row r="106" spans="1:36" x14ac:dyDescent="0.2">
      <c r="A106" s="36">
        <v>43602</v>
      </c>
      <c r="B106" s="37" t="s">
        <v>398</v>
      </c>
      <c r="C106" s="37" t="s">
        <v>470</v>
      </c>
      <c r="D106" s="37" t="s">
        <v>477</v>
      </c>
      <c r="E106" s="37" t="s">
        <v>478</v>
      </c>
      <c r="F106" s="37" t="s">
        <v>479</v>
      </c>
      <c r="G106" s="37" t="s">
        <v>146</v>
      </c>
      <c r="H106" s="37" t="s">
        <v>146</v>
      </c>
      <c r="I106" s="37">
        <v>1.73</v>
      </c>
      <c r="J106" s="37">
        <v>3.99</v>
      </c>
      <c r="K106" s="37">
        <v>3.58</v>
      </c>
      <c r="L106" s="37">
        <v>-1.85</v>
      </c>
      <c r="M106" s="37">
        <v>27</v>
      </c>
      <c r="N106" s="37">
        <v>28</v>
      </c>
      <c r="O106" s="37">
        <v>1</v>
      </c>
      <c r="P106" s="37">
        <v>15</v>
      </c>
      <c r="Q106" s="37">
        <v>13</v>
      </c>
      <c r="R106" s="37">
        <v>0</v>
      </c>
      <c r="S106" s="37">
        <v>100</v>
      </c>
      <c r="T106" s="37">
        <v>0</v>
      </c>
      <c r="U106" s="37">
        <v>51.85</v>
      </c>
      <c r="V106" s="37">
        <v>14.81</v>
      </c>
      <c r="W106" s="37">
        <v>33.33</v>
      </c>
      <c r="X106" s="37">
        <v>39.29</v>
      </c>
      <c r="Y106" s="37">
        <v>25</v>
      </c>
      <c r="Z106" s="37">
        <v>35.71</v>
      </c>
      <c r="AA106" s="37">
        <v>80</v>
      </c>
      <c r="AB106" s="37">
        <v>23.08</v>
      </c>
      <c r="AC106" s="24">
        <f t="shared" si="9"/>
        <v>11.969000000000001</v>
      </c>
      <c r="AD106" s="25">
        <f t="shared" si="10"/>
        <v>8.0309999999999988</v>
      </c>
      <c r="AE106" s="23" t="str">
        <f t="shared" si="11"/>
        <v>Loss</v>
      </c>
      <c r="AF106" s="23" t="str">
        <f t="shared" si="12"/>
        <v>Win</v>
      </c>
      <c r="AG106" s="23" t="str">
        <f t="shared" si="13"/>
        <v>Loss</v>
      </c>
      <c r="AH106" s="23">
        <f t="shared" si="14"/>
        <v>-50</v>
      </c>
      <c r="AI106" s="23">
        <f t="shared" si="15"/>
        <v>149.5</v>
      </c>
      <c r="AJ106" s="23">
        <f t="shared" si="16"/>
        <v>-50</v>
      </c>
    </row>
    <row r="107" spans="1:36" x14ac:dyDescent="0.2">
      <c r="A107" s="36">
        <v>43602</v>
      </c>
      <c r="B107" s="37" t="s">
        <v>398</v>
      </c>
      <c r="C107" s="37" t="s">
        <v>470</v>
      </c>
      <c r="D107" s="37" t="s">
        <v>480</v>
      </c>
      <c r="E107" s="37" t="s">
        <v>481</v>
      </c>
      <c r="F107" s="37" t="s">
        <v>482</v>
      </c>
      <c r="G107" s="37" t="s">
        <v>146</v>
      </c>
      <c r="H107" s="37" t="s">
        <v>146</v>
      </c>
      <c r="I107" s="37">
        <v>4.5199999999999996</v>
      </c>
      <c r="J107" s="37">
        <v>4.3499999999999996</v>
      </c>
      <c r="K107" s="37">
        <v>1.53</v>
      </c>
      <c r="L107" s="37">
        <v>2.99</v>
      </c>
      <c r="M107" s="37">
        <v>26</v>
      </c>
      <c r="N107" s="37">
        <v>27</v>
      </c>
      <c r="O107" s="37">
        <v>1</v>
      </c>
      <c r="P107" s="37">
        <v>13</v>
      </c>
      <c r="Q107" s="37">
        <v>14</v>
      </c>
      <c r="R107" s="37">
        <v>0</v>
      </c>
      <c r="S107" s="37">
        <v>0</v>
      </c>
      <c r="T107" s="37">
        <v>100</v>
      </c>
      <c r="U107" s="37">
        <v>11.54</v>
      </c>
      <c r="V107" s="37">
        <v>26.92</v>
      </c>
      <c r="W107" s="37">
        <v>61.54</v>
      </c>
      <c r="X107" s="37">
        <v>48.15</v>
      </c>
      <c r="Y107" s="37">
        <v>22.22</v>
      </c>
      <c r="Z107" s="37">
        <v>29.63</v>
      </c>
      <c r="AA107" s="37">
        <v>15.38</v>
      </c>
      <c r="AB107" s="37">
        <v>42.86</v>
      </c>
      <c r="AC107" s="24">
        <f t="shared" si="9"/>
        <v>-43.234000000000002</v>
      </c>
      <c r="AD107" s="25">
        <f t="shared" si="10"/>
        <v>43.234000000000002</v>
      </c>
      <c r="AE107" s="23" t="str">
        <f t="shared" si="11"/>
        <v>Loss</v>
      </c>
      <c r="AF107" s="23" t="str">
        <f t="shared" si="12"/>
        <v>Win</v>
      </c>
      <c r="AG107" s="23" t="str">
        <f t="shared" si="13"/>
        <v>Loss</v>
      </c>
      <c r="AH107" s="23">
        <f t="shared" si="14"/>
        <v>-50</v>
      </c>
      <c r="AI107" s="23">
        <f t="shared" si="15"/>
        <v>167.49999999999997</v>
      </c>
      <c r="AJ107" s="23">
        <f t="shared" si="16"/>
        <v>-50</v>
      </c>
    </row>
    <row r="108" spans="1:36" x14ac:dyDescent="0.2">
      <c r="A108" s="36">
        <v>43602</v>
      </c>
      <c r="B108" s="37" t="s">
        <v>398</v>
      </c>
      <c r="C108" s="37" t="s">
        <v>470</v>
      </c>
      <c r="D108" s="37" t="s">
        <v>483</v>
      </c>
      <c r="E108" s="37" t="s">
        <v>484</v>
      </c>
      <c r="F108" s="37" t="s">
        <v>485</v>
      </c>
      <c r="G108" s="37" t="s">
        <v>146</v>
      </c>
      <c r="H108" s="37" t="s">
        <v>146</v>
      </c>
      <c r="I108" s="37">
        <v>3.17</v>
      </c>
      <c r="J108" s="37">
        <v>3.69</v>
      </c>
      <c r="K108" s="37">
        <v>1.93</v>
      </c>
      <c r="L108" s="37">
        <v>1.24</v>
      </c>
      <c r="M108" s="37">
        <v>26</v>
      </c>
      <c r="N108" s="37">
        <v>26</v>
      </c>
      <c r="O108" s="37">
        <v>1</v>
      </c>
      <c r="P108" s="37">
        <v>13</v>
      </c>
      <c r="Q108" s="37">
        <v>13</v>
      </c>
      <c r="R108" s="37">
        <v>0</v>
      </c>
      <c r="S108" s="37">
        <v>0</v>
      </c>
      <c r="T108" s="37">
        <v>100</v>
      </c>
      <c r="U108" s="37">
        <v>19.23</v>
      </c>
      <c r="V108" s="37">
        <v>7.69</v>
      </c>
      <c r="W108" s="37">
        <v>73.08</v>
      </c>
      <c r="X108" s="37">
        <v>34.619999999999997</v>
      </c>
      <c r="Y108" s="37">
        <v>11.54</v>
      </c>
      <c r="Z108" s="37">
        <v>53.85</v>
      </c>
      <c r="AA108" s="37">
        <v>30.77</v>
      </c>
      <c r="AB108" s="37">
        <v>23.08</v>
      </c>
      <c r="AC108" s="24">
        <f t="shared" si="9"/>
        <v>-37.30899999999999</v>
      </c>
      <c r="AD108" s="25">
        <f t="shared" si="10"/>
        <v>37.30899999999999</v>
      </c>
      <c r="AE108" s="23" t="str">
        <f t="shared" si="11"/>
        <v>Loss</v>
      </c>
      <c r="AF108" s="23" t="str">
        <f t="shared" si="12"/>
        <v>Win</v>
      </c>
      <c r="AG108" s="23" t="str">
        <f t="shared" si="13"/>
        <v>Loss</v>
      </c>
      <c r="AH108" s="23">
        <f t="shared" si="14"/>
        <v>-50</v>
      </c>
      <c r="AI108" s="23">
        <f t="shared" si="15"/>
        <v>134.5</v>
      </c>
      <c r="AJ108" s="23">
        <f t="shared" si="16"/>
        <v>-50</v>
      </c>
    </row>
    <row r="109" spans="1:36" x14ac:dyDescent="0.2">
      <c r="A109" s="36">
        <v>43602</v>
      </c>
      <c r="B109" s="37" t="s">
        <v>398</v>
      </c>
      <c r="C109" s="37" t="s">
        <v>428</v>
      </c>
      <c r="D109" s="37" t="s">
        <v>486</v>
      </c>
      <c r="E109" s="37" t="s">
        <v>487</v>
      </c>
      <c r="F109" s="37" t="s">
        <v>488</v>
      </c>
      <c r="G109" s="37" t="s">
        <v>146</v>
      </c>
      <c r="H109" s="37" t="s">
        <v>146</v>
      </c>
      <c r="I109" s="37">
        <v>2.11</v>
      </c>
      <c r="J109" s="37">
        <v>3.54</v>
      </c>
      <c r="K109" s="37">
        <v>2.86</v>
      </c>
      <c r="L109" s="37">
        <v>-0.75</v>
      </c>
      <c r="M109" s="37">
        <v>20</v>
      </c>
      <c r="N109" s="37">
        <v>22</v>
      </c>
      <c r="O109" s="37">
        <v>1</v>
      </c>
      <c r="P109" s="37">
        <v>9</v>
      </c>
      <c r="Q109" s="37">
        <v>9</v>
      </c>
      <c r="R109" s="37">
        <v>0</v>
      </c>
      <c r="S109" s="37">
        <v>100</v>
      </c>
      <c r="T109" s="37">
        <v>0</v>
      </c>
      <c r="U109" s="37">
        <v>40</v>
      </c>
      <c r="V109" s="37">
        <v>30</v>
      </c>
      <c r="W109" s="37">
        <v>30</v>
      </c>
      <c r="X109" s="37">
        <v>31.82</v>
      </c>
      <c r="Y109" s="37">
        <v>31.82</v>
      </c>
      <c r="Z109" s="37">
        <v>36.36</v>
      </c>
      <c r="AA109" s="37">
        <v>66.67</v>
      </c>
      <c r="AB109" s="37">
        <v>33.33</v>
      </c>
      <c r="AC109" s="24">
        <f t="shared" si="9"/>
        <v>12.725999999999999</v>
      </c>
      <c r="AD109" s="25">
        <f t="shared" si="10"/>
        <v>7.2740000000000009</v>
      </c>
      <c r="AE109" s="23" t="str">
        <f t="shared" si="11"/>
        <v>Loss</v>
      </c>
      <c r="AF109" s="23" t="str">
        <f t="shared" si="12"/>
        <v>Win</v>
      </c>
      <c r="AG109" s="23" t="str">
        <f t="shared" si="13"/>
        <v>Loss</v>
      </c>
      <c r="AH109" s="23">
        <f t="shared" si="14"/>
        <v>-50</v>
      </c>
      <c r="AI109" s="23">
        <f t="shared" si="15"/>
        <v>127</v>
      </c>
      <c r="AJ109" s="23">
        <f t="shared" si="16"/>
        <v>-50</v>
      </c>
    </row>
    <row r="110" spans="1:36" x14ac:dyDescent="0.2">
      <c r="A110" s="36">
        <v>43602</v>
      </c>
      <c r="B110" s="37" t="s">
        <v>398</v>
      </c>
      <c r="C110" s="37" t="s">
        <v>428</v>
      </c>
      <c r="D110" s="37" t="s">
        <v>489</v>
      </c>
      <c r="E110" s="37" t="s">
        <v>490</v>
      </c>
      <c r="F110" s="37" t="s">
        <v>491</v>
      </c>
      <c r="G110" s="37" t="s">
        <v>146</v>
      </c>
      <c r="H110" s="37" t="s">
        <v>146</v>
      </c>
      <c r="I110" s="37">
        <v>6</v>
      </c>
      <c r="J110" s="37">
        <v>4.66</v>
      </c>
      <c r="K110" s="37">
        <v>1.38</v>
      </c>
      <c r="L110" s="37">
        <v>4.62</v>
      </c>
      <c r="M110" s="37">
        <v>25</v>
      </c>
      <c r="N110" s="37">
        <v>23</v>
      </c>
      <c r="O110" s="37">
        <v>1</v>
      </c>
      <c r="P110" s="37">
        <v>12</v>
      </c>
      <c r="Q110" s="37">
        <v>11</v>
      </c>
      <c r="R110" s="37">
        <v>0</v>
      </c>
      <c r="S110" s="37">
        <v>100</v>
      </c>
      <c r="T110" s="37">
        <v>0</v>
      </c>
      <c r="U110" s="37">
        <v>20</v>
      </c>
      <c r="V110" s="37">
        <v>32</v>
      </c>
      <c r="W110" s="37">
        <v>48</v>
      </c>
      <c r="X110" s="37">
        <v>69.569999999999993</v>
      </c>
      <c r="Y110" s="37">
        <v>13.04</v>
      </c>
      <c r="Z110" s="37">
        <v>17.39</v>
      </c>
      <c r="AA110" s="37">
        <v>25</v>
      </c>
      <c r="AB110" s="37">
        <v>72.73</v>
      </c>
      <c r="AC110" s="24">
        <f t="shared" si="9"/>
        <v>-4.1400000000000023</v>
      </c>
      <c r="AD110" s="25">
        <f t="shared" si="10"/>
        <v>24.139999999999997</v>
      </c>
      <c r="AE110" s="23" t="str">
        <f t="shared" si="11"/>
        <v>Loss</v>
      </c>
      <c r="AF110" s="23" t="str">
        <f t="shared" si="12"/>
        <v>Win</v>
      </c>
      <c r="AG110" s="23" t="str">
        <f t="shared" si="13"/>
        <v>Loss</v>
      </c>
      <c r="AH110" s="23">
        <f t="shared" si="14"/>
        <v>-50</v>
      </c>
      <c r="AI110" s="23">
        <f t="shared" si="15"/>
        <v>183</v>
      </c>
      <c r="AJ110" s="23">
        <f t="shared" si="16"/>
        <v>-50</v>
      </c>
    </row>
    <row r="111" spans="1:36" x14ac:dyDescent="0.2">
      <c r="A111" s="36">
        <v>43602</v>
      </c>
      <c r="B111" s="37" t="s">
        <v>398</v>
      </c>
      <c r="C111" s="37" t="s">
        <v>399</v>
      </c>
      <c r="D111" s="37" t="s">
        <v>492</v>
      </c>
      <c r="E111" s="37" t="s">
        <v>493</v>
      </c>
      <c r="F111" s="37" t="s">
        <v>494</v>
      </c>
      <c r="G111" s="37" t="s">
        <v>146</v>
      </c>
      <c r="H111" s="37" t="s">
        <v>146</v>
      </c>
      <c r="I111" s="37">
        <v>1.63</v>
      </c>
      <c r="J111" s="37">
        <v>3.99</v>
      </c>
      <c r="K111" s="37">
        <v>4.2300000000000004</v>
      </c>
      <c r="L111" s="37">
        <v>-2.6</v>
      </c>
      <c r="M111" s="37">
        <v>25</v>
      </c>
      <c r="N111" s="37">
        <v>25</v>
      </c>
      <c r="O111" s="37">
        <v>1</v>
      </c>
      <c r="P111" s="37">
        <v>13</v>
      </c>
      <c r="Q111" s="37">
        <v>13</v>
      </c>
      <c r="R111" s="37">
        <v>100</v>
      </c>
      <c r="S111" s="37">
        <v>0</v>
      </c>
      <c r="T111" s="37">
        <v>0</v>
      </c>
      <c r="U111" s="37">
        <v>56</v>
      </c>
      <c r="V111" s="37">
        <v>16</v>
      </c>
      <c r="W111" s="37">
        <v>28</v>
      </c>
      <c r="X111" s="37">
        <v>32</v>
      </c>
      <c r="Y111" s="37">
        <v>20</v>
      </c>
      <c r="Z111" s="37">
        <v>48</v>
      </c>
      <c r="AA111" s="37">
        <v>38.46</v>
      </c>
      <c r="AB111" s="37">
        <v>23.08</v>
      </c>
      <c r="AC111" s="24">
        <f t="shared" si="9"/>
        <v>38.400000000000006</v>
      </c>
      <c r="AD111" s="25">
        <f t="shared" si="10"/>
        <v>-38.400000000000006</v>
      </c>
      <c r="AE111" s="23" t="str">
        <f t="shared" si="11"/>
        <v>Loss</v>
      </c>
      <c r="AF111" s="23" t="str">
        <f t="shared" si="12"/>
        <v>Win</v>
      </c>
      <c r="AG111" s="23" t="str">
        <f t="shared" si="13"/>
        <v>Loss</v>
      </c>
      <c r="AH111" s="23">
        <f t="shared" si="14"/>
        <v>-50</v>
      </c>
      <c r="AI111" s="23">
        <f t="shared" si="15"/>
        <v>149.5</v>
      </c>
      <c r="AJ111" s="23">
        <f t="shared" si="16"/>
        <v>-50</v>
      </c>
    </row>
    <row r="112" spans="1:36" x14ac:dyDescent="0.2">
      <c r="A112" s="36">
        <v>43602</v>
      </c>
      <c r="B112" s="37" t="s">
        <v>398</v>
      </c>
      <c r="C112" s="37" t="s">
        <v>399</v>
      </c>
      <c r="D112" s="37" t="s">
        <v>495</v>
      </c>
      <c r="E112" s="37" t="s">
        <v>496</v>
      </c>
      <c r="F112" s="37" t="s">
        <v>497</v>
      </c>
      <c r="G112" s="37" t="s">
        <v>146</v>
      </c>
      <c r="H112" s="37" t="s">
        <v>146</v>
      </c>
      <c r="I112" s="37">
        <v>2.44</v>
      </c>
      <c r="J112" s="37">
        <v>3.54</v>
      </c>
      <c r="K112" s="37">
        <v>2.4300000000000002</v>
      </c>
      <c r="L112" s="37">
        <v>0.01</v>
      </c>
      <c r="M112" s="37">
        <v>26</v>
      </c>
      <c r="N112" s="37">
        <v>23</v>
      </c>
      <c r="O112" s="37">
        <v>1</v>
      </c>
      <c r="P112" s="37">
        <v>13</v>
      </c>
      <c r="Q112" s="37">
        <v>11</v>
      </c>
      <c r="R112" s="37">
        <v>0</v>
      </c>
      <c r="S112" s="37">
        <v>100</v>
      </c>
      <c r="T112" s="37">
        <v>0</v>
      </c>
      <c r="U112" s="37">
        <v>15.38</v>
      </c>
      <c r="V112" s="37">
        <v>23.08</v>
      </c>
      <c r="W112" s="37">
        <v>61.54</v>
      </c>
      <c r="X112" s="37">
        <v>26.09</v>
      </c>
      <c r="Y112" s="37">
        <v>17.39</v>
      </c>
      <c r="Z112" s="37">
        <v>56.52</v>
      </c>
      <c r="AA112" s="37">
        <v>23.08</v>
      </c>
      <c r="AB112" s="37">
        <v>27.27</v>
      </c>
      <c r="AC112" s="24">
        <f t="shared" si="9"/>
        <v>7.4230000000000027</v>
      </c>
      <c r="AD112" s="25">
        <f t="shared" si="10"/>
        <v>12.576999999999998</v>
      </c>
      <c r="AE112" s="23" t="str">
        <f t="shared" si="11"/>
        <v>Loss</v>
      </c>
      <c r="AF112" s="23" t="str">
        <f t="shared" si="12"/>
        <v>Win</v>
      </c>
      <c r="AG112" s="23" t="str">
        <f t="shared" si="13"/>
        <v>Loss</v>
      </c>
      <c r="AH112" s="23">
        <f t="shared" si="14"/>
        <v>-50</v>
      </c>
      <c r="AI112" s="23">
        <f t="shared" si="15"/>
        <v>127</v>
      </c>
      <c r="AJ112" s="23">
        <f t="shared" si="16"/>
        <v>-50</v>
      </c>
    </row>
    <row r="113" spans="1:36" x14ac:dyDescent="0.2">
      <c r="A113" s="36">
        <v>43602</v>
      </c>
      <c r="B113" s="37" t="s">
        <v>398</v>
      </c>
      <c r="C113" s="37" t="s">
        <v>399</v>
      </c>
      <c r="D113" s="37" t="s">
        <v>498</v>
      </c>
      <c r="E113" s="37" t="s">
        <v>499</v>
      </c>
      <c r="F113" s="37" t="s">
        <v>500</v>
      </c>
      <c r="G113" s="37" t="s">
        <v>146</v>
      </c>
      <c r="H113" s="37" t="s">
        <v>146</v>
      </c>
      <c r="I113" s="37">
        <v>2.0699999999999998</v>
      </c>
      <c r="J113" s="37">
        <v>3.86</v>
      </c>
      <c r="K113" s="37">
        <v>2.76</v>
      </c>
      <c r="L113" s="37">
        <v>-0.69</v>
      </c>
      <c r="M113" s="37">
        <v>25</v>
      </c>
      <c r="N113" s="37">
        <v>22</v>
      </c>
      <c r="O113" s="37">
        <v>1</v>
      </c>
      <c r="P113" s="37">
        <v>13</v>
      </c>
      <c r="Q113" s="37">
        <v>12</v>
      </c>
      <c r="R113" s="37">
        <v>100</v>
      </c>
      <c r="S113" s="37">
        <v>0</v>
      </c>
      <c r="T113" s="37">
        <v>0</v>
      </c>
      <c r="U113" s="37">
        <v>40</v>
      </c>
      <c r="V113" s="37">
        <v>12</v>
      </c>
      <c r="W113" s="37">
        <v>48</v>
      </c>
      <c r="X113" s="37">
        <v>22.73</v>
      </c>
      <c r="Y113" s="37">
        <v>13.64</v>
      </c>
      <c r="Z113" s="37">
        <v>63.64</v>
      </c>
      <c r="AA113" s="37">
        <v>38.46</v>
      </c>
      <c r="AB113" s="37">
        <v>16.670000000000002</v>
      </c>
      <c r="AC113" s="24">
        <f t="shared" si="9"/>
        <v>36.418000000000006</v>
      </c>
      <c r="AD113" s="25">
        <f t="shared" si="10"/>
        <v>-36.418000000000006</v>
      </c>
      <c r="AE113" s="23" t="str">
        <f t="shared" si="11"/>
        <v>Loss</v>
      </c>
      <c r="AF113" s="23" t="str">
        <f t="shared" si="12"/>
        <v>Win</v>
      </c>
      <c r="AG113" s="23" t="str">
        <f t="shared" si="13"/>
        <v>Loss</v>
      </c>
      <c r="AH113" s="23">
        <f t="shared" si="14"/>
        <v>-50</v>
      </c>
      <c r="AI113" s="23">
        <f t="shared" si="15"/>
        <v>143</v>
      </c>
      <c r="AJ113" s="23">
        <f t="shared" si="16"/>
        <v>-50</v>
      </c>
    </row>
    <row r="114" spans="1:36" x14ac:dyDescent="0.2">
      <c r="A114" s="36">
        <v>43602</v>
      </c>
      <c r="B114" s="37" t="s">
        <v>501</v>
      </c>
      <c r="C114" s="37" t="s">
        <v>273</v>
      </c>
      <c r="D114" s="37" t="s">
        <v>502</v>
      </c>
      <c r="E114" s="37" t="s">
        <v>503</v>
      </c>
      <c r="F114" s="37" t="s">
        <v>504</v>
      </c>
      <c r="G114" s="37" t="s">
        <v>146</v>
      </c>
      <c r="H114" s="37" t="s">
        <v>146</v>
      </c>
      <c r="I114" s="37">
        <v>3.08</v>
      </c>
      <c r="J114" s="37">
        <v>3.63</v>
      </c>
      <c r="K114" s="37">
        <v>1.98</v>
      </c>
      <c r="L114" s="37">
        <v>1.1000000000000001</v>
      </c>
      <c r="M114" s="37">
        <v>10</v>
      </c>
      <c r="N114" s="37">
        <v>12</v>
      </c>
      <c r="O114" s="37">
        <v>1</v>
      </c>
      <c r="P114" s="37">
        <v>6</v>
      </c>
      <c r="Q114" s="37">
        <v>5</v>
      </c>
      <c r="R114" s="37">
        <v>0</v>
      </c>
      <c r="S114" s="37">
        <v>0</v>
      </c>
      <c r="T114" s="37">
        <v>100</v>
      </c>
      <c r="U114" s="37">
        <v>50</v>
      </c>
      <c r="V114" s="37">
        <v>10</v>
      </c>
      <c r="W114" s="37">
        <v>40</v>
      </c>
      <c r="X114" s="37">
        <v>75</v>
      </c>
      <c r="Y114" s="37">
        <v>0</v>
      </c>
      <c r="Z114" s="37">
        <v>25</v>
      </c>
      <c r="AA114" s="37">
        <v>33.33</v>
      </c>
      <c r="AB114" s="37">
        <v>60</v>
      </c>
      <c r="AC114" s="24">
        <f t="shared" si="9"/>
        <v>-37</v>
      </c>
      <c r="AD114" s="25">
        <f t="shared" si="10"/>
        <v>37</v>
      </c>
      <c r="AE114" s="23" t="str">
        <f t="shared" si="11"/>
        <v>Loss</v>
      </c>
      <c r="AF114" s="23" t="str">
        <f t="shared" si="12"/>
        <v>Win</v>
      </c>
      <c r="AG114" s="23" t="str">
        <f t="shared" si="13"/>
        <v>Loss</v>
      </c>
      <c r="AH114" s="23">
        <f t="shared" si="14"/>
        <v>-50</v>
      </c>
      <c r="AI114" s="23">
        <f t="shared" si="15"/>
        <v>131.5</v>
      </c>
      <c r="AJ114" s="23">
        <f t="shared" si="16"/>
        <v>-50</v>
      </c>
    </row>
    <row r="115" spans="1:36" x14ac:dyDescent="0.2">
      <c r="A115" s="36">
        <v>43602</v>
      </c>
      <c r="B115" s="37" t="s">
        <v>461</v>
      </c>
      <c r="C115" s="37" t="s">
        <v>505</v>
      </c>
      <c r="D115" s="37" t="s">
        <v>506</v>
      </c>
      <c r="E115" s="37" t="s">
        <v>507</v>
      </c>
      <c r="F115" s="37" t="s">
        <v>508</v>
      </c>
      <c r="G115" s="37" t="s">
        <v>146</v>
      </c>
      <c r="H115" s="37" t="s">
        <v>146</v>
      </c>
      <c r="I115" s="37">
        <v>3.16</v>
      </c>
      <c r="J115" s="37">
        <v>4.3499999999999996</v>
      </c>
      <c r="K115" s="37">
        <v>1.73</v>
      </c>
      <c r="L115" s="37">
        <v>1.43</v>
      </c>
      <c r="M115" s="37">
        <v>28</v>
      </c>
      <c r="N115" s="37">
        <v>32</v>
      </c>
      <c r="O115" s="37">
        <v>1</v>
      </c>
      <c r="P115" s="37">
        <v>14</v>
      </c>
      <c r="Q115" s="37">
        <v>16</v>
      </c>
      <c r="R115" s="37">
        <v>0</v>
      </c>
      <c r="S115" s="37">
        <v>0</v>
      </c>
      <c r="T115" s="37">
        <v>100</v>
      </c>
      <c r="U115" s="37">
        <v>39.29</v>
      </c>
      <c r="V115" s="37">
        <v>25</v>
      </c>
      <c r="W115" s="37">
        <v>35.71</v>
      </c>
      <c r="X115" s="37">
        <v>65.63</v>
      </c>
      <c r="Y115" s="37">
        <v>6.25</v>
      </c>
      <c r="Z115" s="37">
        <v>28.13</v>
      </c>
      <c r="AA115" s="37">
        <v>50</v>
      </c>
      <c r="AB115" s="37">
        <v>75</v>
      </c>
      <c r="AC115" s="24">
        <f t="shared" si="9"/>
        <v>-34.908999999999999</v>
      </c>
      <c r="AD115" s="25">
        <f t="shared" si="10"/>
        <v>34.908999999999999</v>
      </c>
      <c r="AE115" s="23" t="str">
        <f t="shared" si="11"/>
        <v>Loss</v>
      </c>
      <c r="AF115" s="23" t="str">
        <f t="shared" si="12"/>
        <v>Win</v>
      </c>
      <c r="AG115" s="23" t="str">
        <f t="shared" si="13"/>
        <v>Loss</v>
      </c>
      <c r="AH115" s="23">
        <f t="shared" si="14"/>
        <v>-50</v>
      </c>
      <c r="AI115" s="23">
        <f t="shared" si="15"/>
        <v>167.49999999999997</v>
      </c>
      <c r="AJ115" s="23">
        <f t="shared" si="16"/>
        <v>-50</v>
      </c>
    </row>
    <row r="116" spans="1:36" x14ac:dyDescent="0.2">
      <c r="A116" s="36">
        <v>43602</v>
      </c>
      <c r="B116" s="37" t="s">
        <v>461</v>
      </c>
      <c r="C116" s="37" t="s">
        <v>505</v>
      </c>
      <c r="D116" s="37" t="s">
        <v>509</v>
      </c>
      <c r="E116" s="37" t="s">
        <v>510</v>
      </c>
      <c r="F116" s="37" t="s">
        <v>511</v>
      </c>
      <c r="G116" s="37" t="s">
        <v>146</v>
      </c>
      <c r="H116" s="37" t="s">
        <v>146</v>
      </c>
      <c r="I116" s="37">
        <v>1.17</v>
      </c>
      <c r="J116" s="37">
        <v>7.2</v>
      </c>
      <c r="K116" s="37">
        <v>7.71</v>
      </c>
      <c r="L116" s="37">
        <v>-6.54</v>
      </c>
      <c r="M116" s="37">
        <v>31</v>
      </c>
      <c r="N116" s="37">
        <v>31</v>
      </c>
      <c r="O116" s="37">
        <v>1</v>
      </c>
      <c r="P116" s="37">
        <v>14</v>
      </c>
      <c r="Q116" s="37">
        <v>14</v>
      </c>
      <c r="R116" s="37">
        <v>0</v>
      </c>
      <c r="S116" s="37">
        <v>0</v>
      </c>
      <c r="T116" s="37">
        <v>100</v>
      </c>
      <c r="U116" s="37">
        <v>54.84</v>
      </c>
      <c r="V116" s="37">
        <v>12.9</v>
      </c>
      <c r="W116" s="37">
        <v>32.26</v>
      </c>
      <c r="X116" s="37">
        <v>29.03</v>
      </c>
      <c r="Y116" s="37">
        <v>3.23</v>
      </c>
      <c r="Z116" s="37">
        <v>67.739999999999995</v>
      </c>
      <c r="AA116" s="37">
        <v>57.14</v>
      </c>
      <c r="AB116" s="37">
        <v>14.29</v>
      </c>
      <c r="AC116" s="24">
        <f t="shared" si="9"/>
        <v>-16.774999999999999</v>
      </c>
      <c r="AD116" s="25">
        <f t="shared" si="10"/>
        <v>16.774999999999999</v>
      </c>
      <c r="AE116" s="23" t="str">
        <f t="shared" si="11"/>
        <v>Loss</v>
      </c>
      <c r="AF116" s="23" t="str">
        <f t="shared" si="12"/>
        <v>Win</v>
      </c>
      <c r="AG116" s="23" t="str">
        <f t="shared" si="13"/>
        <v>Loss</v>
      </c>
      <c r="AH116" s="23">
        <f t="shared" si="14"/>
        <v>-50</v>
      </c>
      <c r="AI116" s="23">
        <f t="shared" si="15"/>
        <v>310</v>
      </c>
      <c r="AJ116" s="23">
        <f t="shared" si="16"/>
        <v>-50</v>
      </c>
    </row>
    <row r="117" spans="1:36" x14ac:dyDescent="0.2">
      <c r="A117" s="36">
        <v>43602</v>
      </c>
      <c r="B117" s="37" t="s">
        <v>461</v>
      </c>
      <c r="C117" s="37" t="s">
        <v>505</v>
      </c>
      <c r="D117" s="37" t="s">
        <v>512</v>
      </c>
      <c r="E117" s="37" t="s">
        <v>513</v>
      </c>
      <c r="F117" s="37" t="s">
        <v>514</v>
      </c>
      <c r="G117" s="37" t="s">
        <v>146</v>
      </c>
      <c r="H117" s="37" t="s">
        <v>146</v>
      </c>
      <c r="I117" s="37">
        <v>1.22</v>
      </c>
      <c r="J117" s="37">
        <v>6.21</v>
      </c>
      <c r="K117" s="37">
        <v>6.68</v>
      </c>
      <c r="L117" s="37">
        <v>-5.46</v>
      </c>
      <c r="M117" s="37">
        <v>33</v>
      </c>
      <c r="N117" s="37">
        <v>28</v>
      </c>
      <c r="O117" s="37">
        <v>1</v>
      </c>
      <c r="P117" s="37">
        <v>16</v>
      </c>
      <c r="Q117" s="37">
        <v>13</v>
      </c>
      <c r="R117" s="37">
        <v>100</v>
      </c>
      <c r="S117" s="37">
        <v>0</v>
      </c>
      <c r="T117" s="37">
        <v>0</v>
      </c>
      <c r="U117" s="37">
        <v>66.67</v>
      </c>
      <c r="V117" s="37">
        <v>6.06</v>
      </c>
      <c r="W117" s="37">
        <v>27.27</v>
      </c>
      <c r="X117" s="37">
        <v>21.43</v>
      </c>
      <c r="Y117" s="37">
        <v>32.14</v>
      </c>
      <c r="Z117" s="37">
        <v>46.43</v>
      </c>
      <c r="AA117" s="37">
        <v>75</v>
      </c>
      <c r="AB117" s="37">
        <v>15.38</v>
      </c>
      <c r="AC117" s="24">
        <f t="shared" si="9"/>
        <v>40.272000000000006</v>
      </c>
      <c r="AD117" s="25">
        <f t="shared" si="10"/>
        <v>-40.272000000000006</v>
      </c>
      <c r="AE117" s="23" t="str">
        <f t="shared" si="11"/>
        <v>Loss</v>
      </c>
      <c r="AF117" s="23" t="str">
        <f t="shared" si="12"/>
        <v>Win</v>
      </c>
      <c r="AG117" s="23" t="str">
        <f t="shared" si="13"/>
        <v>Loss</v>
      </c>
      <c r="AH117" s="23">
        <f t="shared" si="14"/>
        <v>-50</v>
      </c>
      <c r="AI117" s="23">
        <f t="shared" si="15"/>
        <v>260.5</v>
      </c>
      <c r="AJ117" s="23">
        <f t="shared" si="16"/>
        <v>-50</v>
      </c>
    </row>
    <row r="118" spans="1:36" x14ac:dyDescent="0.2">
      <c r="A118" s="36">
        <v>43602</v>
      </c>
      <c r="B118" s="37" t="s">
        <v>461</v>
      </c>
      <c r="C118" s="37" t="s">
        <v>505</v>
      </c>
      <c r="D118" s="37" t="s">
        <v>515</v>
      </c>
      <c r="E118" s="37" t="s">
        <v>516</v>
      </c>
      <c r="F118" s="37" t="s">
        <v>517</v>
      </c>
      <c r="G118" s="37" t="s">
        <v>146</v>
      </c>
      <c r="H118" s="37" t="s">
        <v>146</v>
      </c>
      <c r="I118" s="37">
        <v>2.95</v>
      </c>
      <c r="J118" s="37">
        <v>4.32</v>
      </c>
      <c r="K118" s="37">
        <v>1.76</v>
      </c>
      <c r="L118" s="37">
        <v>1.19</v>
      </c>
      <c r="M118" s="37">
        <v>32</v>
      </c>
      <c r="N118" s="37">
        <v>34</v>
      </c>
      <c r="O118" s="37">
        <v>1</v>
      </c>
      <c r="P118" s="37">
        <v>15</v>
      </c>
      <c r="Q118" s="37">
        <v>17</v>
      </c>
      <c r="R118" s="37">
        <v>100</v>
      </c>
      <c r="S118" s="37">
        <v>0</v>
      </c>
      <c r="T118" s="37">
        <v>0</v>
      </c>
      <c r="U118" s="37">
        <v>75</v>
      </c>
      <c r="V118" s="37">
        <v>9.3800000000000008</v>
      </c>
      <c r="W118" s="37">
        <v>15.63</v>
      </c>
      <c r="X118" s="37">
        <v>61.76</v>
      </c>
      <c r="Y118" s="37">
        <v>11.76</v>
      </c>
      <c r="Z118" s="37">
        <v>26.47</v>
      </c>
      <c r="AA118" s="37">
        <v>80</v>
      </c>
      <c r="AB118" s="37">
        <v>64.709999999999994</v>
      </c>
      <c r="AC118" s="24">
        <f t="shared" si="9"/>
        <v>34.578000000000003</v>
      </c>
      <c r="AD118" s="25">
        <f t="shared" si="10"/>
        <v>-34.578000000000003</v>
      </c>
      <c r="AE118" s="23" t="str">
        <f t="shared" si="11"/>
        <v>Loss</v>
      </c>
      <c r="AF118" s="23" t="str">
        <f t="shared" si="12"/>
        <v>Win</v>
      </c>
      <c r="AG118" s="23" t="str">
        <f t="shared" si="13"/>
        <v>Loss</v>
      </c>
      <c r="AH118" s="23">
        <f t="shared" si="14"/>
        <v>-50</v>
      </c>
      <c r="AI118" s="23">
        <f t="shared" si="15"/>
        <v>166</v>
      </c>
      <c r="AJ118" s="23">
        <f t="shared" si="16"/>
        <v>-50</v>
      </c>
    </row>
    <row r="119" spans="1:36" x14ac:dyDescent="0.2">
      <c r="A119" s="36">
        <v>43602</v>
      </c>
      <c r="B119" s="37" t="s">
        <v>461</v>
      </c>
      <c r="C119" s="37" t="s">
        <v>505</v>
      </c>
      <c r="D119" s="37" t="s">
        <v>518</v>
      </c>
      <c r="E119" s="37" t="s">
        <v>519</v>
      </c>
      <c r="F119" s="37" t="s">
        <v>520</v>
      </c>
      <c r="G119" s="37" t="s">
        <v>146</v>
      </c>
      <c r="H119" s="37" t="s">
        <v>146</v>
      </c>
      <c r="I119" s="37">
        <v>1.45</v>
      </c>
      <c r="J119" s="37">
        <v>4.8600000000000003</v>
      </c>
      <c r="K119" s="37">
        <v>4.37</v>
      </c>
      <c r="L119" s="37">
        <v>-2.92</v>
      </c>
      <c r="M119" s="37">
        <v>30</v>
      </c>
      <c r="N119" s="37">
        <v>32</v>
      </c>
      <c r="O119" s="37">
        <v>1</v>
      </c>
      <c r="P119" s="37">
        <v>15</v>
      </c>
      <c r="Q119" s="37">
        <v>15</v>
      </c>
      <c r="R119" s="37">
        <v>0</v>
      </c>
      <c r="S119" s="37">
        <v>100</v>
      </c>
      <c r="T119" s="37">
        <v>0</v>
      </c>
      <c r="U119" s="37">
        <v>36.67</v>
      </c>
      <c r="V119" s="37">
        <v>20</v>
      </c>
      <c r="W119" s="37">
        <v>43.33</v>
      </c>
      <c r="X119" s="37">
        <v>21.88</v>
      </c>
      <c r="Y119" s="37">
        <v>12.5</v>
      </c>
      <c r="Z119" s="37">
        <v>65.63</v>
      </c>
      <c r="AA119" s="37">
        <v>40</v>
      </c>
      <c r="AB119" s="37">
        <v>20</v>
      </c>
      <c r="AC119" s="24">
        <f t="shared" si="9"/>
        <v>18.167999999999999</v>
      </c>
      <c r="AD119" s="25">
        <f t="shared" si="10"/>
        <v>1.8320000000000025</v>
      </c>
      <c r="AE119" s="23" t="str">
        <f t="shared" si="11"/>
        <v>Loss</v>
      </c>
      <c r="AF119" s="23" t="str">
        <f t="shared" si="12"/>
        <v>Win</v>
      </c>
      <c r="AG119" s="23" t="str">
        <f t="shared" si="13"/>
        <v>Loss</v>
      </c>
      <c r="AH119" s="23">
        <f t="shared" si="14"/>
        <v>-50</v>
      </c>
      <c r="AI119" s="23">
        <f t="shared" si="15"/>
        <v>193.00000000000003</v>
      </c>
      <c r="AJ119" s="23">
        <f t="shared" si="16"/>
        <v>-50</v>
      </c>
    </row>
    <row r="120" spans="1:36" x14ac:dyDescent="0.2">
      <c r="A120" s="36">
        <v>43602</v>
      </c>
      <c r="B120" s="37" t="s">
        <v>461</v>
      </c>
      <c r="C120" s="37" t="s">
        <v>505</v>
      </c>
      <c r="D120" s="37" t="s">
        <v>521</v>
      </c>
      <c r="E120" s="37" t="s">
        <v>522</v>
      </c>
      <c r="F120" s="37" t="s">
        <v>523</v>
      </c>
      <c r="G120" s="37" t="s">
        <v>146</v>
      </c>
      <c r="H120" s="37" t="s">
        <v>146</v>
      </c>
      <c r="I120" s="37">
        <v>1.7</v>
      </c>
      <c r="J120" s="37">
        <v>4.9400000000000004</v>
      </c>
      <c r="K120" s="37">
        <v>3.28</v>
      </c>
      <c r="L120" s="37">
        <v>-1.58</v>
      </c>
      <c r="M120" s="37">
        <v>25</v>
      </c>
      <c r="N120" s="37">
        <v>30</v>
      </c>
      <c r="O120" s="37">
        <v>1</v>
      </c>
      <c r="P120" s="37">
        <v>14</v>
      </c>
      <c r="Q120" s="37">
        <v>16</v>
      </c>
      <c r="R120" s="37">
        <v>0</v>
      </c>
      <c r="S120" s="37">
        <v>0</v>
      </c>
      <c r="T120" s="37">
        <v>100</v>
      </c>
      <c r="U120" s="37">
        <v>4</v>
      </c>
      <c r="V120" s="37">
        <v>0</v>
      </c>
      <c r="W120" s="37">
        <v>96</v>
      </c>
      <c r="X120" s="37">
        <v>33.33</v>
      </c>
      <c r="Y120" s="37">
        <v>13.33</v>
      </c>
      <c r="Z120" s="37">
        <v>53.33</v>
      </c>
      <c r="AA120" s="37">
        <v>7.14</v>
      </c>
      <c r="AB120" s="37">
        <v>12.5</v>
      </c>
      <c r="AC120" s="24">
        <f t="shared" si="9"/>
        <v>-45.733000000000004</v>
      </c>
      <c r="AD120" s="25">
        <f t="shared" si="10"/>
        <v>45.733000000000004</v>
      </c>
      <c r="AE120" s="23" t="str">
        <f t="shared" si="11"/>
        <v>Loss</v>
      </c>
      <c r="AF120" s="23" t="str">
        <f t="shared" si="12"/>
        <v>Win</v>
      </c>
      <c r="AG120" s="23" t="str">
        <f t="shared" si="13"/>
        <v>Loss</v>
      </c>
      <c r="AH120" s="23">
        <f t="shared" si="14"/>
        <v>-50</v>
      </c>
      <c r="AI120" s="23">
        <f t="shared" si="15"/>
        <v>197.00000000000003</v>
      </c>
      <c r="AJ120" s="23">
        <f t="shared" si="16"/>
        <v>-50</v>
      </c>
    </row>
    <row r="121" spans="1:36" x14ac:dyDescent="0.2">
      <c r="A121" s="36">
        <v>43602</v>
      </c>
      <c r="B121" s="37" t="s">
        <v>461</v>
      </c>
      <c r="C121" s="37" t="s">
        <v>505</v>
      </c>
      <c r="D121" s="37" t="s">
        <v>524</v>
      </c>
      <c r="E121" s="37" t="s">
        <v>525</v>
      </c>
      <c r="F121" s="37" t="s">
        <v>526</v>
      </c>
      <c r="G121" s="37" t="s">
        <v>146</v>
      </c>
      <c r="H121" s="37" t="s">
        <v>146</v>
      </c>
      <c r="I121" s="37">
        <v>2.96</v>
      </c>
      <c r="J121" s="37">
        <v>4.16</v>
      </c>
      <c r="K121" s="37">
        <v>1.83</v>
      </c>
      <c r="L121" s="37">
        <v>1.1299999999999999</v>
      </c>
      <c r="M121" s="37">
        <v>32</v>
      </c>
      <c r="N121" s="37">
        <v>29</v>
      </c>
      <c r="O121" s="37">
        <v>1</v>
      </c>
      <c r="P121" s="37">
        <v>15</v>
      </c>
      <c r="Q121" s="37">
        <v>14</v>
      </c>
      <c r="R121" s="37">
        <v>0</v>
      </c>
      <c r="S121" s="37">
        <v>0</v>
      </c>
      <c r="T121" s="37">
        <v>100</v>
      </c>
      <c r="U121" s="37">
        <v>40.630000000000003</v>
      </c>
      <c r="V121" s="37">
        <v>15.63</v>
      </c>
      <c r="W121" s="37">
        <v>43.75</v>
      </c>
      <c r="X121" s="37">
        <v>41.38</v>
      </c>
      <c r="Y121" s="37">
        <v>20.69</v>
      </c>
      <c r="Z121" s="37">
        <v>37.93</v>
      </c>
      <c r="AA121" s="37">
        <v>46.67</v>
      </c>
      <c r="AB121" s="37">
        <v>42.86</v>
      </c>
      <c r="AC121" s="24">
        <f t="shared" si="9"/>
        <v>-31.820000000000007</v>
      </c>
      <c r="AD121" s="25">
        <f t="shared" si="10"/>
        <v>31.820000000000007</v>
      </c>
      <c r="AE121" s="23" t="str">
        <f t="shared" si="11"/>
        <v>Loss</v>
      </c>
      <c r="AF121" s="23" t="str">
        <f t="shared" si="12"/>
        <v>Win</v>
      </c>
      <c r="AG121" s="23" t="str">
        <f t="shared" si="13"/>
        <v>Loss</v>
      </c>
      <c r="AH121" s="23">
        <f t="shared" si="14"/>
        <v>-50</v>
      </c>
      <c r="AI121" s="23">
        <f t="shared" si="15"/>
        <v>158</v>
      </c>
      <c r="AJ121" s="23">
        <f t="shared" si="16"/>
        <v>-50</v>
      </c>
    </row>
    <row r="122" spans="1:36" x14ac:dyDescent="0.2">
      <c r="A122" s="36">
        <v>43602</v>
      </c>
      <c r="B122" s="37" t="s">
        <v>461</v>
      </c>
      <c r="C122" s="37" t="s">
        <v>505</v>
      </c>
      <c r="D122" s="37" t="s">
        <v>527</v>
      </c>
      <c r="E122" s="37" t="s">
        <v>528</v>
      </c>
      <c r="F122" s="37" t="s">
        <v>529</v>
      </c>
      <c r="G122" s="37" t="s">
        <v>146</v>
      </c>
      <c r="H122" s="37" t="s">
        <v>146</v>
      </c>
      <c r="I122" s="37">
        <v>3.89</v>
      </c>
      <c r="J122" s="37">
        <v>4.38</v>
      </c>
      <c r="K122" s="37">
        <v>1.56</v>
      </c>
      <c r="L122" s="37">
        <v>2.33</v>
      </c>
      <c r="M122" s="37">
        <v>29</v>
      </c>
      <c r="N122" s="37">
        <v>29</v>
      </c>
      <c r="O122" s="37">
        <v>1</v>
      </c>
      <c r="P122" s="37">
        <v>15</v>
      </c>
      <c r="Q122" s="37">
        <v>15</v>
      </c>
      <c r="R122" s="37">
        <v>0</v>
      </c>
      <c r="S122" s="37">
        <v>0</v>
      </c>
      <c r="T122" s="37">
        <v>100</v>
      </c>
      <c r="U122" s="37">
        <v>31.03</v>
      </c>
      <c r="V122" s="37">
        <v>13.79</v>
      </c>
      <c r="W122" s="37">
        <v>55.17</v>
      </c>
      <c r="X122" s="37">
        <v>51.72</v>
      </c>
      <c r="Y122" s="37">
        <v>17.239999999999998</v>
      </c>
      <c r="Z122" s="37">
        <v>31.03</v>
      </c>
      <c r="AA122" s="37">
        <v>46.67</v>
      </c>
      <c r="AB122" s="37">
        <v>46.67</v>
      </c>
      <c r="AC122" s="24">
        <f t="shared" si="9"/>
        <v>-39.310999999999993</v>
      </c>
      <c r="AD122" s="25">
        <f t="shared" si="10"/>
        <v>39.310999999999993</v>
      </c>
      <c r="AE122" s="23" t="str">
        <f t="shared" si="11"/>
        <v>Loss</v>
      </c>
      <c r="AF122" s="23" t="str">
        <f t="shared" si="12"/>
        <v>Win</v>
      </c>
      <c r="AG122" s="23" t="str">
        <f t="shared" si="13"/>
        <v>Loss</v>
      </c>
      <c r="AH122" s="23">
        <f t="shared" si="14"/>
        <v>-50</v>
      </c>
      <c r="AI122" s="23">
        <f t="shared" si="15"/>
        <v>169</v>
      </c>
      <c r="AJ122" s="23">
        <f t="shared" si="16"/>
        <v>-50</v>
      </c>
    </row>
    <row r="123" spans="1:36" x14ac:dyDescent="0.2">
      <c r="A123" s="36">
        <v>43602</v>
      </c>
      <c r="B123" s="37" t="s">
        <v>461</v>
      </c>
      <c r="C123" s="37" t="s">
        <v>505</v>
      </c>
      <c r="D123" s="37" t="s">
        <v>530</v>
      </c>
      <c r="E123" s="37" t="s">
        <v>531</v>
      </c>
      <c r="F123" s="37" t="s">
        <v>532</v>
      </c>
      <c r="G123" s="37" t="s">
        <v>146</v>
      </c>
      <c r="H123" s="37" t="s">
        <v>146</v>
      </c>
      <c r="I123" s="37">
        <v>1.84</v>
      </c>
      <c r="J123" s="37">
        <v>4.34</v>
      </c>
      <c r="K123" s="37">
        <v>2.85</v>
      </c>
      <c r="L123" s="37">
        <v>-1.01</v>
      </c>
      <c r="M123" s="37">
        <v>29</v>
      </c>
      <c r="N123" s="37">
        <v>31</v>
      </c>
      <c r="O123" s="37">
        <v>1</v>
      </c>
      <c r="P123" s="37">
        <v>14</v>
      </c>
      <c r="Q123" s="37">
        <v>15</v>
      </c>
      <c r="R123" s="37">
        <v>100</v>
      </c>
      <c r="S123" s="37">
        <v>0</v>
      </c>
      <c r="T123" s="37">
        <v>0</v>
      </c>
      <c r="U123" s="37">
        <v>44.83</v>
      </c>
      <c r="V123" s="37">
        <v>27.59</v>
      </c>
      <c r="W123" s="37">
        <v>27.59</v>
      </c>
      <c r="X123" s="37">
        <v>22.58</v>
      </c>
      <c r="Y123" s="37">
        <v>25.81</v>
      </c>
      <c r="Z123" s="37">
        <v>51.61</v>
      </c>
      <c r="AA123" s="37">
        <v>42.86</v>
      </c>
      <c r="AB123" s="37">
        <v>20</v>
      </c>
      <c r="AC123" s="24">
        <f t="shared" si="9"/>
        <v>39.432000000000002</v>
      </c>
      <c r="AD123" s="25">
        <f t="shared" si="10"/>
        <v>-39.432000000000002</v>
      </c>
      <c r="AE123" s="23" t="str">
        <f t="shared" si="11"/>
        <v>Loss</v>
      </c>
      <c r="AF123" s="23" t="str">
        <f t="shared" si="12"/>
        <v>Win</v>
      </c>
      <c r="AG123" s="23" t="str">
        <f t="shared" si="13"/>
        <v>Loss</v>
      </c>
      <c r="AH123" s="23">
        <f t="shared" si="14"/>
        <v>-50</v>
      </c>
      <c r="AI123" s="23">
        <f t="shared" si="15"/>
        <v>167</v>
      </c>
      <c r="AJ123" s="23">
        <f t="shared" si="16"/>
        <v>-50</v>
      </c>
    </row>
    <row r="124" spans="1:36" x14ac:dyDescent="0.2">
      <c r="A124" s="36">
        <v>43602</v>
      </c>
      <c r="B124" s="37" t="s">
        <v>461</v>
      </c>
      <c r="C124" s="37" t="s">
        <v>533</v>
      </c>
      <c r="D124" s="37" t="s">
        <v>534</v>
      </c>
      <c r="E124" s="37" t="s">
        <v>535</v>
      </c>
      <c r="F124" s="37" t="s">
        <v>536</v>
      </c>
      <c r="G124" s="37" t="s">
        <v>146</v>
      </c>
      <c r="H124" s="37" t="s">
        <v>146</v>
      </c>
      <c r="I124" s="37">
        <v>2.27</v>
      </c>
      <c r="J124" s="37">
        <v>3.73</v>
      </c>
      <c r="K124" s="37">
        <v>2.41</v>
      </c>
      <c r="L124" s="37">
        <v>-0.14000000000000001</v>
      </c>
      <c r="M124" s="37">
        <v>27</v>
      </c>
      <c r="N124" s="37">
        <v>28</v>
      </c>
      <c r="O124" s="37">
        <v>1</v>
      </c>
      <c r="P124" s="37">
        <v>13</v>
      </c>
      <c r="Q124" s="37">
        <v>14</v>
      </c>
      <c r="R124" s="37">
        <v>0</v>
      </c>
      <c r="S124" s="37">
        <v>0</v>
      </c>
      <c r="T124" s="37">
        <v>100</v>
      </c>
      <c r="U124" s="37">
        <v>48.15</v>
      </c>
      <c r="V124" s="37">
        <v>18.52</v>
      </c>
      <c r="W124" s="37">
        <v>33.33</v>
      </c>
      <c r="X124" s="37">
        <v>50</v>
      </c>
      <c r="Y124" s="37">
        <v>21.43</v>
      </c>
      <c r="Z124" s="37">
        <v>28.57</v>
      </c>
      <c r="AA124" s="37">
        <v>69.23</v>
      </c>
      <c r="AB124" s="37">
        <v>50</v>
      </c>
      <c r="AC124" s="24">
        <f t="shared" si="9"/>
        <v>-31.613</v>
      </c>
      <c r="AD124" s="25">
        <f t="shared" si="10"/>
        <v>31.613</v>
      </c>
      <c r="AE124" s="23" t="str">
        <f t="shared" si="11"/>
        <v>Loss</v>
      </c>
      <c r="AF124" s="23" t="str">
        <f t="shared" si="12"/>
        <v>Win</v>
      </c>
      <c r="AG124" s="23" t="str">
        <f t="shared" si="13"/>
        <v>Loss</v>
      </c>
      <c r="AH124" s="23">
        <f t="shared" si="14"/>
        <v>-50</v>
      </c>
      <c r="AI124" s="23">
        <f t="shared" si="15"/>
        <v>136.5</v>
      </c>
      <c r="AJ124" s="23">
        <f t="shared" si="16"/>
        <v>-50</v>
      </c>
    </row>
    <row r="125" spans="1:36" x14ac:dyDescent="0.2">
      <c r="A125" s="36">
        <v>43602</v>
      </c>
      <c r="B125" s="37" t="s">
        <v>461</v>
      </c>
      <c r="C125" s="37" t="s">
        <v>537</v>
      </c>
      <c r="D125" s="37" t="s">
        <v>538</v>
      </c>
      <c r="E125" s="37" t="s">
        <v>539</v>
      </c>
      <c r="F125" s="37" t="s">
        <v>540</v>
      </c>
      <c r="G125" s="37" t="s">
        <v>146</v>
      </c>
      <c r="H125" s="37" t="s">
        <v>146</v>
      </c>
      <c r="I125" s="37">
        <v>2.13</v>
      </c>
      <c r="J125" s="37">
        <v>3.91</v>
      </c>
      <c r="K125" s="37">
        <v>2.52</v>
      </c>
      <c r="L125" s="37">
        <v>-0.39</v>
      </c>
      <c r="M125" s="37">
        <v>54</v>
      </c>
      <c r="N125" s="37">
        <v>28</v>
      </c>
      <c r="O125" s="37">
        <v>1</v>
      </c>
      <c r="P125" s="37">
        <v>26</v>
      </c>
      <c r="Q125" s="37">
        <v>13</v>
      </c>
      <c r="R125" s="37">
        <v>0</v>
      </c>
      <c r="S125" s="37">
        <v>0</v>
      </c>
      <c r="T125" s="37">
        <v>100</v>
      </c>
      <c r="U125" s="37">
        <v>42.59</v>
      </c>
      <c r="V125" s="37">
        <v>24.07</v>
      </c>
      <c r="W125" s="37">
        <v>33.33</v>
      </c>
      <c r="X125" s="37">
        <v>42.86</v>
      </c>
      <c r="Y125" s="37">
        <v>17.86</v>
      </c>
      <c r="Z125" s="37">
        <v>39.29</v>
      </c>
      <c r="AA125" s="37">
        <v>61.54</v>
      </c>
      <c r="AB125" s="37">
        <v>38.46</v>
      </c>
      <c r="AC125" s="24">
        <f t="shared" si="9"/>
        <v>-28.241000000000003</v>
      </c>
      <c r="AD125" s="25">
        <f t="shared" si="10"/>
        <v>28.241000000000003</v>
      </c>
      <c r="AE125" s="23" t="str">
        <f t="shared" si="11"/>
        <v>Loss</v>
      </c>
      <c r="AF125" s="23" t="str">
        <f t="shared" si="12"/>
        <v>Win</v>
      </c>
      <c r="AG125" s="23" t="str">
        <f t="shared" si="13"/>
        <v>Loss</v>
      </c>
      <c r="AH125" s="23">
        <f t="shared" si="14"/>
        <v>-50</v>
      </c>
      <c r="AI125" s="23">
        <f t="shared" si="15"/>
        <v>145.5</v>
      </c>
      <c r="AJ125" s="23">
        <f t="shared" si="16"/>
        <v>-50</v>
      </c>
    </row>
    <row r="126" spans="1:36" x14ac:dyDescent="0.2">
      <c r="A126" s="36">
        <v>43602</v>
      </c>
      <c r="B126" s="37" t="s">
        <v>461</v>
      </c>
      <c r="C126" s="37" t="s">
        <v>541</v>
      </c>
      <c r="D126" s="37" t="s">
        <v>542</v>
      </c>
      <c r="E126" s="37" t="s">
        <v>543</v>
      </c>
      <c r="F126" s="37" t="s">
        <v>544</v>
      </c>
      <c r="G126" s="37" t="s">
        <v>146</v>
      </c>
      <c r="H126" s="37" t="s">
        <v>146</v>
      </c>
      <c r="I126" s="37">
        <v>2.15</v>
      </c>
      <c r="J126" s="37">
        <v>3.57</v>
      </c>
      <c r="K126" s="37">
        <v>2.96</v>
      </c>
      <c r="L126" s="37">
        <v>-0.81</v>
      </c>
      <c r="M126" s="37">
        <v>33</v>
      </c>
      <c r="N126" s="37">
        <v>34</v>
      </c>
      <c r="O126" s="37">
        <v>1</v>
      </c>
      <c r="P126" s="37">
        <v>16</v>
      </c>
      <c r="Q126" s="37">
        <v>16</v>
      </c>
      <c r="R126" s="37">
        <v>100</v>
      </c>
      <c r="S126" s="37">
        <v>0</v>
      </c>
      <c r="T126" s="37">
        <v>0</v>
      </c>
      <c r="U126" s="37">
        <v>42.42</v>
      </c>
      <c r="V126" s="37">
        <v>27.27</v>
      </c>
      <c r="W126" s="37">
        <v>30.3</v>
      </c>
      <c r="X126" s="37">
        <v>35.29</v>
      </c>
      <c r="Y126" s="37">
        <v>17.649999999999999</v>
      </c>
      <c r="Z126" s="37">
        <v>47.06</v>
      </c>
      <c r="AA126" s="37">
        <v>50</v>
      </c>
      <c r="AB126" s="37">
        <v>37.5</v>
      </c>
      <c r="AC126" s="24">
        <f t="shared" si="9"/>
        <v>35.739999999999995</v>
      </c>
      <c r="AD126" s="25">
        <f t="shared" si="10"/>
        <v>-35.739999999999995</v>
      </c>
      <c r="AE126" s="23" t="str">
        <f t="shared" si="11"/>
        <v>Loss</v>
      </c>
      <c r="AF126" s="23" t="str">
        <f t="shared" si="12"/>
        <v>Win</v>
      </c>
      <c r="AG126" s="23" t="str">
        <f t="shared" si="13"/>
        <v>Loss</v>
      </c>
      <c r="AH126" s="23">
        <f t="shared" si="14"/>
        <v>-50</v>
      </c>
      <c r="AI126" s="23">
        <f t="shared" si="15"/>
        <v>128.5</v>
      </c>
      <c r="AJ126" s="23">
        <f t="shared" si="16"/>
        <v>-50</v>
      </c>
    </row>
    <row r="127" spans="1:36" x14ac:dyDescent="0.2">
      <c r="A127" s="36">
        <v>43602</v>
      </c>
      <c r="B127" s="37" t="s">
        <v>545</v>
      </c>
      <c r="C127" s="37" t="s">
        <v>308</v>
      </c>
      <c r="D127" s="37" t="s">
        <v>546</v>
      </c>
      <c r="E127" s="37" t="s">
        <v>547</v>
      </c>
      <c r="F127" s="37" t="s">
        <v>548</v>
      </c>
      <c r="G127" s="37" t="s">
        <v>146</v>
      </c>
      <c r="H127" s="37" t="s">
        <v>146</v>
      </c>
      <c r="I127" s="37">
        <v>2.5099999999999998</v>
      </c>
      <c r="J127" s="37">
        <v>3.01</v>
      </c>
      <c r="K127" s="37">
        <v>2.93</v>
      </c>
      <c r="L127" s="37">
        <v>-0.42</v>
      </c>
      <c r="M127" s="37">
        <v>39</v>
      </c>
      <c r="N127" s="37">
        <v>71</v>
      </c>
      <c r="O127" s="37">
        <v>3</v>
      </c>
      <c r="P127" s="37">
        <v>20</v>
      </c>
      <c r="Q127" s="37">
        <v>35</v>
      </c>
      <c r="R127" s="37">
        <v>33.33</v>
      </c>
      <c r="S127" s="37">
        <v>33.33</v>
      </c>
      <c r="T127" s="37">
        <v>33.33</v>
      </c>
      <c r="U127" s="37">
        <v>35.9</v>
      </c>
      <c r="V127" s="37">
        <v>28.21</v>
      </c>
      <c r="W127" s="37">
        <v>35.9</v>
      </c>
      <c r="X127" s="37">
        <v>46.48</v>
      </c>
      <c r="Y127" s="37">
        <v>26.76</v>
      </c>
      <c r="Z127" s="37">
        <v>26.76</v>
      </c>
      <c r="AA127" s="37">
        <v>45</v>
      </c>
      <c r="AB127" s="37">
        <v>40</v>
      </c>
      <c r="AC127" s="24">
        <f t="shared" si="9"/>
        <v>-0.4659999999999993</v>
      </c>
      <c r="AD127" s="25">
        <f t="shared" si="10"/>
        <v>7.1319999999999997</v>
      </c>
      <c r="AE127" s="23" t="str">
        <f t="shared" si="11"/>
        <v>Loss</v>
      </c>
      <c r="AF127" s="23" t="str">
        <f t="shared" si="12"/>
        <v>Win</v>
      </c>
      <c r="AG127" s="23" t="str">
        <f t="shared" si="13"/>
        <v>Loss</v>
      </c>
      <c r="AH127" s="23">
        <f t="shared" si="14"/>
        <v>-50</v>
      </c>
      <c r="AI127" s="23">
        <f t="shared" si="15"/>
        <v>100.5</v>
      </c>
      <c r="AJ127" s="23">
        <f t="shared" si="16"/>
        <v>-50</v>
      </c>
    </row>
    <row r="128" spans="1:36" x14ac:dyDescent="0.2">
      <c r="A128" s="36">
        <v>43602</v>
      </c>
      <c r="B128" s="37" t="s">
        <v>549</v>
      </c>
      <c r="C128" s="37" t="s">
        <v>550</v>
      </c>
      <c r="D128" s="37" t="s">
        <v>551</v>
      </c>
      <c r="E128" s="37" t="s">
        <v>552</v>
      </c>
      <c r="F128" s="37" t="s">
        <v>553</v>
      </c>
      <c r="G128" s="37" t="s">
        <v>146</v>
      </c>
      <c r="H128" s="37" t="s">
        <v>146</v>
      </c>
      <c r="I128" s="37">
        <v>1.18</v>
      </c>
      <c r="J128" s="37">
        <v>6.51</v>
      </c>
      <c r="K128" s="37">
        <v>8.5</v>
      </c>
      <c r="L128" s="37">
        <v>-7.32</v>
      </c>
      <c r="M128" s="37">
        <v>34</v>
      </c>
      <c r="N128" s="37">
        <v>32</v>
      </c>
      <c r="O128" s="37">
        <v>0</v>
      </c>
      <c r="P128" s="37">
        <v>17</v>
      </c>
      <c r="Q128" s="37">
        <v>16</v>
      </c>
      <c r="R128" s="37">
        <v>0</v>
      </c>
      <c r="S128" s="37">
        <v>0</v>
      </c>
      <c r="T128" s="37">
        <v>0</v>
      </c>
      <c r="U128" s="37">
        <v>29.41</v>
      </c>
      <c r="V128" s="37">
        <v>26.47</v>
      </c>
      <c r="W128" s="37">
        <v>44.12</v>
      </c>
      <c r="X128" s="37">
        <v>28.13</v>
      </c>
      <c r="Y128" s="37">
        <v>15.63</v>
      </c>
      <c r="Z128" s="37">
        <v>56.25</v>
      </c>
      <c r="AA128" s="37">
        <v>41.18</v>
      </c>
      <c r="AB128" s="37">
        <v>25</v>
      </c>
      <c r="AC128" s="24">
        <f t="shared" si="9"/>
        <v>3.766</v>
      </c>
      <c r="AD128" s="25">
        <f t="shared" si="10"/>
        <v>-3.766</v>
      </c>
      <c r="AE128" s="23" t="str">
        <f t="shared" si="11"/>
        <v>Loss</v>
      </c>
      <c r="AF128" s="23" t="str">
        <f t="shared" si="12"/>
        <v>Win</v>
      </c>
      <c r="AG128" s="23" t="str">
        <f t="shared" si="13"/>
        <v>Loss</v>
      </c>
      <c r="AH128" s="23">
        <f t="shared" si="14"/>
        <v>-50</v>
      </c>
      <c r="AI128" s="23">
        <f t="shared" si="15"/>
        <v>275.5</v>
      </c>
      <c r="AJ128" s="23">
        <f t="shared" si="16"/>
        <v>-50</v>
      </c>
    </row>
    <row r="129" spans="1:36" x14ac:dyDescent="0.2">
      <c r="A129" s="36">
        <v>43602</v>
      </c>
      <c r="B129" s="37" t="s">
        <v>549</v>
      </c>
      <c r="C129" s="37" t="s">
        <v>550</v>
      </c>
      <c r="D129" s="37" t="s">
        <v>554</v>
      </c>
      <c r="E129" s="37" t="s">
        <v>555</v>
      </c>
      <c r="F129" s="37" t="s">
        <v>556</v>
      </c>
      <c r="G129" s="37" t="s">
        <v>146</v>
      </c>
      <c r="H129" s="37" t="s">
        <v>146</v>
      </c>
      <c r="I129" s="37">
        <v>5.73</v>
      </c>
      <c r="J129" s="37">
        <v>4.6500000000000004</v>
      </c>
      <c r="K129" s="37">
        <v>1.38</v>
      </c>
      <c r="L129" s="37">
        <v>4.3499999999999996</v>
      </c>
      <c r="M129" s="37">
        <v>32</v>
      </c>
      <c r="N129" s="37">
        <v>26</v>
      </c>
      <c r="O129" s="37">
        <v>0</v>
      </c>
      <c r="P129" s="37">
        <v>16</v>
      </c>
      <c r="Q129" s="37">
        <v>12</v>
      </c>
      <c r="R129" s="37">
        <v>0</v>
      </c>
      <c r="S129" s="37">
        <v>0</v>
      </c>
      <c r="T129" s="37">
        <v>0</v>
      </c>
      <c r="U129" s="37">
        <v>25</v>
      </c>
      <c r="V129" s="37">
        <v>12.5</v>
      </c>
      <c r="W129" s="37">
        <v>62.5</v>
      </c>
      <c r="X129" s="37">
        <v>50</v>
      </c>
      <c r="Y129" s="37">
        <v>23.08</v>
      </c>
      <c r="Z129" s="37">
        <v>26.92</v>
      </c>
      <c r="AA129" s="37">
        <v>31.25</v>
      </c>
      <c r="AB129" s="37">
        <v>50</v>
      </c>
      <c r="AC129" s="24">
        <f t="shared" si="9"/>
        <v>-13.173999999999999</v>
      </c>
      <c r="AD129" s="25">
        <f t="shared" si="10"/>
        <v>13.173999999999999</v>
      </c>
      <c r="AE129" s="23" t="str">
        <f t="shared" si="11"/>
        <v>Loss</v>
      </c>
      <c r="AF129" s="23" t="str">
        <f t="shared" si="12"/>
        <v>Win</v>
      </c>
      <c r="AG129" s="23" t="str">
        <f t="shared" si="13"/>
        <v>Loss</v>
      </c>
      <c r="AH129" s="23">
        <f t="shared" si="14"/>
        <v>-50</v>
      </c>
      <c r="AI129" s="23">
        <f t="shared" si="15"/>
        <v>182.50000000000003</v>
      </c>
      <c r="AJ129" s="23">
        <f t="shared" si="16"/>
        <v>-50</v>
      </c>
    </row>
    <row r="130" spans="1:36" x14ac:dyDescent="0.2">
      <c r="A130" s="36">
        <v>43602</v>
      </c>
      <c r="B130" s="37" t="s">
        <v>549</v>
      </c>
      <c r="C130" s="37" t="s">
        <v>550</v>
      </c>
      <c r="D130" s="37" t="s">
        <v>557</v>
      </c>
      <c r="E130" s="37" t="s">
        <v>558</v>
      </c>
      <c r="F130" s="37" t="s">
        <v>559</v>
      </c>
      <c r="G130" s="37" t="s">
        <v>146</v>
      </c>
      <c r="H130" s="37" t="s">
        <v>146</v>
      </c>
      <c r="I130" s="37">
        <v>4.55</v>
      </c>
      <c r="J130" s="37">
        <v>4.42</v>
      </c>
      <c r="K130" s="37">
        <v>1.49</v>
      </c>
      <c r="L130" s="37">
        <v>3.06</v>
      </c>
      <c r="M130" s="37">
        <v>31</v>
      </c>
      <c r="N130" s="37">
        <v>32</v>
      </c>
      <c r="O130" s="37">
        <v>1</v>
      </c>
      <c r="P130" s="37">
        <v>16</v>
      </c>
      <c r="Q130" s="37">
        <v>17</v>
      </c>
      <c r="R130" s="37">
        <v>0</v>
      </c>
      <c r="S130" s="37">
        <v>0</v>
      </c>
      <c r="T130" s="37">
        <v>100</v>
      </c>
      <c r="U130" s="37">
        <v>29.03</v>
      </c>
      <c r="V130" s="37">
        <v>22.58</v>
      </c>
      <c r="W130" s="37">
        <v>48.39</v>
      </c>
      <c r="X130" s="37">
        <v>50</v>
      </c>
      <c r="Y130" s="37">
        <v>25</v>
      </c>
      <c r="Z130" s="37">
        <v>25</v>
      </c>
      <c r="AA130" s="37">
        <v>31.25</v>
      </c>
      <c r="AB130" s="37">
        <v>41.18</v>
      </c>
      <c r="AC130" s="24">
        <f t="shared" si="9"/>
        <v>-39.114000000000004</v>
      </c>
      <c r="AD130" s="25">
        <f t="shared" si="10"/>
        <v>39.114000000000004</v>
      </c>
      <c r="AE130" s="23" t="str">
        <f t="shared" si="11"/>
        <v>Loss</v>
      </c>
      <c r="AF130" s="23" t="str">
        <f t="shared" si="12"/>
        <v>Win</v>
      </c>
      <c r="AG130" s="23" t="str">
        <f t="shared" si="13"/>
        <v>Loss</v>
      </c>
      <c r="AH130" s="23">
        <f t="shared" si="14"/>
        <v>-50</v>
      </c>
      <c r="AI130" s="23">
        <f t="shared" si="15"/>
        <v>171</v>
      </c>
      <c r="AJ130" s="23">
        <f t="shared" si="16"/>
        <v>-50</v>
      </c>
    </row>
    <row r="131" spans="1:36" x14ac:dyDescent="0.2">
      <c r="A131" s="36">
        <v>43602</v>
      </c>
      <c r="B131" s="37" t="s">
        <v>549</v>
      </c>
      <c r="C131" s="37" t="s">
        <v>550</v>
      </c>
      <c r="D131" s="37" t="s">
        <v>560</v>
      </c>
      <c r="E131" s="37" t="s">
        <v>561</v>
      </c>
      <c r="F131" s="37" t="s">
        <v>562</v>
      </c>
      <c r="G131" s="37" t="s">
        <v>146</v>
      </c>
      <c r="H131" s="37" t="s">
        <v>146</v>
      </c>
      <c r="I131" s="37">
        <v>2.4</v>
      </c>
      <c r="J131" s="37">
        <v>3.55</v>
      </c>
      <c r="K131" s="37">
        <v>2.41</v>
      </c>
      <c r="L131" s="37">
        <v>-0.01</v>
      </c>
      <c r="M131" s="37">
        <v>31</v>
      </c>
      <c r="N131" s="37">
        <v>7</v>
      </c>
      <c r="O131" s="37">
        <v>0</v>
      </c>
      <c r="P131" s="37">
        <v>15</v>
      </c>
      <c r="Q131" s="37">
        <v>3</v>
      </c>
      <c r="R131" s="37">
        <v>0</v>
      </c>
      <c r="S131" s="37">
        <v>0</v>
      </c>
      <c r="T131" s="37">
        <v>0</v>
      </c>
      <c r="U131" s="37">
        <v>32.26</v>
      </c>
      <c r="V131" s="37">
        <v>19.350000000000001</v>
      </c>
      <c r="W131" s="37">
        <v>48.39</v>
      </c>
      <c r="X131" s="37">
        <v>42.86</v>
      </c>
      <c r="Y131" s="37">
        <v>28.57</v>
      </c>
      <c r="Z131" s="37">
        <v>28.57</v>
      </c>
      <c r="AA131" s="37">
        <v>20</v>
      </c>
      <c r="AB131" s="37">
        <v>33.33</v>
      </c>
      <c r="AC131" s="24">
        <f t="shared" si="9"/>
        <v>-7.006000000000002</v>
      </c>
      <c r="AD131" s="25">
        <f t="shared" si="10"/>
        <v>7.006000000000002</v>
      </c>
      <c r="AE131" s="23" t="str">
        <f t="shared" si="11"/>
        <v>Loss</v>
      </c>
      <c r="AF131" s="23" t="str">
        <f t="shared" si="12"/>
        <v>Win</v>
      </c>
      <c r="AG131" s="23" t="str">
        <f t="shared" si="13"/>
        <v>Loss</v>
      </c>
      <c r="AH131" s="23">
        <f t="shared" si="14"/>
        <v>-50</v>
      </c>
      <c r="AI131" s="23">
        <f t="shared" si="15"/>
        <v>127.5</v>
      </c>
      <c r="AJ131" s="23">
        <f t="shared" si="16"/>
        <v>-50</v>
      </c>
    </row>
    <row r="132" spans="1:36" x14ac:dyDescent="0.2">
      <c r="A132" s="36">
        <v>43602</v>
      </c>
      <c r="B132" s="37" t="s">
        <v>549</v>
      </c>
      <c r="C132" s="37" t="s">
        <v>563</v>
      </c>
      <c r="D132" s="37" t="s">
        <v>564</v>
      </c>
      <c r="E132" s="37" t="s">
        <v>565</v>
      </c>
      <c r="F132" s="37" t="s">
        <v>566</v>
      </c>
      <c r="G132" s="37" t="s">
        <v>146</v>
      </c>
      <c r="H132" s="37" t="s">
        <v>146</v>
      </c>
      <c r="I132" s="37">
        <v>2.5</v>
      </c>
      <c r="J132" s="37">
        <v>3.57</v>
      </c>
      <c r="K132" s="37">
        <v>2.2999999999999998</v>
      </c>
      <c r="L132" s="37">
        <v>0.2</v>
      </c>
      <c r="M132" s="37">
        <v>60</v>
      </c>
      <c r="N132" s="37">
        <v>59</v>
      </c>
      <c r="O132" s="37">
        <v>4</v>
      </c>
      <c r="P132" s="37">
        <v>31</v>
      </c>
      <c r="Q132" s="37">
        <v>30</v>
      </c>
      <c r="R132" s="37">
        <v>25</v>
      </c>
      <c r="S132" s="37">
        <v>25</v>
      </c>
      <c r="T132" s="37">
        <v>50</v>
      </c>
      <c r="U132" s="37">
        <v>36.67</v>
      </c>
      <c r="V132" s="37">
        <v>23.33</v>
      </c>
      <c r="W132" s="37">
        <v>40</v>
      </c>
      <c r="X132" s="37">
        <v>37.29</v>
      </c>
      <c r="Y132" s="37">
        <v>33.9</v>
      </c>
      <c r="Z132" s="37">
        <v>28.81</v>
      </c>
      <c r="AA132" s="37">
        <v>48.39</v>
      </c>
      <c r="AB132" s="37">
        <v>30</v>
      </c>
      <c r="AC132" s="24">
        <f t="shared" si="9"/>
        <v>-8.4190000000000005</v>
      </c>
      <c r="AD132" s="25">
        <f t="shared" si="10"/>
        <v>13.419</v>
      </c>
      <c r="AE132" s="23" t="str">
        <f t="shared" si="11"/>
        <v>Loss</v>
      </c>
      <c r="AF132" s="23" t="str">
        <f t="shared" si="12"/>
        <v>Win</v>
      </c>
      <c r="AG132" s="23" t="str">
        <f t="shared" si="13"/>
        <v>Loss</v>
      </c>
      <c r="AH132" s="23">
        <f t="shared" si="14"/>
        <v>-50</v>
      </c>
      <c r="AI132" s="23">
        <f t="shared" si="15"/>
        <v>128.5</v>
      </c>
      <c r="AJ132" s="23">
        <f t="shared" si="16"/>
        <v>-50</v>
      </c>
    </row>
    <row r="133" spans="1:36" x14ac:dyDescent="0.2">
      <c r="A133" s="36">
        <v>43602</v>
      </c>
      <c r="B133" s="37" t="s">
        <v>398</v>
      </c>
      <c r="C133" s="37" t="s">
        <v>567</v>
      </c>
      <c r="D133" s="37" t="s">
        <v>568</v>
      </c>
      <c r="E133" s="37" t="s">
        <v>569</v>
      </c>
      <c r="F133" s="37" t="s">
        <v>570</v>
      </c>
      <c r="G133" s="37" t="s">
        <v>146</v>
      </c>
      <c r="H133" s="37" t="s">
        <v>146</v>
      </c>
      <c r="I133" s="37">
        <v>3.91</v>
      </c>
      <c r="J133" s="37">
        <v>3.68</v>
      </c>
      <c r="K133" s="37">
        <v>1.84</v>
      </c>
      <c r="L133" s="37">
        <v>2.0699999999999998</v>
      </c>
      <c r="M133" s="37">
        <v>29</v>
      </c>
      <c r="N133" s="37">
        <v>29</v>
      </c>
      <c r="O133" s="37">
        <v>1</v>
      </c>
      <c r="P133" s="37">
        <v>14</v>
      </c>
      <c r="Q133" s="37">
        <v>15</v>
      </c>
      <c r="R133" s="37">
        <v>0</v>
      </c>
      <c r="S133" s="37">
        <v>0</v>
      </c>
      <c r="T133" s="37">
        <v>100</v>
      </c>
      <c r="U133" s="37">
        <v>48.28</v>
      </c>
      <c r="V133" s="37">
        <v>24.14</v>
      </c>
      <c r="W133" s="37">
        <v>27.59</v>
      </c>
      <c r="X133" s="37">
        <v>62.07</v>
      </c>
      <c r="Y133" s="37">
        <v>24.14</v>
      </c>
      <c r="Z133" s="37">
        <v>13.79</v>
      </c>
      <c r="AA133" s="37">
        <v>50</v>
      </c>
      <c r="AB133" s="37">
        <v>60</v>
      </c>
      <c r="AC133" s="24">
        <f t="shared" si="9"/>
        <v>-35.518000000000001</v>
      </c>
      <c r="AD133" s="25">
        <f t="shared" si="10"/>
        <v>35.518000000000001</v>
      </c>
      <c r="AE133" s="23" t="str">
        <f t="shared" si="11"/>
        <v>Loss</v>
      </c>
      <c r="AF133" s="23" t="str">
        <f t="shared" si="12"/>
        <v>Win</v>
      </c>
      <c r="AG133" s="23" t="str">
        <f t="shared" si="13"/>
        <v>Loss</v>
      </c>
      <c r="AH133" s="23">
        <f t="shared" si="14"/>
        <v>-50</v>
      </c>
      <c r="AI133" s="23">
        <f t="shared" si="15"/>
        <v>134</v>
      </c>
      <c r="AJ133" s="23">
        <f t="shared" si="16"/>
        <v>-50</v>
      </c>
    </row>
    <row r="134" spans="1:36" x14ac:dyDescent="0.2">
      <c r="A134" s="36">
        <v>43602</v>
      </c>
      <c r="B134" s="37" t="s">
        <v>398</v>
      </c>
      <c r="C134" s="37" t="s">
        <v>567</v>
      </c>
      <c r="D134" s="37" t="s">
        <v>571</v>
      </c>
      <c r="E134" s="37" t="s">
        <v>572</v>
      </c>
      <c r="F134" s="37" t="s">
        <v>573</v>
      </c>
      <c r="G134" s="37" t="s">
        <v>146</v>
      </c>
      <c r="H134" s="37" t="s">
        <v>146</v>
      </c>
      <c r="I134" s="37">
        <v>2.08</v>
      </c>
      <c r="J134" s="37">
        <v>3.67</v>
      </c>
      <c r="K134" s="37">
        <v>3.12</v>
      </c>
      <c r="L134" s="37">
        <v>-1.04</v>
      </c>
      <c r="M134" s="37">
        <v>27</v>
      </c>
      <c r="N134" s="37">
        <v>26</v>
      </c>
      <c r="O134" s="37">
        <v>1</v>
      </c>
      <c r="P134" s="37">
        <v>13</v>
      </c>
      <c r="Q134" s="37">
        <v>13</v>
      </c>
      <c r="R134" s="37">
        <v>100</v>
      </c>
      <c r="S134" s="37">
        <v>0</v>
      </c>
      <c r="T134" s="37">
        <v>0</v>
      </c>
      <c r="U134" s="37">
        <v>44.44</v>
      </c>
      <c r="V134" s="37">
        <v>7.41</v>
      </c>
      <c r="W134" s="37">
        <v>48.15</v>
      </c>
      <c r="X134" s="37">
        <v>23.08</v>
      </c>
      <c r="Y134" s="37">
        <v>26.92</v>
      </c>
      <c r="Z134" s="37">
        <v>50</v>
      </c>
      <c r="AA134" s="37">
        <v>38.46</v>
      </c>
      <c r="AB134" s="37">
        <v>15.38</v>
      </c>
      <c r="AC134" s="24">
        <f t="shared" si="9"/>
        <v>32.690999999999995</v>
      </c>
      <c r="AD134" s="25">
        <f t="shared" si="10"/>
        <v>-32.690999999999995</v>
      </c>
      <c r="AE134" s="23" t="str">
        <f t="shared" si="11"/>
        <v>Loss</v>
      </c>
      <c r="AF134" s="23" t="str">
        <f t="shared" si="12"/>
        <v>Win</v>
      </c>
      <c r="AG134" s="23" t="str">
        <f t="shared" si="13"/>
        <v>Loss</v>
      </c>
      <c r="AH134" s="23">
        <f t="shared" si="14"/>
        <v>-50</v>
      </c>
      <c r="AI134" s="23">
        <f t="shared" si="15"/>
        <v>133.5</v>
      </c>
      <c r="AJ134" s="23">
        <f t="shared" si="16"/>
        <v>-50</v>
      </c>
    </row>
    <row r="135" spans="1:36" x14ac:dyDescent="0.2">
      <c r="A135" s="36">
        <v>43602</v>
      </c>
      <c r="B135" s="37" t="s">
        <v>398</v>
      </c>
      <c r="C135" s="37" t="s">
        <v>567</v>
      </c>
      <c r="D135" s="37" t="s">
        <v>574</v>
      </c>
      <c r="E135" s="37" t="s">
        <v>575</v>
      </c>
      <c r="F135" s="37" t="s">
        <v>576</v>
      </c>
      <c r="G135" s="37" t="s">
        <v>146</v>
      </c>
      <c r="H135" s="37" t="s">
        <v>146</v>
      </c>
      <c r="I135" s="37">
        <v>2.1</v>
      </c>
      <c r="J135" s="37">
        <v>3.52</v>
      </c>
      <c r="K135" s="37">
        <v>3.19</v>
      </c>
      <c r="L135" s="37">
        <v>-1.0900000000000001</v>
      </c>
      <c r="M135" s="37">
        <v>30</v>
      </c>
      <c r="N135" s="37">
        <v>29</v>
      </c>
      <c r="O135" s="37">
        <v>1</v>
      </c>
      <c r="P135" s="37">
        <v>14</v>
      </c>
      <c r="Q135" s="37">
        <v>16</v>
      </c>
      <c r="R135" s="37">
        <v>0</v>
      </c>
      <c r="S135" s="37">
        <v>0</v>
      </c>
      <c r="T135" s="37">
        <v>100</v>
      </c>
      <c r="U135" s="37">
        <v>46.67</v>
      </c>
      <c r="V135" s="37">
        <v>20</v>
      </c>
      <c r="W135" s="37">
        <v>33.33</v>
      </c>
      <c r="X135" s="37">
        <v>48.28</v>
      </c>
      <c r="Y135" s="37">
        <v>17.239999999999998</v>
      </c>
      <c r="Z135" s="37">
        <v>34.479999999999997</v>
      </c>
      <c r="AA135" s="37">
        <v>42.86</v>
      </c>
      <c r="AB135" s="37">
        <v>37.5</v>
      </c>
      <c r="AC135" s="24">
        <f t="shared" si="9"/>
        <v>-29.815999999999995</v>
      </c>
      <c r="AD135" s="25">
        <f t="shared" si="10"/>
        <v>29.815999999999995</v>
      </c>
      <c r="AE135" s="23" t="str">
        <f t="shared" si="11"/>
        <v>Loss</v>
      </c>
      <c r="AF135" s="23" t="str">
        <f t="shared" si="12"/>
        <v>Win</v>
      </c>
      <c r="AG135" s="23" t="str">
        <f t="shared" si="13"/>
        <v>Loss</v>
      </c>
      <c r="AH135" s="23">
        <f t="shared" si="14"/>
        <v>-50</v>
      </c>
      <c r="AI135" s="23">
        <f t="shared" si="15"/>
        <v>126</v>
      </c>
      <c r="AJ135" s="23">
        <f t="shared" si="16"/>
        <v>-50</v>
      </c>
    </row>
    <row r="136" spans="1:36" x14ac:dyDescent="0.2">
      <c r="A136" s="36">
        <v>43602</v>
      </c>
      <c r="B136" s="37" t="s">
        <v>398</v>
      </c>
      <c r="C136" s="37" t="s">
        <v>567</v>
      </c>
      <c r="D136" s="37" t="s">
        <v>577</v>
      </c>
      <c r="E136" s="37" t="s">
        <v>578</v>
      </c>
      <c r="F136" s="37" t="s">
        <v>579</v>
      </c>
      <c r="G136" s="37" t="s">
        <v>146</v>
      </c>
      <c r="H136" s="37" t="s">
        <v>146</v>
      </c>
      <c r="I136" s="37">
        <v>1.87</v>
      </c>
      <c r="J136" s="37">
        <v>3.8</v>
      </c>
      <c r="K136" s="37">
        <v>3.65</v>
      </c>
      <c r="L136" s="37">
        <v>-1.78</v>
      </c>
      <c r="M136" s="37">
        <v>26</v>
      </c>
      <c r="N136" s="37">
        <v>28</v>
      </c>
      <c r="O136" s="37">
        <v>1</v>
      </c>
      <c r="P136" s="37">
        <v>13</v>
      </c>
      <c r="Q136" s="37">
        <v>14</v>
      </c>
      <c r="R136" s="37">
        <v>0</v>
      </c>
      <c r="S136" s="37">
        <v>100</v>
      </c>
      <c r="T136" s="37">
        <v>0</v>
      </c>
      <c r="U136" s="37">
        <v>38.46</v>
      </c>
      <c r="V136" s="37">
        <v>34.619999999999997</v>
      </c>
      <c r="W136" s="37">
        <v>26.92</v>
      </c>
      <c r="X136" s="37">
        <v>25</v>
      </c>
      <c r="Y136" s="37">
        <v>21.43</v>
      </c>
      <c r="Z136" s="37">
        <v>53.57</v>
      </c>
      <c r="AA136" s="37">
        <v>38.46</v>
      </c>
      <c r="AB136" s="37">
        <v>21.43</v>
      </c>
      <c r="AC136" s="24">
        <f t="shared" si="9"/>
        <v>19.341000000000001</v>
      </c>
      <c r="AD136" s="25">
        <f t="shared" si="10"/>
        <v>0.6590000000000007</v>
      </c>
      <c r="AE136" s="23" t="str">
        <f t="shared" si="11"/>
        <v>Loss</v>
      </c>
      <c r="AF136" s="23" t="str">
        <f t="shared" si="12"/>
        <v>Win</v>
      </c>
      <c r="AG136" s="23" t="str">
        <f t="shared" si="13"/>
        <v>Loss</v>
      </c>
      <c r="AH136" s="23">
        <f t="shared" si="14"/>
        <v>-50</v>
      </c>
      <c r="AI136" s="23">
        <f t="shared" si="15"/>
        <v>140</v>
      </c>
      <c r="AJ136" s="23">
        <f t="shared" si="16"/>
        <v>-50</v>
      </c>
    </row>
    <row r="137" spans="1:36" x14ac:dyDescent="0.2">
      <c r="A137" s="36">
        <v>43602</v>
      </c>
      <c r="B137" s="37" t="s">
        <v>398</v>
      </c>
      <c r="C137" s="37" t="s">
        <v>567</v>
      </c>
      <c r="D137" s="37" t="s">
        <v>580</v>
      </c>
      <c r="E137" s="37" t="s">
        <v>581</v>
      </c>
      <c r="F137" s="37" t="s">
        <v>582</v>
      </c>
      <c r="G137" s="37" t="s">
        <v>146</v>
      </c>
      <c r="H137" s="37" t="s">
        <v>146</v>
      </c>
      <c r="I137" s="37">
        <v>2.2799999999999998</v>
      </c>
      <c r="J137" s="37">
        <v>3.29</v>
      </c>
      <c r="K137" s="37">
        <v>3.03</v>
      </c>
      <c r="L137" s="37">
        <v>-0.75</v>
      </c>
      <c r="M137" s="37">
        <v>30</v>
      </c>
      <c r="N137" s="37">
        <v>29</v>
      </c>
      <c r="O137" s="37">
        <v>1</v>
      </c>
      <c r="P137" s="37">
        <v>14</v>
      </c>
      <c r="Q137" s="37">
        <v>15</v>
      </c>
      <c r="R137" s="37">
        <v>0</v>
      </c>
      <c r="S137" s="37">
        <v>100</v>
      </c>
      <c r="T137" s="37">
        <v>0</v>
      </c>
      <c r="U137" s="37">
        <v>30</v>
      </c>
      <c r="V137" s="37">
        <v>40</v>
      </c>
      <c r="W137" s="37">
        <v>30</v>
      </c>
      <c r="X137" s="37">
        <v>31.03</v>
      </c>
      <c r="Y137" s="37">
        <v>27.59</v>
      </c>
      <c r="Z137" s="37">
        <v>41.38</v>
      </c>
      <c r="AA137" s="37">
        <v>35.71</v>
      </c>
      <c r="AB137" s="37">
        <v>46.67</v>
      </c>
      <c r="AC137" s="24">
        <f t="shared" si="9"/>
        <v>13.311</v>
      </c>
      <c r="AD137" s="25">
        <f t="shared" si="10"/>
        <v>6.6889999999999983</v>
      </c>
      <c r="AE137" s="23" t="str">
        <f t="shared" si="11"/>
        <v>Loss</v>
      </c>
      <c r="AF137" s="23" t="str">
        <f t="shared" si="12"/>
        <v>Win</v>
      </c>
      <c r="AG137" s="23" t="str">
        <f t="shared" si="13"/>
        <v>Loss</v>
      </c>
      <c r="AH137" s="23">
        <f t="shared" si="14"/>
        <v>-50</v>
      </c>
      <c r="AI137" s="23">
        <f t="shared" si="15"/>
        <v>114.5</v>
      </c>
      <c r="AJ137" s="23">
        <f t="shared" si="16"/>
        <v>-50</v>
      </c>
    </row>
    <row r="138" spans="1:36" x14ac:dyDescent="0.2">
      <c r="A138" s="36">
        <v>43602</v>
      </c>
      <c r="B138" s="37" t="s">
        <v>398</v>
      </c>
      <c r="C138" s="37" t="s">
        <v>567</v>
      </c>
      <c r="D138" s="37" t="s">
        <v>583</v>
      </c>
      <c r="E138" s="37" t="s">
        <v>584</v>
      </c>
      <c r="F138" s="37" t="s">
        <v>585</v>
      </c>
      <c r="G138" s="37" t="s">
        <v>146</v>
      </c>
      <c r="H138" s="37" t="s">
        <v>146</v>
      </c>
      <c r="I138" s="37">
        <v>1.7</v>
      </c>
      <c r="J138" s="37">
        <v>4.09</v>
      </c>
      <c r="K138" s="37">
        <v>4.12</v>
      </c>
      <c r="L138" s="37">
        <v>-2.42</v>
      </c>
      <c r="M138" s="37">
        <v>26</v>
      </c>
      <c r="N138" s="37">
        <v>28</v>
      </c>
      <c r="O138" s="37">
        <v>1</v>
      </c>
      <c r="P138" s="37">
        <v>13</v>
      </c>
      <c r="Q138" s="37">
        <v>15</v>
      </c>
      <c r="R138" s="37">
        <v>0</v>
      </c>
      <c r="S138" s="37">
        <v>0</v>
      </c>
      <c r="T138" s="37">
        <v>100</v>
      </c>
      <c r="U138" s="37">
        <v>46.15</v>
      </c>
      <c r="V138" s="37">
        <v>7.69</v>
      </c>
      <c r="W138" s="37">
        <v>46.15</v>
      </c>
      <c r="X138" s="37">
        <v>21.43</v>
      </c>
      <c r="Y138" s="37">
        <v>21.43</v>
      </c>
      <c r="Z138" s="37">
        <v>57.14</v>
      </c>
      <c r="AA138" s="37">
        <v>61.54</v>
      </c>
      <c r="AB138" s="37">
        <v>20</v>
      </c>
      <c r="AC138" s="24">
        <f t="shared" si="9"/>
        <v>-24.231999999999996</v>
      </c>
      <c r="AD138" s="25">
        <f t="shared" si="10"/>
        <v>24.231999999999996</v>
      </c>
      <c r="AE138" s="23" t="str">
        <f t="shared" si="11"/>
        <v>Loss</v>
      </c>
      <c r="AF138" s="23" t="str">
        <f t="shared" si="12"/>
        <v>Win</v>
      </c>
      <c r="AG138" s="23" t="str">
        <f t="shared" si="13"/>
        <v>Loss</v>
      </c>
      <c r="AH138" s="23">
        <f t="shared" si="14"/>
        <v>-50</v>
      </c>
      <c r="AI138" s="23">
        <f t="shared" si="15"/>
        <v>154.5</v>
      </c>
      <c r="AJ138" s="23">
        <f t="shared" si="16"/>
        <v>-50</v>
      </c>
    </row>
    <row r="139" spans="1:36" x14ac:dyDescent="0.2">
      <c r="A139" s="36">
        <v>43602</v>
      </c>
      <c r="B139" s="37" t="s">
        <v>398</v>
      </c>
      <c r="C139" s="37" t="s">
        <v>567</v>
      </c>
      <c r="D139" s="37" t="s">
        <v>586</v>
      </c>
      <c r="E139" s="37" t="s">
        <v>587</v>
      </c>
      <c r="F139" s="37" t="s">
        <v>588</v>
      </c>
      <c r="G139" s="37" t="s">
        <v>146</v>
      </c>
      <c r="H139" s="37" t="s">
        <v>146</v>
      </c>
      <c r="I139" s="37">
        <v>3.11</v>
      </c>
      <c r="J139" s="37">
        <v>3.54</v>
      </c>
      <c r="K139" s="37">
        <v>2.12</v>
      </c>
      <c r="L139" s="37">
        <v>0.99</v>
      </c>
      <c r="M139" s="37">
        <v>29</v>
      </c>
      <c r="N139" s="37">
        <v>26</v>
      </c>
      <c r="O139" s="37">
        <v>1</v>
      </c>
      <c r="P139" s="37">
        <v>13</v>
      </c>
      <c r="Q139" s="37">
        <v>13</v>
      </c>
      <c r="R139" s="37">
        <v>100</v>
      </c>
      <c r="S139" s="37">
        <v>0</v>
      </c>
      <c r="T139" s="37">
        <v>0</v>
      </c>
      <c r="U139" s="37">
        <v>34.479999999999997</v>
      </c>
      <c r="V139" s="37">
        <v>27.59</v>
      </c>
      <c r="W139" s="37">
        <v>37.93</v>
      </c>
      <c r="X139" s="37">
        <v>38.46</v>
      </c>
      <c r="Y139" s="37">
        <v>11.54</v>
      </c>
      <c r="Z139" s="37">
        <v>50</v>
      </c>
      <c r="AA139" s="37">
        <v>23.08</v>
      </c>
      <c r="AB139" s="37">
        <v>30.77</v>
      </c>
      <c r="AC139" s="24">
        <f t="shared" ref="AC139:AC188" si="17">(+R139*$R$8)+(S139*$S$8)-(T139*$T$8)+(U139*$U$8)+(V139*$V$8)-(W139*$W$8)-(X139*$X$8)-(Y139*$Y$8)+(Z139*$Z$8)</f>
        <v>33.222999999999999</v>
      </c>
      <c r="AD139" s="25">
        <f t="shared" ref="AD139:AD188" si="18">(-R139*$R$8)+(S139*$S$8)+(T139*$T$8)-(U139*$U$8)-(V139*$V$8)+(W139*$W$8)+(X139*$X$8)+(Y139*$Y$8)-(Z139*$Z$8)</f>
        <v>-33.222999999999999</v>
      </c>
      <c r="AE139" s="23" t="str">
        <f t="shared" ref="AE139:AE188" si="19">IF(G139&gt;H139,"Win","Loss")</f>
        <v>Loss</v>
      </c>
      <c r="AF139" s="23" t="str">
        <f t="shared" ref="AF139:AF188" si="20">IF(G139=H139,"Win","Loss")</f>
        <v>Win</v>
      </c>
      <c r="AG139" s="23" t="str">
        <f t="shared" ref="AG139:AG188" si="21">IF(G139&lt;H139,"Win","Loss")</f>
        <v>Loss</v>
      </c>
      <c r="AH139" s="23">
        <f t="shared" ref="AH139:AH188" si="22">IF(AE139="Win",(I139*$B$2)-$B$2,-$B$2)</f>
        <v>-50</v>
      </c>
      <c r="AI139" s="23">
        <f t="shared" ref="AI139:AI188" si="23">IF(AF139="Win",(J139*$B$2)-$B$2,-$B$2)</f>
        <v>127</v>
      </c>
      <c r="AJ139" s="23">
        <f t="shared" ref="AJ139:AJ188" si="24">IF(AG139="Win",(K139*$B$2)-$B$2,-$B$2)</f>
        <v>-50</v>
      </c>
    </row>
    <row r="140" spans="1:36" x14ac:dyDescent="0.2">
      <c r="A140" s="36">
        <v>43602</v>
      </c>
      <c r="B140" s="37" t="s">
        <v>398</v>
      </c>
      <c r="C140" s="37" t="s">
        <v>428</v>
      </c>
      <c r="D140" s="37" t="s">
        <v>589</v>
      </c>
      <c r="E140" s="37" t="s">
        <v>590</v>
      </c>
      <c r="F140" s="37" t="s">
        <v>591</v>
      </c>
      <c r="G140" s="37" t="s">
        <v>146</v>
      </c>
      <c r="H140" s="37" t="s">
        <v>146</v>
      </c>
      <c r="I140" s="37">
        <v>1.86</v>
      </c>
      <c r="J140" s="37">
        <v>3.68</v>
      </c>
      <c r="K140" s="37">
        <v>3.38</v>
      </c>
      <c r="L140" s="37">
        <v>-1.52</v>
      </c>
      <c r="M140" s="37">
        <v>22</v>
      </c>
      <c r="N140" s="37">
        <v>20</v>
      </c>
      <c r="O140" s="37">
        <v>0</v>
      </c>
      <c r="P140" s="37">
        <v>11</v>
      </c>
      <c r="Q140" s="37">
        <v>9</v>
      </c>
      <c r="R140" s="37">
        <v>0</v>
      </c>
      <c r="S140" s="37">
        <v>0</v>
      </c>
      <c r="T140" s="37">
        <v>0</v>
      </c>
      <c r="U140" s="37">
        <v>50</v>
      </c>
      <c r="V140" s="37">
        <v>22.73</v>
      </c>
      <c r="W140" s="37">
        <v>27.27</v>
      </c>
      <c r="X140" s="37">
        <v>55</v>
      </c>
      <c r="Y140" s="37">
        <v>10</v>
      </c>
      <c r="Z140" s="37">
        <v>35</v>
      </c>
      <c r="AA140" s="37">
        <v>54.55</v>
      </c>
      <c r="AB140" s="37">
        <v>33.33</v>
      </c>
      <c r="AC140" s="24">
        <f t="shared" si="17"/>
        <v>1.8189999999999991</v>
      </c>
      <c r="AD140" s="25">
        <f t="shared" si="18"/>
        <v>-1.8189999999999991</v>
      </c>
      <c r="AE140" s="23" t="str">
        <f t="shared" si="19"/>
        <v>Loss</v>
      </c>
      <c r="AF140" s="23" t="str">
        <f t="shared" si="20"/>
        <v>Win</v>
      </c>
      <c r="AG140" s="23" t="str">
        <f t="shared" si="21"/>
        <v>Loss</v>
      </c>
      <c r="AH140" s="23">
        <f t="shared" si="22"/>
        <v>-50</v>
      </c>
      <c r="AI140" s="23">
        <f t="shared" si="23"/>
        <v>134</v>
      </c>
      <c r="AJ140" s="23">
        <f t="shared" si="24"/>
        <v>-50</v>
      </c>
    </row>
    <row r="141" spans="1:36" x14ac:dyDescent="0.2">
      <c r="A141" s="36">
        <v>43602</v>
      </c>
      <c r="B141" s="37" t="s">
        <v>398</v>
      </c>
      <c r="C141" s="37" t="s">
        <v>428</v>
      </c>
      <c r="D141" s="37" t="s">
        <v>592</v>
      </c>
      <c r="E141" s="37" t="s">
        <v>593</v>
      </c>
      <c r="F141" s="37" t="s">
        <v>594</v>
      </c>
      <c r="G141" s="37" t="s">
        <v>146</v>
      </c>
      <c r="H141" s="37" t="s">
        <v>146</v>
      </c>
      <c r="I141" s="37">
        <v>2.63</v>
      </c>
      <c r="J141" s="37">
        <v>3.51</v>
      </c>
      <c r="K141" s="37">
        <v>2.2999999999999998</v>
      </c>
      <c r="L141" s="37">
        <v>0.33</v>
      </c>
      <c r="M141" s="37">
        <v>22</v>
      </c>
      <c r="N141" s="37">
        <v>21</v>
      </c>
      <c r="O141" s="37">
        <v>1</v>
      </c>
      <c r="P141" s="37">
        <v>10</v>
      </c>
      <c r="Q141" s="37">
        <v>11</v>
      </c>
      <c r="R141" s="37">
        <v>0</v>
      </c>
      <c r="S141" s="37">
        <v>100</v>
      </c>
      <c r="T141" s="37">
        <v>0</v>
      </c>
      <c r="U141" s="37">
        <v>50</v>
      </c>
      <c r="V141" s="37">
        <v>22.73</v>
      </c>
      <c r="W141" s="37">
        <v>27.27</v>
      </c>
      <c r="X141" s="37">
        <v>61.9</v>
      </c>
      <c r="Y141" s="37">
        <v>14.29</v>
      </c>
      <c r="Z141" s="37">
        <v>23.81</v>
      </c>
      <c r="AA141" s="37">
        <v>40</v>
      </c>
      <c r="AB141" s="37">
        <v>45.45</v>
      </c>
      <c r="AC141" s="24">
        <f t="shared" si="17"/>
        <v>7.7719999999999976</v>
      </c>
      <c r="AD141" s="25">
        <f t="shared" si="18"/>
        <v>12.228000000000002</v>
      </c>
      <c r="AE141" s="23" t="str">
        <f t="shared" si="19"/>
        <v>Loss</v>
      </c>
      <c r="AF141" s="23" t="str">
        <f t="shared" si="20"/>
        <v>Win</v>
      </c>
      <c r="AG141" s="23" t="str">
        <f t="shared" si="21"/>
        <v>Loss</v>
      </c>
      <c r="AH141" s="23">
        <f t="shared" si="22"/>
        <v>-50</v>
      </c>
      <c r="AI141" s="23">
        <f t="shared" si="23"/>
        <v>125.5</v>
      </c>
      <c r="AJ141" s="23">
        <f t="shared" si="24"/>
        <v>-50</v>
      </c>
    </row>
    <row r="142" spans="1:36" x14ac:dyDescent="0.2">
      <c r="A142" s="36">
        <v>43602</v>
      </c>
      <c r="B142" s="37" t="s">
        <v>461</v>
      </c>
      <c r="C142" s="37" t="s">
        <v>595</v>
      </c>
      <c r="D142" s="37" t="s">
        <v>596</v>
      </c>
      <c r="E142" s="37" t="s">
        <v>597</v>
      </c>
      <c r="F142" s="37" t="s">
        <v>598</v>
      </c>
      <c r="G142" s="37" t="s">
        <v>146</v>
      </c>
      <c r="H142" s="37" t="s">
        <v>146</v>
      </c>
      <c r="I142" s="37">
        <v>1.34</v>
      </c>
      <c r="J142" s="37">
        <v>4.91</v>
      </c>
      <c r="K142" s="37">
        <v>5.77</v>
      </c>
      <c r="L142" s="37">
        <v>-4.43</v>
      </c>
      <c r="M142" s="37">
        <v>24</v>
      </c>
      <c r="N142" s="37">
        <v>23</v>
      </c>
      <c r="O142" s="37">
        <v>1</v>
      </c>
      <c r="P142" s="37">
        <v>11</v>
      </c>
      <c r="Q142" s="37">
        <v>10</v>
      </c>
      <c r="R142" s="37">
        <v>100</v>
      </c>
      <c r="S142" s="37">
        <v>0</v>
      </c>
      <c r="T142" s="37">
        <v>0</v>
      </c>
      <c r="U142" s="37">
        <v>58.33</v>
      </c>
      <c r="V142" s="37">
        <v>25</v>
      </c>
      <c r="W142" s="37">
        <v>16.670000000000002</v>
      </c>
      <c r="X142" s="37">
        <v>17.39</v>
      </c>
      <c r="Y142" s="37">
        <v>39.130000000000003</v>
      </c>
      <c r="Z142" s="37">
        <v>43.48</v>
      </c>
      <c r="AA142" s="37">
        <v>72.73</v>
      </c>
      <c r="AB142" s="37">
        <v>10</v>
      </c>
      <c r="AC142" s="24">
        <f t="shared" si="17"/>
        <v>42.136999999999986</v>
      </c>
      <c r="AD142" s="25">
        <f t="shared" si="18"/>
        <v>-42.136999999999986</v>
      </c>
      <c r="AE142" s="23" t="str">
        <f t="shared" si="19"/>
        <v>Loss</v>
      </c>
      <c r="AF142" s="23" t="str">
        <f t="shared" si="20"/>
        <v>Win</v>
      </c>
      <c r="AG142" s="23" t="str">
        <f t="shared" si="21"/>
        <v>Loss</v>
      </c>
      <c r="AH142" s="23">
        <f t="shared" si="22"/>
        <v>-50</v>
      </c>
      <c r="AI142" s="23">
        <f t="shared" si="23"/>
        <v>195.5</v>
      </c>
      <c r="AJ142" s="23">
        <f t="shared" si="24"/>
        <v>-50</v>
      </c>
    </row>
    <row r="143" spans="1:36" x14ac:dyDescent="0.2">
      <c r="A143" s="36">
        <v>43602</v>
      </c>
      <c r="B143" s="37" t="s">
        <v>461</v>
      </c>
      <c r="C143" s="37" t="s">
        <v>599</v>
      </c>
      <c r="D143" s="37" t="s">
        <v>600</v>
      </c>
      <c r="E143" s="37" t="s">
        <v>601</v>
      </c>
      <c r="F143" s="37" t="s">
        <v>602</v>
      </c>
      <c r="G143" s="37" t="s">
        <v>146</v>
      </c>
      <c r="H143" s="37" t="s">
        <v>146</v>
      </c>
      <c r="I143" s="37">
        <v>1.58</v>
      </c>
      <c r="J143" s="37">
        <v>4.16</v>
      </c>
      <c r="K143" s="37">
        <v>4.71</v>
      </c>
      <c r="L143" s="37">
        <v>-3.13</v>
      </c>
      <c r="M143" s="37">
        <v>33</v>
      </c>
      <c r="N143" s="37">
        <v>36</v>
      </c>
      <c r="O143" s="37">
        <v>1</v>
      </c>
      <c r="P143" s="37">
        <v>16</v>
      </c>
      <c r="Q143" s="37">
        <v>17</v>
      </c>
      <c r="R143" s="37">
        <v>0</v>
      </c>
      <c r="S143" s="37">
        <v>0</v>
      </c>
      <c r="T143" s="37">
        <v>100</v>
      </c>
      <c r="U143" s="37">
        <v>51.52</v>
      </c>
      <c r="V143" s="37">
        <v>21.21</v>
      </c>
      <c r="W143" s="37">
        <v>27.27</v>
      </c>
      <c r="X143" s="37">
        <v>38.89</v>
      </c>
      <c r="Y143" s="37">
        <v>27.78</v>
      </c>
      <c r="Z143" s="37">
        <v>33.33</v>
      </c>
      <c r="AA143" s="37">
        <v>56.25</v>
      </c>
      <c r="AB143" s="37">
        <v>23.53</v>
      </c>
      <c r="AC143" s="24">
        <f t="shared" si="17"/>
        <v>-26.919</v>
      </c>
      <c r="AD143" s="25">
        <f t="shared" si="18"/>
        <v>26.919</v>
      </c>
      <c r="AE143" s="23" t="str">
        <f t="shared" si="19"/>
        <v>Loss</v>
      </c>
      <c r="AF143" s="23" t="str">
        <f t="shared" si="20"/>
        <v>Win</v>
      </c>
      <c r="AG143" s="23" t="str">
        <f t="shared" si="21"/>
        <v>Loss</v>
      </c>
      <c r="AH143" s="23">
        <f t="shared" si="22"/>
        <v>-50</v>
      </c>
      <c r="AI143" s="23">
        <f t="shared" si="23"/>
        <v>158</v>
      </c>
      <c r="AJ143" s="23">
        <f t="shared" si="24"/>
        <v>-50</v>
      </c>
    </row>
    <row r="144" spans="1:36" x14ac:dyDescent="0.2">
      <c r="A144" s="36">
        <v>43602</v>
      </c>
      <c r="B144" s="37" t="s">
        <v>549</v>
      </c>
      <c r="C144" s="37" t="s">
        <v>603</v>
      </c>
      <c r="D144" s="37" t="s">
        <v>604</v>
      </c>
      <c r="E144" s="37" t="s">
        <v>605</v>
      </c>
      <c r="F144" s="37" t="s">
        <v>606</v>
      </c>
      <c r="G144" s="37" t="s">
        <v>146</v>
      </c>
      <c r="H144" s="37" t="s">
        <v>146</v>
      </c>
      <c r="I144" s="37">
        <v>1.74</v>
      </c>
      <c r="J144" s="37">
        <v>4</v>
      </c>
      <c r="K144" s="37">
        <v>3.47</v>
      </c>
      <c r="L144" s="37">
        <v>-1.73</v>
      </c>
      <c r="M144" s="37">
        <v>26</v>
      </c>
      <c r="N144" s="37">
        <v>25</v>
      </c>
      <c r="O144" s="37">
        <v>1</v>
      </c>
      <c r="P144" s="37">
        <v>14</v>
      </c>
      <c r="Q144" s="37">
        <v>13</v>
      </c>
      <c r="R144" s="37">
        <v>0</v>
      </c>
      <c r="S144" s="37">
        <v>0</v>
      </c>
      <c r="T144" s="37">
        <v>100</v>
      </c>
      <c r="U144" s="37">
        <v>50</v>
      </c>
      <c r="V144" s="37">
        <v>15.38</v>
      </c>
      <c r="W144" s="37">
        <v>34.619999999999997</v>
      </c>
      <c r="X144" s="37">
        <v>28</v>
      </c>
      <c r="Y144" s="37">
        <v>8</v>
      </c>
      <c r="Z144" s="37">
        <v>64</v>
      </c>
      <c r="AA144" s="37">
        <v>35.71</v>
      </c>
      <c r="AB144" s="37">
        <v>30.77</v>
      </c>
      <c r="AC144" s="24">
        <f t="shared" si="17"/>
        <v>-18.986000000000001</v>
      </c>
      <c r="AD144" s="25">
        <f t="shared" si="18"/>
        <v>18.986000000000001</v>
      </c>
      <c r="AE144" s="23" t="str">
        <f t="shared" si="19"/>
        <v>Loss</v>
      </c>
      <c r="AF144" s="23" t="str">
        <f t="shared" si="20"/>
        <v>Win</v>
      </c>
      <c r="AG144" s="23" t="str">
        <f t="shared" si="21"/>
        <v>Loss</v>
      </c>
      <c r="AH144" s="23">
        <f t="shared" si="22"/>
        <v>-50</v>
      </c>
      <c r="AI144" s="23">
        <f t="shared" si="23"/>
        <v>150</v>
      </c>
      <c r="AJ144" s="23">
        <f t="shared" si="24"/>
        <v>-50</v>
      </c>
    </row>
    <row r="145" spans="1:36" x14ac:dyDescent="0.2">
      <c r="A145" s="36">
        <v>43602</v>
      </c>
      <c r="B145" s="37" t="s">
        <v>317</v>
      </c>
      <c r="C145" s="37" t="s">
        <v>607</v>
      </c>
      <c r="D145" s="37" t="s">
        <v>608</v>
      </c>
      <c r="E145" s="37" t="s">
        <v>609</v>
      </c>
      <c r="F145" s="37" t="s">
        <v>610</v>
      </c>
      <c r="G145" s="37" t="s">
        <v>146</v>
      </c>
      <c r="H145" s="37" t="s">
        <v>146</v>
      </c>
      <c r="I145" s="37">
        <v>2.54</v>
      </c>
      <c r="J145" s="37">
        <v>3.41</v>
      </c>
      <c r="K145" s="37">
        <v>2.69</v>
      </c>
      <c r="L145" s="37">
        <v>-0.15</v>
      </c>
      <c r="M145" s="37">
        <v>39</v>
      </c>
      <c r="N145" s="37">
        <v>34</v>
      </c>
      <c r="O145" s="37">
        <v>1</v>
      </c>
      <c r="P145" s="37">
        <v>19</v>
      </c>
      <c r="Q145" s="37">
        <v>18</v>
      </c>
      <c r="R145" s="37">
        <v>0</v>
      </c>
      <c r="S145" s="37">
        <v>0</v>
      </c>
      <c r="T145" s="37">
        <v>100</v>
      </c>
      <c r="U145" s="37">
        <v>38.46</v>
      </c>
      <c r="V145" s="37">
        <v>15.38</v>
      </c>
      <c r="W145" s="37">
        <v>46.15</v>
      </c>
      <c r="X145" s="37">
        <v>29.41</v>
      </c>
      <c r="Y145" s="37">
        <v>44.12</v>
      </c>
      <c r="Z145" s="37">
        <v>26.47</v>
      </c>
      <c r="AA145" s="37">
        <v>47.37</v>
      </c>
      <c r="AB145" s="37">
        <v>27.78</v>
      </c>
      <c r="AC145" s="24">
        <f t="shared" si="17"/>
        <v>-35</v>
      </c>
      <c r="AD145" s="25">
        <f t="shared" si="18"/>
        <v>35</v>
      </c>
      <c r="AE145" s="23" t="str">
        <f t="shared" si="19"/>
        <v>Loss</v>
      </c>
      <c r="AF145" s="23" t="str">
        <f t="shared" si="20"/>
        <v>Win</v>
      </c>
      <c r="AG145" s="23" t="str">
        <f t="shared" si="21"/>
        <v>Loss</v>
      </c>
      <c r="AH145" s="23">
        <f t="shared" si="22"/>
        <v>-50</v>
      </c>
      <c r="AI145" s="23">
        <f t="shared" si="23"/>
        <v>120.5</v>
      </c>
      <c r="AJ145" s="23">
        <f t="shared" si="24"/>
        <v>-50</v>
      </c>
    </row>
    <row r="146" spans="1:36" x14ac:dyDescent="0.2">
      <c r="A146" s="36">
        <v>43602</v>
      </c>
      <c r="B146" s="37" t="s">
        <v>339</v>
      </c>
      <c r="C146" s="37" t="s">
        <v>340</v>
      </c>
      <c r="D146" s="37" t="s">
        <v>611</v>
      </c>
      <c r="E146" s="37" t="s">
        <v>612</v>
      </c>
      <c r="F146" s="37" t="s">
        <v>613</v>
      </c>
      <c r="G146" s="37" t="s">
        <v>146</v>
      </c>
      <c r="H146" s="37" t="s">
        <v>146</v>
      </c>
      <c r="I146" s="37">
        <v>2.27</v>
      </c>
      <c r="J146" s="37">
        <v>3.28</v>
      </c>
      <c r="K146" s="37">
        <v>2.87</v>
      </c>
      <c r="L146" s="37">
        <v>-0.6</v>
      </c>
      <c r="M146" s="37">
        <v>39</v>
      </c>
      <c r="N146" s="37">
        <v>30</v>
      </c>
      <c r="O146" s="37">
        <v>0</v>
      </c>
      <c r="P146" s="37">
        <v>18</v>
      </c>
      <c r="Q146" s="37">
        <v>17</v>
      </c>
      <c r="R146" s="37">
        <v>0</v>
      </c>
      <c r="S146" s="37">
        <v>0</v>
      </c>
      <c r="T146" s="37">
        <v>0</v>
      </c>
      <c r="U146" s="37">
        <v>28.21</v>
      </c>
      <c r="V146" s="37">
        <v>23.08</v>
      </c>
      <c r="W146" s="37">
        <v>48.72</v>
      </c>
      <c r="X146" s="37">
        <v>66.67</v>
      </c>
      <c r="Y146" s="37">
        <v>20</v>
      </c>
      <c r="Z146" s="37">
        <v>13.33</v>
      </c>
      <c r="AA146" s="37">
        <v>33.33</v>
      </c>
      <c r="AB146" s="37">
        <v>70.59</v>
      </c>
      <c r="AC146" s="24">
        <f t="shared" si="17"/>
        <v>-14.462</v>
      </c>
      <c r="AD146" s="25">
        <f t="shared" si="18"/>
        <v>14.462</v>
      </c>
      <c r="AE146" s="23" t="str">
        <f t="shared" si="19"/>
        <v>Loss</v>
      </c>
      <c r="AF146" s="23" t="str">
        <f t="shared" si="20"/>
        <v>Win</v>
      </c>
      <c r="AG146" s="23" t="str">
        <f t="shared" si="21"/>
        <v>Loss</v>
      </c>
      <c r="AH146" s="23">
        <f t="shared" si="22"/>
        <v>-50</v>
      </c>
      <c r="AI146" s="23">
        <f t="shared" si="23"/>
        <v>114</v>
      </c>
      <c r="AJ146" s="23">
        <f t="shared" si="24"/>
        <v>-50</v>
      </c>
    </row>
    <row r="147" spans="1:36" x14ac:dyDescent="0.2">
      <c r="A147" s="36">
        <v>43602</v>
      </c>
      <c r="B147" s="37" t="s">
        <v>317</v>
      </c>
      <c r="C147" s="37" t="s">
        <v>331</v>
      </c>
      <c r="D147" s="37" t="s">
        <v>614</v>
      </c>
      <c r="E147" s="37" t="s">
        <v>615</v>
      </c>
      <c r="F147" s="37" t="s">
        <v>616</v>
      </c>
      <c r="G147" s="37" t="s">
        <v>146</v>
      </c>
      <c r="H147" s="37" t="s">
        <v>146</v>
      </c>
      <c r="I147" s="37">
        <v>1.92</v>
      </c>
      <c r="J147" s="37">
        <v>3.17</v>
      </c>
      <c r="K147" s="37">
        <v>3.51</v>
      </c>
      <c r="L147" s="37">
        <v>-1.59</v>
      </c>
      <c r="M147" s="37">
        <v>49</v>
      </c>
      <c r="N147" s="37">
        <v>42</v>
      </c>
      <c r="O147" s="37">
        <v>2</v>
      </c>
      <c r="P147" s="37">
        <v>27</v>
      </c>
      <c r="Q147" s="37">
        <v>19</v>
      </c>
      <c r="R147" s="37">
        <v>0</v>
      </c>
      <c r="S147" s="37">
        <v>50</v>
      </c>
      <c r="T147" s="37">
        <v>50</v>
      </c>
      <c r="U147" s="37">
        <v>46.94</v>
      </c>
      <c r="V147" s="37">
        <v>28.57</v>
      </c>
      <c r="W147" s="37">
        <v>24.49</v>
      </c>
      <c r="X147" s="37">
        <v>45.24</v>
      </c>
      <c r="Y147" s="37">
        <v>28.57</v>
      </c>
      <c r="Z147" s="37">
        <v>26.19</v>
      </c>
      <c r="AA147" s="37">
        <v>55.56</v>
      </c>
      <c r="AB147" s="37">
        <v>47.37</v>
      </c>
      <c r="AC147" s="24">
        <f t="shared" si="17"/>
        <v>-9.32</v>
      </c>
      <c r="AD147" s="25">
        <f t="shared" si="18"/>
        <v>19.32</v>
      </c>
      <c r="AE147" s="23" t="str">
        <f t="shared" si="19"/>
        <v>Loss</v>
      </c>
      <c r="AF147" s="23" t="str">
        <f t="shared" si="20"/>
        <v>Win</v>
      </c>
      <c r="AG147" s="23" t="str">
        <f t="shared" si="21"/>
        <v>Loss</v>
      </c>
      <c r="AH147" s="23">
        <f t="shared" si="22"/>
        <v>-50</v>
      </c>
      <c r="AI147" s="23">
        <f t="shared" si="23"/>
        <v>108.5</v>
      </c>
      <c r="AJ147" s="23">
        <f t="shared" si="24"/>
        <v>-50</v>
      </c>
    </row>
    <row r="148" spans="1:36" x14ac:dyDescent="0.2">
      <c r="A148" s="36">
        <v>43602</v>
      </c>
      <c r="B148" s="37" t="s">
        <v>501</v>
      </c>
      <c r="C148" s="37" t="s">
        <v>273</v>
      </c>
      <c r="D148" s="37" t="s">
        <v>617</v>
      </c>
      <c r="E148" s="37" t="s">
        <v>618</v>
      </c>
      <c r="F148" s="37" t="s">
        <v>619</v>
      </c>
      <c r="G148" s="37" t="s">
        <v>146</v>
      </c>
      <c r="H148" s="37" t="s">
        <v>146</v>
      </c>
      <c r="I148" s="37">
        <v>6.18</v>
      </c>
      <c r="J148" s="37">
        <v>4.8600000000000003</v>
      </c>
      <c r="K148" s="37">
        <v>1.35</v>
      </c>
      <c r="L148" s="37">
        <v>4.83</v>
      </c>
      <c r="M148" s="37">
        <v>7</v>
      </c>
      <c r="N148" s="37">
        <v>10</v>
      </c>
      <c r="O148" s="37">
        <v>0</v>
      </c>
      <c r="P148" s="37">
        <v>4</v>
      </c>
      <c r="Q148" s="37">
        <v>6</v>
      </c>
      <c r="R148" s="37">
        <v>0</v>
      </c>
      <c r="S148" s="37">
        <v>0</v>
      </c>
      <c r="T148" s="37">
        <v>0</v>
      </c>
      <c r="U148" s="37">
        <v>14.29</v>
      </c>
      <c r="V148" s="37">
        <v>0</v>
      </c>
      <c r="W148" s="37">
        <v>85.71</v>
      </c>
      <c r="X148" s="37">
        <v>50</v>
      </c>
      <c r="Y148" s="37">
        <v>20</v>
      </c>
      <c r="Z148" s="37">
        <v>30</v>
      </c>
      <c r="AA148" s="37">
        <v>0</v>
      </c>
      <c r="AB148" s="37">
        <v>50</v>
      </c>
      <c r="AC148" s="24">
        <f t="shared" si="17"/>
        <v>-20.283999999999999</v>
      </c>
      <c r="AD148" s="25">
        <f t="shared" si="18"/>
        <v>20.283999999999999</v>
      </c>
      <c r="AE148" s="23" t="str">
        <f t="shared" si="19"/>
        <v>Loss</v>
      </c>
      <c r="AF148" s="23" t="str">
        <f t="shared" si="20"/>
        <v>Win</v>
      </c>
      <c r="AG148" s="23" t="str">
        <f t="shared" si="21"/>
        <v>Loss</v>
      </c>
      <c r="AH148" s="23">
        <f t="shared" si="22"/>
        <v>-50</v>
      </c>
      <c r="AI148" s="23">
        <f t="shared" si="23"/>
        <v>193.00000000000003</v>
      </c>
      <c r="AJ148" s="23">
        <f t="shared" si="24"/>
        <v>-50</v>
      </c>
    </row>
    <row r="149" spans="1:36" x14ac:dyDescent="0.2">
      <c r="A149" s="36">
        <v>43602</v>
      </c>
      <c r="B149" s="37" t="s">
        <v>461</v>
      </c>
      <c r="C149" s="37" t="s">
        <v>620</v>
      </c>
      <c r="D149" s="37" t="s">
        <v>621</v>
      </c>
      <c r="E149" s="37" t="s">
        <v>622</v>
      </c>
      <c r="F149" s="37" t="s">
        <v>623</v>
      </c>
      <c r="G149" s="37" t="s">
        <v>146</v>
      </c>
      <c r="H149" s="37" t="s">
        <v>146</v>
      </c>
      <c r="I149" s="37">
        <v>2.0099999999999998</v>
      </c>
      <c r="J149" s="37">
        <v>3.93</v>
      </c>
      <c r="K149" s="37">
        <v>2.7</v>
      </c>
      <c r="L149" s="37">
        <v>-0.69</v>
      </c>
      <c r="M149" s="37">
        <v>29</v>
      </c>
      <c r="N149" s="37">
        <v>28</v>
      </c>
      <c r="O149" s="37">
        <v>1</v>
      </c>
      <c r="P149" s="37">
        <v>15</v>
      </c>
      <c r="Q149" s="37">
        <v>14</v>
      </c>
      <c r="R149" s="37">
        <v>100</v>
      </c>
      <c r="S149" s="37">
        <v>0</v>
      </c>
      <c r="T149" s="37">
        <v>0</v>
      </c>
      <c r="U149" s="37">
        <v>37.93</v>
      </c>
      <c r="V149" s="37">
        <v>10.34</v>
      </c>
      <c r="W149" s="37">
        <v>51.72</v>
      </c>
      <c r="X149" s="37">
        <v>42.86</v>
      </c>
      <c r="Y149" s="37">
        <v>14.29</v>
      </c>
      <c r="Z149" s="37">
        <v>42.86</v>
      </c>
      <c r="AA149" s="37">
        <v>33.33</v>
      </c>
      <c r="AB149" s="37">
        <v>35.71</v>
      </c>
      <c r="AC149" s="24">
        <f t="shared" si="17"/>
        <v>26.846999999999994</v>
      </c>
      <c r="AD149" s="25">
        <f t="shared" si="18"/>
        <v>-26.846999999999994</v>
      </c>
      <c r="AE149" s="23" t="str">
        <f t="shared" si="19"/>
        <v>Loss</v>
      </c>
      <c r="AF149" s="23" t="str">
        <f t="shared" si="20"/>
        <v>Win</v>
      </c>
      <c r="AG149" s="23" t="str">
        <f t="shared" si="21"/>
        <v>Loss</v>
      </c>
      <c r="AH149" s="23">
        <f t="shared" si="22"/>
        <v>-50</v>
      </c>
      <c r="AI149" s="23">
        <f t="shared" si="23"/>
        <v>146.5</v>
      </c>
      <c r="AJ149" s="23">
        <f t="shared" si="24"/>
        <v>-50</v>
      </c>
    </row>
    <row r="150" spans="1:36" x14ac:dyDescent="0.2">
      <c r="A150" s="36">
        <v>43602</v>
      </c>
      <c r="B150" s="37" t="s">
        <v>461</v>
      </c>
      <c r="C150" s="37" t="s">
        <v>624</v>
      </c>
      <c r="D150" s="37" t="s">
        <v>625</v>
      </c>
      <c r="E150" s="37" t="s">
        <v>626</v>
      </c>
      <c r="F150" s="37" t="s">
        <v>627</v>
      </c>
      <c r="G150" s="37" t="s">
        <v>146</v>
      </c>
      <c r="H150" s="37" t="s">
        <v>146</v>
      </c>
      <c r="I150" s="37">
        <v>1.26</v>
      </c>
      <c r="J150" s="37">
        <v>5.57</v>
      </c>
      <c r="K150" s="37">
        <v>6.57</v>
      </c>
      <c r="L150" s="37">
        <v>-5.31</v>
      </c>
      <c r="M150" s="37">
        <v>23</v>
      </c>
      <c r="N150" s="37">
        <v>19</v>
      </c>
      <c r="O150" s="37">
        <v>1</v>
      </c>
      <c r="P150" s="37">
        <v>12</v>
      </c>
      <c r="Q150" s="37">
        <v>8</v>
      </c>
      <c r="R150" s="37">
        <v>100</v>
      </c>
      <c r="S150" s="37">
        <v>0</v>
      </c>
      <c r="T150" s="37">
        <v>0</v>
      </c>
      <c r="U150" s="37">
        <v>78.260000000000005</v>
      </c>
      <c r="V150" s="37">
        <v>8.6999999999999993</v>
      </c>
      <c r="W150" s="37">
        <v>13.04</v>
      </c>
      <c r="X150" s="37">
        <v>26.32</v>
      </c>
      <c r="Y150" s="37">
        <v>42.11</v>
      </c>
      <c r="Z150" s="37">
        <v>31.58</v>
      </c>
      <c r="AA150" s="37">
        <v>100</v>
      </c>
      <c r="AB150" s="37">
        <v>12.5</v>
      </c>
      <c r="AC150" s="24">
        <f t="shared" si="17"/>
        <v>40.755000000000003</v>
      </c>
      <c r="AD150" s="25">
        <f t="shared" si="18"/>
        <v>-40.755000000000003</v>
      </c>
      <c r="AE150" s="23" t="str">
        <f t="shared" si="19"/>
        <v>Loss</v>
      </c>
      <c r="AF150" s="23" t="str">
        <f t="shared" si="20"/>
        <v>Win</v>
      </c>
      <c r="AG150" s="23" t="str">
        <f t="shared" si="21"/>
        <v>Loss</v>
      </c>
      <c r="AH150" s="23">
        <f t="shared" si="22"/>
        <v>-50</v>
      </c>
      <c r="AI150" s="23">
        <f t="shared" si="23"/>
        <v>228.5</v>
      </c>
      <c r="AJ150" s="23">
        <f t="shared" si="24"/>
        <v>-50</v>
      </c>
    </row>
    <row r="151" spans="1:36" x14ac:dyDescent="0.2">
      <c r="A151" s="36">
        <v>43602</v>
      </c>
      <c r="B151" s="37" t="s">
        <v>628</v>
      </c>
      <c r="C151" s="37" t="s">
        <v>629</v>
      </c>
      <c r="D151" s="37" t="s">
        <v>630</v>
      </c>
      <c r="E151" s="37" t="s">
        <v>631</v>
      </c>
      <c r="F151" s="37" t="s">
        <v>632</v>
      </c>
      <c r="G151" s="37" t="s">
        <v>146</v>
      </c>
      <c r="H151" s="37" t="s">
        <v>146</v>
      </c>
      <c r="I151" s="37">
        <v>1.53</v>
      </c>
      <c r="J151" s="37">
        <v>4.75</v>
      </c>
      <c r="K151" s="37">
        <v>5.0999999999999996</v>
      </c>
      <c r="L151" s="37">
        <v>-3.57</v>
      </c>
      <c r="M151" s="37">
        <v>42</v>
      </c>
      <c r="N151" s="37">
        <v>40</v>
      </c>
      <c r="O151" s="37">
        <v>3</v>
      </c>
      <c r="P151" s="37">
        <v>20</v>
      </c>
      <c r="Q151" s="37">
        <v>19</v>
      </c>
      <c r="R151" s="37">
        <v>66.67</v>
      </c>
      <c r="S151" s="37">
        <v>33.33</v>
      </c>
      <c r="T151" s="37">
        <v>0</v>
      </c>
      <c r="U151" s="37">
        <v>50</v>
      </c>
      <c r="V151" s="37">
        <v>16.670000000000002</v>
      </c>
      <c r="W151" s="37">
        <v>33.33</v>
      </c>
      <c r="X151" s="37">
        <v>22.5</v>
      </c>
      <c r="Y151" s="37">
        <v>20</v>
      </c>
      <c r="Z151" s="37">
        <v>57.5</v>
      </c>
      <c r="AA151" s="37">
        <v>50</v>
      </c>
      <c r="AB151" s="37">
        <v>10.53</v>
      </c>
      <c r="AC151" s="24">
        <f t="shared" si="17"/>
        <v>33.335000000000008</v>
      </c>
      <c r="AD151" s="25">
        <f t="shared" si="18"/>
        <v>-26.669</v>
      </c>
      <c r="AE151" s="23" t="str">
        <f t="shared" si="19"/>
        <v>Loss</v>
      </c>
      <c r="AF151" s="23" t="str">
        <f t="shared" si="20"/>
        <v>Win</v>
      </c>
      <c r="AG151" s="23" t="str">
        <f t="shared" si="21"/>
        <v>Loss</v>
      </c>
      <c r="AH151" s="23">
        <f t="shared" si="22"/>
        <v>-50</v>
      </c>
      <c r="AI151" s="23">
        <f t="shared" si="23"/>
        <v>187.5</v>
      </c>
      <c r="AJ151" s="23">
        <f t="shared" si="24"/>
        <v>-50</v>
      </c>
    </row>
    <row r="152" spans="1:36" x14ac:dyDescent="0.2">
      <c r="A152" s="36">
        <v>43602</v>
      </c>
      <c r="B152" s="37" t="s">
        <v>628</v>
      </c>
      <c r="C152" s="37" t="s">
        <v>629</v>
      </c>
      <c r="D152" s="37" t="s">
        <v>633</v>
      </c>
      <c r="E152" s="37" t="s">
        <v>634</v>
      </c>
      <c r="F152" s="37" t="s">
        <v>635</v>
      </c>
      <c r="G152" s="37" t="s">
        <v>146</v>
      </c>
      <c r="H152" s="37" t="s">
        <v>146</v>
      </c>
      <c r="I152" s="37">
        <v>1.45</v>
      </c>
      <c r="J152" s="37">
        <v>5.0999999999999996</v>
      </c>
      <c r="K152" s="37">
        <v>5.69</v>
      </c>
      <c r="L152" s="37">
        <v>-4.24</v>
      </c>
      <c r="M152" s="37">
        <v>41</v>
      </c>
      <c r="N152" s="37">
        <v>40</v>
      </c>
      <c r="O152" s="37">
        <v>3</v>
      </c>
      <c r="P152" s="37">
        <v>20</v>
      </c>
      <c r="Q152" s="37">
        <v>19</v>
      </c>
      <c r="R152" s="37">
        <v>33.33</v>
      </c>
      <c r="S152" s="37">
        <v>0</v>
      </c>
      <c r="T152" s="37">
        <v>66.67</v>
      </c>
      <c r="U152" s="37">
        <v>34.15</v>
      </c>
      <c r="V152" s="37">
        <v>21.95</v>
      </c>
      <c r="W152" s="37">
        <v>43.9</v>
      </c>
      <c r="X152" s="37">
        <v>20</v>
      </c>
      <c r="Y152" s="37">
        <v>32.5</v>
      </c>
      <c r="Z152" s="37">
        <v>47.5</v>
      </c>
      <c r="AA152" s="37">
        <v>40</v>
      </c>
      <c r="AB152" s="37">
        <v>10.53</v>
      </c>
      <c r="AC152" s="24">
        <f t="shared" si="17"/>
        <v>-7.5070000000000014</v>
      </c>
      <c r="AD152" s="25">
        <f t="shared" si="18"/>
        <v>7.5070000000000014</v>
      </c>
      <c r="AE152" s="23" t="str">
        <f t="shared" si="19"/>
        <v>Loss</v>
      </c>
      <c r="AF152" s="23" t="str">
        <f t="shared" si="20"/>
        <v>Win</v>
      </c>
      <c r="AG152" s="23" t="str">
        <f t="shared" si="21"/>
        <v>Loss</v>
      </c>
      <c r="AH152" s="23">
        <f t="shared" si="22"/>
        <v>-50</v>
      </c>
      <c r="AI152" s="23">
        <f t="shared" si="23"/>
        <v>204.99999999999997</v>
      </c>
      <c r="AJ152" s="23">
        <f t="shared" si="24"/>
        <v>-50</v>
      </c>
    </row>
    <row r="153" spans="1:36" x14ac:dyDescent="0.2">
      <c r="A153" s="36">
        <v>43602</v>
      </c>
      <c r="B153" s="37" t="s">
        <v>628</v>
      </c>
      <c r="C153" s="37" t="s">
        <v>629</v>
      </c>
      <c r="D153" s="37" t="s">
        <v>636</v>
      </c>
      <c r="E153" s="37" t="s">
        <v>637</v>
      </c>
      <c r="F153" s="37" t="s">
        <v>638</v>
      </c>
      <c r="G153" s="37" t="s">
        <v>146</v>
      </c>
      <c r="H153" s="37" t="s">
        <v>146</v>
      </c>
      <c r="I153" s="37">
        <v>2.62</v>
      </c>
      <c r="J153" s="37">
        <v>4.0999999999999996</v>
      </c>
      <c r="K153" s="37">
        <v>2.31</v>
      </c>
      <c r="L153" s="37">
        <v>0.31</v>
      </c>
      <c r="M153" s="37">
        <v>41</v>
      </c>
      <c r="N153" s="37">
        <v>43</v>
      </c>
      <c r="O153" s="37">
        <v>1</v>
      </c>
      <c r="P153" s="37">
        <v>19</v>
      </c>
      <c r="Q153" s="37">
        <v>20</v>
      </c>
      <c r="R153" s="37">
        <v>0</v>
      </c>
      <c r="S153" s="37">
        <v>100</v>
      </c>
      <c r="T153" s="37">
        <v>0</v>
      </c>
      <c r="U153" s="37">
        <v>26.83</v>
      </c>
      <c r="V153" s="37">
        <v>31.71</v>
      </c>
      <c r="W153" s="37">
        <v>41.46</v>
      </c>
      <c r="X153" s="37">
        <v>53.49</v>
      </c>
      <c r="Y153" s="37">
        <v>20.93</v>
      </c>
      <c r="Z153" s="37">
        <v>25.58</v>
      </c>
      <c r="AA153" s="37">
        <v>31.58</v>
      </c>
      <c r="AB153" s="37">
        <v>50</v>
      </c>
      <c r="AC153" s="24">
        <f t="shared" si="17"/>
        <v>2.5699999999999985</v>
      </c>
      <c r="AD153" s="25">
        <f t="shared" si="18"/>
        <v>17.43</v>
      </c>
      <c r="AE153" s="23" t="str">
        <f t="shared" si="19"/>
        <v>Loss</v>
      </c>
      <c r="AF153" s="23" t="str">
        <f t="shared" si="20"/>
        <v>Win</v>
      </c>
      <c r="AG153" s="23" t="str">
        <f t="shared" si="21"/>
        <v>Loss</v>
      </c>
      <c r="AH153" s="23">
        <f t="shared" si="22"/>
        <v>-50</v>
      </c>
      <c r="AI153" s="23">
        <f t="shared" si="23"/>
        <v>154.99999999999997</v>
      </c>
      <c r="AJ153" s="23">
        <f t="shared" si="24"/>
        <v>-50</v>
      </c>
    </row>
    <row r="154" spans="1:36" x14ac:dyDescent="0.2">
      <c r="A154" s="36">
        <v>43602</v>
      </c>
      <c r="B154" s="37" t="s">
        <v>628</v>
      </c>
      <c r="C154" s="37" t="s">
        <v>639</v>
      </c>
      <c r="D154" s="37" t="s">
        <v>640</v>
      </c>
      <c r="E154" s="37" t="s">
        <v>641</v>
      </c>
      <c r="F154" s="37" t="s">
        <v>642</v>
      </c>
      <c r="G154" s="37" t="s">
        <v>146</v>
      </c>
      <c r="H154" s="37" t="s">
        <v>146</v>
      </c>
      <c r="I154" s="37">
        <v>7.01</v>
      </c>
      <c r="J154" s="37">
        <v>5.15</v>
      </c>
      <c r="K154" s="37">
        <v>1.3</v>
      </c>
      <c r="L154" s="37">
        <v>5.71</v>
      </c>
      <c r="M154" s="37">
        <v>23</v>
      </c>
      <c r="N154" s="37">
        <v>23</v>
      </c>
      <c r="O154" s="37">
        <v>4</v>
      </c>
      <c r="P154" s="37">
        <v>13</v>
      </c>
      <c r="Q154" s="37">
        <v>12</v>
      </c>
      <c r="R154" s="37">
        <v>0</v>
      </c>
      <c r="S154" s="37">
        <v>0</v>
      </c>
      <c r="T154" s="37">
        <v>100</v>
      </c>
      <c r="U154" s="37">
        <v>43.48</v>
      </c>
      <c r="V154" s="37">
        <v>21.74</v>
      </c>
      <c r="W154" s="37">
        <v>34.78</v>
      </c>
      <c r="X154" s="37">
        <v>73.91</v>
      </c>
      <c r="Y154" s="37">
        <v>17.39</v>
      </c>
      <c r="Z154" s="37">
        <v>8.6999999999999993</v>
      </c>
      <c r="AA154" s="37">
        <v>61.54</v>
      </c>
      <c r="AB154" s="37">
        <v>75</v>
      </c>
      <c r="AC154" s="24">
        <f t="shared" si="17"/>
        <v>-40.866999999999997</v>
      </c>
      <c r="AD154" s="25">
        <f t="shared" si="18"/>
        <v>40.866999999999997</v>
      </c>
      <c r="AE154" s="23" t="str">
        <f t="shared" si="19"/>
        <v>Loss</v>
      </c>
      <c r="AF154" s="23" t="str">
        <f t="shared" si="20"/>
        <v>Win</v>
      </c>
      <c r="AG154" s="23" t="str">
        <f t="shared" si="21"/>
        <v>Loss</v>
      </c>
      <c r="AH154" s="23">
        <f t="shared" si="22"/>
        <v>-50</v>
      </c>
      <c r="AI154" s="23">
        <f t="shared" si="23"/>
        <v>207.5</v>
      </c>
      <c r="AJ154" s="23">
        <f t="shared" si="24"/>
        <v>-50</v>
      </c>
    </row>
    <row r="155" spans="1:36" x14ac:dyDescent="0.2">
      <c r="A155" s="36">
        <v>43602</v>
      </c>
      <c r="B155" s="37" t="s">
        <v>628</v>
      </c>
      <c r="C155" s="37" t="s">
        <v>639</v>
      </c>
      <c r="D155" s="37" t="s">
        <v>643</v>
      </c>
      <c r="E155" s="37" t="s">
        <v>644</v>
      </c>
      <c r="F155" s="37" t="s">
        <v>645</v>
      </c>
      <c r="G155" s="37" t="s">
        <v>146</v>
      </c>
      <c r="H155" s="37" t="s">
        <v>146</v>
      </c>
      <c r="I155" s="37">
        <v>2.57</v>
      </c>
      <c r="J155" s="37">
        <v>3.32</v>
      </c>
      <c r="K155" s="37">
        <v>2.4</v>
      </c>
      <c r="L155" s="37">
        <v>0.17</v>
      </c>
      <c r="M155" s="37">
        <v>25</v>
      </c>
      <c r="N155" s="37">
        <v>23</v>
      </c>
      <c r="O155" s="37">
        <v>4</v>
      </c>
      <c r="P155" s="37">
        <v>13</v>
      </c>
      <c r="Q155" s="37">
        <v>12</v>
      </c>
      <c r="R155" s="37">
        <v>0</v>
      </c>
      <c r="S155" s="37">
        <v>50</v>
      </c>
      <c r="T155" s="37">
        <v>50</v>
      </c>
      <c r="U155" s="37">
        <v>36</v>
      </c>
      <c r="V155" s="37">
        <v>32</v>
      </c>
      <c r="W155" s="37">
        <v>32</v>
      </c>
      <c r="X155" s="37">
        <v>52.17</v>
      </c>
      <c r="Y155" s="37">
        <v>17.39</v>
      </c>
      <c r="Z155" s="37">
        <v>30.43</v>
      </c>
      <c r="AA155" s="37">
        <v>38.46</v>
      </c>
      <c r="AB155" s="37">
        <v>41.67</v>
      </c>
      <c r="AC155" s="24">
        <f t="shared" si="17"/>
        <v>-12.087000000000002</v>
      </c>
      <c r="AD155" s="25">
        <f t="shared" si="18"/>
        <v>22.087000000000003</v>
      </c>
      <c r="AE155" s="23" t="str">
        <f t="shared" si="19"/>
        <v>Loss</v>
      </c>
      <c r="AF155" s="23" t="str">
        <f t="shared" si="20"/>
        <v>Win</v>
      </c>
      <c r="AG155" s="23" t="str">
        <f t="shared" si="21"/>
        <v>Loss</v>
      </c>
      <c r="AH155" s="23">
        <f t="shared" si="22"/>
        <v>-50</v>
      </c>
      <c r="AI155" s="23">
        <f t="shared" si="23"/>
        <v>116</v>
      </c>
      <c r="AJ155" s="23">
        <f t="shared" si="24"/>
        <v>-50</v>
      </c>
    </row>
    <row r="156" spans="1:36" x14ac:dyDescent="0.2">
      <c r="A156" s="36">
        <v>43602</v>
      </c>
      <c r="B156" s="37" t="s">
        <v>646</v>
      </c>
      <c r="C156" s="37" t="s">
        <v>647</v>
      </c>
      <c r="D156" s="37" t="s">
        <v>648</v>
      </c>
      <c r="E156" s="37" t="s">
        <v>649</v>
      </c>
      <c r="F156" s="37" t="s">
        <v>650</v>
      </c>
      <c r="G156" s="37" t="s">
        <v>146</v>
      </c>
      <c r="H156" s="37" t="s">
        <v>146</v>
      </c>
      <c r="I156" s="37">
        <v>1.9</v>
      </c>
      <c r="J156" s="37">
        <v>3.57</v>
      </c>
      <c r="K156" s="37">
        <v>4.09</v>
      </c>
      <c r="L156" s="37">
        <v>-2.19</v>
      </c>
      <c r="M156" s="37">
        <v>54</v>
      </c>
      <c r="N156" s="37">
        <v>58</v>
      </c>
      <c r="O156" s="37">
        <v>4</v>
      </c>
      <c r="P156" s="37">
        <v>27</v>
      </c>
      <c r="Q156" s="37">
        <v>28</v>
      </c>
      <c r="R156" s="37">
        <v>50</v>
      </c>
      <c r="S156" s="37">
        <v>25</v>
      </c>
      <c r="T156" s="37">
        <v>25</v>
      </c>
      <c r="U156" s="37">
        <v>53.7</v>
      </c>
      <c r="V156" s="37">
        <v>20.37</v>
      </c>
      <c r="W156" s="37">
        <v>25.93</v>
      </c>
      <c r="X156" s="37">
        <v>44.83</v>
      </c>
      <c r="Y156" s="37">
        <v>24.14</v>
      </c>
      <c r="Z156" s="37">
        <v>31.03</v>
      </c>
      <c r="AA156" s="37">
        <v>62.96</v>
      </c>
      <c r="AB156" s="37">
        <v>35.71</v>
      </c>
      <c r="AC156" s="24">
        <f t="shared" si="17"/>
        <v>12.417000000000002</v>
      </c>
      <c r="AD156" s="25">
        <f t="shared" si="18"/>
        <v>-7.4170000000000016</v>
      </c>
      <c r="AE156" s="23" t="str">
        <f t="shared" si="19"/>
        <v>Loss</v>
      </c>
      <c r="AF156" s="23" t="str">
        <f t="shared" si="20"/>
        <v>Win</v>
      </c>
      <c r="AG156" s="23" t="str">
        <f t="shared" si="21"/>
        <v>Loss</v>
      </c>
      <c r="AH156" s="23">
        <f t="shared" si="22"/>
        <v>-50</v>
      </c>
      <c r="AI156" s="23">
        <f t="shared" si="23"/>
        <v>128.5</v>
      </c>
      <c r="AJ156" s="23">
        <f t="shared" si="24"/>
        <v>-50</v>
      </c>
    </row>
    <row r="157" spans="1:36" x14ac:dyDescent="0.2">
      <c r="A157" s="36">
        <v>43602</v>
      </c>
      <c r="B157" s="37" t="s">
        <v>435</v>
      </c>
      <c r="C157" s="37" t="s">
        <v>651</v>
      </c>
      <c r="D157" s="37" t="s">
        <v>652</v>
      </c>
      <c r="E157" s="37" t="s">
        <v>653</v>
      </c>
      <c r="F157" s="37" t="s">
        <v>654</v>
      </c>
      <c r="G157" s="37" t="s">
        <v>146</v>
      </c>
      <c r="H157" s="37" t="s">
        <v>146</v>
      </c>
      <c r="I157" s="37">
        <v>1.63</v>
      </c>
      <c r="J157" s="37">
        <v>3.77</v>
      </c>
      <c r="K157" s="37">
        <v>5.51</v>
      </c>
      <c r="L157" s="37">
        <v>-3.88</v>
      </c>
      <c r="M157" s="37">
        <v>40</v>
      </c>
      <c r="N157" s="37">
        <v>41</v>
      </c>
      <c r="O157" s="37">
        <v>1</v>
      </c>
      <c r="P157" s="37">
        <v>20</v>
      </c>
      <c r="Q157" s="37">
        <v>20</v>
      </c>
      <c r="R157" s="37">
        <v>0</v>
      </c>
      <c r="S157" s="37">
        <v>0</v>
      </c>
      <c r="T157" s="37">
        <v>100</v>
      </c>
      <c r="U157" s="37">
        <v>30</v>
      </c>
      <c r="V157" s="37">
        <v>25</v>
      </c>
      <c r="W157" s="37">
        <v>45</v>
      </c>
      <c r="X157" s="37">
        <v>31.71</v>
      </c>
      <c r="Y157" s="37">
        <v>21.95</v>
      </c>
      <c r="Z157" s="37">
        <v>46.34</v>
      </c>
      <c r="AA157" s="37">
        <v>40</v>
      </c>
      <c r="AB157" s="37">
        <v>25</v>
      </c>
      <c r="AC157" s="24">
        <f t="shared" si="17"/>
        <v>-29.768999999999998</v>
      </c>
      <c r="AD157" s="25">
        <f t="shared" si="18"/>
        <v>29.768999999999998</v>
      </c>
      <c r="AE157" s="23" t="str">
        <f t="shared" si="19"/>
        <v>Loss</v>
      </c>
      <c r="AF157" s="23" t="str">
        <f t="shared" si="20"/>
        <v>Win</v>
      </c>
      <c r="AG157" s="23" t="str">
        <f t="shared" si="21"/>
        <v>Loss</v>
      </c>
      <c r="AH157" s="23">
        <f t="shared" si="22"/>
        <v>-50</v>
      </c>
      <c r="AI157" s="23">
        <f t="shared" si="23"/>
        <v>138.5</v>
      </c>
      <c r="AJ157" s="23">
        <f t="shared" si="24"/>
        <v>-50</v>
      </c>
    </row>
    <row r="158" spans="1:36" x14ac:dyDescent="0.2">
      <c r="A158" s="36">
        <v>43602</v>
      </c>
      <c r="B158" s="37" t="s">
        <v>435</v>
      </c>
      <c r="C158" s="37" t="s">
        <v>651</v>
      </c>
      <c r="D158" s="37" t="s">
        <v>655</v>
      </c>
      <c r="E158" s="37" t="s">
        <v>656</v>
      </c>
      <c r="F158" s="37" t="s">
        <v>657</v>
      </c>
      <c r="G158" s="37" t="s">
        <v>146</v>
      </c>
      <c r="H158" s="37" t="s">
        <v>146</v>
      </c>
      <c r="I158" s="37">
        <v>2.23</v>
      </c>
      <c r="J158" s="37">
        <v>3.38</v>
      </c>
      <c r="K158" s="37">
        <v>3.15</v>
      </c>
      <c r="L158" s="37">
        <v>-0.92</v>
      </c>
      <c r="M158" s="37">
        <v>38</v>
      </c>
      <c r="N158" s="37">
        <v>42</v>
      </c>
      <c r="O158" s="37">
        <v>1</v>
      </c>
      <c r="P158" s="37">
        <v>18</v>
      </c>
      <c r="Q158" s="37">
        <v>20</v>
      </c>
      <c r="R158" s="37">
        <v>100</v>
      </c>
      <c r="S158" s="37">
        <v>0</v>
      </c>
      <c r="T158" s="37">
        <v>0</v>
      </c>
      <c r="U158" s="37">
        <v>21.05</v>
      </c>
      <c r="V158" s="37">
        <v>28.95</v>
      </c>
      <c r="W158" s="37">
        <v>50</v>
      </c>
      <c r="X158" s="37">
        <v>35.71</v>
      </c>
      <c r="Y158" s="37">
        <v>14.29</v>
      </c>
      <c r="Z158" s="37">
        <v>50</v>
      </c>
      <c r="AA158" s="37">
        <v>11.11</v>
      </c>
      <c r="AB158" s="37">
        <v>35</v>
      </c>
      <c r="AC158" s="24">
        <f t="shared" si="17"/>
        <v>28.534000000000006</v>
      </c>
      <c r="AD158" s="25">
        <f t="shared" si="18"/>
        <v>-28.534000000000006</v>
      </c>
      <c r="AE158" s="23" t="str">
        <f t="shared" si="19"/>
        <v>Loss</v>
      </c>
      <c r="AF158" s="23" t="str">
        <f t="shared" si="20"/>
        <v>Win</v>
      </c>
      <c r="AG158" s="23" t="str">
        <f t="shared" si="21"/>
        <v>Loss</v>
      </c>
      <c r="AH158" s="23">
        <f t="shared" si="22"/>
        <v>-50</v>
      </c>
      <c r="AI158" s="23">
        <f t="shared" si="23"/>
        <v>119</v>
      </c>
      <c r="AJ158" s="23">
        <f t="shared" si="24"/>
        <v>-50</v>
      </c>
    </row>
    <row r="159" spans="1:36" x14ac:dyDescent="0.2">
      <c r="A159" s="36">
        <v>43602</v>
      </c>
      <c r="B159" s="37" t="s">
        <v>435</v>
      </c>
      <c r="C159" s="37" t="s">
        <v>651</v>
      </c>
      <c r="D159" s="37" t="s">
        <v>658</v>
      </c>
      <c r="E159" s="37" t="s">
        <v>659</v>
      </c>
      <c r="F159" s="37" t="s">
        <v>660</v>
      </c>
      <c r="G159" s="37" t="s">
        <v>146</v>
      </c>
      <c r="H159" s="37" t="s">
        <v>146</v>
      </c>
      <c r="I159" s="37">
        <v>3.26</v>
      </c>
      <c r="J159" s="37">
        <v>3.32</v>
      </c>
      <c r="K159" s="37">
        <v>2.19</v>
      </c>
      <c r="L159" s="37">
        <v>1.07</v>
      </c>
      <c r="M159" s="37">
        <v>41</v>
      </c>
      <c r="N159" s="37">
        <v>41</v>
      </c>
      <c r="O159" s="37">
        <v>1</v>
      </c>
      <c r="P159" s="37">
        <v>20</v>
      </c>
      <c r="Q159" s="37">
        <v>22</v>
      </c>
      <c r="R159" s="37">
        <v>0</v>
      </c>
      <c r="S159" s="37">
        <v>100</v>
      </c>
      <c r="T159" s="37">
        <v>0</v>
      </c>
      <c r="U159" s="37">
        <v>31.71</v>
      </c>
      <c r="V159" s="37">
        <v>34.15</v>
      </c>
      <c r="W159" s="37">
        <v>34.15</v>
      </c>
      <c r="X159" s="37">
        <v>31.71</v>
      </c>
      <c r="Y159" s="37">
        <v>34.15</v>
      </c>
      <c r="Z159" s="37">
        <v>34.15</v>
      </c>
      <c r="AA159" s="37">
        <v>35</v>
      </c>
      <c r="AB159" s="37">
        <v>36.36</v>
      </c>
      <c r="AC159" s="24">
        <f t="shared" si="17"/>
        <v>9.9999999999999964</v>
      </c>
      <c r="AD159" s="25">
        <f t="shared" si="18"/>
        <v>9.9999999999999982</v>
      </c>
      <c r="AE159" s="23" t="str">
        <f t="shared" si="19"/>
        <v>Loss</v>
      </c>
      <c r="AF159" s="23" t="str">
        <f t="shared" si="20"/>
        <v>Win</v>
      </c>
      <c r="AG159" s="23" t="str">
        <f t="shared" si="21"/>
        <v>Loss</v>
      </c>
      <c r="AH159" s="23">
        <f t="shared" si="22"/>
        <v>-50</v>
      </c>
      <c r="AI159" s="23">
        <f t="shared" si="23"/>
        <v>116</v>
      </c>
      <c r="AJ159" s="23">
        <f t="shared" si="24"/>
        <v>-50</v>
      </c>
    </row>
    <row r="160" spans="1:36" x14ac:dyDescent="0.2">
      <c r="A160" s="36">
        <v>43602</v>
      </c>
      <c r="B160" s="37" t="s">
        <v>435</v>
      </c>
      <c r="C160" s="37" t="s">
        <v>651</v>
      </c>
      <c r="D160" s="37" t="s">
        <v>661</v>
      </c>
      <c r="E160" s="37" t="s">
        <v>662</v>
      </c>
      <c r="F160" s="37" t="s">
        <v>663</v>
      </c>
      <c r="G160" s="37" t="s">
        <v>146</v>
      </c>
      <c r="H160" s="37" t="s">
        <v>146</v>
      </c>
      <c r="I160" s="37">
        <v>3.32</v>
      </c>
      <c r="J160" s="37">
        <v>3.39</v>
      </c>
      <c r="K160" s="37">
        <v>2.14</v>
      </c>
      <c r="L160" s="37">
        <v>1.18</v>
      </c>
      <c r="M160" s="37">
        <v>46</v>
      </c>
      <c r="N160" s="37">
        <v>42</v>
      </c>
      <c r="O160" s="37">
        <v>1</v>
      </c>
      <c r="P160" s="37">
        <v>22</v>
      </c>
      <c r="Q160" s="37">
        <v>23</v>
      </c>
      <c r="R160" s="37">
        <v>0</v>
      </c>
      <c r="S160" s="37">
        <v>100</v>
      </c>
      <c r="T160" s="37">
        <v>0</v>
      </c>
      <c r="U160" s="37">
        <v>43.48</v>
      </c>
      <c r="V160" s="37">
        <v>32.61</v>
      </c>
      <c r="W160" s="37">
        <v>23.91</v>
      </c>
      <c r="X160" s="37">
        <v>45.24</v>
      </c>
      <c r="Y160" s="37">
        <v>28.57</v>
      </c>
      <c r="Z160" s="37">
        <v>26.19</v>
      </c>
      <c r="AA160" s="37">
        <v>54.55</v>
      </c>
      <c r="AB160" s="37">
        <v>47.83</v>
      </c>
      <c r="AC160" s="24">
        <f t="shared" si="17"/>
        <v>10.507999999999997</v>
      </c>
      <c r="AD160" s="25">
        <f t="shared" si="18"/>
        <v>9.4920000000000009</v>
      </c>
      <c r="AE160" s="23" t="str">
        <f t="shared" si="19"/>
        <v>Loss</v>
      </c>
      <c r="AF160" s="23" t="str">
        <f t="shared" si="20"/>
        <v>Win</v>
      </c>
      <c r="AG160" s="23" t="str">
        <f t="shared" si="21"/>
        <v>Loss</v>
      </c>
      <c r="AH160" s="23">
        <f t="shared" si="22"/>
        <v>-50</v>
      </c>
      <c r="AI160" s="23">
        <f t="shared" si="23"/>
        <v>119.5</v>
      </c>
      <c r="AJ160" s="23">
        <f t="shared" si="24"/>
        <v>-50</v>
      </c>
    </row>
    <row r="161" spans="1:36" x14ac:dyDescent="0.2">
      <c r="A161" s="36">
        <v>43602</v>
      </c>
      <c r="B161" s="37" t="s">
        <v>435</v>
      </c>
      <c r="C161" s="37" t="s">
        <v>651</v>
      </c>
      <c r="D161" s="37" t="s">
        <v>664</v>
      </c>
      <c r="E161" s="37" t="s">
        <v>665</v>
      </c>
      <c r="F161" s="37" t="s">
        <v>666</v>
      </c>
      <c r="G161" s="37" t="s">
        <v>146</v>
      </c>
      <c r="H161" s="37" t="s">
        <v>146</v>
      </c>
      <c r="I161" s="37">
        <v>1.4</v>
      </c>
      <c r="J161" s="37">
        <v>4.4400000000000004</v>
      </c>
      <c r="K161" s="37">
        <v>7.72</v>
      </c>
      <c r="L161" s="37">
        <v>-6.32</v>
      </c>
      <c r="M161" s="37">
        <v>42</v>
      </c>
      <c r="N161" s="37">
        <v>46</v>
      </c>
      <c r="O161" s="37">
        <v>1</v>
      </c>
      <c r="P161" s="37">
        <v>19</v>
      </c>
      <c r="Q161" s="37">
        <v>24</v>
      </c>
      <c r="R161" s="37">
        <v>100</v>
      </c>
      <c r="S161" s="37">
        <v>0</v>
      </c>
      <c r="T161" s="37">
        <v>0</v>
      </c>
      <c r="U161" s="37">
        <v>47.62</v>
      </c>
      <c r="V161" s="37">
        <v>21.43</v>
      </c>
      <c r="W161" s="37">
        <v>30.95</v>
      </c>
      <c r="X161" s="37">
        <v>47.83</v>
      </c>
      <c r="Y161" s="37">
        <v>15.22</v>
      </c>
      <c r="Z161" s="37">
        <v>36.96</v>
      </c>
      <c r="AA161" s="37">
        <v>52.63</v>
      </c>
      <c r="AB161" s="37">
        <v>54.17</v>
      </c>
      <c r="AC161" s="24">
        <f t="shared" si="17"/>
        <v>31.781000000000002</v>
      </c>
      <c r="AD161" s="25">
        <f t="shared" si="18"/>
        <v>-31.781000000000002</v>
      </c>
      <c r="AE161" s="23" t="str">
        <f t="shared" si="19"/>
        <v>Loss</v>
      </c>
      <c r="AF161" s="23" t="str">
        <f t="shared" si="20"/>
        <v>Win</v>
      </c>
      <c r="AG161" s="23" t="str">
        <f t="shared" si="21"/>
        <v>Loss</v>
      </c>
      <c r="AH161" s="23">
        <f t="shared" si="22"/>
        <v>-50</v>
      </c>
      <c r="AI161" s="23">
        <f t="shared" si="23"/>
        <v>172.00000000000003</v>
      </c>
      <c r="AJ161" s="23">
        <f t="shared" si="24"/>
        <v>-50</v>
      </c>
    </row>
    <row r="162" spans="1:36" x14ac:dyDescent="0.2">
      <c r="A162" s="36">
        <v>43602</v>
      </c>
      <c r="B162" s="37" t="s">
        <v>435</v>
      </c>
      <c r="C162" s="37" t="s">
        <v>651</v>
      </c>
      <c r="D162" s="37" t="s">
        <v>667</v>
      </c>
      <c r="E162" s="37" t="s">
        <v>668</v>
      </c>
      <c r="F162" s="37" t="s">
        <v>669</v>
      </c>
      <c r="G162" s="37" t="s">
        <v>146</v>
      </c>
      <c r="H162" s="37" t="s">
        <v>146</v>
      </c>
      <c r="I162" s="37">
        <v>1.95</v>
      </c>
      <c r="J162" s="37">
        <v>3.52</v>
      </c>
      <c r="K162" s="37">
        <v>3.78</v>
      </c>
      <c r="L162" s="37">
        <v>-1.83</v>
      </c>
      <c r="M162" s="37">
        <v>44</v>
      </c>
      <c r="N162" s="37">
        <v>42</v>
      </c>
      <c r="O162" s="37">
        <v>1</v>
      </c>
      <c r="P162" s="37">
        <v>21</v>
      </c>
      <c r="Q162" s="37">
        <v>23</v>
      </c>
      <c r="R162" s="37">
        <v>100</v>
      </c>
      <c r="S162" s="37">
        <v>0</v>
      </c>
      <c r="T162" s="37">
        <v>0</v>
      </c>
      <c r="U162" s="37">
        <v>63.64</v>
      </c>
      <c r="V162" s="37">
        <v>20.45</v>
      </c>
      <c r="W162" s="37">
        <v>15.91</v>
      </c>
      <c r="X162" s="37">
        <v>57.14</v>
      </c>
      <c r="Y162" s="37">
        <v>26.19</v>
      </c>
      <c r="Z162" s="37">
        <v>16.670000000000002</v>
      </c>
      <c r="AA162" s="37">
        <v>61.9</v>
      </c>
      <c r="AB162" s="37">
        <v>47.83</v>
      </c>
      <c r="AC162" s="24">
        <f t="shared" si="17"/>
        <v>30.878</v>
      </c>
      <c r="AD162" s="25">
        <f t="shared" si="18"/>
        <v>-30.878</v>
      </c>
      <c r="AE162" s="23" t="str">
        <f t="shared" si="19"/>
        <v>Loss</v>
      </c>
      <c r="AF162" s="23" t="str">
        <f t="shared" si="20"/>
        <v>Win</v>
      </c>
      <c r="AG162" s="23" t="str">
        <f t="shared" si="21"/>
        <v>Loss</v>
      </c>
      <c r="AH162" s="23">
        <f t="shared" si="22"/>
        <v>-50</v>
      </c>
      <c r="AI162" s="23">
        <f t="shared" si="23"/>
        <v>126</v>
      </c>
      <c r="AJ162" s="23">
        <f t="shared" si="24"/>
        <v>-50</v>
      </c>
    </row>
    <row r="163" spans="1:36" x14ac:dyDescent="0.2">
      <c r="A163" s="36">
        <v>43602</v>
      </c>
      <c r="B163" s="37" t="s">
        <v>435</v>
      </c>
      <c r="C163" s="37" t="s">
        <v>651</v>
      </c>
      <c r="D163" s="37" t="s">
        <v>670</v>
      </c>
      <c r="E163" s="37" t="s">
        <v>671</v>
      </c>
      <c r="F163" s="37" t="s">
        <v>672</v>
      </c>
      <c r="G163" s="37" t="s">
        <v>146</v>
      </c>
      <c r="H163" s="37" t="s">
        <v>146</v>
      </c>
      <c r="I163" s="37">
        <v>2.02</v>
      </c>
      <c r="J163" s="37">
        <v>3.34</v>
      </c>
      <c r="K163" s="37">
        <v>3.73</v>
      </c>
      <c r="L163" s="37">
        <v>-1.71</v>
      </c>
      <c r="M163" s="37">
        <v>41</v>
      </c>
      <c r="N163" s="37">
        <v>40</v>
      </c>
      <c r="O163" s="37">
        <v>1</v>
      </c>
      <c r="P163" s="37">
        <v>18</v>
      </c>
      <c r="Q163" s="37">
        <v>20</v>
      </c>
      <c r="R163" s="37">
        <v>100</v>
      </c>
      <c r="S163" s="37">
        <v>0</v>
      </c>
      <c r="T163" s="37">
        <v>0</v>
      </c>
      <c r="U163" s="37">
        <v>29.27</v>
      </c>
      <c r="V163" s="37">
        <v>34.15</v>
      </c>
      <c r="W163" s="37">
        <v>36.590000000000003</v>
      </c>
      <c r="X163" s="37">
        <v>20</v>
      </c>
      <c r="Y163" s="37">
        <v>22.5</v>
      </c>
      <c r="Z163" s="37">
        <v>57.5</v>
      </c>
      <c r="AA163" s="37">
        <v>27.78</v>
      </c>
      <c r="AB163" s="37">
        <v>15</v>
      </c>
      <c r="AC163" s="24">
        <f t="shared" si="17"/>
        <v>37.200999999999993</v>
      </c>
      <c r="AD163" s="25">
        <f t="shared" si="18"/>
        <v>-37.200999999999993</v>
      </c>
      <c r="AE163" s="23" t="str">
        <f t="shared" si="19"/>
        <v>Loss</v>
      </c>
      <c r="AF163" s="23" t="str">
        <f t="shared" si="20"/>
        <v>Win</v>
      </c>
      <c r="AG163" s="23" t="str">
        <f t="shared" si="21"/>
        <v>Loss</v>
      </c>
      <c r="AH163" s="23">
        <f t="shared" si="22"/>
        <v>-50</v>
      </c>
      <c r="AI163" s="23">
        <f t="shared" si="23"/>
        <v>117</v>
      </c>
      <c r="AJ163" s="23">
        <f t="shared" si="24"/>
        <v>-50</v>
      </c>
    </row>
    <row r="164" spans="1:36" x14ac:dyDescent="0.2">
      <c r="A164" s="36">
        <v>43602</v>
      </c>
      <c r="B164" s="37" t="s">
        <v>435</v>
      </c>
      <c r="C164" s="37" t="s">
        <v>651</v>
      </c>
      <c r="D164" s="37" t="s">
        <v>673</v>
      </c>
      <c r="E164" s="37" t="s">
        <v>674</v>
      </c>
      <c r="F164" s="37" t="s">
        <v>675</v>
      </c>
      <c r="G164" s="37" t="s">
        <v>146</v>
      </c>
      <c r="H164" s="37" t="s">
        <v>146</v>
      </c>
      <c r="I164" s="37">
        <v>1.83</v>
      </c>
      <c r="J164" s="37">
        <v>3.37</v>
      </c>
      <c r="K164" s="37">
        <v>4.55</v>
      </c>
      <c r="L164" s="37">
        <v>-2.72</v>
      </c>
      <c r="M164" s="37">
        <v>39</v>
      </c>
      <c r="N164" s="37">
        <v>39</v>
      </c>
      <c r="O164" s="37">
        <v>1</v>
      </c>
      <c r="P164" s="37">
        <v>19</v>
      </c>
      <c r="Q164" s="37">
        <v>20</v>
      </c>
      <c r="R164" s="37">
        <v>0</v>
      </c>
      <c r="S164" s="37">
        <v>100</v>
      </c>
      <c r="T164" s="37">
        <v>0</v>
      </c>
      <c r="U164" s="37">
        <v>41.03</v>
      </c>
      <c r="V164" s="37">
        <v>35.9</v>
      </c>
      <c r="W164" s="37">
        <v>23.08</v>
      </c>
      <c r="X164" s="37">
        <v>25.64</v>
      </c>
      <c r="Y164" s="37">
        <v>30.77</v>
      </c>
      <c r="Z164" s="37">
        <v>43.59</v>
      </c>
      <c r="AA164" s="37">
        <v>47.37</v>
      </c>
      <c r="AB164" s="37">
        <v>25</v>
      </c>
      <c r="AC164" s="24">
        <f t="shared" si="17"/>
        <v>17.693000000000005</v>
      </c>
      <c r="AD164" s="25">
        <f t="shared" si="18"/>
        <v>2.3069999999999968</v>
      </c>
      <c r="AE164" s="23" t="str">
        <f t="shared" si="19"/>
        <v>Loss</v>
      </c>
      <c r="AF164" s="23" t="str">
        <f t="shared" si="20"/>
        <v>Win</v>
      </c>
      <c r="AG164" s="23" t="str">
        <f t="shared" si="21"/>
        <v>Loss</v>
      </c>
      <c r="AH164" s="23">
        <f t="shared" si="22"/>
        <v>-50</v>
      </c>
      <c r="AI164" s="23">
        <f t="shared" si="23"/>
        <v>118.5</v>
      </c>
      <c r="AJ164" s="23">
        <f t="shared" si="24"/>
        <v>-50</v>
      </c>
    </row>
    <row r="165" spans="1:36" x14ac:dyDescent="0.2">
      <c r="A165" s="36">
        <v>43602</v>
      </c>
      <c r="B165" s="37" t="s">
        <v>435</v>
      </c>
      <c r="C165" s="37" t="s">
        <v>651</v>
      </c>
      <c r="D165" s="37" t="s">
        <v>676</v>
      </c>
      <c r="E165" s="37" t="s">
        <v>677</v>
      </c>
      <c r="F165" s="37" t="s">
        <v>678</v>
      </c>
      <c r="G165" s="37" t="s">
        <v>146</v>
      </c>
      <c r="H165" s="37" t="s">
        <v>146</v>
      </c>
      <c r="I165" s="37">
        <v>1.67</v>
      </c>
      <c r="J165" s="37">
        <v>3.78</v>
      </c>
      <c r="K165" s="37">
        <v>4.9800000000000004</v>
      </c>
      <c r="L165" s="37">
        <v>-3.31</v>
      </c>
      <c r="M165" s="37">
        <v>40</v>
      </c>
      <c r="N165" s="37">
        <v>40</v>
      </c>
      <c r="O165" s="37">
        <v>1</v>
      </c>
      <c r="P165" s="37">
        <v>19</v>
      </c>
      <c r="Q165" s="37">
        <v>20</v>
      </c>
      <c r="R165" s="37">
        <v>0</v>
      </c>
      <c r="S165" s="37">
        <v>0</v>
      </c>
      <c r="T165" s="37">
        <v>100</v>
      </c>
      <c r="U165" s="37">
        <v>27.5</v>
      </c>
      <c r="V165" s="37">
        <v>20</v>
      </c>
      <c r="W165" s="37">
        <v>52.5</v>
      </c>
      <c r="X165" s="37">
        <v>35</v>
      </c>
      <c r="Y165" s="37">
        <v>27.5</v>
      </c>
      <c r="Z165" s="37">
        <v>37.5</v>
      </c>
      <c r="AA165" s="37">
        <v>31.58</v>
      </c>
      <c r="AB165" s="37">
        <v>30</v>
      </c>
      <c r="AC165" s="24">
        <f t="shared" si="17"/>
        <v>-35.25</v>
      </c>
      <c r="AD165" s="25">
        <f t="shared" si="18"/>
        <v>35.25</v>
      </c>
      <c r="AE165" s="23" t="str">
        <f t="shared" si="19"/>
        <v>Loss</v>
      </c>
      <c r="AF165" s="23" t="str">
        <f t="shared" si="20"/>
        <v>Win</v>
      </c>
      <c r="AG165" s="23" t="str">
        <f t="shared" si="21"/>
        <v>Loss</v>
      </c>
      <c r="AH165" s="23">
        <f t="shared" si="22"/>
        <v>-50</v>
      </c>
      <c r="AI165" s="23">
        <f t="shared" si="23"/>
        <v>139</v>
      </c>
      <c r="AJ165" s="23">
        <f t="shared" si="24"/>
        <v>-50</v>
      </c>
    </row>
    <row r="166" spans="1:36" x14ac:dyDescent="0.2">
      <c r="A166" s="36">
        <v>43602</v>
      </c>
      <c r="B166" s="37" t="s">
        <v>435</v>
      </c>
      <c r="C166" s="37" t="s">
        <v>651</v>
      </c>
      <c r="D166" s="37" t="s">
        <v>679</v>
      </c>
      <c r="E166" s="37" t="s">
        <v>680</v>
      </c>
      <c r="F166" s="37" t="s">
        <v>681</v>
      </c>
      <c r="G166" s="37" t="s">
        <v>146</v>
      </c>
      <c r="H166" s="37" t="s">
        <v>146</v>
      </c>
      <c r="I166" s="37">
        <v>2.41</v>
      </c>
      <c r="J166" s="37">
        <v>3.19</v>
      </c>
      <c r="K166" s="37">
        <v>2.97</v>
      </c>
      <c r="L166" s="37">
        <v>-0.56000000000000005</v>
      </c>
      <c r="M166" s="37">
        <v>41</v>
      </c>
      <c r="N166" s="37">
        <v>40</v>
      </c>
      <c r="O166" s="37">
        <v>1</v>
      </c>
      <c r="P166" s="37">
        <v>19</v>
      </c>
      <c r="Q166" s="37">
        <v>20</v>
      </c>
      <c r="R166" s="37">
        <v>100</v>
      </c>
      <c r="S166" s="37">
        <v>0</v>
      </c>
      <c r="T166" s="37">
        <v>0</v>
      </c>
      <c r="U166" s="37">
        <v>56.1</v>
      </c>
      <c r="V166" s="37">
        <v>17.07</v>
      </c>
      <c r="W166" s="37">
        <v>26.83</v>
      </c>
      <c r="X166" s="37">
        <v>25</v>
      </c>
      <c r="Y166" s="37">
        <v>30</v>
      </c>
      <c r="Z166" s="37">
        <v>45</v>
      </c>
      <c r="AA166" s="37">
        <v>68.42</v>
      </c>
      <c r="AB166" s="37">
        <v>20</v>
      </c>
      <c r="AC166" s="24">
        <f t="shared" si="17"/>
        <v>38.561</v>
      </c>
      <c r="AD166" s="25">
        <f t="shared" si="18"/>
        <v>-38.561</v>
      </c>
      <c r="AE166" s="23" t="str">
        <f t="shared" si="19"/>
        <v>Loss</v>
      </c>
      <c r="AF166" s="23" t="str">
        <f t="shared" si="20"/>
        <v>Win</v>
      </c>
      <c r="AG166" s="23" t="str">
        <f t="shared" si="21"/>
        <v>Loss</v>
      </c>
      <c r="AH166" s="23">
        <f t="shared" si="22"/>
        <v>-50</v>
      </c>
      <c r="AI166" s="23">
        <f t="shared" si="23"/>
        <v>109.5</v>
      </c>
      <c r="AJ166" s="23">
        <f t="shared" si="24"/>
        <v>-50</v>
      </c>
    </row>
    <row r="167" spans="1:36" x14ac:dyDescent="0.2">
      <c r="A167" s="36">
        <v>43602</v>
      </c>
      <c r="B167" s="37" t="s">
        <v>682</v>
      </c>
      <c r="C167" s="37" t="s">
        <v>466</v>
      </c>
      <c r="D167" s="37" t="s">
        <v>683</v>
      </c>
      <c r="E167" s="37" t="s">
        <v>684</v>
      </c>
      <c r="F167" s="37" t="s">
        <v>685</v>
      </c>
      <c r="G167" s="37" t="s">
        <v>146</v>
      </c>
      <c r="H167" s="37" t="s">
        <v>146</v>
      </c>
      <c r="I167" s="37">
        <v>3.53</v>
      </c>
      <c r="J167" s="37">
        <v>3.37</v>
      </c>
      <c r="K167" s="37">
        <v>2.02</v>
      </c>
      <c r="L167" s="37">
        <v>1.51</v>
      </c>
      <c r="M167" s="37">
        <v>14</v>
      </c>
      <c r="N167" s="37">
        <v>14</v>
      </c>
      <c r="O167" s="37">
        <v>1</v>
      </c>
      <c r="P167" s="37">
        <v>7</v>
      </c>
      <c r="Q167" s="37">
        <v>6</v>
      </c>
      <c r="R167" s="37">
        <v>100</v>
      </c>
      <c r="S167" s="37">
        <v>0</v>
      </c>
      <c r="T167" s="37">
        <v>0</v>
      </c>
      <c r="U167" s="37">
        <v>21.43</v>
      </c>
      <c r="V167" s="37">
        <v>7.14</v>
      </c>
      <c r="W167" s="37">
        <v>71.430000000000007</v>
      </c>
      <c r="X167" s="37">
        <v>50</v>
      </c>
      <c r="Y167" s="37">
        <v>7.14</v>
      </c>
      <c r="Z167" s="37">
        <v>42.86</v>
      </c>
      <c r="AA167" s="37">
        <v>14.29</v>
      </c>
      <c r="AB167" s="37">
        <v>33.33</v>
      </c>
      <c r="AC167" s="24">
        <f t="shared" si="17"/>
        <v>18.571999999999999</v>
      </c>
      <c r="AD167" s="25">
        <f t="shared" si="18"/>
        <v>-18.571999999999999</v>
      </c>
      <c r="AE167" s="23" t="str">
        <f t="shared" si="19"/>
        <v>Loss</v>
      </c>
      <c r="AF167" s="23" t="str">
        <f t="shared" si="20"/>
        <v>Win</v>
      </c>
      <c r="AG167" s="23" t="str">
        <f t="shared" si="21"/>
        <v>Loss</v>
      </c>
      <c r="AH167" s="23">
        <f t="shared" si="22"/>
        <v>-50</v>
      </c>
      <c r="AI167" s="23">
        <f t="shared" si="23"/>
        <v>118.5</v>
      </c>
      <c r="AJ167" s="23">
        <f t="shared" si="24"/>
        <v>-50</v>
      </c>
    </row>
    <row r="168" spans="1:36" x14ac:dyDescent="0.2">
      <c r="A168" s="36">
        <v>43602</v>
      </c>
      <c r="B168" s="37" t="s">
        <v>682</v>
      </c>
      <c r="C168" s="37" t="s">
        <v>466</v>
      </c>
      <c r="D168" s="37" t="s">
        <v>686</v>
      </c>
      <c r="E168" s="37" t="s">
        <v>687</v>
      </c>
      <c r="F168" s="37" t="s">
        <v>688</v>
      </c>
      <c r="G168" s="37" t="s">
        <v>146</v>
      </c>
      <c r="H168" s="37" t="s">
        <v>146</v>
      </c>
      <c r="I168" s="37">
        <v>4.49</v>
      </c>
      <c r="J168" s="37">
        <v>3.65</v>
      </c>
      <c r="K168" s="37">
        <v>1.72</v>
      </c>
      <c r="L168" s="37">
        <v>2.77</v>
      </c>
      <c r="M168" s="37">
        <v>14</v>
      </c>
      <c r="N168" s="37">
        <v>16</v>
      </c>
      <c r="O168" s="37">
        <v>0</v>
      </c>
      <c r="P168" s="37">
        <v>7</v>
      </c>
      <c r="Q168" s="37">
        <v>8</v>
      </c>
      <c r="R168" s="37">
        <v>0</v>
      </c>
      <c r="S168" s="37">
        <v>0</v>
      </c>
      <c r="T168" s="37">
        <v>0</v>
      </c>
      <c r="U168" s="37">
        <v>35.71</v>
      </c>
      <c r="V168" s="37">
        <v>0</v>
      </c>
      <c r="W168" s="37">
        <v>64.290000000000006</v>
      </c>
      <c r="X168" s="37">
        <v>62.5</v>
      </c>
      <c r="Y168" s="37">
        <v>18.75</v>
      </c>
      <c r="Z168" s="37">
        <v>18.75</v>
      </c>
      <c r="AA168" s="37">
        <v>14.29</v>
      </c>
      <c r="AB168" s="37">
        <v>50</v>
      </c>
      <c r="AC168" s="24">
        <f t="shared" si="17"/>
        <v>-16.341000000000001</v>
      </c>
      <c r="AD168" s="25">
        <f t="shared" si="18"/>
        <v>16.341000000000001</v>
      </c>
      <c r="AE168" s="23" t="str">
        <f t="shared" si="19"/>
        <v>Loss</v>
      </c>
      <c r="AF168" s="23" t="str">
        <f t="shared" si="20"/>
        <v>Win</v>
      </c>
      <c r="AG168" s="23" t="str">
        <f t="shared" si="21"/>
        <v>Loss</v>
      </c>
      <c r="AH168" s="23">
        <f t="shared" si="22"/>
        <v>-50</v>
      </c>
      <c r="AI168" s="23">
        <f t="shared" si="23"/>
        <v>132.5</v>
      </c>
      <c r="AJ168" s="23">
        <f t="shared" si="24"/>
        <v>-50</v>
      </c>
    </row>
    <row r="169" spans="1:36" x14ac:dyDescent="0.2">
      <c r="A169" s="36">
        <v>43602</v>
      </c>
      <c r="B169" s="37" t="s">
        <v>682</v>
      </c>
      <c r="C169" s="37" t="s">
        <v>466</v>
      </c>
      <c r="D169" s="37" t="s">
        <v>689</v>
      </c>
      <c r="E169" s="37" t="s">
        <v>690</v>
      </c>
      <c r="F169" s="37" t="s">
        <v>691</v>
      </c>
      <c r="G169" s="37" t="s">
        <v>146</v>
      </c>
      <c r="H169" s="37" t="s">
        <v>146</v>
      </c>
      <c r="I169" s="37">
        <v>7.06</v>
      </c>
      <c r="J169" s="37">
        <v>4.49</v>
      </c>
      <c r="K169" s="37">
        <v>1.4</v>
      </c>
      <c r="L169" s="37">
        <v>5.66</v>
      </c>
      <c r="M169" s="37">
        <v>14</v>
      </c>
      <c r="N169" s="37">
        <v>16</v>
      </c>
      <c r="O169" s="37">
        <v>1</v>
      </c>
      <c r="P169" s="37">
        <v>7</v>
      </c>
      <c r="Q169" s="37">
        <v>7</v>
      </c>
      <c r="R169" s="37">
        <v>0</v>
      </c>
      <c r="S169" s="37">
        <v>0</v>
      </c>
      <c r="T169" s="37">
        <v>100</v>
      </c>
      <c r="U169" s="37">
        <v>14.29</v>
      </c>
      <c r="V169" s="37">
        <v>14.29</v>
      </c>
      <c r="W169" s="37">
        <v>71.430000000000007</v>
      </c>
      <c r="X169" s="37">
        <v>56.25</v>
      </c>
      <c r="Y169" s="37">
        <v>6.25</v>
      </c>
      <c r="Z169" s="37">
        <v>37.5</v>
      </c>
      <c r="AA169" s="37">
        <v>28.57</v>
      </c>
      <c r="AB169" s="37">
        <v>28.57</v>
      </c>
      <c r="AC169" s="24">
        <f t="shared" si="17"/>
        <v>-44.374000000000002</v>
      </c>
      <c r="AD169" s="25">
        <f t="shared" si="18"/>
        <v>44.374000000000002</v>
      </c>
      <c r="AE169" s="23" t="str">
        <f t="shared" si="19"/>
        <v>Loss</v>
      </c>
      <c r="AF169" s="23" t="str">
        <f t="shared" si="20"/>
        <v>Win</v>
      </c>
      <c r="AG169" s="23" t="str">
        <f t="shared" si="21"/>
        <v>Loss</v>
      </c>
      <c r="AH169" s="23">
        <f t="shared" si="22"/>
        <v>-50</v>
      </c>
      <c r="AI169" s="23">
        <f t="shared" si="23"/>
        <v>174.5</v>
      </c>
      <c r="AJ169" s="23">
        <f t="shared" si="24"/>
        <v>-50</v>
      </c>
    </row>
    <row r="170" spans="1:36" x14ac:dyDescent="0.2">
      <c r="A170" s="36">
        <v>43602</v>
      </c>
      <c r="B170" s="37" t="s">
        <v>682</v>
      </c>
      <c r="C170" s="37" t="s">
        <v>692</v>
      </c>
      <c r="D170" s="37" t="s">
        <v>693</v>
      </c>
      <c r="E170" s="37" t="s">
        <v>694</v>
      </c>
      <c r="F170" s="37" t="s">
        <v>695</v>
      </c>
      <c r="G170" s="37" t="s">
        <v>146</v>
      </c>
      <c r="H170" s="37" t="s">
        <v>146</v>
      </c>
      <c r="I170" s="37">
        <v>5.52</v>
      </c>
      <c r="J170" s="37">
        <v>3.62</v>
      </c>
      <c r="K170" s="37">
        <v>1.63</v>
      </c>
      <c r="L170" s="37">
        <v>3.89</v>
      </c>
      <c r="M170" s="37">
        <v>24</v>
      </c>
      <c r="N170" s="37">
        <v>23</v>
      </c>
      <c r="O170" s="37">
        <v>3</v>
      </c>
      <c r="P170" s="37">
        <v>13</v>
      </c>
      <c r="Q170" s="37">
        <v>12</v>
      </c>
      <c r="R170" s="37">
        <v>0</v>
      </c>
      <c r="S170" s="37">
        <v>0</v>
      </c>
      <c r="T170" s="37">
        <v>100</v>
      </c>
      <c r="U170" s="37">
        <v>41.67</v>
      </c>
      <c r="V170" s="37">
        <v>20.83</v>
      </c>
      <c r="W170" s="37">
        <v>37.5</v>
      </c>
      <c r="X170" s="37">
        <v>73.91</v>
      </c>
      <c r="Y170" s="37">
        <v>17.39</v>
      </c>
      <c r="Z170" s="37">
        <v>8.6999999999999993</v>
      </c>
      <c r="AA170" s="37">
        <v>38.46</v>
      </c>
      <c r="AB170" s="37">
        <v>66.67</v>
      </c>
      <c r="AC170" s="24">
        <f t="shared" si="17"/>
        <v>-41.86399999999999</v>
      </c>
      <c r="AD170" s="25">
        <f t="shared" si="18"/>
        <v>41.86399999999999</v>
      </c>
      <c r="AE170" s="23" t="str">
        <f t="shared" si="19"/>
        <v>Loss</v>
      </c>
      <c r="AF170" s="23" t="str">
        <f t="shared" si="20"/>
        <v>Win</v>
      </c>
      <c r="AG170" s="23" t="str">
        <f t="shared" si="21"/>
        <v>Loss</v>
      </c>
      <c r="AH170" s="23">
        <f t="shared" si="22"/>
        <v>-50</v>
      </c>
      <c r="AI170" s="23">
        <f t="shared" si="23"/>
        <v>131</v>
      </c>
      <c r="AJ170" s="23">
        <f t="shared" si="24"/>
        <v>-50</v>
      </c>
    </row>
    <row r="171" spans="1:36" x14ac:dyDescent="0.2">
      <c r="A171" s="36">
        <v>43602</v>
      </c>
      <c r="B171" s="37" t="s">
        <v>682</v>
      </c>
      <c r="C171" s="37" t="s">
        <v>692</v>
      </c>
      <c r="D171" s="37" t="s">
        <v>696</v>
      </c>
      <c r="E171" s="37" t="s">
        <v>697</v>
      </c>
      <c r="F171" s="37" t="s">
        <v>698</v>
      </c>
      <c r="G171" s="37" t="s">
        <v>146</v>
      </c>
      <c r="H171" s="37" t="s">
        <v>146</v>
      </c>
      <c r="I171" s="37">
        <v>2.61</v>
      </c>
      <c r="J171" s="37">
        <v>2.99</v>
      </c>
      <c r="K171" s="37">
        <v>2.86</v>
      </c>
      <c r="L171" s="37">
        <v>-0.25</v>
      </c>
      <c r="M171" s="37">
        <v>19</v>
      </c>
      <c r="N171" s="37">
        <v>22</v>
      </c>
      <c r="O171" s="37">
        <v>1</v>
      </c>
      <c r="P171" s="37">
        <v>9</v>
      </c>
      <c r="Q171" s="37">
        <v>12</v>
      </c>
      <c r="R171" s="37">
        <v>0</v>
      </c>
      <c r="S171" s="37">
        <v>0</v>
      </c>
      <c r="T171" s="37">
        <v>100</v>
      </c>
      <c r="U171" s="37">
        <v>36.840000000000003</v>
      </c>
      <c r="V171" s="37">
        <v>21.05</v>
      </c>
      <c r="W171" s="37">
        <v>42.11</v>
      </c>
      <c r="X171" s="37">
        <v>59.09</v>
      </c>
      <c r="Y171" s="37">
        <v>18.18</v>
      </c>
      <c r="Z171" s="37">
        <v>22.73</v>
      </c>
      <c r="AA171" s="37">
        <v>44.44</v>
      </c>
      <c r="AB171" s="37">
        <v>66.67</v>
      </c>
      <c r="AC171" s="24">
        <f t="shared" si="17"/>
        <v>-38.038999999999994</v>
      </c>
      <c r="AD171" s="25">
        <f t="shared" si="18"/>
        <v>38.038999999999994</v>
      </c>
      <c r="AE171" s="23" t="str">
        <f t="shared" si="19"/>
        <v>Loss</v>
      </c>
      <c r="AF171" s="23" t="str">
        <f t="shared" si="20"/>
        <v>Win</v>
      </c>
      <c r="AG171" s="23" t="str">
        <f t="shared" si="21"/>
        <v>Loss</v>
      </c>
      <c r="AH171" s="23">
        <f t="shared" si="22"/>
        <v>-50</v>
      </c>
      <c r="AI171" s="23">
        <f t="shared" si="23"/>
        <v>99.5</v>
      </c>
      <c r="AJ171" s="23">
        <f t="shared" si="24"/>
        <v>-50</v>
      </c>
    </row>
    <row r="172" spans="1:36" x14ac:dyDescent="0.2">
      <c r="A172" s="36">
        <v>43602</v>
      </c>
      <c r="B172" s="37" t="s">
        <v>682</v>
      </c>
      <c r="C172" s="37" t="s">
        <v>692</v>
      </c>
      <c r="D172" s="37" t="s">
        <v>699</v>
      </c>
      <c r="E172" s="37" t="s">
        <v>700</v>
      </c>
      <c r="F172" s="37" t="s">
        <v>701</v>
      </c>
      <c r="G172" s="37" t="s">
        <v>146</v>
      </c>
      <c r="H172" s="37" t="s">
        <v>146</v>
      </c>
      <c r="I172" s="37">
        <v>10.01</v>
      </c>
      <c r="J172" s="37">
        <v>4.79</v>
      </c>
      <c r="K172" s="37">
        <v>1.32</v>
      </c>
      <c r="L172" s="37">
        <v>8.69</v>
      </c>
      <c r="M172" s="37">
        <v>21</v>
      </c>
      <c r="N172" s="37">
        <v>18</v>
      </c>
      <c r="O172" s="37">
        <v>1</v>
      </c>
      <c r="P172" s="37">
        <v>10</v>
      </c>
      <c r="Q172" s="37">
        <v>10</v>
      </c>
      <c r="R172" s="37">
        <v>0</v>
      </c>
      <c r="S172" s="37">
        <v>0</v>
      </c>
      <c r="T172" s="37">
        <v>100</v>
      </c>
      <c r="U172" s="37">
        <v>33.33</v>
      </c>
      <c r="V172" s="37">
        <v>4.76</v>
      </c>
      <c r="W172" s="37">
        <v>61.9</v>
      </c>
      <c r="X172" s="37">
        <v>61.11</v>
      </c>
      <c r="Y172" s="37">
        <v>5.56</v>
      </c>
      <c r="Z172" s="37">
        <v>33.33</v>
      </c>
      <c r="AA172" s="37">
        <v>50</v>
      </c>
      <c r="AB172" s="37">
        <v>50</v>
      </c>
      <c r="AC172" s="24">
        <f t="shared" si="17"/>
        <v>-41.349999999999994</v>
      </c>
      <c r="AD172" s="25">
        <f t="shared" si="18"/>
        <v>41.349999999999994</v>
      </c>
      <c r="AE172" s="23" t="str">
        <f t="shared" si="19"/>
        <v>Loss</v>
      </c>
      <c r="AF172" s="23" t="str">
        <f t="shared" si="20"/>
        <v>Win</v>
      </c>
      <c r="AG172" s="23" t="str">
        <f t="shared" si="21"/>
        <v>Loss</v>
      </c>
      <c r="AH172" s="23">
        <f t="shared" si="22"/>
        <v>-50</v>
      </c>
      <c r="AI172" s="23">
        <f t="shared" si="23"/>
        <v>189.5</v>
      </c>
      <c r="AJ172" s="23">
        <f t="shared" si="24"/>
        <v>-50</v>
      </c>
    </row>
    <row r="173" spans="1:36" x14ac:dyDescent="0.2">
      <c r="A173" s="36">
        <v>43602</v>
      </c>
      <c r="B173" s="37" t="s">
        <v>702</v>
      </c>
      <c r="C173" s="37" t="s">
        <v>703</v>
      </c>
      <c r="D173" s="37" t="s">
        <v>704</v>
      </c>
      <c r="E173" s="37" t="s">
        <v>705</v>
      </c>
      <c r="F173" s="37" t="s">
        <v>706</v>
      </c>
      <c r="G173" s="37" t="s">
        <v>146</v>
      </c>
      <c r="H173" s="37" t="s">
        <v>146</v>
      </c>
      <c r="I173" s="37">
        <v>3.99</v>
      </c>
      <c r="J173" s="37">
        <v>3.5</v>
      </c>
      <c r="K173" s="37">
        <v>1.73</v>
      </c>
      <c r="L173" s="37">
        <v>2.2599999999999998</v>
      </c>
      <c r="M173" s="37">
        <v>11</v>
      </c>
      <c r="N173" s="37">
        <v>7</v>
      </c>
      <c r="O173" s="37">
        <v>2</v>
      </c>
      <c r="P173" s="37">
        <v>5</v>
      </c>
      <c r="Q173" s="37">
        <v>2</v>
      </c>
      <c r="R173" s="37">
        <v>50</v>
      </c>
      <c r="S173" s="37">
        <v>0</v>
      </c>
      <c r="T173" s="37">
        <v>50</v>
      </c>
      <c r="U173" s="37">
        <v>45.45</v>
      </c>
      <c r="V173" s="37">
        <v>9.09</v>
      </c>
      <c r="W173" s="37">
        <v>45.45</v>
      </c>
      <c r="X173" s="37">
        <v>57.14</v>
      </c>
      <c r="Y173" s="37">
        <v>14.29</v>
      </c>
      <c r="Z173" s="37">
        <v>28.57</v>
      </c>
      <c r="AA173" s="37">
        <v>40</v>
      </c>
      <c r="AB173" s="37">
        <v>50</v>
      </c>
      <c r="AC173" s="24">
        <f t="shared" si="17"/>
        <v>-6.234</v>
      </c>
      <c r="AD173" s="25">
        <f t="shared" si="18"/>
        <v>6.234</v>
      </c>
      <c r="AE173" s="23" t="str">
        <f t="shared" si="19"/>
        <v>Loss</v>
      </c>
      <c r="AF173" s="23" t="str">
        <f t="shared" si="20"/>
        <v>Win</v>
      </c>
      <c r="AG173" s="23" t="str">
        <f t="shared" si="21"/>
        <v>Loss</v>
      </c>
      <c r="AH173" s="23">
        <f t="shared" si="22"/>
        <v>-50</v>
      </c>
      <c r="AI173" s="23">
        <f t="shared" si="23"/>
        <v>125</v>
      </c>
      <c r="AJ173" s="23">
        <f t="shared" si="24"/>
        <v>-50</v>
      </c>
    </row>
    <row r="174" spans="1:36" x14ac:dyDescent="0.2">
      <c r="A174" s="36">
        <v>43602</v>
      </c>
      <c r="B174" s="37" t="s">
        <v>707</v>
      </c>
      <c r="C174" s="37" t="s">
        <v>708</v>
      </c>
      <c r="D174" s="37" t="s">
        <v>709</v>
      </c>
      <c r="E174" s="37" t="s">
        <v>710</v>
      </c>
      <c r="F174" s="37" t="s">
        <v>711</v>
      </c>
      <c r="G174" s="37" t="s">
        <v>146</v>
      </c>
      <c r="H174" s="37" t="s">
        <v>146</v>
      </c>
      <c r="I174" s="37">
        <v>1.8</v>
      </c>
      <c r="J174" s="37">
        <v>3.53</v>
      </c>
      <c r="K174" s="37">
        <v>4.3499999999999996</v>
      </c>
      <c r="L174" s="37">
        <v>-2.5499999999999998</v>
      </c>
      <c r="M174" s="37">
        <v>46</v>
      </c>
      <c r="N174" s="37">
        <v>51</v>
      </c>
      <c r="O174" s="37">
        <v>6</v>
      </c>
      <c r="P174" s="37">
        <v>23</v>
      </c>
      <c r="Q174" s="37">
        <v>25</v>
      </c>
      <c r="R174" s="37">
        <v>50</v>
      </c>
      <c r="S174" s="37">
        <v>33.33</v>
      </c>
      <c r="T174" s="37">
        <v>16.670000000000002</v>
      </c>
      <c r="U174" s="37">
        <v>52.17</v>
      </c>
      <c r="V174" s="37">
        <v>17.39</v>
      </c>
      <c r="W174" s="37">
        <v>30.43</v>
      </c>
      <c r="X174" s="37">
        <v>43.14</v>
      </c>
      <c r="Y174" s="37">
        <v>33.33</v>
      </c>
      <c r="Z174" s="37">
        <v>23.53</v>
      </c>
      <c r="AA174" s="37">
        <v>52.17</v>
      </c>
      <c r="AB174" s="37">
        <v>48</v>
      </c>
      <c r="AC174" s="24">
        <f t="shared" si="17"/>
        <v>12.163999999999998</v>
      </c>
      <c r="AD174" s="25">
        <f t="shared" si="18"/>
        <v>-5.498000000000002</v>
      </c>
      <c r="AE174" s="23" t="str">
        <f t="shared" si="19"/>
        <v>Loss</v>
      </c>
      <c r="AF174" s="23" t="str">
        <f t="shared" si="20"/>
        <v>Win</v>
      </c>
      <c r="AG174" s="23" t="str">
        <f t="shared" si="21"/>
        <v>Loss</v>
      </c>
      <c r="AH174" s="23">
        <f t="shared" si="22"/>
        <v>-50</v>
      </c>
      <c r="AI174" s="23">
        <f t="shared" si="23"/>
        <v>126.5</v>
      </c>
      <c r="AJ174" s="23">
        <f t="shared" si="24"/>
        <v>-50</v>
      </c>
    </row>
    <row r="175" spans="1:36" x14ac:dyDescent="0.2">
      <c r="A175" s="36">
        <v>43602</v>
      </c>
      <c r="B175" s="37" t="s">
        <v>682</v>
      </c>
      <c r="C175" s="37" t="s">
        <v>692</v>
      </c>
      <c r="D175" s="37" t="s">
        <v>712</v>
      </c>
      <c r="E175" s="37" t="s">
        <v>713</v>
      </c>
      <c r="F175" s="37" t="s">
        <v>714</v>
      </c>
      <c r="G175" s="37" t="s">
        <v>146</v>
      </c>
      <c r="H175" s="37" t="s">
        <v>146</v>
      </c>
      <c r="I175" s="37">
        <v>3.81</v>
      </c>
      <c r="J175" s="37">
        <v>3.51</v>
      </c>
      <c r="K175" s="37">
        <v>1.93</v>
      </c>
      <c r="L175" s="37">
        <v>1.88</v>
      </c>
      <c r="M175" s="37">
        <v>19</v>
      </c>
      <c r="N175" s="37">
        <v>20</v>
      </c>
      <c r="O175" s="37">
        <v>1</v>
      </c>
      <c r="P175" s="37">
        <v>9</v>
      </c>
      <c r="Q175" s="37">
        <v>11</v>
      </c>
      <c r="R175" s="37">
        <v>0</v>
      </c>
      <c r="S175" s="37">
        <v>0</v>
      </c>
      <c r="T175" s="37">
        <v>100</v>
      </c>
      <c r="U175" s="37">
        <v>15.79</v>
      </c>
      <c r="V175" s="37">
        <v>21.05</v>
      </c>
      <c r="W175" s="37">
        <v>63.16</v>
      </c>
      <c r="X175" s="37">
        <v>40</v>
      </c>
      <c r="Y175" s="37">
        <v>25</v>
      </c>
      <c r="Z175" s="37">
        <v>35</v>
      </c>
      <c r="AA175" s="37">
        <v>22.22</v>
      </c>
      <c r="AB175" s="37">
        <v>36.36</v>
      </c>
      <c r="AC175" s="24">
        <f t="shared" si="17"/>
        <v>-40.869</v>
      </c>
      <c r="AD175" s="25">
        <f t="shared" si="18"/>
        <v>40.869</v>
      </c>
      <c r="AE175" s="23" t="str">
        <f t="shared" si="19"/>
        <v>Loss</v>
      </c>
      <c r="AF175" s="23" t="str">
        <f t="shared" si="20"/>
        <v>Win</v>
      </c>
      <c r="AG175" s="23" t="str">
        <f t="shared" si="21"/>
        <v>Loss</v>
      </c>
      <c r="AH175" s="23">
        <f t="shared" si="22"/>
        <v>-50</v>
      </c>
      <c r="AI175" s="23">
        <f t="shared" si="23"/>
        <v>125.5</v>
      </c>
      <c r="AJ175" s="23">
        <f t="shared" si="24"/>
        <v>-50</v>
      </c>
    </row>
    <row r="176" spans="1:36" x14ac:dyDescent="0.2">
      <c r="A176" s="36">
        <v>43602</v>
      </c>
      <c r="B176" s="37" t="s">
        <v>302</v>
      </c>
      <c r="C176" s="37" t="s">
        <v>715</v>
      </c>
      <c r="D176" s="37" t="s">
        <v>716</v>
      </c>
      <c r="E176" s="37" t="s">
        <v>717</v>
      </c>
      <c r="F176" s="37" t="s">
        <v>718</v>
      </c>
      <c r="G176" s="37" t="s">
        <v>146</v>
      </c>
      <c r="H176" s="37" t="s">
        <v>146</v>
      </c>
      <c r="I176" s="37">
        <v>2.14</v>
      </c>
      <c r="J176" s="37">
        <v>3.17</v>
      </c>
      <c r="K176" s="37">
        <v>3.59</v>
      </c>
      <c r="L176" s="37">
        <v>-1.45</v>
      </c>
      <c r="M176" s="37">
        <v>38</v>
      </c>
      <c r="N176" s="37">
        <v>39</v>
      </c>
      <c r="O176" s="37">
        <v>2</v>
      </c>
      <c r="P176" s="37">
        <v>20</v>
      </c>
      <c r="Q176" s="37">
        <v>20</v>
      </c>
      <c r="R176" s="37">
        <v>100</v>
      </c>
      <c r="S176" s="37">
        <v>0</v>
      </c>
      <c r="T176" s="37">
        <v>0</v>
      </c>
      <c r="U176" s="37">
        <v>39.47</v>
      </c>
      <c r="V176" s="37">
        <v>23.68</v>
      </c>
      <c r="W176" s="37">
        <v>36.840000000000003</v>
      </c>
      <c r="X176" s="37">
        <v>35.9</v>
      </c>
      <c r="Y176" s="37">
        <v>38.46</v>
      </c>
      <c r="Z176" s="37">
        <v>25.64</v>
      </c>
      <c r="AA176" s="37">
        <v>55</v>
      </c>
      <c r="AB176" s="37">
        <v>20</v>
      </c>
      <c r="AC176" s="24">
        <f t="shared" si="17"/>
        <v>26.995999999999999</v>
      </c>
      <c r="AD176" s="25">
        <f t="shared" si="18"/>
        <v>-26.995999999999999</v>
      </c>
      <c r="AE176" s="23" t="str">
        <f t="shared" si="19"/>
        <v>Loss</v>
      </c>
      <c r="AF176" s="23" t="str">
        <f t="shared" si="20"/>
        <v>Win</v>
      </c>
      <c r="AG176" s="23" t="str">
        <f t="shared" si="21"/>
        <v>Loss</v>
      </c>
      <c r="AH176" s="23">
        <f t="shared" si="22"/>
        <v>-50</v>
      </c>
      <c r="AI176" s="23">
        <f t="shared" si="23"/>
        <v>108.5</v>
      </c>
      <c r="AJ176" s="23">
        <f t="shared" si="24"/>
        <v>-50</v>
      </c>
    </row>
    <row r="177" spans="1:36" x14ac:dyDescent="0.2">
      <c r="A177" s="36">
        <v>43602</v>
      </c>
      <c r="B177" s="37" t="s">
        <v>719</v>
      </c>
      <c r="C177" s="37" t="s">
        <v>720</v>
      </c>
      <c r="D177" s="37" t="s">
        <v>721</v>
      </c>
      <c r="E177" s="37" t="s">
        <v>722</v>
      </c>
      <c r="F177" s="37" t="s">
        <v>723</v>
      </c>
      <c r="G177" s="37" t="s">
        <v>146</v>
      </c>
      <c r="H177" s="37" t="s">
        <v>146</v>
      </c>
      <c r="I177" s="37">
        <v>1.95</v>
      </c>
      <c r="J177" s="37">
        <v>3.44</v>
      </c>
      <c r="K177" s="37">
        <v>3.93</v>
      </c>
      <c r="L177" s="37">
        <v>-1.98</v>
      </c>
      <c r="M177" s="37">
        <v>39</v>
      </c>
      <c r="N177" s="37">
        <v>44</v>
      </c>
      <c r="O177" s="37">
        <v>1</v>
      </c>
      <c r="P177" s="37">
        <v>20</v>
      </c>
      <c r="Q177" s="37">
        <v>23</v>
      </c>
      <c r="R177" s="37">
        <v>100</v>
      </c>
      <c r="S177" s="37">
        <v>0</v>
      </c>
      <c r="T177" s="37">
        <v>0</v>
      </c>
      <c r="U177" s="37">
        <v>30.77</v>
      </c>
      <c r="V177" s="37">
        <v>28.21</v>
      </c>
      <c r="W177" s="37">
        <v>41.03</v>
      </c>
      <c r="X177" s="37">
        <v>40.909999999999997</v>
      </c>
      <c r="Y177" s="37">
        <v>31.82</v>
      </c>
      <c r="Z177" s="37">
        <v>27.27</v>
      </c>
      <c r="AA177" s="37">
        <v>30</v>
      </c>
      <c r="AB177" s="37">
        <v>30.43</v>
      </c>
      <c r="AC177" s="24">
        <f t="shared" si="17"/>
        <v>24.858999999999988</v>
      </c>
      <c r="AD177" s="25">
        <f t="shared" si="18"/>
        <v>-24.858999999999988</v>
      </c>
      <c r="AE177" s="23" t="str">
        <f t="shared" si="19"/>
        <v>Loss</v>
      </c>
      <c r="AF177" s="23" t="str">
        <f t="shared" si="20"/>
        <v>Win</v>
      </c>
      <c r="AG177" s="23" t="str">
        <f t="shared" si="21"/>
        <v>Loss</v>
      </c>
      <c r="AH177" s="23">
        <f t="shared" si="22"/>
        <v>-50</v>
      </c>
      <c r="AI177" s="23">
        <f t="shared" si="23"/>
        <v>122</v>
      </c>
      <c r="AJ177" s="23">
        <f t="shared" si="24"/>
        <v>-50</v>
      </c>
    </row>
    <row r="178" spans="1:36" x14ac:dyDescent="0.2">
      <c r="A178" s="36">
        <v>43602</v>
      </c>
      <c r="B178" s="37" t="s">
        <v>724</v>
      </c>
      <c r="C178" s="37" t="s">
        <v>725</v>
      </c>
      <c r="D178" s="37" t="s">
        <v>726</v>
      </c>
      <c r="E178" s="37" t="s">
        <v>727</v>
      </c>
      <c r="F178" s="37" t="s">
        <v>728</v>
      </c>
      <c r="G178" s="37" t="s">
        <v>146</v>
      </c>
      <c r="H178" s="37" t="s">
        <v>146</v>
      </c>
      <c r="I178" s="37">
        <v>2.36</v>
      </c>
      <c r="J178" s="37">
        <v>3.6</v>
      </c>
      <c r="K178" s="37">
        <v>2.5</v>
      </c>
      <c r="L178" s="37">
        <v>-0.14000000000000001</v>
      </c>
      <c r="M178" s="37">
        <v>34</v>
      </c>
      <c r="N178" s="37">
        <v>27</v>
      </c>
      <c r="O178" s="37">
        <v>2</v>
      </c>
      <c r="P178" s="37">
        <v>20</v>
      </c>
      <c r="Q178" s="37">
        <v>12</v>
      </c>
      <c r="R178" s="37">
        <v>100</v>
      </c>
      <c r="S178" s="37">
        <v>0</v>
      </c>
      <c r="T178" s="37">
        <v>0</v>
      </c>
      <c r="U178" s="37">
        <v>29.41</v>
      </c>
      <c r="V178" s="37">
        <v>11.76</v>
      </c>
      <c r="W178" s="37">
        <v>58.82</v>
      </c>
      <c r="X178" s="37">
        <v>22.22</v>
      </c>
      <c r="Y178" s="37">
        <v>11.11</v>
      </c>
      <c r="Z178" s="37">
        <v>66.67</v>
      </c>
      <c r="AA178" s="37">
        <v>30</v>
      </c>
      <c r="AB178" s="37">
        <v>0</v>
      </c>
      <c r="AC178" s="24">
        <f t="shared" si="17"/>
        <v>33.073</v>
      </c>
      <c r="AD178" s="25">
        <f t="shared" si="18"/>
        <v>-33.073</v>
      </c>
      <c r="AE178" s="23" t="str">
        <f t="shared" si="19"/>
        <v>Loss</v>
      </c>
      <c r="AF178" s="23" t="str">
        <f t="shared" si="20"/>
        <v>Win</v>
      </c>
      <c r="AG178" s="23" t="str">
        <f t="shared" si="21"/>
        <v>Loss</v>
      </c>
      <c r="AH178" s="23">
        <f t="shared" si="22"/>
        <v>-50</v>
      </c>
      <c r="AI178" s="23">
        <f t="shared" si="23"/>
        <v>130</v>
      </c>
      <c r="AJ178" s="23">
        <f t="shared" si="24"/>
        <v>-50</v>
      </c>
    </row>
    <row r="179" spans="1:36" x14ac:dyDescent="0.2">
      <c r="A179" s="36">
        <v>43602</v>
      </c>
      <c r="B179" s="37" t="s">
        <v>724</v>
      </c>
      <c r="C179" s="37" t="s">
        <v>725</v>
      </c>
      <c r="D179" s="37" t="s">
        <v>729</v>
      </c>
      <c r="E179" s="37" t="s">
        <v>730</v>
      </c>
      <c r="F179" s="37" t="s">
        <v>731</v>
      </c>
      <c r="G179" s="37" t="s">
        <v>146</v>
      </c>
      <c r="H179" s="37" t="s">
        <v>146</v>
      </c>
      <c r="I179" s="37">
        <v>2.66</v>
      </c>
      <c r="J179" s="37">
        <v>3.7</v>
      </c>
      <c r="K179" s="37">
        <v>2.16</v>
      </c>
      <c r="L179" s="37">
        <v>0.5</v>
      </c>
      <c r="M179" s="37">
        <v>4</v>
      </c>
      <c r="N179" s="37">
        <v>20</v>
      </c>
      <c r="O179" s="37">
        <v>0</v>
      </c>
      <c r="P179" s="37">
        <v>3</v>
      </c>
      <c r="Q179" s="37">
        <v>9</v>
      </c>
      <c r="R179" s="37">
        <v>0</v>
      </c>
      <c r="S179" s="37">
        <v>0</v>
      </c>
      <c r="T179" s="37">
        <v>0</v>
      </c>
      <c r="U179" s="37">
        <v>25</v>
      </c>
      <c r="V179" s="37">
        <v>0</v>
      </c>
      <c r="W179" s="37">
        <v>75</v>
      </c>
      <c r="X179" s="37">
        <v>35</v>
      </c>
      <c r="Y179" s="37">
        <v>35</v>
      </c>
      <c r="Z179" s="37">
        <v>30</v>
      </c>
      <c r="AA179" s="37">
        <v>33.33</v>
      </c>
      <c r="AB179" s="37">
        <v>55.56</v>
      </c>
      <c r="AC179" s="24">
        <f t="shared" si="17"/>
        <v>-14.5</v>
      </c>
      <c r="AD179" s="25">
        <f t="shared" si="18"/>
        <v>14.5</v>
      </c>
      <c r="AE179" s="23" t="str">
        <f t="shared" si="19"/>
        <v>Loss</v>
      </c>
      <c r="AF179" s="23" t="str">
        <f t="shared" si="20"/>
        <v>Win</v>
      </c>
      <c r="AG179" s="23" t="str">
        <f t="shared" si="21"/>
        <v>Loss</v>
      </c>
      <c r="AH179" s="23">
        <f t="shared" si="22"/>
        <v>-50</v>
      </c>
      <c r="AI179" s="23">
        <f t="shared" si="23"/>
        <v>135</v>
      </c>
      <c r="AJ179" s="23">
        <f t="shared" si="24"/>
        <v>-50</v>
      </c>
    </row>
    <row r="180" spans="1:36" x14ac:dyDescent="0.2">
      <c r="A180" s="36">
        <v>43602</v>
      </c>
      <c r="B180" s="37" t="s">
        <v>724</v>
      </c>
      <c r="C180" s="37" t="s">
        <v>732</v>
      </c>
      <c r="D180" s="37" t="s">
        <v>733</v>
      </c>
      <c r="E180" s="37" t="s">
        <v>734</v>
      </c>
      <c r="F180" s="37" t="s">
        <v>735</v>
      </c>
      <c r="G180" s="37" t="s">
        <v>146</v>
      </c>
      <c r="H180" s="37" t="s">
        <v>146</v>
      </c>
      <c r="I180" s="37">
        <v>2.83</v>
      </c>
      <c r="J180" s="37">
        <v>3.63</v>
      </c>
      <c r="K180" s="37">
        <v>2.15</v>
      </c>
      <c r="L180" s="37">
        <v>0.68</v>
      </c>
      <c r="M180" s="37">
        <v>36</v>
      </c>
      <c r="N180" s="37">
        <v>32</v>
      </c>
      <c r="O180" s="37">
        <v>3</v>
      </c>
      <c r="P180" s="37">
        <v>16</v>
      </c>
      <c r="Q180" s="37">
        <v>19</v>
      </c>
      <c r="R180" s="37">
        <v>33.33</v>
      </c>
      <c r="S180" s="37">
        <v>33.33</v>
      </c>
      <c r="T180" s="37">
        <v>33.33</v>
      </c>
      <c r="U180" s="37">
        <v>38.89</v>
      </c>
      <c r="V180" s="37">
        <v>19.440000000000001</v>
      </c>
      <c r="W180" s="37">
        <v>41.67</v>
      </c>
      <c r="X180" s="37">
        <v>53.13</v>
      </c>
      <c r="Y180" s="37">
        <v>25</v>
      </c>
      <c r="Z180" s="37">
        <v>21.88</v>
      </c>
      <c r="AA180" s="37">
        <v>37.5</v>
      </c>
      <c r="AB180" s="37">
        <v>52.63</v>
      </c>
      <c r="AC180" s="24">
        <f t="shared" si="17"/>
        <v>-4.0290000000000008</v>
      </c>
      <c r="AD180" s="25">
        <f t="shared" si="18"/>
        <v>10.695</v>
      </c>
      <c r="AE180" s="23" t="str">
        <f t="shared" si="19"/>
        <v>Loss</v>
      </c>
      <c r="AF180" s="23" t="str">
        <f t="shared" si="20"/>
        <v>Win</v>
      </c>
      <c r="AG180" s="23" t="str">
        <f t="shared" si="21"/>
        <v>Loss</v>
      </c>
      <c r="AH180" s="23">
        <f t="shared" si="22"/>
        <v>-50</v>
      </c>
      <c r="AI180" s="23">
        <f t="shared" si="23"/>
        <v>131.5</v>
      </c>
      <c r="AJ180" s="23">
        <f t="shared" si="24"/>
        <v>-50</v>
      </c>
    </row>
    <row r="181" spans="1:36" x14ac:dyDescent="0.2">
      <c r="A181" s="36">
        <v>43602</v>
      </c>
      <c r="B181" s="37" t="s">
        <v>724</v>
      </c>
      <c r="C181" s="37" t="s">
        <v>732</v>
      </c>
      <c r="D181" s="37" t="s">
        <v>736</v>
      </c>
      <c r="E181" s="37" t="s">
        <v>737</v>
      </c>
      <c r="F181" s="37" t="s">
        <v>738</v>
      </c>
      <c r="G181" s="37" t="s">
        <v>146</v>
      </c>
      <c r="H181" s="37" t="s">
        <v>146</v>
      </c>
      <c r="I181" s="37">
        <v>1.28</v>
      </c>
      <c r="J181" s="37">
        <v>5.4</v>
      </c>
      <c r="K181" s="37">
        <v>7.8</v>
      </c>
      <c r="L181" s="37">
        <v>-6.52</v>
      </c>
      <c r="M181" s="37">
        <v>36</v>
      </c>
      <c r="N181" s="37">
        <v>31</v>
      </c>
      <c r="O181" s="37">
        <v>0</v>
      </c>
      <c r="P181" s="37">
        <v>19</v>
      </c>
      <c r="Q181" s="37">
        <v>13</v>
      </c>
      <c r="R181" s="37">
        <v>0</v>
      </c>
      <c r="S181" s="37">
        <v>0</v>
      </c>
      <c r="T181" s="37">
        <v>0</v>
      </c>
      <c r="U181" s="37">
        <v>16.670000000000002</v>
      </c>
      <c r="V181" s="37">
        <v>16.670000000000002</v>
      </c>
      <c r="W181" s="37">
        <v>66.67</v>
      </c>
      <c r="X181" s="37">
        <v>58.06</v>
      </c>
      <c r="Y181" s="37">
        <v>19.350000000000001</v>
      </c>
      <c r="Z181" s="37">
        <v>22.58</v>
      </c>
      <c r="AA181" s="37">
        <v>21.05</v>
      </c>
      <c r="AB181" s="37">
        <v>53.85</v>
      </c>
      <c r="AC181" s="24">
        <f t="shared" si="17"/>
        <v>-17.363999999999997</v>
      </c>
      <c r="AD181" s="25">
        <f t="shared" si="18"/>
        <v>17.363999999999997</v>
      </c>
      <c r="AE181" s="23" t="str">
        <f t="shared" si="19"/>
        <v>Loss</v>
      </c>
      <c r="AF181" s="23" t="str">
        <f t="shared" si="20"/>
        <v>Win</v>
      </c>
      <c r="AG181" s="23" t="str">
        <f t="shared" si="21"/>
        <v>Loss</v>
      </c>
      <c r="AH181" s="23">
        <f t="shared" si="22"/>
        <v>-50</v>
      </c>
      <c r="AI181" s="23">
        <f t="shared" si="23"/>
        <v>220</v>
      </c>
      <c r="AJ181" s="23">
        <f t="shared" si="24"/>
        <v>-50</v>
      </c>
    </row>
    <row r="182" spans="1:36" x14ac:dyDescent="0.2">
      <c r="A182" s="36">
        <v>43602</v>
      </c>
      <c r="B182" s="37" t="s">
        <v>724</v>
      </c>
      <c r="C182" s="37" t="s">
        <v>732</v>
      </c>
      <c r="D182" s="37" t="s">
        <v>739</v>
      </c>
      <c r="E182" s="37" t="s">
        <v>740</v>
      </c>
      <c r="F182" s="37" t="s">
        <v>741</v>
      </c>
      <c r="G182" s="37" t="s">
        <v>146</v>
      </c>
      <c r="H182" s="37" t="s">
        <v>146</v>
      </c>
      <c r="I182" s="37">
        <v>2.08</v>
      </c>
      <c r="J182" s="37">
        <v>3.52</v>
      </c>
      <c r="K182" s="37">
        <v>3.06</v>
      </c>
      <c r="L182" s="37">
        <v>-0.98</v>
      </c>
      <c r="M182" s="37">
        <v>35</v>
      </c>
      <c r="N182" s="37">
        <v>32</v>
      </c>
      <c r="O182" s="37">
        <v>2</v>
      </c>
      <c r="P182" s="37">
        <v>18</v>
      </c>
      <c r="Q182" s="37">
        <v>15</v>
      </c>
      <c r="R182" s="37">
        <v>0</v>
      </c>
      <c r="S182" s="37">
        <v>0</v>
      </c>
      <c r="T182" s="37">
        <v>100</v>
      </c>
      <c r="U182" s="37">
        <v>28.57</v>
      </c>
      <c r="V182" s="37">
        <v>17.14</v>
      </c>
      <c r="W182" s="37">
        <v>54.29</v>
      </c>
      <c r="X182" s="37">
        <v>34.380000000000003</v>
      </c>
      <c r="Y182" s="37">
        <v>21.88</v>
      </c>
      <c r="Z182" s="37">
        <v>43.75</v>
      </c>
      <c r="AA182" s="37">
        <v>27.78</v>
      </c>
      <c r="AB182" s="37">
        <v>46.67</v>
      </c>
      <c r="AC182" s="24">
        <f t="shared" si="17"/>
        <v>-33.744000000000014</v>
      </c>
      <c r="AD182" s="25">
        <f t="shared" si="18"/>
        <v>33.744000000000014</v>
      </c>
      <c r="AE182" s="23" t="str">
        <f t="shared" si="19"/>
        <v>Loss</v>
      </c>
      <c r="AF182" s="23" t="str">
        <f t="shared" si="20"/>
        <v>Win</v>
      </c>
      <c r="AG182" s="23" t="str">
        <f t="shared" si="21"/>
        <v>Loss</v>
      </c>
      <c r="AH182" s="23">
        <f t="shared" si="22"/>
        <v>-50</v>
      </c>
      <c r="AI182" s="23">
        <f t="shared" si="23"/>
        <v>126</v>
      </c>
      <c r="AJ182" s="23">
        <f t="shared" si="24"/>
        <v>-50</v>
      </c>
    </row>
    <row r="183" spans="1:36" x14ac:dyDescent="0.2">
      <c r="A183" s="36">
        <v>43602</v>
      </c>
      <c r="B183" s="37" t="s">
        <v>742</v>
      </c>
      <c r="C183" s="37" t="s">
        <v>107</v>
      </c>
      <c r="D183" s="37" t="s">
        <v>743</v>
      </c>
      <c r="E183" s="37" t="s">
        <v>744</v>
      </c>
      <c r="F183" s="37" t="s">
        <v>745</v>
      </c>
      <c r="G183" s="37" t="s">
        <v>146</v>
      </c>
      <c r="H183" s="37" t="s">
        <v>146</v>
      </c>
      <c r="I183" s="37">
        <v>1.62</v>
      </c>
      <c r="J183" s="37">
        <v>3.88</v>
      </c>
      <c r="K183" s="37">
        <v>5.0199999999999996</v>
      </c>
      <c r="L183" s="37">
        <v>-3.4</v>
      </c>
      <c r="M183" s="37">
        <v>23</v>
      </c>
      <c r="N183" s="37">
        <v>19</v>
      </c>
      <c r="O183" s="37">
        <v>2</v>
      </c>
      <c r="P183" s="37">
        <v>11</v>
      </c>
      <c r="Q183" s="37">
        <v>10</v>
      </c>
      <c r="R183" s="37">
        <v>50</v>
      </c>
      <c r="S183" s="37">
        <v>50</v>
      </c>
      <c r="T183" s="37">
        <v>0</v>
      </c>
      <c r="U183" s="37">
        <v>47.83</v>
      </c>
      <c r="V183" s="37">
        <v>26.09</v>
      </c>
      <c r="W183" s="37">
        <v>26.09</v>
      </c>
      <c r="X183" s="37">
        <v>31.58</v>
      </c>
      <c r="Y183" s="37">
        <v>26.32</v>
      </c>
      <c r="Z183" s="37">
        <v>42.11</v>
      </c>
      <c r="AA183" s="37">
        <v>63.64</v>
      </c>
      <c r="AB183" s="37">
        <v>30</v>
      </c>
      <c r="AC183" s="24">
        <f t="shared" si="17"/>
        <v>26.431000000000004</v>
      </c>
      <c r="AD183" s="25">
        <f t="shared" si="18"/>
        <v>-16.431000000000004</v>
      </c>
      <c r="AE183" s="23" t="str">
        <f t="shared" si="19"/>
        <v>Loss</v>
      </c>
      <c r="AF183" s="23" t="str">
        <f t="shared" si="20"/>
        <v>Win</v>
      </c>
      <c r="AG183" s="23" t="str">
        <f t="shared" si="21"/>
        <v>Loss</v>
      </c>
      <c r="AH183" s="23">
        <f t="shared" si="22"/>
        <v>-50</v>
      </c>
      <c r="AI183" s="23">
        <f t="shared" si="23"/>
        <v>144</v>
      </c>
      <c r="AJ183" s="23">
        <f t="shared" si="24"/>
        <v>-50</v>
      </c>
    </row>
    <row r="184" spans="1:36" x14ac:dyDescent="0.2">
      <c r="A184" s="36">
        <v>43602</v>
      </c>
      <c r="B184" s="37" t="s">
        <v>746</v>
      </c>
      <c r="C184" s="37" t="s">
        <v>747</v>
      </c>
      <c r="D184" s="37" t="s">
        <v>748</v>
      </c>
      <c r="E184" s="37" t="s">
        <v>749</v>
      </c>
      <c r="F184" s="37" t="s">
        <v>750</v>
      </c>
      <c r="G184" s="37" t="s">
        <v>146</v>
      </c>
      <c r="H184" s="37" t="s">
        <v>146</v>
      </c>
      <c r="I184" s="37">
        <v>1.4</v>
      </c>
      <c r="J184" s="37">
        <v>4.8499999999999996</v>
      </c>
      <c r="K184" s="37">
        <v>7.25</v>
      </c>
      <c r="L184" s="37">
        <v>-5.85</v>
      </c>
      <c r="M184" s="37">
        <v>43</v>
      </c>
      <c r="N184" s="37">
        <v>35</v>
      </c>
      <c r="O184" s="37">
        <v>1</v>
      </c>
      <c r="P184" s="37">
        <v>21</v>
      </c>
      <c r="Q184" s="37">
        <v>17</v>
      </c>
      <c r="R184" s="37">
        <v>0</v>
      </c>
      <c r="S184" s="37">
        <v>100</v>
      </c>
      <c r="T184" s="37">
        <v>0</v>
      </c>
      <c r="U184" s="37">
        <v>62.79</v>
      </c>
      <c r="V184" s="37">
        <v>11.63</v>
      </c>
      <c r="W184" s="37">
        <v>25.58</v>
      </c>
      <c r="X184" s="37">
        <v>31.43</v>
      </c>
      <c r="Y184" s="37">
        <v>17.14</v>
      </c>
      <c r="Z184" s="37">
        <v>51.43</v>
      </c>
      <c r="AA184" s="37">
        <v>71.430000000000007</v>
      </c>
      <c r="AB184" s="37">
        <v>17.649999999999999</v>
      </c>
      <c r="AC184" s="24">
        <f t="shared" si="17"/>
        <v>20.890999999999998</v>
      </c>
      <c r="AD184" s="25">
        <f t="shared" si="18"/>
        <v>-0.89100000000000179</v>
      </c>
      <c r="AE184" s="23" t="str">
        <f t="shared" si="19"/>
        <v>Loss</v>
      </c>
      <c r="AF184" s="23" t="str">
        <f t="shared" si="20"/>
        <v>Win</v>
      </c>
      <c r="AG184" s="23" t="str">
        <f t="shared" si="21"/>
        <v>Loss</v>
      </c>
      <c r="AH184" s="23">
        <f t="shared" si="22"/>
        <v>-50</v>
      </c>
      <c r="AI184" s="23">
        <f t="shared" si="23"/>
        <v>192.49999999999997</v>
      </c>
      <c r="AJ184" s="23">
        <f t="shared" si="24"/>
        <v>-50</v>
      </c>
    </row>
    <row r="185" spans="1:36" x14ac:dyDescent="0.2">
      <c r="A185" s="36">
        <v>43602</v>
      </c>
      <c r="B185" s="37" t="s">
        <v>742</v>
      </c>
      <c r="C185" s="37" t="s">
        <v>751</v>
      </c>
      <c r="D185" s="37" t="s">
        <v>752</v>
      </c>
      <c r="E185" s="37" t="s">
        <v>753</v>
      </c>
      <c r="F185" s="37" t="s">
        <v>754</v>
      </c>
      <c r="G185" s="37" t="s">
        <v>146</v>
      </c>
      <c r="H185" s="37" t="s">
        <v>146</v>
      </c>
      <c r="I185" s="37">
        <v>2.5499999999999998</v>
      </c>
      <c r="J185" s="37">
        <v>3.21</v>
      </c>
      <c r="K185" s="37">
        <v>2.56</v>
      </c>
      <c r="L185" s="37">
        <v>-0.01</v>
      </c>
      <c r="M185" s="37">
        <v>23</v>
      </c>
      <c r="N185" s="37">
        <v>20</v>
      </c>
      <c r="O185" s="37">
        <v>0</v>
      </c>
      <c r="P185" s="37">
        <v>11</v>
      </c>
      <c r="Q185" s="37">
        <v>9</v>
      </c>
      <c r="R185" s="37">
        <v>0</v>
      </c>
      <c r="S185" s="37">
        <v>0</v>
      </c>
      <c r="T185" s="37">
        <v>0</v>
      </c>
      <c r="U185" s="37">
        <v>52.17</v>
      </c>
      <c r="V185" s="37">
        <v>26.09</v>
      </c>
      <c r="W185" s="37">
        <v>21.74</v>
      </c>
      <c r="X185" s="37">
        <v>50</v>
      </c>
      <c r="Y185" s="37">
        <v>25</v>
      </c>
      <c r="Z185" s="37">
        <v>25</v>
      </c>
      <c r="AA185" s="37">
        <v>36.36</v>
      </c>
      <c r="AB185" s="37">
        <v>44.44</v>
      </c>
      <c r="AC185" s="24">
        <f t="shared" si="17"/>
        <v>1.1950000000000003</v>
      </c>
      <c r="AD185" s="25">
        <f t="shared" si="18"/>
        <v>-1.1950000000000003</v>
      </c>
      <c r="AE185" s="23" t="str">
        <f t="shared" si="19"/>
        <v>Loss</v>
      </c>
      <c r="AF185" s="23" t="str">
        <f t="shared" si="20"/>
        <v>Win</v>
      </c>
      <c r="AG185" s="23" t="str">
        <f t="shared" si="21"/>
        <v>Loss</v>
      </c>
      <c r="AH185" s="23">
        <f t="shared" si="22"/>
        <v>-50</v>
      </c>
      <c r="AI185" s="23">
        <f t="shared" si="23"/>
        <v>110.5</v>
      </c>
      <c r="AJ185" s="23">
        <f t="shared" si="24"/>
        <v>-50</v>
      </c>
    </row>
    <row r="186" spans="1:36" x14ac:dyDescent="0.2">
      <c r="A186" s="36">
        <v>43602</v>
      </c>
      <c r="B186" s="37" t="s">
        <v>755</v>
      </c>
      <c r="C186" s="37" t="s">
        <v>273</v>
      </c>
      <c r="D186" s="37" t="s">
        <v>756</v>
      </c>
      <c r="E186" s="37" t="s">
        <v>757</v>
      </c>
      <c r="F186" s="37" t="s">
        <v>758</v>
      </c>
      <c r="G186" s="37" t="s">
        <v>146</v>
      </c>
      <c r="H186" s="37" t="s">
        <v>146</v>
      </c>
      <c r="I186" s="37">
        <v>1.65</v>
      </c>
      <c r="J186" s="37">
        <v>3.5</v>
      </c>
      <c r="K186" s="37">
        <v>5.04</v>
      </c>
      <c r="L186" s="37">
        <v>-3.39</v>
      </c>
      <c r="M186" s="37">
        <v>32</v>
      </c>
      <c r="N186" s="37">
        <v>33</v>
      </c>
      <c r="O186" s="37">
        <v>1</v>
      </c>
      <c r="P186" s="37">
        <v>17</v>
      </c>
      <c r="Q186" s="37">
        <v>16</v>
      </c>
      <c r="R186" s="37">
        <v>0</v>
      </c>
      <c r="S186" s="37">
        <v>100</v>
      </c>
      <c r="T186" s="37">
        <v>0</v>
      </c>
      <c r="U186" s="37">
        <v>34.380000000000003</v>
      </c>
      <c r="V186" s="37">
        <v>31.25</v>
      </c>
      <c r="W186" s="37">
        <v>34.380000000000003</v>
      </c>
      <c r="X186" s="37">
        <v>12.12</v>
      </c>
      <c r="Y186" s="37">
        <v>45.45</v>
      </c>
      <c r="Z186" s="37">
        <v>42.42</v>
      </c>
      <c r="AA186" s="37">
        <v>47.06</v>
      </c>
      <c r="AB186" s="37">
        <v>12.5</v>
      </c>
      <c r="AC186" s="24">
        <f t="shared" si="17"/>
        <v>14.64</v>
      </c>
      <c r="AD186" s="25">
        <f t="shared" si="18"/>
        <v>5.3600000000000012</v>
      </c>
      <c r="AE186" s="23" t="str">
        <f t="shared" si="19"/>
        <v>Loss</v>
      </c>
      <c r="AF186" s="23" t="str">
        <f t="shared" si="20"/>
        <v>Win</v>
      </c>
      <c r="AG186" s="23" t="str">
        <f t="shared" si="21"/>
        <v>Loss</v>
      </c>
      <c r="AH186" s="23">
        <f t="shared" si="22"/>
        <v>-50</v>
      </c>
      <c r="AI186" s="23">
        <f t="shared" si="23"/>
        <v>125</v>
      </c>
      <c r="AJ186" s="23">
        <f t="shared" si="24"/>
        <v>-50</v>
      </c>
    </row>
    <row r="187" spans="1:36" x14ac:dyDescent="0.2">
      <c r="A187" s="36">
        <v>43602</v>
      </c>
      <c r="B187" s="37" t="s">
        <v>759</v>
      </c>
      <c r="C187" s="37" t="s">
        <v>760</v>
      </c>
      <c r="D187" s="37" t="s">
        <v>761</v>
      </c>
      <c r="E187" s="37" t="s">
        <v>762</v>
      </c>
      <c r="F187" s="37" t="s">
        <v>763</v>
      </c>
      <c r="G187" s="37" t="s">
        <v>146</v>
      </c>
      <c r="H187" s="37" t="s">
        <v>146</v>
      </c>
      <c r="I187" s="37">
        <v>3.31</v>
      </c>
      <c r="J187" s="37">
        <v>3.51</v>
      </c>
      <c r="K187" s="37">
        <v>1.91</v>
      </c>
      <c r="L187" s="37">
        <v>1.4</v>
      </c>
      <c r="M187" s="37">
        <v>27</v>
      </c>
      <c r="N187" s="37">
        <v>30</v>
      </c>
      <c r="O187" s="37">
        <v>3</v>
      </c>
      <c r="P187" s="37">
        <v>14</v>
      </c>
      <c r="Q187" s="37">
        <v>13</v>
      </c>
      <c r="R187" s="37">
        <v>0</v>
      </c>
      <c r="S187" s="37">
        <v>0</v>
      </c>
      <c r="T187" s="37">
        <v>100</v>
      </c>
      <c r="U187" s="37">
        <v>33.33</v>
      </c>
      <c r="V187" s="37">
        <v>14.81</v>
      </c>
      <c r="W187" s="37">
        <v>51.85</v>
      </c>
      <c r="X187" s="37">
        <v>70</v>
      </c>
      <c r="Y187" s="37">
        <v>13.33</v>
      </c>
      <c r="Z187" s="37">
        <v>16.670000000000002</v>
      </c>
      <c r="AA187" s="37">
        <v>42.86</v>
      </c>
      <c r="AB187" s="37">
        <v>53.85</v>
      </c>
      <c r="AC187" s="24">
        <f t="shared" si="17"/>
        <v>-44.221999999999994</v>
      </c>
      <c r="AD187" s="25">
        <f t="shared" si="18"/>
        <v>44.221999999999994</v>
      </c>
      <c r="AE187" s="23" t="str">
        <f t="shared" si="19"/>
        <v>Loss</v>
      </c>
      <c r="AF187" s="23" t="str">
        <f t="shared" si="20"/>
        <v>Win</v>
      </c>
      <c r="AG187" s="23" t="str">
        <f t="shared" si="21"/>
        <v>Loss</v>
      </c>
      <c r="AH187" s="23">
        <f t="shared" si="22"/>
        <v>-50</v>
      </c>
      <c r="AI187" s="23">
        <f t="shared" si="23"/>
        <v>125.5</v>
      </c>
      <c r="AJ187" s="23">
        <f t="shared" si="24"/>
        <v>-50</v>
      </c>
    </row>
    <row r="188" spans="1:36" x14ac:dyDescent="0.2">
      <c r="A188" s="36">
        <v>43602</v>
      </c>
      <c r="B188" s="37" t="s">
        <v>764</v>
      </c>
      <c r="C188" s="37" t="s">
        <v>308</v>
      </c>
      <c r="D188" s="37" t="s">
        <v>765</v>
      </c>
      <c r="E188" s="37" t="s">
        <v>766</v>
      </c>
      <c r="F188" s="37" t="s">
        <v>767</v>
      </c>
      <c r="G188" s="37" t="s">
        <v>146</v>
      </c>
      <c r="H188" s="37" t="s">
        <v>146</v>
      </c>
      <c r="I188" s="37">
        <v>1.5</v>
      </c>
      <c r="J188" s="37">
        <v>4.1900000000000004</v>
      </c>
      <c r="K188" s="37">
        <v>5.43</v>
      </c>
      <c r="L188" s="37">
        <v>-3.93</v>
      </c>
      <c r="M188" s="37">
        <v>13</v>
      </c>
      <c r="N188" s="37">
        <v>18</v>
      </c>
      <c r="O188" s="37">
        <v>0</v>
      </c>
      <c r="P188" s="37">
        <v>7</v>
      </c>
      <c r="Q188" s="37">
        <v>9</v>
      </c>
      <c r="R188" s="37">
        <v>0</v>
      </c>
      <c r="S188" s="37">
        <v>0</v>
      </c>
      <c r="T188" s="37">
        <v>0</v>
      </c>
      <c r="U188" s="37">
        <v>84.62</v>
      </c>
      <c r="V188" s="37">
        <v>0</v>
      </c>
      <c r="W188" s="37">
        <v>15.38</v>
      </c>
      <c r="X188" s="37">
        <v>27.78</v>
      </c>
      <c r="Y188" s="37">
        <v>38.89</v>
      </c>
      <c r="Z188" s="37">
        <v>33.33</v>
      </c>
      <c r="AA188" s="37">
        <v>100</v>
      </c>
      <c r="AB188" s="37">
        <v>11.11</v>
      </c>
      <c r="AC188" s="24">
        <f t="shared" si="17"/>
        <v>11.069000000000003</v>
      </c>
      <c r="AD188" s="25">
        <f t="shared" si="18"/>
        <v>-11.069000000000003</v>
      </c>
      <c r="AE188" s="23" t="str">
        <f t="shared" si="19"/>
        <v>Loss</v>
      </c>
      <c r="AF188" s="23" t="str">
        <f t="shared" si="20"/>
        <v>Win</v>
      </c>
      <c r="AG188" s="23" t="str">
        <f t="shared" si="21"/>
        <v>Loss</v>
      </c>
      <c r="AH188" s="23">
        <f t="shared" si="22"/>
        <v>-50</v>
      </c>
      <c r="AI188" s="23">
        <f t="shared" si="23"/>
        <v>159.50000000000003</v>
      </c>
      <c r="AJ188" s="23">
        <f t="shared" si="24"/>
        <v>-50</v>
      </c>
    </row>
    <row r="189" spans="1:36" x14ac:dyDescent="0.2">
      <c r="A189" s="36"/>
      <c r="AC189" s="24"/>
      <c r="AD189" s="25"/>
    </row>
    <row r="190" spans="1:36" x14ac:dyDescent="0.2">
      <c r="A190" s="36"/>
      <c r="AC190" s="24"/>
      <c r="AD190" s="25"/>
    </row>
    <row r="191" spans="1:36" x14ac:dyDescent="0.2">
      <c r="A191" s="36"/>
      <c r="AC191" s="24"/>
      <c r="AD191" s="25"/>
    </row>
    <row r="192" spans="1:36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BetList!betlist_2019_05_16T21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2019-05-17T08:40:49Z</dcterms:modified>
</cp:coreProperties>
</file>