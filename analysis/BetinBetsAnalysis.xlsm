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firstSheet="3" activeTab="10"/>
  </bookViews>
  <sheets>
    <sheet name="Archive" sheetId="1" state="hidden" r:id="rId1"/>
    <sheet name="Current" sheetId="2" state="hidden" r:id="rId2"/>
    <sheet name="TFT-Tips" sheetId="3" state="hidden" r:id="rId3"/>
    <sheet name="Pivot" sheetId="12" r:id="rId4"/>
    <sheet name="Logic" sheetId="10" r:id="rId5"/>
    <sheet name="BT Filter" sheetId="17" r:id="rId6"/>
    <sheet name="Betting Tips 1X2" sheetId="16" r:id="rId7"/>
    <sheet name="TFT-Current" sheetId="5" r:id="rId8"/>
    <sheet name="TFT-Archive" sheetId="4" r:id="rId9"/>
    <sheet name="Results" sheetId="8" state="hidden" r:id="rId10"/>
    <sheet name="Bets" sheetId="9" r:id="rId11"/>
  </sheets>
  <definedNames>
    <definedName name="_20190305" localSheetId="6">'Betting Tips 1X2'!$A$531:$G$589</definedName>
    <definedName name="_xlnm._FilterDatabase" localSheetId="0" hidden="1">Archive!$A$6:$I$1061</definedName>
    <definedName name="_xlnm._FilterDatabase" localSheetId="10" hidden="1">Bets!$A$2:$AA$170</definedName>
    <definedName name="_xlnm._FilterDatabase" localSheetId="6" hidden="1">'Betting Tips 1X2'!$A$1:$M$752</definedName>
    <definedName name="_xlnm._FilterDatabase" localSheetId="5" hidden="1">'BT Filter'!$A$5:$N$84</definedName>
    <definedName name="_xlnm._FilterDatabase" localSheetId="1" hidden="1">Current!$A$3:$H$43</definedName>
    <definedName name="_xlnm._FilterDatabase" localSheetId="8" hidden="1">'TFT-Archive'!$A$6:$H$1154</definedName>
    <definedName name="_xlnm._FilterDatabase" localSheetId="7" hidden="1">'TFT-Current'!$A$3:$H$91</definedName>
    <definedName name="_xlnm._FilterDatabase" localSheetId="2" hidden="1">'TFT-Tips'!$A$3:$E$25</definedName>
  </definedNames>
  <calcPr calcId="145621"/>
  <pivotCaches>
    <pivotCache cacheId="0" r:id="rId12"/>
  </pivotCaches>
</workbook>
</file>

<file path=xl/calcChain.xml><?xml version="1.0" encoding="utf-8"?>
<calcChain xmlns="http://schemas.openxmlformats.org/spreadsheetml/2006/main">
  <c r="K752" i="16" l="1"/>
  <c r="J752" i="16"/>
  <c r="I752" i="16"/>
  <c r="K751" i="16"/>
  <c r="J751" i="16"/>
  <c r="I751" i="16"/>
  <c r="K750" i="16"/>
  <c r="J750" i="16"/>
  <c r="I750" i="16"/>
  <c r="K749" i="16"/>
  <c r="J749" i="16"/>
  <c r="I749" i="16"/>
  <c r="K748" i="16"/>
  <c r="J748" i="16"/>
  <c r="I748" i="16"/>
  <c r="K747" i="16"/>
  <c r="J747" i="16"/>
  <c r="I747" i="16"/>
  <c r="K746" i="16"/>
  <c r="J746" i="16"/>
  <c r="I746" i="16"/>
  <c r="K745" i="16"/>
  <c r="J745" i="16"/>
  <c r="I745" i="16"/>
  <c r="K744" i="16"/>
  <c r="J744" i="16"/>
  <c r="I744" i="16"/>
  <c r="K743" i="16"/>
  <c r="J743" i="16"/>
  <c r="I743" i="16"/>
  <c r="K742" i="16"/>
  <c r="J742" i="16"/>
  <c r="I742" i="16"/>
  <c r="K741" i="16"/>
  <c r="J741" i="16"/>
  <c r="I741" i="16"/>
  <c r="K740" i="16"/>
  <c r="J740" i="16"/>
  <c r="I740" i="16"/>
  <c r="K739" i="16"/>
  <c r="J739" i="16"/>
  <c r="I739" i="16"/>
  <c r="K738" i="16"/>
  <c r="J738" i="16"/>
  <c r="I738" i="16"/>
  <c r="K737" i="16"/>
  <c r="J737" i="16"/>
  <c r="I737" i="16"/>
  <c r="K736" i="16"/>
  <c r="J736" i="16"/>
  <c r="I736" i="16"/>
  <c r="K735" i="16"/>
  <c r="J735" i="16"/>
  <c r="I735" i="16"/>
  <c r="K734" i="16"/>
  <c r="J734" i="16"/>
  <c r="I734" i="16"/>
  <c r="K733" i="16"/>
  <c r="J733" i="16"/>
  <c r="I733" i="16"/>
  <c r="K732" i="16"/>
  <c r="J732" i="16"/>
  <c r="I732" i="16"/>
  <c r="K731" i="16"/>
  <c r="J731" i="16"/>
  <c r="I731" i="16"/>
  <c r="K730" i="16"/>
  <c r="J730" i="16"/>
  <c r="I730" i="16"/>
  <c r="K729" i="16"/>
  <c r="J729" i="16"/>
  <c r="I729" i="16"/>
  <c r="K728" i="16"/>
  <c r="J728" i="16"/>
  <c r="I728" i="16"/>
  <c r="K727" i="16"/>
  <c r="J727" i="16"/>
  <c r="I727" i="16"/>
  <c r="K726" i="16"/>
  <c r="J726" i="16"/>
  <c r="I726" i="16"/>
  <c r="K725" i="16"/>
  <c r="J725" i="16"/>
  <c r="I725" i="16"/>
  <c r="K724" i="16"/>
  <c r="J724" i="16"/>
  <c r="I724" i="16"/>
  <c r="K723" i="16"/>
  <c r="J723" i="16"/>
  <c r="I723" i="16"/>
  <c r="K722" i="16"/>
  <c r="J722" i="16"/>
  <c r="I722" i="16"/>
  <c r="K721" i="16"/>
  <c r="J721" i="16"/>
  <c r="I721" i="16"/>
  <c r="K720" i="16"/>
  <c r="J720" i="16"/>
  <c r="I720" i="16"/>
  <c r="K719" i="16"/>
  <c r="J719" i="16"/>
  <c r="I719" i="16"/>
  <c r="K718" i="16"/>
  <c r="J718" i="16"/>
  <c r="I718" i="16"/>
  <c r="K717" i="16"/>
  <c r="J717" i="16"/>
  <c r="I717" i="16"/>
  <c r="K716" i="16"/>
  <c r="J716" i="16"/>
  <c r="I716" i="16"/>
  <c r="K715" i="16"/>
  <c r="J715" i="16"/>
  <c r="I715" i="16"/>
  <c r="K714" i="16"/>
  <c r="J714" i="16"/>
  <c r="I714" i="16"/>
  <c r="K713" i="16"/>
  <c r="J713" i="16"/>
  <c r="I713" i="16"/>
  <c r="K712" i="16"/>
  <c r="J712" i="16"/>
  <c r="I712" i="16"/>
  <c r="K711" i="16"/>
  <c r="J711" i="16"/>
  <c r="I711" i="16"/>
  <c r="K710" i="16"/>
  <c r="J710" i="16"/>
  <c r="I710" i="16"/>
  <c r="K709" i="16"/>
  <c r="J709" i="16"/>
  <c r="I709" i="16"/>
  <c r="K708" i="16"/>
  <c r="J708" i="16"/>
  <c r="I708" i="16"/>
  <c r="K707" i="16"/>
  <c r="J707" i="16"/>
  <c r="I707" i="16"/>
  <c r="K706" i="16"/>
  <c r="J706" i="16"/>
  <c r="I706" i="16"/>
  <c r="K705" i="16"/>
  <c r="J705" i="16"/>
  <c r="I705" i="16"/>
  <c r="K704" i="16"/>
  <c r="J704" i="16"/>
  <c r="I704" i="16"/>
  <c r="K703" i="16"/>
  <c r="J703" i="16"/>
  <c r="I703" i="16"/>
  <c r="K702" i="16"/>
  <c r="J702" i="16"/>
  <c r="I702" i="16"/>
  <c r="K701" i="16"/>
  <c r="J701" i="16"/>
  <c r="I701" i="16"/>
  <c r="K700" i="16"/>
  <c r="J700" i="16"/>
  <c r="I700" i="16"/>
  <c r="K699" i="16"/>
  <c r="J699" i="16"/>
  <c r="I699" i="16"/>
  <c r="K698" i="16"/>
  <c r="J698" i="16"/>
  <c r="I698" i="16"/>
  <c r="K697" i="16"/>
  <c r="J697" i="16"/>
  <c r="I697" i="16"/>
  <c r="K696" i="16"/>
  <c r="J696" i="16"/>
  <c r="I696" i="16"/>
  <c r="K695" i="16"/>
  <c r="J695" i="16"/>
  <c r="I695" i="16"/>
  <c r="K694" i="16"/>
  <c r="J694" i="16"/>
  <c r="I694" i="16"/>
  <c r="K693" i="16"/>
  <c r="J693" i="16"/>
  <c r="I693" i="16"/>
  <c r="K692" i="16"/>
  <c r="J692" i="16"/>
  <c r="I692" i="16"/>
  <c r="K691" i="16"/>
  <c r="J691" i="16"/>
  <c r="I691" i="16"/>
  <c r="K690" i="16"/>
  <c r="J690" i="16"/>
  <c r="I690" i="16"/>
  <c r="K689" i="16"/>
  <c r="J689" i="16"/>
  <c r="I689" i="16"/>
  <c r="K688" i="16"/>
  <c r="J688" i="16"/>
  <c r="I688" i="16"/>
  <c r="K687" i="16"/>
  <c r="J687" i="16"/>
  <c r="I687" i="16"/>
  <c r="K686" i="16"/>
  <c r="J686" i="16"/>
  <c r="I686" i="16"/>
  <c r="K685" i="16"/>
  <c r="J685" i="16"/>
  <c r="I685" i="16"/>
  <c r="K684" i="16"/>
  <c r="J684" i="16"/>
  <c r="I684" i="16"/>
  <c r="K683" i="16"/>
  <c r="J683" i="16"/>
  <c r="I683" i="16"/>
  <c r="K682" i="16"/>
  <c r="J682" i="16"/>
  <c r="I682" i="16"/>
  <c r="K681" i="16"/>
  <c r="J681" i="16"/>
  <c r="I681" i="16"/>
  <c r="K680" i="16"/>
  <c r="J680" i="16"/>
  <c r="I680" i="16"/>
  <c r="K679" i="16"/>
  <c r="J679" i="16"/>
  <c r="I679" i="16"/>
  <c r="K678" i="16"/>
  <c r="J678" i="16"/>
  <c r="I678" i="16"/>
  <c r="K677" i="16"/>
  <c r="J677" i="16"/>
  <c r="I677" i="16"/>
  <c r="K676" i="16"/>
  <c r="J676" i="16"/>
  <c r="I676" i="16"/>
  <c r="K675" i="16"/>
  <c r="J675" i="16"/>
  <c r="I675" i="16"/>
  <c r="K674" i="16"/>
  <c r="J674" i="16"/>
  <c r="I674" i="16"/>
  <c r="K673" i="16"/>
  <c r="J673" i="16"/>
  <c r="I673" i="16"/>
  <c r="K672" i="16"/>
  <c r="J672" i="16"/>
  <c r="I672" i="16"/>
  <c r="K671" i="16"/>
  <c r="J671" i="16"/>
  <c r="I671" i="16"/>
  <c r="K670" i="16"/>
  <c r="J670" i="16"/>
  <c r="I670" i="16"/>
  <c r="K669" i="16"/>
  <c r="J669" i="16"/>
  <c r="I669" i="16"/>
  <c r="K668" i="16"/>
  <c r="J668" i="16"/>
  <c r="I668" i="16"/>
  <c r="K667" i="16"/>
  <c r="J667" i="16"/>
  <c r="I667" i="16"/>
  <c r="K666" i="16"/>
  <c r="J666" i="16"/>
  <c r="I666" i="16"/>
  <c r="K665" i="16"/>
  <c r="J665" i="16"/>
  <c r="I665" i="16"/>
  <c r="K664" i="16"/>
  <c r="J664" i="16"/>
  <c r="I664" i="16"/>
  <c r="K663" i="16"/>
  <c r="J663" i="16"/>
  <c r="I663" i="16"/>
  <c r="K662" i="16"/>
  <c r="J662" i="16"/>
  <c r="I662" i="16"/>
  <c r="K661" i="16"/>
  <c r="J661" i="16"/>
  <c r="I661" i="16"/>
  <c r="K660" i="16"/>
  <c r="J660" i="16"/>
  <c r="I660" i="16"/>
  <c r="K659" i="16"/>
  <c r="J659" i="16"/>
  <c r="I659" i="16"/>
  <c r="K658" i="16"/>
  <c r="J658" i="16"/>
  <c r="I658" i="16"/>
  <c r="K657" i="16"/>
  <c r="J657" i="16"/>
  <c r="I657" i="16"/>
  <c r="K656" i="16"/>
  <c r="J656" i="16"/>
  <c r="I656" i="16"/>
  <c r="K655" i="16"/>
  <c r="J655" i="16"/>
  <c r="I655" i="16"/>
  <c r="K654" i="16"/>
  <c r="J654" i="16"/>
  <c r="I654" i="16"/>
  <c r="K653" i="16"/>
  <c r="J653" i="16"/>
  <c r="I653" i="16"/>
  <c r="K652" i="16"/>
  <c r="J652" i="16"/>
  <c r="I652" i="16"/>
  <c r="K651" i="16"/>
  <c r="J651" i="16"/>
  <c r="I651" i="16"/>
  <c r="K650" i="16"/>
  <c r="J650" i="16"/>
  <c r="I650" i="16"/>
  <c r="K649" i="16"/>
  <c r="J649" i="16"/>
  <c r="I649" i="16"/>
  <c r="K648" i="16"/>
  <c r="J648" i="16"/>
  <c r="I648" i="16"/>
  <c r="K647" i="16"/>
  <c r="J647" i="16"/>
  <c r="I647" i="16"/>
  <c r="K646" i="16"/>
  <c r="J646" i="16"/>
  <c r="I646" i="16"/>
  <c r="K645" i="16"/>
  <c r="J645" i="16"/>
  <c r="I645" i="16"/>
  <c r="K644" i="16"/>
  <c r="J644" i="16"/>
  <c r="I644" i="16"/>
  <c r="K643" i="16"/>
  <c r="J643" i="16"/>
  <c r="I643" i="16"/>
  <c r="K642" i="16"/>
  <c r="J642" i="16"/>
  <c r="I642" i="16"/>
  <c r="K641" i="16"/>
  <c r="J641" i="16"/>
  <c r="I641" i="16"/>
  <c r="K640" i="16"/>
  <c r="J640" i="16"/>
  <c r="I640" i="16"/>
  <c r="K639" i="16"/>
  <c r="J639" i="16"/>
  <c r="I639" i="16"/>
  <c r="K638" i="16"/>
  <c r="J638" i="16"/>
  <c r="I638" i="16"/>
  <c r="K637" i="16"/>
  <c r="J637" i="16"/>
  <c r="I637" i="16"/>
  <c r="K636" i="16"/>
  <c r="J636" i="16"/>
  <c r="I636" i="16"/>
  <c r="K635" i="16"/>
  <c r="J635" i="16"/>
  <c r="I635" i="16"/>
  <c r="K634" i="16"/>
  <c r="J634" i="16"/>
  <c r="I634" i="16"/>
  <c r="K633" i="16"/>
  <c r="J633" i="16"/>
  <c r="I633" i="16"/>
  <c r="K632" i="16"/>
  <c r="J632" i="16"/>
  <c r="I632" i="16"/>
  <c r="K631" i="16"/>
  <c r="J631" i="16"/>
  <c r="I631" i="16"/>
  <c r="K630" i="16"/>
  <c r="J630" i="16"/>
  <c r="I630" i="16"/>
  <c r="K629" i="16"/>
  <c r="J629" i="16"/>
  <c r="I629" i="16"/>
  <c r="K628" i="16"/>
  <c r="J628" i="16"/>
  <c r="I628" i="16"/>
  <c r="K627" i="16"/>
  <c r="J627" i="16"/>
  <c r="I627" i="16"/>
  <c r="K626" i="16"/>
  <c r="J626" i="16"/>
  <c r="I626" i="16"/>
  <c r="K625" i="16"/>
  <c r="J625" i="16"/>
  <c r="I625" i="16"/>
  <c r="K624" i="16"/>
  <c r="J624" i="16"/>
  <c r="I624" i="16"/>
  <c r="K623" i="16"/>
  <c r="J623" i="16"/>
  <c r="I623" i="16"/>
  <c r="K622" i="16"/>
  <c r="J622" i="16"/>
  <c r="I622" i="16"/>
  <c r="K621" i="16"/>
  <c r="J621" i="16"/>
  <c r="I621" i="16"/>
  <c r="K620" i="16"/>
  <c r="J620" i="16"/>
  <c r="I620" i="16"/>
  <c r="K619" i="16"/>
  <c r="J619" i="16"/>
  <c r="I619" i="16"/>
  <c r="K618" i="16"/>
  <c r="J618" i="16"/>
  <c r="I618" i="16"/>
  <c r="K617" i="16"/>
  <c r="J617" i="16"/>
  <c r="I617" i="16"/>
  <c r="K616" i="16"/>
  <c r="J616" i="16"/>
  <c r="I616" i="16"/>
  <c r="K615" i="16"/>
  <c r="J615" i="16"/>
  <c r="I615" i="16"/>
  <c r="K614" i="16"/>
  <c r="J614" i="16"/>
  <c r="I614" i="16"/>
  <c r="K613" i="16"/>
  <c r="J613" i="16"/>
  <c r="I613" i="16"/>
  <c r="K612" i="16"/>
  <c r="J612" i="16"/>
  <c r="I612" i="16"/>
  <c r="K611" i="16"/>
  <c r="J611" i="16"/>
  <c r="I611" i="16"/>
  <c r="K610" i="16"/>
  <c r="J610" i="16"/>
  <c r="I610" i="16"/>
  <c r="K609" i="16"/>
  <c r="J609" i="16"/>
  <c r="I609" i="16"/>
  <c r="K608" i="16"/>
  <c r="J608" i="16"/>
  <c r="I608" i="16"/>
  <c r="K607" i="16"/>
  <c r="J607" i="16"/>
  <c r="I607" i="16"/>
  <c r="K606" i="16"/>
  <c r="J606" i="16"/>
  <c r="I606" i="16"/>
  <c r="K605" i="16"/>
  <c r="J605" i="16"/>
  <c r="I605" i="16"/>
  <c r="K604" i="16"/>
  <c r="J604" i="16"/>
  <c r="I604" i="16"/>
  <c r="K603" i="16"/>
  <c r="J603" i="16"/>
  <c r="I603" i="16"/>
  <c r="K602" i="16"/>
  <c r="J602" i="16"/>
  <c r="I602" i="16"/>
  <c r="K601" i="16"/>
  <c r="J601" i="16"/>
  <c r="I601" i="16"/>
  <c r="K600" i="16"/>
  <c r="J600" i="16"/>
  <c r="I600" i="16"/>
  <c r="K599" i="16"/>
  <c r="J599" i="16"/>
  <c r="I599" i="16"/>
  <c r="K598" i="16"/>
  <c r="J598" i="16"/>
  <c r="I598" i="16"/>
  <c r="K597" i="16"/>
  <c r="J597" i="16"/>
  <c r="I597" i="16"/>
  <c r="K596" i="16"/>
  <c r="J596" i="16"/>
  <c r="I596" i="16"/>
  <c r="K595" i="16"/>
  <c r="J595" i="16"/>
  <c r="I595" i="16"/>
  <c r="K594" i="16"/>
  <c r="J594" i="16"/>
  <c r="I594" i="16"/>
  <c r="K593" i="16"/>
  <c r="J593" i="16"/>
  <c r="I593" i="16"/>
  <c r="K592" i="16"/>
  <c r="J592" i="16"/>
  <c r="I592" i="16"/>
  <c r="K591" i="16"/>
  <c r="J591" i="16"/>
  <c r="I591" i="16"/>
  <c r="K590" i="16"/>
  <c r="J590" i="16"/>
  <c r="I590" i="16"/>
  <c r="N100" i="17" l="1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Q5" i="9"/>
  <c r="R5" i="9"/>
  <c r="Q6" i="9"/>
  <c r="R6" i="9"/>
  <c r="Q7" i="9"/>
  <c r="R7" i="9"/>
  <c r="Q8" i="9"/>
  <c r="R8" i="9"/>
  <c r="Q9" i="9"/>
  <c r="R9" i="9"/>
  <c r="Q10" i="9"/>
  <c r="R10" i="9"/>
  <c r="Q11" i="9"/>
  <c r="R11" i="9"/>
  <c r="Q12" i="9"/>
  <c r="R12" i="9"/>
  <c r="Q13" i="9"/>
  <c r="R13" i="9"/>
  <c r="Q14" i="9"/>
  <c r="R14" i="9"/>
  <c r="Q15" i="9"/>
  <c r="R15" i="9"/>
  <c r="Q16" i="9"/>
  <c r="R16" i="9"/>
  <c r="Q17" i="9"/>
  <c r="R17" i="9"/>
  <c r="Q18" i="9"/>
  <c r="R18" i="9"/>
  <c r="Q19" i="9"/>
  <c r="R19" i="9"/>
  <c r="Q20" i="9"/>
  <c r="R20" i="9"/>
  <c r="Q21" i="9"/>
  <c r="R21" i="9"/>
  <c r="Q22" i="9"/>
  <c r="R22" i="9"/>
  <c r="Q23" i="9"/>
  <c r="R23" i="9"/>
  <c r="Q24" i="9"/>
  <c r="R24" i="9"/>
  <c r="Q25" i="9"/>
  <c r="R25" i="9"/>
  <c r="Q26" i="9"/>
  <c r="R26" i="9"/>
  <c r="R27" i="9" s="1"/>
  <c r="R28" i="9" s="1"/>
  <c r="R29" i="9" s="1"/>
  <c r="Q27" i="9"/>
  <c r="Q28" i="9"/>
  <c r="Q29" i="9"/>
  <c r="Q30" i="9"/>
  <c r="R30" i="9"/>
  <c r="Q31" i="9"/>
  <c r="R31" i="9"/>
  <c r="Q32" i="9"/>
  <c r="R32" i="9"/>
  <c r="Q33" i="9"/>
  <c r="R33" i="9"/>
  <c r="Q34" i="9"/>
  <c r="R34" i="9"/>
  <c r="Q35" i="9"/>
  <c r="R35" i="9"/>
  <c r="Q36" i="9"/>
  <c r="R36" i="9"/>
  <c r="Q37" i="9"/>
  <c r="R37" i="9"/>
  <c r="Q38" i="9"/>
  <c r="R38" i="9"/>
  <c r="Q39" i="9"/>
  <c r="R39" i="9"/>
  <c r="R40" i="9" s="1"/>
  <c r="R41" i="9" s="1"/>
  <c r="R42" i="9" s="1"/>
  <c r="R43" i="9" s="1"/>
  <c r="R44" i="9" s="1"/>
  <c r="R45" i="9" s="1"/>
  <c r="R46" i="9" s="1"/>
  <c r="Q40" i="9"/>
  <c r="Q41" i="9"/>
  <c r="Q42" i="9"/>
  <c r="Q43" i="9"/>
  <c r="Q44" i="9"/>
  <c r="Q45" i="9"/>
  <c r="Q46" i="9"/>
  <c r="Q47" i="9"/>
  <c r="R47" i="9"/>
  <c r="Q48" i="9"/>
  <c r="R48" i="9"/>
  <c r="Q49" i="9"/>
  <c r="R49" i="9"/>
  <c r="Q50" i="9"/>
  <c r="R50" i="9"/>
  <c r="Q51" i="9"/>
  <c r="R51" i="9"/>
  <c r="Q52" i="9"/>
  <c r="R52" i="9"/>
  <c r="R53" i="9" s="1"/>
  <c r="Q53" i="9"/>
  <c r="Q54" i="9"/>
  <c r="R54" i="9"/>
  <c r="R55" i="9" s="1"/>
  <c r="R56" i="9" s="1"/>
  <c r="R57" i="9" s="1"/>
  <c r="R58" i="9" s="1"/>
  <c r="Q55" i="9"/>
  <c r="Q56" i="9"/>
  <c r="Q57" i="9"/>
  <c r="Q58" i="9"/>
  <c r="Q59" i="9"/>
  <c r="R59" i="9"/>
  <c r="R60" i="9" s="1"/>
  <c r="R61" i="9" s="1"/>
  <c r="R62" i="9" s="1"/>
  <c r="Q60" i="9"/>
  <c r="Q61" i="9"/>
  <c r="Q62" i="9"/>
  <c r="Q63" i="9"/>
  <c r="R63" i="9"/>
  <c r="R64" i="9" s="1"/>
  <c r="R65" i="9" s="1"/>
  <c r="R66" i="9" s="1"/>
  <c r="R67" i="9" s="1"/>
  <c r="R68" i="9" s="1"/>
  <c r="R69" i="9" s="1"/>
  <c r="R70" i="9" s="1"/>
  <c r="R71" i="9" s="1"/>
  <c r="R72" i="9" s="1"/>
  <c r="R73" i="9" s="1"/>
  <c r="Q64" i="9"/>
  <c r="Q65" i="9"/>
  <c r="Q66" i="9"/>
  <c r="Q67" i="9"/>
  <c r="Q68" i="9"/>
  <c r="Q69" i="9"/>
  <c r="Q70" i="9"/>
  <c r="Q71" i="9"/>
  <c r="Q72" i="9"/>
  <c r="Q73" i="9"/>
  <c r="Q74" i="9"/>
  <c r="R74" i="9"/>
  <c r="Q75" i="9"/>
  <c r="R75" i="9"/>
  <c r="Q76" i="9"/>
  <c r="R76" i="9"/>
  <c r="Q77" i="9"/>
  <c r="R77" i="9"/>
  <c r="R78" i="9" s="1"/>
  <c r="R79" i="9" s="1"/>
  <c r="R80" i="9" s="1"/>
  <c r="R81" i="9" s="1"/>
  <c r="Q78" i="9"/>
  <c r="Q79" i="9"/>
  <c r="Q80" i="9"/>
  <c r="Q81" i="9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40" i="17"/>
  <c r="K39" i="17"/>
  <c r="K38" i="17"/>
  <c r="K37" i="17"/>
  <c r="K36" i="17"/>
  <c r="K35" i="17"/>
  <c r="K34" i="17"/>
  <c r="K33" i="17"/>
  <c r="K32" i="17"/>
  <c r="K31" i="17"/>
  <c r="K30" i="17"/>
  <c r="K29" i="17"/>
  <c r="K28" i="17"/>
  <c r="K27" i="17"/>
  <c r="K26" i="17"/>
  <c r="K25" i="17"/>
  <c r="K24" i="17"/>
  <c r="K23" i="17"/>
  <c r="K22" i="17"/>
  <c r="K21" i="17"/>
  <c r="K20" i="17"/>
  <c r="K19" i="17"/>
  <c r="K18" i="17"/>
  <c r="K17" i="17"/>
  <c r="K16" i="17"/>
  <c r="K15" i="17"/>
  <c r="K14" i="17"/>
  <c r="K13" i="17"/>
  <c r="K12" i="17"/>
  <c r="K11" i="17"/>
  <c r="K10" i="17"/>
  <c r="K9" i="17"/>
  <c r="K8" i="17"/>
  <c r="K7" i="17"/>
  <c r="K6" i="17"/>
  <c r="K4" i="17"/>
  <c r="S5" i="17" l="1"/>
  <c r="R4" i="17"/>
  <c r="R3" i="17"/>
  <c r="R2" i="17"/>
  <c r="Q4" i="17"/>
  <c r="Q3" i="17"/>
  <c r="Q2" i="17"/>
  <c r="R5" i="17" l="1"/>
  <c r="J589" i="16"/>
  <c r="I589" i="16"/>
  <c r="J588" i="16"/>
  <c r="I588" i="16"/>
  <c r="J587" i="16"/>
  <c r="I587" i="16"/>
  <c r="J586" i="16"/>
  <c r="I586" i="16"/>
  <c r="J585" i="16"/>
  <c r="I585" i="16"/>
  <c r="J584" i="16"/>
  <c r="I584" i="16"/>
  <c r="J583" i="16"/>
  <c r="I583" i="16"/>
  <c r="J582" i="16"/>
  <c r="I582" i="16"/>
  <c r="J581" i="16"/>
  <c r="I581" i="16"/>
  <c r="J580" i="16"/>
  <c r="I580" i="16"/>
  <c r="J579" i="16"/>
  <c r="I579" i="16"/>
  <c r="J578" i="16"/>
  <c r="I578" i="16"/>
  <c r="J577" i="16"/>
  <c r="I577" i="16"/>
  <c r="J576" i="16"/>
  <c r="I576" i="16"/>
  <c r="J575" i="16"/>
  <c r="I575" i="16"/>
  <c r="J574" i="16"/>
  <c r="I574" i="16"/>
  <c r="J573" i="16"/>
  <c r="I573" i="16"/>
  <c r="J572" i="16"/>
  <c r="I572" i="16"/>
  <c r="J571" i="16"/>
  <c r="I571" i="16"/>
  <c r="J570" i="16"/>
  <c r="I570" i="16"/>
  <c r="J569" i="16"/>
  <c r="I569" i="16"/>
  <c r="J568" i="16"/>
  <c r="I568" i="16"/>
  <c r="J567" i="16"/>
  <c r="I567" i="16"/>
  <c r="J566" i="16"/>
  <c r="I566" i="16"/>
  <c r="J565" i="16"/>
  <c r="I565" i="16"/>
  <c r="J564" i="16"/>
  <c r="I564" i="16"/>
  <c r="J563" i="16"/>
  <c r="I563" i="16"/>
  <c r="J562" i="16"/>
  <c r="I562" i="16"/>
  <c r="J561" i="16"/>
  <c r="I561" i="16"/>
  <c r="J560" i="16"/>
  <c r="I560" i="16"/>
  <c r="J559" i="16"/>
  <c r="I559" i="16"/>
  <c r="J558" i="16"/>
  <c r="I558" i="16"/>
  <c r="J557" i="16"/>
  <c r="I557" i="16"/>
  <c r="J556" i="16"/>
  <c r="I556" i="16"/>
  <c r="J555" i="16"/>
  <c r="I555" i="16"/>
  <c r="J554" i="16"/>
  <c r="I554" i="16"/>
  <c r="J553" i="16"/>
  <c r="I553" i="16"/>
  <c r="J552" i="16"/>
  <c r="I552" i="16"/>
  <c r="J551" i="16"/>
  <c r="I551" i="16"/>
  <c r="J550" i="16"/>
  <c r="I550" i="16"/>
  <c r="J549" i="16"/>
  <c r="I549" i="16"/>
  <c r="J548" i="16"/>
  <c r="I548" i="16"/>
  <c r="J547" i="16"/>
  <c r="I547" i="16"/>
  <c r="J546" i="16"/>
  <c r="I546" i="16"/>
  <c r="J545" i="16"/>
  <c r="I545" i="16"/>
  <c r="J544" i="16"/>
  <c r="I544" i="16"/>
  <c r="J543" i="16"/>
  <c r="I543" i="16"/>
  <c r="J542" i="16"/>
  <c r="I542" i="16"/>
  <c r="J541" i="16"/>
  <c r="I541" i="16"/>
  <c r="J540" i="16"/>
  <c r="I540" i="16"/>
  <c r="J539" i="16"/>
  <c r="I539" i="16"/>
  <c r="J538" i="16"/>
  <c r="I538" i="16"/>
  <c r="J537" i="16"/>
  <c r="I537" i="16"/>
  <c r="J536" i="16"/>
  <c r="I536" i="16"/>
  <c r="J535" i="16"/>
  <c r="I535" i="16"/>
  <c r="J534" i="16"/>
  <c r="I534" i="16"/>
  <c r="J533" i="16"/>
  <c r="I533" i="16"/>
  <c r="J532" i="16"/>
  <c r="I532" i="16"/>
  <c r="J531" i="16"/>
  <c r="I531" i="16"/>
  <c r="J530" i="16"/>
  <c r="I530" i="16"/>
  <c r="J529" i="16"/>
  <c r="I529" i="16"/>
  <c r="J528" i="16"/>
  <c r="I528" i="16"/>
  <c r="J527" i="16"/>
  <c r="I527" i="16"/>
  <c r="J526" i="16"/>
  <c r="I526" i="16"/>
  <c r="J525" i="16"/>
  <c r="I525" i="16"/>
  <c r="J524" i="16"/>
  <c r="I524" i="16"/>
  <c r="J523" i="16"/>
  <c r="I523" i="16"/>
  <c r="J522" i="16"/>
  <c r="I522" i="16"/>
  <c r="J521" i="16"/>
  <c r="I521" i="16"/>
  <c r="J520" i="16"/>
  <c r="I520" i="16"/>
  <c r="J519" i="16"/>
  <c r="I519" i="16"/>
  <c r="J518" i="16"/>
  <c r="I518" i="16"/>
  <c r="J517" i="16"/>
  <c r="I517" i="16"/>
  <c r="J516" i="16"/>
  <c r="I516" i="16"/>
  <c r="J515" i="16"/>
  <c r="I515" i="16"/>
  <c r="J514" i="16"/>
  <c r="I514" i="16"/>
  <c r="J513" i="16"/>
  <c r="I513" i="16"/>
  <c r="J512" i="16"/>
  <c r="I512" i="16"/>
  <c r="J511" i="16"/>
  <c r="I511" i="16"/>
  <c r="J510" i="16"/>
  <c r="I510" i="16"/>
  <c r="J509" i="16"/>
  <c r="I509" i="16"/>
  <c r="J508" i="16"/>
  <c r="I508" i="16"/>
  <c r="J507" i="16"/>
  <c r="I507" i="16"/>
  <c r="J506" i="16"/>
  <c r="I506" i="16"/>
  <c r="J505" i="16"/>
  <c r="I505" i="16"/>
  <c r="J504" i="16"/>
  <c r="I504" i="16"/>
  <c r="J503" i="16"/>
  <c r="I503" i="16"/>
  <c r="J502" i="16"/>
  <c r="I502" i="16"/>
  <c r="J501" i="16"/>
  <c r="I501" i="16"/>
  <c r="J500" i="16"/>
  <c r="I500" i="16"/>
  <c r="J499" i="16"/>
  <c r="I499" i="16"/>
  <c r="J498" i="16"/>
  <c r="I498" i="16"/>
  <c r="J497" i="16"/>
  <c r="I497" i="16"/>
  <c r="J496" i="16"/>
  <c r="I496" i="16"/>
  <c r="J495" i="16"/>
  <c r="I495" i="16"/>
  <c r="J494" i="16"/>
  <c r="I494" i="16"/>
  <c r="J493" i="16"/>
  <c r="I493" i="16"/>
  <c r="J492" i="16"/>
  <c r="I492" i="16"/>
  <c r="J491" i="16"/>
  <c r="I491" i="16"/>
  <c r="J490" i="16"/>
  <c r="I490" i="16"/>
  <c r="J489" i="16"/>
  <c r="I489" i="16"/>
  <c r="J488" i="16"/>
  <c r="I488" i="16"/>
  <c r="J487" i="16"/>
  <c r="I487" i="16"/>
  <c r="J486" i="16"/>
  <c r="I486" i="16"/>
  <c r="J485" i="16"/>
  <c r="I485" i="16"/>
  <c r="J484" i="16"/>
  <c r="I484" i="16"/>
  <c r="J483" i="16"/>
  <c r="I483" i="16"/>
  <c r="J482" i="16"/>
  <c r="I482" i="16"/>
  <c r="J481" i="16"/>
  <c r="I481" i="16"/>
  <c r="J480" i="16"/>
  <c r="I480" i="16"/>
  <c r="J479" i="16"/>
  <c r="I479" i="16"/>
  <c r="J478" i="16"/>
  <c r="I478" i="16"/>
  <c r="J477" i="16"/>
  <c r="I477" i="16"/>
  <c r="J476" i="16"/>
  <c r="I476" i="16"/>
  <c r="J475" i="16"/>
  <c r="I475" i="16"/>
  <c r="J474" i="16"/>
  <c r="I474" i="16"/>
  <c r="J473" i="16"/>
  <c r="I473" i="16"/>
  <c r="J472" i="16"/>
  <c r="I472" i="16"/>
  <c r="J471" i="16"/>
  <c r="I471" i="16"/>
  <c r="J470" i="16"/>
  <c r="I470" i="16"/>
  <c r="J469" i="16"/>
  <c r="I469" i="16"/>
  <c r="J468" i="16"/>
  <c r="I468" i="16"/>
  <c r="J467" i="16"/>
  <c r="I467" i="16"/>
  <c r="J466" i="16"/>
  <c r="I466" i="16"/>
  <c r="J465" i="16"/>
  <c r="I465" i="16"/>
  <c r="J464" i="16"/>
  <c r="I464" i="16"/>
  <c r="J463" i="16"/>
  <c r="I463" i="16"/>
  <c r="J462" i="16"/>
  <c r="I462" i="16"/>
  <c r="J461" i="16"/>
  <c r="I461" i="16"/>
  <c r="J460" i="16"/>
  <c r="I460" i="16"/>
  <c r="J459" i="16"/>
  <c r="I459" i="16"/>
  <c r="J458" i="16"/>
  <c r="I458" i="16"/>
  <c r="J457" i="16"/>
  <c r="I457" i="16"/>
  <c r="J456" i="16"/>
  <c r="I456" i="16"/>
  <c r="J455" i="16"/>
  <c r="I455" i="16"/>
  <c r="J454" i="16"/>
  <c r="I454" i="16"/>
  <c r="J453" i="16"/>
  <c r="I453" i="16"/>
  <c r="J452" i="16"/>
  <c r="I452" i="16"/>
  <c r="J451" i="16"/>
  <c r="I451" i="16"/>
  <c r="J450" i="16"/>
  <c r="I450" i="16"/>
  <c r="J449" i="16"/>
  <c r="I449" i="16"/>
  <c r="J448" i="16"/>
  <c r="I448" i="16"/>
  <c r="J447" i="16"/>
  <c r="I447" i="16"/>
  <c r="J446" i="16"/>
  <c r="I446" i="16"/>
  <c r="J445" i="16"/>
  <c r="I445" i="16"/>
  <c r="J444" i="16"/>
  <c r="I444" i="16"/>
  <c r="J443" i="16"/>
  <c r="I443" i="16"/>
  <c r="J442" i="16"/>
  <c r="I442" i="16"/>
  <c r="J441" i="16"/>
  <c r="I441" i="16"/>
  <c r="J440" i="16"/>
  <c r="I440" i="16"/>
  <c r="J439" i="16"/>
  <c r="I439" i="16"/>
  <c r="J438" i="16"/>
  <c r="I438" i="16"/>
  <c r="J437" i="16"/>
  <c r="I437" i="16"/>
  <c r="J436" i="16"/>
  <c r="I436" i="16"/>
  <c r="J435" i="16"/>
  <c r="I435" i="16"/>
  <c r="J434" i="16"/>
  <c r="I434" i="16"/>
  <c r="J433" i="16"/>
  <c r="I433" i="16"/>
  <c r="J432" i="16"/>
  <c r="I432" i="16"/>
  <c r="J431" i="16"/>
  <c r="I431" i="16"/>
  <c r="J430" i="16"/>
  <c r="I430" i="16"/>
  <c r="J429" i="16"/>
  <c r="I429" i="16"/>
  <c r="J428" i="16"/>
  <c r="I428" i="16"/>
  <c r="J427" i="16"/>
  <c r="I427" i="16"/>
  <c r="J426" i="16"/>
  <c r="I426" i="16"/>
  <c r="J425" i="16"/>
  <c r="I425" i="16"/>
  <c r="J424" i="16"/>
  <c r="I424" i="16"/>
  <c r="J423" i="16"/>
  <c r="I423" i="16"/>
  <c r="J422" i="16"/>
  <c r="I422" i="16"/>
  <c r="J421" i="16"/>
  <c r="I421" i="16"/>
  <c r="J420" i="16"/>
  <c r="I420" i="16"/>
  <c r="J419" i="16"/>
  <c r="I419" i="16"/>
  <c r="J418" i="16"/>
  <c r="I418" i="16"/>
  <c r="J417" i="16"/>
  <c r="I417" i="16"/>
  <c r="J416" i="16"/>
  <c r="I416" i="16"/>
  <c r="J415" i="16"/>
  <c r="I415" i="16"/>
  <c r="J414" i="16"/>
  <c r="I414" i="16"/>
  <c r="J413" i="16"/>
  <c r="I413" i="16"/>
  <c r="J412" i="16"/>
  <c r="I412" i="16"/>
  <c r="J411" i="16"/>
  <c r="I411" i="16"/>
  <c r="J410" i="16"/>
  <c r="I410" i="16"/>
  <c r="J409" i="16"/>
  <c r="I409" i="16"/>
  <c r="J408" i="16"/>
  <c r="I408" i="16"/>
  <c r="J407" i="16"/>
  <c r="I407" i="16"/>
  <c r="J406" i="16"/>
  <c r="I406" i="16"/>
  <c r="J405" i="16"/>
  <c r="I405" i="16"/>
  <c r="J404" i="16"/>
  <c r="I404" i="16"/>
  <c r="J403" i="16"/>
  <c r="I403" i="16"/>
  <c r="J402" i="16"/>
  <c r="I402" i="16"/>
  <c r="J401" i="16"/>
  <c r="I401" i="16"/>
  <c r="J400" i="16"/>
  <c r="I400" i="16"/>
  <c r="J399" i="16"/>
  <c r="I399" i="16"/>
  <c r="J398" i="16"/>
  <c r="I398" i="16"/>
  <c r="J397" i="16"/>
  <c r="I397" i="16"/>
  <c r="J396" i="16"/>
  <c r="I396" i="16"/>
  <c r="J395" i="16"/>
  <c r="I395" i="16"/>
  <c r="J394" i="16"/>
  <c r="I394" i="16"/>
  <c r="J393" i="16"/>
  <c r="I393" i="16"/>
  <c r="J392" i="16"/>
  <c r="I392" i="16"/>
  <c r="J391" i="16"/>
  <c r="I391" i="16"/>
  <c r="J390" i="16"/>
  <c r="I390" i="16"/>
  <c r="J389" i="16"/>
  <c r="I389" i="16"/>
  <c r="J388" i="16"/>
  <c r="I388" i="16"/>
  <c r="J387" i="16"/>
  <c r="I387" i="16"/>
  <c r="J386" i="16"/>
  <c r="I386" i="16"/>
  <c r="J385" i="16"/>
  <c r="I385" i="16"/>
  <c r="J384" i="16"/>
  <c r="I384" i="16"/>
  <c r="J383" i="16"/>
  <c r="I383" i="16"/>
  <c r="J382" i="16"/>
  <c r="I382" i="16"/>
  <c r="J381" i="16"/>
  <c r="I381" i="16"/>
  <c r="J380" i="16"/>
  <c r="I380" i="16"/>
  <c r="J379" i="16"/>
  <c r="I379" i="16"/>
  <c r="J378" i="16"/>
  <c r="I378" i="16"/>
  <c r="J377" i="16"/>
  <c r="I377" i="16"/>
  <c r="J376" i="16"/>
  <c r="I376" i="16"/>
  <c r="J375" i="16"/>
  <c r="I375" i="16"/>
  <c r="J374" i="16"/>
  <c r="I374" i="16"/>
  <c r="J373" i="16"/>
  <c r="I373" i="16"/>
  <c r="J372" i="16"/>
  <c r="I372" i="16"/>
  <c r="J371" i="16"/>
  <c r="I371" i="16"/>
  <c r="J370" i="16"/>
  <c r="I370" i="16"/>
  <c r="J369" i="16"/>
  <c r="I369" i="16"/>
  <c r="J368" i="16"/>
  <c r="I368" i="16"/>
  <c r="J367" i="16"/>
  <c r="I367" i="16"/>
  <c r="J366" i="16"/>
  <c r="I366" i="16"/>
  <c r="J365" i="16"/>
  <c r="I365" i="16"/>
  <c r="J364" i="16"/>
  <c r="I364" i="16"/>
  <c r="J363" i="16"/>
  <c r="I363" i="16"/>
  <c r="J362" i="16"/>
  <c r="I362" i="16"/>
  <c r="J361" i="16"/>
  <c r="I361" i="16"/>
  <c r="J360" i="16"/>
  <c r="I360" i="16"/>
  <c r="J359" i="16"/>
  <c r="I359" i="16"/>
  <c r="J358" i="16"/>
  <c r="I358" i="16"/>
  <c r="J357" i="16"/>
  <c r="I357" i="16"/>
  <c r="J356" i="16"/>
  <c r="I356" i="16"/>
  <c r="J355" i="16"/>
  <c r="I355" i="16"/>
  <c r="J354" i="16"/>
  <c r="I354" i="16"/>
  <c r="J353" i="16"/>
  <c r="I353" i="16"/>
  <c r="J352" i="16"/>
  <c r="I352" i="16"/>
  <c r="J351" i="16"/>
  <c r="I351" i="16"/>
  <c r="J350" i="16"/>
  <c r="I350" i="16"/>
  <c r="J349" i="16"/>
  <c r="I349" i="16"/>
  <c r="J348" i="16"/>
  <c r="I348" i="16"/>
  <c r="J347" i="16"/>
  <c r="I347" i="16"/>
  <c r="J346" i="16"/>
  <c r="I346" i="16"/>
  <c r="J345" i="16"/>
  <c r="I345" i="16"/>
  <c r="J344" i="16"/>
  <c r="I344" i="16"/>
  <c r="J343" i="16"/>
  <c r="I343" i="16"/>
  <c r="J342" i="16"/>
  <c r="I342" i="16"/>
  <c r="J341" i="16"/>
  <c r="I341" i="16"/>
  <c r="J340" i="16"/>
  <c r="I340" i="16"/>
  <c r="J339" i="16"/>
  <c r="I339" i="16"/>
  <c r="J338" i="16"/>
  <c r="I338" i="16"/>
  <c r="J337" i="16"/>
  <c r="I337" i="16"/>
  <c r="J336" i="16"/>
  <c r="I336" i="16"/>
  <c r="J335" i="16"/>
  <c r="I335" i="16"/>
  <c r="J334" i="16"/>
  <c r="I334" i="16"/>
  <c r="J333" i="16"/>
  <c r="I333" i="16"/>
  <c r="J332" i="16"/>
  <c r="I332" i="16"/>
  <c r="J331" i="16"/>
  <c r="I331" i="16"/>
  <c r="J330" i="16"/>
  <c r="I330" i="16"/>
  <c r="J329" i="16"/>
  <c r="I329" i="16"/>
  <c r="J328" i="16"/>
  <c r="I328" i="16"/>
  <c r="J327" i="16"/>
  <c r="I327" i="16"/>
  <c r="J326" i="16"/>
  <c r="I326" i="16"/>
  <c r="J325" i="16"/>
  <c r="I325" i="16"/>
  <c r="J324" i="16"/>
  <c r="I324" i="16"/>
  <c r="J323" i="16"/>
  <c r="I323" i="16"/>
  <c r="J322" i="16"/>
  <c r="I322" i="16"/>
  <c r="J321" i="16"/>
  <c r="I321" i="16"/>
  <c r="J320" i="16"/>
  <c r="I320" i="16"/>
  <c r="J319" i="16"/>
  <c r="I319" i="16"/>
  <c r="J318" i="16"/>
  <c r="I318" i="16"/>
  <c r="J317" i="16"/>
  <c r="I317" i="16"/>
  <c r="J316" i="16"/>
  <c r="I316" i="16"/>
  <c r="J315" i="16"/>
  <c r="I315" i="16"/>
  <c r="J314" i="16"/>
  <c r="I314" i="16"/>
  <c r="J313" i="16"/>
  <c r="I313" i="16"/>
  <c r="J312" i="16"/>
  <c r="I312" i="16"/>
  <c r="J311" i="16"/>
  <c r="I311" i="16"/>
  <c r="J310" i="16"/>
  <c r="I310" i="16"/>
  <c r="J309" i="16"/>
  <c r="I309" i="16"/>
  <c r="J308" i="16"/>
  <c r="I308" i="16"/>
  <c r="J307" i="16"/>
  <c r="I307" i="16"/>
  <c r="J306" i="16"/>
  <c r="I306" i="16"/>
  <c r="J305" i="16"/>
  <c r="I305" i="16"/>
  <c r="J304" i="16"/>
  <c r="I304" i="16"/>
  <c r="J303" i="16"/>
  <c r="I303" i="16"/>
  <c r="J302" i="16"/>
  <c r="I302" i="16"/>
  <c r="J301" i="16"/>
  <c r="I301" i="16"/>
  <c r="J300" i="16"/>
  <c r="I300" i="16"/>
  <c r="J299" i="16"/>
  <c r="I299" i="16"/>
  <c r="J298" i="16"/>
  <c r="I298" i="16"/>
  <c r="J297" i="16"/>
  <c r="I297" i="16"/>
  <c r="J296" i="16"/>
  <c r="I296" i="16"/>
  <c r="J295" i="16"/>
  <c r="I295" i="16"/>
  <c r="J294" i="16"/>
  <c r="I294" i="16"/>
  <c r="J293" i="16"/>
  <c r="I293" i="16"/>
  <c r="J292" i="16"/>
  <c r="I292" i="16"/>
  <c r="J291" i="16"/>
  <c r="I291" i="16"/>
  <c r="J290" i="16"/>
  <c r="I290" i="16"/>
  <c r="J289" i="16"/>
  <c r="I289" i="16"/>
  <c r="J288" i="16"/>
  <c r="I288" i="16"/>
  <c r="J287" i="16"/>
  <c r="I287" i="16"/>
  <c r="J286" i="16"/>
  <c r="I286" i="16"/>
  <c r="J285" i="16"/>
  <c r="I285" i="16"/>
  <c r="J284" i="16"/>
  <c r="I284" i="16"/>
  <c r="J283" i="16"/>
  <c r="I283" i="16"/>
  <c r="J282" i="16"/>
  <c r="I282" i="16"/>
  <c r="J281" i="16"/>
  <c r="I281" i="16"/>
  <c r="J280" i="16"/>
  <c r="I280" i="16"/>
  <c r="J279" i="16"/>
  <c r="I279" i="16"/>
  <c r="J278" i="16"/>
  <c r="I278" i="16"/>
  <c r="J277" i="16"/>
  <c r="I277" i="16"/>
  <c r="J276" i="16"/>
  <c r="I276" i="16"/>
  <c r="J275" i="16"/>
  <c r="I275" i="16"/>
  <c r="J274" i="16"/>
  <c r="I274" i="16"/>
  <c r="J273" i="16"/>
  <c r="I273" i="16"/>
  <c r="J272" i="16"/>
  <c r="I272" i="16"/>
  <c r="J271" i="16"/>
  <c r="I271" i="16"/>
  <c r="J270" i="16"/>
  <c r="I270" i="16"/>
  <c r="J269" i="16"/>
  <c r="I269" i="16"/>
  <c r="J268" i="16"/>
  <c r="I268" i="16"/>
  <c r="J267" i="16"/>
  <c r="I267" i="16"/>
  <c r="J266" i="16"/>
  <c r="I266" i="16"/>
  <c r="J265" i="16"/>
  <c r="I265" i="16"/>
  <c r="J264" i="16"/>
  <c r="I264" i="16"/>
  <c r="J263" i="16"/>
  <c r="I263" i="16"/>
  <c r="J262" i="16"/>
  <c r="I262" i="16"/>
  <c r="J261" i="16"/>
  <c r="I261" i="16"/>
  <c r="J260" i="16"/>
  <c r="I260" i="16"/>
  <c r="J259" i="16"/>
  <c r="I259" i="16"/>
  <c r="J258" i="16"/>
  <c r="I258" i="16"/>
  <c r="J257" i="16"/>
  <c r="I257" i="16"/>
  <c r="J256" i="16"/>
  <c r="I256" i="16"/>
  <c r="J255" i="16"/>
  <c r="I255" i="16"/>
  <c r="J254" i="16"/>
  <c r="I254" i="16"/>
  <c r="J253" i="16"/>
  <c r="I253" i="16"/>
  <c r="J252" i="16"/>
  <c r="I252" i="16"/>
  <c r="J251" i="16"/>
  <c r="I251" i="16"/>
  <c r="J250" i="16"/>
  <c r="I250" i="16"/>
  <c r="J249" i="16"/>
  <c r="I249" i="16"/>
  <c r="J248" i="16"/>
  <c r="I248" i="16"/>
  <c r="J247" i="16"/>
  <c r="I247" i="16"/>
  <c r="J246" i="16"/>
  <c r="I246" i="16"/>
  <c r="J245" i="16"/>
  <c r="I245" i="16"/>
  <c r="J244" i="16"/>
  <c r="I244" i="16"/>
  <c r="J243" i="16"/>
  <c r="I243" i="16"/>
  <c r="J242" i="16"/>
  <c r="I242" i="16"/>
  <c r="J241" i="16"/>
  <c r="I241" i="16"/>
  <c r="J240" i="16"/>
  <c r="I240" i="16"/>
  <c r="J239" i="16"/>
  <c r="I239" i="16"/>
  <c r="J238" i="16"/>
  <c r="I238" i="16"/>
  <c r="J237" i="16"/>
  <c r="I237" i="16"/>
  <c r="J236" i="16"/>
  <c r="I236" i="16"/>
  <c r="J235" i="16"/>
  <c r="I235" i="16"/>
  <c r="J234" i="16"/>
  <c r="I234" i="16"/>
  <c r="J233" i="16"/>
  <c r="I233" i="16"/>
  <c r="J232" i="16"/>
  <c r="I232" i="16"/>
  <c r="J231" i="16"/>
  <c r="I231" i="16"/>
  <c r="J230" i="16"/>
  <c r="I230" i="16"/>
  <c r="J229" i="16"/>
  <c r="I229" i="16"/>
  <c r="J228" i="16"/>
  <c r="I228" i="16"/>
  <c r="J227" i="16"/>
  <c r="I227" i="16"/>
  <c r="J226" i="16"/>
  <c r="I226" i="16"/>
  <c r="J225" i="16"/>
  <c r="I225" i="16"/>
  <c r="J224" i="16"/>
  <c r="I224" i="16"/>
  <c r="J223" i="16"/>
  <c r="I223" i="16"/>
  <c r="J222" i="16"/>
  <c r="I222" i="16"/>
  <c r="J221" i="16"/>
  <c r="I221" i="16"/>
  <c r="J220" i="16"/>
  <c r="I220" i="16"/>
  <c r="J219" i="16"/>
  <c r="I219" i="16"/>
  <c r="J218" i="16"/>
  <c r="I218" i="16"/>
  <c r="J217" i="16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K154" i="16"/>
  <c r="K153" i="16"/>
  <c r="K152" i="16"/>
  <c r="K151" i="16"/>
  <c r="K150" i="16"/>
  <c r="K149" i="16"/>
  <c r="K148" i="16"/>
  <c r="K147" i="16"/>
  <c r="K146" i="16"/>
  <c r="K145" i="16"/>
  <c r="K144" i="16"/>
  <c r="K143" i="16"/>
  <c r="K142" i="16"/>
  <c r="K141" i="16"/>
  <c r="K140" i="16"/>
  <c r="K139" i="16"/>
  <c r="K138" i="16"/>
  <c r="K137" i="16"/>
  <c r="K136" i="16"/>
  <c r="K135" i="16"/>
  <c r="K134" i="16"/>
  <c r="K133" i="16"/>
  <c r="K132" i="16"/>
  <c r="K131" i="16"/>
  <c r="K130" i="16"/>
  <c r="K129" i="16"/>
  <c r="K128" i="16"/>
  <c r="K127" i="16"/>
  <c r="K126" i="16"/>
  <c r="K125" i="16"/>
  <c r="K124" i="16"/>
  <c r="K123" i="16"/>
  <c r="K122" i="16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K90" i="16"/>
  <c r="K89" i="16"/>
  <c r="K88" i="16"/>
  <c r="K87" i="16"/>
  <c r="K86" i="16"/>
  <c r="K85" i="16"/>
  <c r="K84" i="16"/>
  <c r="K83" i="16"/>
  <c r="K82" i="16"/>
  <c r="K81" i="16"/>
  <c r="K80" i="16"/>
  <c r="K79" i="16"/>
  <c r="K78" i="16"/>
  <c r="K77" i="16"/>
  <c r="K76" i="16"/>
  <c r="K75" i="16"/>
  <c r="K74" i="16"/>
  <c r="K73" i="16"/>
  <c r="K72" i="16"/>
  <c r="K71" i="16"/>
  <c r="K70" i="16"/>
  <c r="K69" i="16"/>
  <c r="K68" i="16"/>
  <c r="K67" i="16"/>
  <c r="K66" i="16"/>
  <c r="K65" i="16"/>
  <c r="K64" i="16"/>
  <c r="K63" i="16"/>
  <c r="K62" i="16"/>
  <c r="K61" i="16"/>
  <c r="K60" i="16"/>
  <c r="K59" i="16"/>
  <c r="K58" i="16"/>
  <c r="K57" i="16"/>
  <c r="K56" i="16"/>
  <c r="K55" i="16"/>
  <c r="K54" i="16"/>
  <c r="K53" i="16"/>
  <c r="K52" i="16"/>
  <c r="K51" i="16"/>
  <c r="K50" i="16"/>
  <c r="K49" i="16"/>
  <c r="K48" i="16"/>
  <c r="K47" i="16"/>
  <c r="K46" i="16"/>
  <c r="K45" i="16"/>
  <c r="K44" i="16"/>
  <c r="K43" i="16"/>
  <c r="K42" i="16"/>
  <c r="K41" i="16"/>
  <c r="K40" i="16"/>
  <c r="K39" i="16"/>
  <c r="K38" i="16"/>
  <c r="K37" i="16"/>
  <c r="K36" i="16"/>
  <c r="K35" i="16"/>
  <c r="K34" i="16"/>
  <c r="K33" i="16"/>
  <c r="K32" i="16"/>
  <c r="K31" i="16"/>
  <c r="K30" i="16"/>
  <c r="K29" i="16"/>
  <c r="K28" i="16"/>
  <c r="K27" i="16"/>
  <c r="K26" i="16"/>
  <c r="K25" i="16"/>
  <c r="K24" i="16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6" i="16"/>
  <c r="K5" i="16"/>
  <c r="K4" i="16"/>
  <c r="K3" i="16"/>
  <c r="K2" i="16" l="1"/>
  <c r="J2" i="16" l="1"/>
  <c r="I2" i="16"/>
  <c r="R2" i="4" l="1"/>
  <c r="R7" i="4" s="1"/>
  <c r="Q2" i="4"/>
  <c r="Q7" i="4" s="1"/>
  <c r="P2" i="4"/>
  <c r="P699" i="4" s="1"/>
  <c r="K5" i="4"/>
  <c r="K4" i="4"/>
  <c r="K3" i="4"/>
  <c r="N2" i="4"/>
  <c r="K2" i="4"/>
  <c r="P7" i="4" l="1"/>
  <c r="AB4" i="9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Q250" i="9"/>
  <c r="Q249" i="9"/>
  <c r="Q248" i="9"/>
  <c r="Q247" i="9"/>
  <c r="Q246" i="9"/>
  <c r="Q245" i="9"/>
  <c r="Q244" i="9"/>
  <c r="Q243" i="9"/>
  <c r="Q242" i="9"/>
  <c r="Q241" i="9"/>
  <c r="Q240" i="9"/>
  <c r="Q239" i="9"/>
  <c r="Q238" i="9"/>
  <c r="Q237" i="9"/>
  <c r="Q236" i="9"/>
  <c r="Q235" i="9"/>
  <c r="Q234" i="9"/>
  <c r="Q233" i="9"/>
  <c r="Q232" i="9"/>
  <c r="Q231" i="9"/>
  <c r="Q230" i="9"/>
  <c r="Q229" i="9"/>
  <c r="Q228" i="9"/>
  <c r="Q227" i="9"/>
  <c r="Q226" i="9"/>
  <c r="Q225" i="9"/>
  <c r="Q224" i="9"/>
  <c r="Q223" i="9"/>
  <c r="Q222" i="9"/>
  <c r="Q221" i="9"/>
  <c r="Q220" i="9"/>
  <c r="Q219" i="9"/>
  <c r="Q218" i="9"/>
  <c r="Q217" i="9"/>
  <c r="Q216" i="9"/>
  <c r="Q215" i="9"/>
  <c r="Q214" i="9"/>
  <c r="Q213" i="9"/>
  <c r="Q212" i="9"/>
  <c r="Q211" i="9"/>
  <c r="Q210" i="9"/>
  <c r="Q209" i="9"/>
  <c r="Q208" i="9"/>
  <c r="Q207" i="9"/>
  <c r="Q206" i="9"/>
  <c r="Q205" i="9"/>
  <c r="Q204" i="9"/>
  <c r="Q203" i="9"/>
  <c r="Q202" i="9"/>
  <c r="Q201" i="9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F130" i="5"/>
  <c r="J1066" i="4" l="1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4" i="5"/>
  <c r="J1047" i="4" l="1"/>
  <c r="J1046" i="4"/>
  <c r="J1045" i="4"/>
  <c r="J1044" i="4"/>
  <c r="J1043" i="4"/>
  <c r="J1042" i="4"/>
  <c r="J1041" i="4"/>
  <c r="J1040" i="4"/>
  <c r="J1039" i="4" l="1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 l="1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 l="1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 l="1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Q200" i="9"/>
  <c r="Q199" i="9"/>
  <c r="Q198" i="9"/>
  <c r="Q197" i="9"/>
  <c r="Q196" i="9"/>
  <c r="Q195" i="9"/>
  <c r="Q194" i="9"/>
  <c r="Q193" i="9"/>
  <c r="Q192" i="9"/>
  <c r="Q191" i="9"/>
  <c r="Q190" i="9"/>
  <c r="Q189" i="9"/>
  <c r="Q188" i="9"/>
  <c r="Q187" i="9"/>
  <c r="Q186" i="9"/>
  <c r="Q185" i="9"/>
  <c r="Q184" i="9"/>
  <c r="Q183" i="9"/>
  <c r="Q182" i="9"/>
  <c r="Q181" i="9"/>
  <c r="Q180" i="9"/>
  <c r="Q179" i="9"/>
  <c r="Q178" i="9"/>
  <c r="Q177" i="9"/>
  <c r="Q176" i="9"/>
  <c r="Q175" i="9"/>
  <c r="Q174" i="9"/>
  <c r="Q173" i="9"/>
  <c r="Q172" i="9"/>
  <c r="Q171" i="9"/>
  <c r="J914" i="4" l="1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Q170" i="9"/>
  <c r="Q169" i="9"/>
  <c r="Q168" i="9"/>
  <c r="Q167" i="9"/>
  <c r="Q166" i="9"/>
  <c r="Q165" i="9"/>
  <c r="Q164" i="9"/>
  <c r="Q163" i="9"/>
  <c r="Q162" i="9"/>
  <c r="Q161" i="9"/>
  <c r="Q160" i="9"/>
  <c r="Q159" i="9"/>
  <c r="Q158" i="9"/>
  <c r="Q157" i="9"/>
  <c r="Q156" i="9"/>
  <c r="Q155" i="9"/>
  <c r="Q154" i="9"/>
  <c r="Q153" i="9"/>
  <c r="Q152" i="9"/>
  <c r="Q151" i="9"/>
  <c r="Q150" i="9"/>
  <c r="Q149" i="9"/>
  <c r="Q148" i="9"/>
  <c r="Q147" i="9"/>
  <c r="J826" i="4" l="1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 l="1"/>
  <c r="J780" i="4"/>
  <c r="J779" i="4"/>
  <c r="J778" i="4"/>
  <c r="J777" i="4"/>
  <c r="J776" i="4"/>
  <c r="J775" i="4"/>
  <c r="J774" i="4"/>
  <c r="J773" i="4"/>
  <c r="J772" i="4"/>
  <c r="J771" i="4"/>
  <c r="J770" i="4" l="1"/>
  <c r="J769" i="4"/>
  <c r="J768" i="4"/>
  <c r="J767" i="4"/>
  <c r="J766" i="4"/>
  <c r="J765" i="4"/>
  <c r="J764" i="4"/>
  <c r="J763" i="4" l="1"/>
  <c r="J762" i="4"/>
  <c r="J761" i="4"/>
  <c r="J760" i="4"/>
  <c r="J759" i="4"/>
  <c r="J758" i="4"/>
  <c r="J757" i="4"/>
  <c r="J756" i="4"/>
  <c r="J755" i="4"/>
  <c r="J754" i="4"/>
  <c r="J753" i="4"/>
  <c r="J752" i="4"/>
  <c r="J751" i="4"/>
  <c r="Q146" i="9" l="1"/>
  <c r="Q145" i="9"/>
  <c r="Q144" i="9"/>
  <c r="Q143" i="9"/>
  <c r="Q142" i="9"/>
  <c r="Q141" i="9"/>
  <c r="Q140" i="9"/>
  <c r="Q139" i="9"/>
  <c r="Q138" i="9"/>
  <c r="Q137" i="9"/>
  <c r="Q136" i="9"/>
  <c r="Q135" i="9"/>
  <c r="Q134" i="9"/>
  <c r="Q133" i="9"/>
  <c r="Q132" i="9"/>
  <c r="Q131" i="9"/>
  <c r="Q130" i="9"/>
  <c r="Q129" i="9"/>
  <c r="Q128" i="9"/>
  <c r="Q127" i="9"/>
  <c r="Q126" i="9"/>
  <c r="Q125" i="9"/>
  <c r="Q124" i="9"/>
  <c r="Q123" i="9"/>
  <c r="Q122" i="9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38" i="4" l="1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Q121" i="9"/>
  <c r="Q120" i="9"/>
  <c r="Q119" i="9"/>
  <c r="Q118" i="9"/>
  <c r="Q117" i="9"/>
  <c r="Q116" i="9"/>
  <c r="Q115" i="9"/>
  <c r="Q114" i="9"/>
  <c r="Q113" i="9"/>
  <c r="Q112" i="9"/>
  <c r="Q111" i="9"/>
  <c r="Q110" i="9"/>
  <c r="Q109" i="9"/>
  <c r="Q108" i="9"/>
  <c r="Q107" i="9"/>
  <c r="J637" i="4" l="1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Q106" i="9" l="1"/>
  <c r="Q105" i="9"/>
  <c r="Q104" i="9"/>
  <c r="Q103" i="9"/>
  <c r="Q102" i="9"/>
  <c r="Q101" i="9"/>
  <c r="Q100" i="9"/>
  <c r="Q99" i="9"/>
  <c r="Q98" i="9"/>
  <c r="Q97" i="9"/>
  <c r="Q96" i="9"/>
  <c r="Q95" i="9"/>
  <c r="Q94" i="9"/>
  <c r="Q93" i="9"/>
  <c r="Q92" i="9"/>
  <c r="Q91" i="9"/>
  <c r="Q90" i="9"/>
  <c r="J598" i="4" l="1"/>
  <c r="J597" i="4"/>
  <c r="J596" i="4"/>
  <c r="J595" i="4"/>
  <c r="J594" i="4"/>
  <c r="J593" i="4"/>
  <c r="J592" i="4"/>
  <c r="J591" i="4" l="1"/>
  <c r="J590" i="4"/>
  <c r="J589" i="4"/>
  <c r="J588" i="4"/>
  <c r="J587" i="4"/>
  <c r="J586" i="4"/>
  <c r="J585" i="4" l="1"/>
  <c r="J584" i="4"/>
  <c r="J583" i="4"/>
  <c r="J582" i="4"/>
  <c r="J581" i="4"/>
  <c r="J580" i="4"/>
  <c r="J579" i="4"/>
  <c r="J578" i="4"/>
  <c r="J577" i="4"/>
  <c r="J576" i="4"/>
  <c r="J575" i="4"/>
  <c r="J574" i="4" l="1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 l="1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Q89" i="9" l="1"/>
  <c r="Q88" i="9"/>
  <c r="Q87" i="9"/>
  <c r="Q86" i="9"/>
  <c r="Q85" i="9"/>
  <c r="Q84" i="9"/>
  <c r="Q83" i="9"/>
  <c r="Q82" i="9"/>
  <c r="J429" i="4" l="1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 l="1"/>
  <c r="J407" i="4"/>
  <c r="J406" i="4"/>
  <c r="J405" i="4"/>
  <c r="J404" i="4"/>
  <c r="J403" i="4"/>
  <c r="J402" i="4"/>
  <c r="J401" i="4" l="1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 l="1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 l="1"/>
  <c r="J363" i="4"/>
  <c r="J362" i="4"/>
  <c r="J361" i="4"/>
  <c r="J360" i="4"/>
  <c r="J359" i="4"/>
  <c r="J358" i="4"/>
  <c r="J357" i="4"/>
  <c r="J356" i="4"/>
  <c r="J355" i="4"/>
  <c r="J354" i="4"/>
  <c r="J353" i="4"/>
  <c r="S5" i="4" l="1"/>
  <c r="S4" i="4"/>
  <c r="S3" i="4"/>
  <c r="S2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S7" i="4" l="1"/>
  <c r="S6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R6" i="4"/>
  <c r="Q6" i="4"/>
  <c r="L17" i="12" l="1"/>
  <c r="L16" i="12"/>
  <c r="L15" i="12"/>
  <c r="L14" i="12"/>
  <c r="L13" i="12"/>
  <c r="L12" i="12"/>
  <c r="L11" i="12"/>
  <c r="L10" i="12"/>
  <c r="L9" i="12"/>
  <c r="L8" i="12"/>
  <c r="L7" i="12"/>
  <c r="L6" i="12"/>
  <c r="L5" i="12"/>
  <c r="F28" i="12" l="1"/>
  <c r="F27" i="12"/>
  <c r="F26" i="12"/>
  <c r="F25" i="12"/>
  <c r="F24" i="12"/>
  <c r="E24" i="12"/>
  <c r="C20" i="12"/>
  <c r="B20" i="12"/>
  <c r="K4" i="10" l="1"/>
  <c r="D2" i="10"/>
  <c r="B3" i="10"/>
  <c r="B4" i="10" l="1"/>
  <c r="B5" i="10" s="1"/>
  <c r="B6" i="10" s="1"/>
  <c r="B7" i="10" s="1"/>
  <c r="B8" i="10" s="1"/>
  <c r="B9" i="10" s="1"/>
  <c r="B10" i="10" s="1"/>
  <c r="B11" i="10" s="1"/>
  <c r="E3" i="10"/>
  <c r="B12" i="10" l="1"/>
  <c r="E4" i="10"/>
  <c r="D4" i="10" s="1"/>
  <c r="D3" i="10"/>
  <c r="E5" i="10"/>
  <c r="D5" i="10" s="1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B13" i="10" l="1"/>
  <c r="E6" i="10"/>
  <c r="D6" i="10" s="1"/>
  <c r="B14" i="10" l="1"/>
  <c r="E7" i="10"/>
  <c r="F3" i="9"/>
  <c r="Q4" i="9"/>
  <c r="D7" i="10" l="1"/>
  <c r="B15" i="10"/>
  <c r="E8" i="10"/>
  <c r="P2" i="1"/>
  <c r="L6" i="1"/>
  <c r="L5" i="1"/>
  <c r="L4" i="1"/>
  <c r="L3" i="1"/>
  <c r="L2" i="1"/>
  <c r="B16" i="10" l="1"/>
  <c r="E9" i="10"/>
  <c r="D8" i="10"/>
  <c r="R3" i="9"/>
  <c r="R4" i="9" s="1"/>
  <c r="R82" i="9" s="1"/>
  <c r="R83" i="9" s="1"/>
  <c r="R84" i="9" s="1"/>
  <c r="R85" i="9" s="1"/>
  <c r="R86" i="9" s="1"/>
  <c r="R87" i="9" s="1"/>
  <c r="R88" i="9" s="1"/>
  <c r="R89" i="9" s="1"/>
  <c r="R90" i="9" s="1"/>
  <c r="R91" i="9" s="1"/>
  <c r="R92" i="9" s="1"/>
  <c r="R93" i="9" s="1"/>
  <c r="R94" i="9" s="1"/>
  <c r="R95" i="9" s="1"/>
  <c r="R96" i="9" s="1"/>
  <c r="R97" i="9" s="1"/>
  <c r="R98" i="9" s="1"/>
  <c r="R99" i="9" s="1"/>
  <c r="R100" i="9" s="1"/>
  <c r="R101" i="9" s="1"/>
  <c r="R102" i="9" s="1"/>
  <c r="R103" i="9" s="1"/>
  <c r="R104" i="9" s="1"/>
  <c r="R105" i="9" s="1"/>
  <c r="R106" i="9" s="1"/>
  <c r="R107" i="9" s="1"/>
  <c r="R108" i="9" s="1"/>
  <c r="R109" i="9" s="1"/>
  <c r="R110" i="9" s="1"/>
  <c r="R111" i="9" s="1"/>
  <c r="R112" i="9" s="1"/>
  <c r="R113" i="9" s="1"/>
  <c r="R114" i="9" s="1"/>
  <c r="R115" i="9" s="1"/>
  <c r="R116" i="9" s="1"/>
  <c r="R117" i="9" s="1"/>
  <c r="R118" i="9" s="1"/>
  <c r="R119" i="9" s="1"/>
  <c r="R120" i="9" s="1"/>
  <c r="R121" i="9" s="1"/>
  <c r="R122" i="9" s="1"/>
  <c r="R123" i="9" s="1"/>
  <c r="R124" i="9" s="1"/>
  <c r="R125" i="9" s="1"/>
  <c r="R126" i="9" s="1"/>
  <c r="R127" i="9" s="1"/>
  <c r="R128" i="9" s="1"/>
  <c r="R129" i="9" s="1"/>
  <c r="R130" i="9" s="1"/>
  <c r="R131" i="9" s="1"/>
  <c r="R132" i="9" s="1"/>
  <c r="R133" i="9" s="1"/>
  <c r="R134" i="9" s="1"/>
  <c r="R135" i="9" s="1"/>
  <c r="R136" i="9" s="1"/>
  <c r="R137" i="9" s="1"/>
  <c r="R138" i="9" s="1"/>
  <c r="R139" i="9" s="1"/>
  <c r="R140" i="9" s="1"/>
  <c r="R141" i="9" s="1"/>
  <c r="R142" i="9" s="1"/>
  <c r="R143" i="9" s="1"/>
  <c r="R144" i="9" s="1"/>
  <c r="R145" i="9" s="1"/>
  <c r="R146" i="9" s="1"/>
  <c r="R147" i="9" s="1"/>
  <c r="R148" i="9" s="1"/>
  <c r="R149" i="9" s="1"/>
  <c r="R150" i="9" s="1"/>
  <c r="R151" i="9" s="1"/>
  <c r="R152" i="9" s="1"/>
  <c r="R153" i="9" s="1"/>
  <c r="R154" i="9" s="1"/>
  <c r="R155" i="9" s="1"/>
  <c r="R156" i="9" s="1"/>
  <c r="R157" i="9" s="1"/>
  <c r="R158" i="9" s="1"/>
  <c r="R159" i="9" s="1"/>
  <c r="R160" i="9" s="1"/>
  <c r="R161" i="9" s="1"/>
  <c r="R162" i="9" s="1"/>
  <c r="R163" i="9" s="1"/>
  <c r="R164" i="9" s="1"/>
  <c r="R165" i="9" s="1"/>
  <c r="R166" i="9" s="1"/>
  <c r="R167" i="9" s="1"/>
  <c r="R168" i="9" s="1"/>
  <c r="R169" i="9" s="1"/>
  <c r="R170" i="9" s="1"/>
  <c r="R171" i="9" s="1"/>
  <c r="R172" i="9" s="1"/>
  <c r="R173" i="9" s="1"/>
  <c r="R174" i="9" s="1"/>
  <c r="R175" i="9" s="1"/>
  <c r="R176" i="9" s="1"/>
  <c r="R177" i="9" s="1"/>
  <c r="R178" i="9" s="1"/>
  <c r="R179" i="9" s="1"/>
  <c r="R180" i="9" s="1"/>
  <c r="R181" i="9" s="1"/>
  <c r="R182" i="9" s="1"/>
  <c r="R183" i="9" s="1"/>
  <c r="R184" i="9" s="1"/>
  <c r="R185" i="9" s="1"/>
  <c r="R186" i="9" s="1"/>
  <c r="R187" i="9" s="1"/>
  <c r="R188" i="9" s="1"/>
  <c r="R189" i="9" s="1"/>
  <c r="R190" i="9" s="1"/>
  <c r="R191" i="9" s="1"/>
  <c r="R192" i="9" s="1"/>
  <c r="R193" i="9" s="1"/>
  <c r="R194" i="9" s="1"/>
  <c r="R195" i="9" s="1"/>
  <c r="R196" i="9" s="1"/>
  <c r="R197" i="9" s="1"/>
  <c r="R198" i="9" s="1"/>
  <c r="R199" i="9" s="1"/>
  <c r="R200" i="9" s="1"/>
  <c r="R201" i="9" s="1"/>
  <c r="R202" i="9" s="1"/>
  <c r="R203" i="9" s="1"/>
  <c r="R204" i="9" s="1"/>
  <c r="R205" i="9" s="1"/>
  <c r="R206" i="9" s="1"/>
  <c r="R207" i="9" s="1"/>
  <c r="R208" i="9" s="1"/>
  <c r="R209" i="9" s="1"/>
  <c r="R210" i="9" s="1"/>
  <c r="R211" i="9" s="1"/>
  <c r="R212" i="9" s="1"/>
  <c r="R213" i="9" s="1"/>
  <c r="R214" i="9" s="1"/>
  <c r="R215" i="9" s="1"/>
  <c r="R216" i="9" s="1"/>
  <c r="R217" i="9" s="1"/>
  <c r="R218" i="9" s="1"/>
  <c r="R219" i="9" s="1"/>
  <c r="R220" i="9" s="1"/>
  <c r="R221" i="9" s="1"/>
  <c r="R222" i="9" s="1"/>
  <c r="R223" i="9" s="1"/>
  <c r="R224" i="9" s="1"/>
  <c r="R225" i="9" s="1"/>
  <c r="R226" i="9" s="1"/>
  <c r="R227" i="9" s="1"/>
  <c r="R228" i="9" s="1"/>
  <c r="R229" i="9" s="1"/>
  <c r="R230" i="9" s="1"/>
  <c r="R231" i="9" s="1"/>
  <c r="R232" i="9" s="1"/>
  <c r="R233" i="9" s="1"/>
  <c r="R234" i="9" s="1"/>
  <c r="R235" i="9" s="1"/>
  <c r="R236" i="9" s="1"/>
  <c r="R237" i="9" s="1"/>
  <c r="R238" i="9" s="1"/>
  <c r="R239" i="9" s="1"/>
  <c r="R240" i="9" s="1"/>
  <c r="R241" i="9" s="1"/>
  <c r="R242" i="9" s="1"/>
  <c r="R243" i="9" s="1"/>
  <c r="R244" i="9" s="1"/>
  <c r="R245" i="9" s="1"/>
  <c r="R246" i="9" s="1"/>
  <c r="R247" i="9" s="1"/>
  <c r="R248" i="9" s="1"/>
  <c r="R249" i="9" s="1"/>
  <c r="R250" i="9" s="1"/>
  <c r="Q3" i="9"/>
  <c r="S3" i="9" s="1"/>
  <c r="S4" i="9" s="1"/>
  <c r="S5" i="9" s="1"/>
  <c r="S6" i="9" s="1"/>
  <c r="S7" i="9" s="1"/>
  <c r="S8" i="9" s="1"/>
  <c r="S9" i="9" s="1"/>
  <c r="S10" i="9" s="1"/>
  <c r="S11" i="9" s="1"/>
  <c r="S12" i="9" s="1"/>
  <c r="S13" i="9" s="1"/>
  <c r="S14" i="9" s="1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S37" i="9" s="1"/>
  <c r="S38" i="9" s="1"/>
  <c r="S39" i="9" s="1"/>
  <c r="S40" i="9" s="1"/>
  <c r="S41" i="9" s="1"/>
  <c r="S42" i="9" s="1"/>
  <c r="S43" i="9" s="1"/>
  <c r="S44" i="9" s="1"/>
  <c r="S45" i="9" s="1"/>
  <c r="S46" i="9" s="1"/>
  <c r="S47" i="9" s="1"/>
  <c r="S48" i="9" s="1"/>
  <c r="S49" i="9" s="1"/>
  <c r="S50" i="9" s="1"/>
  <c r="S51" i="9" s="1"/>
  <c r="S52" i="9" s="1"/>
  <c r="S53" i="9" s="1"/>
  <c r="S54" i="9" s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S65" i="9" s="1"/>
  <c r="S66" i="9" s="1"/>
  <c r="S67" i="9" s="1"/>
  <c r="S68" i="9" s="1"/>
  <c r="S69" i="9" s="1"/>
  <c r="S70" i="9" s="1"/>
  <c r="S71" i="9" s="1"/>
  <c r="S72" i="9" s="1"/>
  <c r="S73" i="9" s="1"/>
  <c r="S74" i="9" s="1"/>
  <c r="S75" i="9" s="1"/>
  <c r="S76" i="9" s="1"/>
  <c r="S77" i="9" s="1"/>
  <c r="S78" i="9" s="1"/>
  <c r="S79" i="9" s="1"/>
  <c r="S80" i="9" s="1"/>
  <c r="S81" i="9" s="1"/>
  <c r="B17" i="10" l="1"/>
  <c r="E10" i="10"/>
  <c r="D9" i="10"/>
  <c r="T3" i="9"/>
  <c r="S82" i="9"/>
  <c r="S83" i="9" s="1"/>
  <c r="S84" i="9" s="1"/>
  <c r="S85" i="9" s="1"/>
  <c r="S86" i="9" s="1"/>
  <c r="S87" i="9" s="1"/>
  <c r="S88" i="9" s="1"/>
  <c r="S89" i="9" s="1"/>
  <c r="S90" i="9" s="1"/>
  <c r="S91" i="9" s="1"/>
  <c r="S92" i="9" s="1"/>
  <c r="S93" i="9" s="1"/>
  <c r="S94" i="9" s="1"/>
  <c r="S95" i="9" s="1"/>
  <c r="S96" i="9" s="1"/>
  <c r="S97" i="9" s="1"/>
  <c r="S98" i="9" s="1"/>
  <c r="S99" i="9" s="1"/>
  <c r="S100" i="9" s="1"/>
  <c r="S101" i="9" s="1"/>
  <c r="S102" i="9" s="1"/>
  <c r="S103" i="9" s="1"/>
  <c r="S104" i="9" s="1"/>
  <c r="S105" i="9" s="1"/>
  <c r="S106" i="9" s="1"/>
  <c r="S107" i="9" s="1"/>
  <c r="S108" i="9" s="1"/>
  <c r="S109" i="9" s="1"/>
  <c r="S110" i="9" s="1"/>
  <c r="S111" i="9" s="1"/>
  <c r="S112" i="9" s="1"/>
  <c r="S113" i="9" s="1"/>
  <c r="S114" i="9" s="1"/>
  <c r="S115" i="9" s="1"/>
  <c r="S116" i="9" s="1"/>
  <c r="S117" i="9" s="1"/>
  <c r="S118" i="9" s="1"/>
  <c r="S119" i="9" s="1"/>
  <c r="S120" i="9" s="1"/>
  <c r="S121" i="9" s="1"/>
  <c r="S122" i="9" s="1"/>
  <c r="S123" i="9" s="1"/>
  <c r="S124" i="9" s="1"/>
  <c r="S125" i="9" s="1"/>
  <c r="S126" i="9" s="1"/>
  <c r="S127" i="9" s="1"/>
  <c r="S128" i="9" s="1"/>
  <c r="S129" i="9" s="1"/>
  <c r="S130" i="9" s="1"/>
  <c r="S131" i="9" s="1"/>
  <c r="S132" i="9" s="1"/>
  <c r="S133" i="9" s="1"/>
  <c r="S134" i="9" s="1"/>
  <c r="S135" i="9" s="1"/>
  <c r="S136" i="9" s="1"/>
  <c r="S137" i="9" s="1"/>
  <c r="S138" i="9" s="1"/>
  <c r="S139" i="9" s="1"/>
  <c r="S140" i="9" s="1"/>
  <c r="S141" i="9" s="1"/>
  <c r="S142" i="9" s="1"/>
  <c r="S143" i="9" s="1"/>
  <c r="S144" i="9" s="1"/>
  <c r="S145" i="9" s="1"/>
  <c r="S146" i="9" s="1"/>
  <c r="S147" i="9" s="1"/>
  <c r="S148" i="9" s="1"/>
  <c r="S149" i="9" s="1"/>
  <c r="S150" i="9" s="1"/>
  <c r="S151" i="9" s="1"/>
  <c r="S152" i="9" s="1"/>
  <c r="S153" i="9" s="1"/>
  <c r="S154" i="9" s="1"/>
  <c r="S155" i="9" s="1"/>
  <c r="S156" i="9" s="1"/>
  <c r="S157" i="9" s="1"/>
  <c r="S158" i="9" s="1"/>
  <c r="S159" i="9" s="1"/>
  <c r="S160" i="9" s="1"/>
  <c r="S161" i="9" s="1"/>
  <c r="S162" i="9" s="1"/>
  <c r="S163" i="9" s="1"/>
  <c r="S164" i="9" s="1"/>
  <c r="S165" i="9" s="1"/>
  <c r="S166" i="9" s="1"/>
  <c r="S167" i="9" s="1"/>
  <c r="S168" i="9" s="1"/>
  <c r="S169" i="9" s="1"/>
  <c r="S170" i="9" s="1"/>
  <c r="S171" i="9" s="1"/>
  <c r="S172" i="9" s="1"/>
  <c r="S173" i="9" s="1"/>
  <c r="S174" i="9" s="1"/>
  <c r="S175" i="9" s="1"/>
  <c r="S176" i="9" s="1"/>
  <c r="S177" i="9" s="1"/>
  <c r="S178" i="9" s="1"/>
  <c r="S179" i="9" s="1"/>
  <c r="S180" i="9" s="1"/>
  <c r="S181" i="9" s="1"/>
  <c r="S182" i="9" s="1"/>
  <c r="S183" i="9" s="1"/>
  <c r="S184" i="9" s="1"/>
  <c r="S185" i="9" s="1"/>
  <c r="S186" i="9" s="1"/>
  <c r="S187" i="9" s="1"/>
  <c r="S188" i="9" s="1"/>
  <c r="S189" i="9" s="1"/>
  <c r="S190" i="9" s="1"/>
  <c r="S191" i="9" s="1"/>
  <c r="S192" i="9" s="1"/>
  <c r="S193" i="9" s="1"/>
  <c r="S194" i="9" s="1"/>
  <c r="S195" i="9" s="1"/>
  <c r="S196" i="9" s="1"/>
  <c r="S197" i="9" s="1"/>
  <c r="S198" i="9" s="1"/>
  <c r="S199" i="9" s="1"/>
  <c r="S200" i="9" s="1"/>
  <c r="S201" i="9" s="1"/>
  <c r="S202" i="9" s="1"/>
  <c r="S203" i="9" s="1"/>
  <c r="S204" i="9" s="1"/>
  <c r="S205" i="9" s="1"/>
  <c r="S206" i="9" s="1"/>
  <c r="S207" i="9" s="1"/>
  <c r="S208" i="9" s="1"/>
  <c r="S209" i="9" s="1"/>
  <c r="S210" i="9" s="1"/>
  <c r="S211" i="9" s="1"/>
  <c r="S212" i="9" s="1"/>
  <c r="S213" i="9" s="1"/>
  <c r="S214" i="9" s="1"/>
  <c r="S215" i="9" s="1"/>
  <c r="S216" i="9" s="1"/>
  <c r="S217" i="9" s="1"/>
  <c r="S218" i="9" s="1"/>
  <c r="S219" i="9" s="1"/>
  <c r="S220" i="9" s="1"/>
  <c r="S221" i="9" s="1"/>
  <c r="S222" i="9" s="1"/>
  <c r="S223" i="9" s="1"/>
  <c r="S224" i="9" s="1"/>
  <c r="S225" i="9" s="1"/>
  <c r="S226" i="9" s="1"/>
  <c r="S227" i="9" s="1"/>
  <c r="S228" i="9" s="1"/>
  <c r="S229" i="9" s="1"/>
  <c r="S230" i="9" s="1"/>
  <c r="S231" i="9" s="1"/>
  <c r="S232" i="9" s="1"/>
  <c r="S233" i="9" s="1"/>
  <c r="S234" i="9" s="1"/>
  <c r="S235" i="9" s="1"/>
  <c r="S236" i="9" s="1"/>
  <c r="S237" i="9" s="1"/>
  <c r="S238" i="9" s="1"/>
  <c r="S239" i="9" s="1"/>
  <c r="S240" i="9" s="1"/>
  <c r="S241" i="9" s="1"/>
  <c r="S242" i="9" s="1"/>
  <c r="S243" i="9" s="1"/>
  <c r="S244" i="9" s="1"/>
  <c r="S245" i="9" s="1"/>
  <c r="S246" i="9" s="1"/>
  <c r="S247" i="9" s="1"/>
  <c r="S248" i="9" s="1"/>
  <c r="S249" i="9" s="1"/>
  <c r="S250" i="9" s="1"/>
  <c r="E11" i="10" l="1"/>
  <c r="D10" i="10"/>
  <c r="B18" i="10"/>
  <c r="U3" i="9"/>
  <c r="V3" i="9"/>
  <c r="C4" i="9" s="1"/>
  <c r="T4" i="9"/>
  <c r="T5" i="9" s="1"/>
  <c r="T6" i="9" l="1"/>
  <c r="E12" i="10"/>
  <c r="D11" i="10"/>
  <c r="B19" i="10"/>
  <c r="F4" i="9"/>
  <c r="V4" i="9" s="1"/>
  <c r="C5" i="9" s="1"/>
  <c r="T7" i="9" l="1"/>
  <c r="E13" i="10"/>
  <c r="D12" i="10"/>
  <c r="B20" i="10"/>
  <c r="U4" i="9"/>
  <c r="F5" i="9"/>
  <c r="J9" i="2"/>
  <c r="J8" i="2"/>
  <c r="J7" i="2"/>
  <c r="J6" i="2"/>
  <c r="J5" i="2"/>
  <c r="J4" i="2"/>
  <c r="T8" i="9" l="1"/>
  <c r="V5" i="9"/>
  <c r="U5" i="9"/>
  <c r="C6" i="9"/>
  <c r="F6" i="9" s="1"/>
  <c r="E14" i="10"/>
  <c r="D13" i="10"/>
  <c r="B21" i="10"/>
  <c r="P6" i="4"/>
  <c r="AB3" i="9" s="1"/>
  <c r="T9" i="9" l="1"/>
  <c r="V6" i="9"/>
  <c r="U6" i="9"/>
  <c r="C7" i="9"/>
  <c r="F7" i="9" s="1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E15" i="10"/>
  <c r="D14" i="10"/>
  <c r="B22" i="10"/>
  <c r="H3" i="9"/>
  <c r="H4" i="9" s="1"/>
  <c r="H5" i="9" s="1"/>
  <c r="H6" i="9" s="1"/>
  <c r="L5" i="4"/>
  <c r="L3" i="4"/>
  <c r="L4" i="4"/>
  <c r="T10" i="9" l="1"/>
  <c r="V7" i="9"/>
  <c r="U7" i="9"/>
  <c r="H7" i="9"/>
  <c r="H8" i="9" s="1"/>
  <c r="E16" i="10"/>
  <c r="D15" i="10"/>
  <c r="B23" i="10"/>
  <c r="C8" i="9"/>
  <c r="F8" i="9" s="1"/>
  <c r="L2" i="4"/>
  <c r="Q4" i="1"/>
  <c r="T11" i="9" l="1"/>
  <c r="V8" i="9"/>
  <c r="C9" i="9" s="1"/>
  <c r="F9" i="9" s="1"/>
  <c r="U8" i="9"/>
  <c r="E17" i="10"/>
  <c r="D16" i="10"/>
  <c r="B24" i="10"/>
  <c r="L5" i="2"/>
  <c r="L6" i="2"/>
  <c r="L7" i="2"/>
  <c r="L8" i="2"/>
  <c r="L9" i="2"/>
  <c r="L4" i="2"/>
  <c r="K5" i="2"/>
  <c r="K6" i="2"/>
  <c r="K7" i="2"/>
  <c r="K8" i="2"/>
  <c r="K9" i="2"/>
  <c r="K4" i="2"/>
  <c r="T12" i="9" l="1"/>
  <c r="V9" i="9"/>
  <c r="C10" i="9" s="1"/>
  <c r="F10" i="9" s="1"/>
  <c r="U9" i="9"/>
  <c r="E18" i="10"/>
  <c r="D17" i="10"/>
  <c r="B25" i="10"/>
  <c r="H9" i="9"/>
  <c r="H10" i="9" s="1"/>
  <c r="H11" i="9" s="1"/>
  <c r="H12" i="9" s="1"/>
  <c r="H13" i="9" s="1"/>
  <c r="M3" i="1"/>
  <c r="M5" i="1"/>
  <c r="M4" i="1"/>
  <c r="M6" i="1"/>
  <c r="L12" i="1"/>
  <c r="V10" i="9" l="1"/>
  <c r="U10" i="9"/>
  <c r="T13" i="9"/>
  <c r="C11" i="9"/>
  <c r="E19" i="10"/>
  <c r="D18" i="10"/>
  <c r="B26" i="10"/>
  <c r="M2" i="1"/>
  <c r="T14" i="9" l="1"/>
  <c r="E20" i="10"/>
  <c r="D19" i="10"/>
  <c r="B27" i="10"/>
  <c r="F11" i="9"/>
  <c r="T15" i="9" l="1"/>
  <c r="V11" i="9"/>
  <c r="U11" i="9"/>
  <c r="C12" i="9"/>
  <c r="F12" i="9" s="1"/>
  <c r="E21" i="10"/>
  <c r="D20" i="10"/>
  <c r="B28" i="10"/>
  <c r="T16" i="9" l="1"/>
  <c r="V12" i="9"/>
  <c r="U12" i="9"/>
  <c r="C13" i="9"/>
  <c r="F13" i="9" s="1"/>
  <c r="E22" i="10"/>
  <c r="D21" i="10"/>
  <c r="B29" i="10"/>
  <c r="T17" i="9" l="1"/>
  <c r="V13" i="9"/>
  <c r="U13" i="9"/>
  <c r="C14" i="9"/>
  <c r="F14" i="9" s="1"/>
  <c r="E23" i="10"/>
  <c r="D22" i="10"/>
  <c r="B30" i="10"/>
  <c r="T18" i="9" l="1"/>
  <c r="V14" i="9"/>
  <c r="C15" i="9" s="1"/>
  <c r="F15" i="9" s="1"/>
  <c r="U14" i="9"/>
  <c r="E24" i="10"/>
  <c r="D23" i="10"/>
  <c r="B31" i="10"/>
  <c r="H14" i="9"/>
  <c r="H15" i="9" s="1"/>
  <c r="H16" i="9" s="1"/>
  <c r="H17" i="9" s="1"/>
  <c r="H18" i="9" s="1"/>
  <c r="V15" i="9" l="1"/>
  <c r="U15" i="9"/>
  <c r="T19" i="9"/>
  <c r="C16" i="9"/>
  <c r="F16" i="9" s="1"/>
  <c r="E25" i="10"/>
  <c r="D24" i="10"/>
  <c r="B32" i="10"/>
  <c r="T20" i="9" l="1"/>
  <c r="V16" i="9"/>
  <c r="C17" i="9" s="1"/>
  <c r="F17" i="9" s="1"/>
  <c r="U16" i="9"/>
  <c r="E26" i="10"/>
  <c r="D25" i="10"/>
  <c r="B33" i="10"/>
  <c r="V17" i="9" l="1"/>
  <c r="U17" i="9"/>
  <c r="T21" i="9"/>
  <c r="E27" i="10"/>
  <c r="D26" i="10"/>
  <c r="B34" i="10"/>
  <c r="C18" i="9"/>
  <c r="F18" i="9" s="1"/>
  <c r="V18" i="9" l="1"/>
  <c r="U18" i="9"/>
  <c r="T22" i="9"/>
  <c r="C19" i="9"/>
  <c r="E28" i="10"/>
  <c r="D27" i="10"/>
  <c r="B35" i="10"/>
  <c r="T23" i="9" l="1"/>
  <c r="E29" i="10"/>
  <c r="D28" i="10"/>
  <c r="B36" i="10"/>
  <c r="F19" i="9"/>
  <c r="V19" i="9" l="1"/>
  <c r="U19" i="9"/>
  <c r="T24" i="9"/>
  <c r="E30" i="10"/>
  <c r="D29" i="10"/>
  <c r="B37" i="10"/>
  <c r="C20" i="9"/>
  <c r="F20" i="9" s="1"/>
  <c r="H19" i="9"/>
  <c r="H20" i="9" s="1"/>
  <c r="H21" i="9" s="1"/>
  <c r="H22" i="9" s="1"/>
  <c r="H23" i="9" s="1"/>
  <c r="V20" i="9" l="1"/>
  <c r="U20" i="9"/>
  <c r="T25" i="9"/>
  <c r="E31" i="10"/>
  <c r="D30" i="10"/>
  <c r="B38" i="10"/>
  <c r="C21" i="9"/>
  <c r="F21" i="9" s="1"/>
  <c r="V21" i="9" l="1"/>
  <c r="U21" i="9"/>
  <c r="T26" i="9"/>
  <c r="E32" i="10"/>
  <c r="D31" i="10"/>
  <c r="B39" i="10"/>
  <c r="C22" i="9"/>
  <c r="T27" i="9" l="1"/>
  <c r="E33" i="10"/>
  <c r="D32" i="10"/>
  <c r="B40" i="10"/>
  <c r="F22" i="9"/>
  <c r="T28" i="9" l="1"/>
  <c r="V22" i="9"/>
  <c r="U22" i="9"/>
  <c r="C23" i="9"/>
  <c r="F23" i="9" s="1"/>
  <c r="E34" i="10"/>
  <c r="D33" i="10"/>
  <c r="B41" i="10"/>
  <c r="T29" i="9" l="1"/>
  <c r="V23" i="9"/>
  <c r="U23" i="9"/>
  <c r="C24" i="9"/>
  <c r="F24" i="9" s="1"/>
  <c r="E35" i="10"/>
  <c r="D34" i="10"/>
  <c r="B42" i="10"/>
  <c r="H24" i="9"/>
  <c r="H25" i="9" s="1"/>
  <c r="H26" i="9" s="1"/>
  <c r="H27" i="9" s="1"/>
  <c r="H28" i="9" s="1"/>
  <c r="H29" i="9" s="1"/>
  <c r="T30" i="9" l="1"/>
  <c r="V24" i="9"/>
  <c r="U24" i="9"/>
  <c r="C25" i="9"/>
  <c r="F25" i="9" s="1"/>
  <c r="E36" i="10"/>
  <c r="D35" i="10"/>
  <c r="B43" i="10"/>
  <c r="T31" i="9" l="1"/>
  <c r="V25" i="9"/>
  <c r="U25" i="9"/>
  <c r="C26" i="9"/>
  <c r="F26" i="9" s="1"/>
  <c r="E37" i="10"/>
  <c r="D36" i="10"/>
  <c r="B44" i="10"/>
  <c r="T32" i="9" l="1"/>
  <c r="V26" i="9"/>
  <c r="U26" i="9"/>
  <c r="C27" i="9"/>
  <c r="F27" i="9" s="1"/>
  <c r="E38" i="10"/>
  <c r="D37" i="10"/>
  <c r="B45" i="10"/>
  <c r="T33" i="9" l="1"/>
  <c r="V27" i="9"/>
  <c r="U27" i="9"/>
  <c r="C28" i="9"/>
  <c r="F28" i="9" s="1"/>
  <c r="E39" i="10"/>
  <c r="D38" i="10"/>
  <c r="B46" i="10"/>
  <c r="T34" i="9" l="1"/>
  <c r="V28" i="9"/>
  <c r="U28" i="9"/>
  <c r="C29" i="9"/>
  <c r="F29" i="9" s="1"/>
  <c r="E40" i="10"/>
  <c r="D39" i="10"/>
  <c r="B47" i="10"/>
  <c r="T35" i="9" l="1"/>
  <c r="V29" i="9"/>
  <c r="U29" i="9"/>
  <c r="C30" i="9"/>
  <c r="F30" i="9" s="1"/>
  <c r="E41" i="10"/>
  <c r="D40" i="10"/>
  <c r="B48" i="10"/>
  <c r="T36" i="9" l="1"/>
  <c r="V30" i="9"/>
  <c r="C31" i="9" s="1"/>
  <c r="F31" i="9" s="1"/>
  <c r="U30" i="9"/>
  <c r="H30" i="9"/>
  <c r="H31" i="9" s="1"/>
  <c r="H32" i="9" s="1"/>
  <c r="H33" i="9" s="1"/>
  <c r="H34" i="9" s="1"/>
  <c r="H35" i="9" s="1"/>
  <c r="H36" i="9" s="1"/>
  <c r="H37" i="9" s="1"/>
  <c r="H38" i="9" s="1"/>
  <c r="E42" i="10"/>
  <c r="D41" i="10"/>
  <c r="B49" i="10"/>
  <c r="V31" i="9" l="1"/>
  <c r="U31" i="9"/>
  <c r="T37" i="9"/>
  <c r="C32" i="9"/>
  <c r="F32" i="9" s="1"/>
  <c r="E43" i="10"/>
  <c r="D42" i="10"/>
  <c r="B50" i="10"/>
  <c r="T38" i="9" l="1"/>
  <c r="V32" i="9"/>
  <c r="U32" i="9"/>
  <c r="C33" i="9"/>
  <c r="F33" i="9" s="1"/>
  <c r="E44" i="10"/>
  <c r="D43" i="10"/>
  <c r="B51" i="10"/>
  <c r="T39" i="9" l="1"/>
  <c r="V33" i="9"/>
  <c r="U33" i="9"/>
  <c r="C34" i="9"/>
  <c r="F34" i="9" s="1"/>
  <c r="E45" i="10"/>
  <c r="D44" i="10"/>
  <c r="B52" i="10"/>
  <c r="T40" i="9" l="1"/>
  <c r="V34" i="9"/>
  <c r="U34" i="9"/>
  <c r="C35" i="9"/>
  <c r="F35" i="9" s="1"/>
  <c r="E46" i="10"/>
  <c r="D45" i="10"/>
  <c r="B53" i="10"/>
  <c r="T41" i="9" l="1"/>
  <c r="V35" i="9"/>
  <c r="U35" i="9"/>
  <c r="C36" i="9"/>
  <c r="F36" i="9" s="1"/>
  <c r="E47" i="10"/>
  <c r="D46" i="10"/>
  <c r="B54" i="10"/>
  <c r="T42" i="9" l="1"/>
  <c r="V36" i="9"/>
  <c r="U36" i="9"/>
  <c r="C37" i="9"/>
  <c r="F37" i="9" s="1"/>
  <c r="E48" i="10"/>
  <c r="D47" i="10"/>
  <c r="B55" i="10"/>
  <c r="T43" i="9" l="1"/>
  <c r="V37" i="9"/>
  <c r="U37" i="9"/>
  <c r="C38" i="9"/>
  <c r="F38" i="9" s="1"/>
  <c r="E49" i="10"/>
  <c r="D48" i="10"/>
  <c r="B56" i="10"/>
  <c r="T44" i="9" l="1"/>
  <c r="V38" i="9"/>
  <c r="U38" i="9"/>
  <c r="C39" i="9"/>
  <c r="F39" i="9" s="1"/>
  <c r="H39" i="9" s="1"/>
  <c r="H40" i="9" s="1"/>
  <c r="H41" i="9" s="1"/>
  <c r="H42" i="9" s="1"/>
  <c r="H43" i="9" s="1"/>
  <c r="H44" i="9" s="1"/>
  <c r="H45" i="9" s="1"/>
  <c r="H46" i="9" s="1"/>
  <c r="E50" i="10"/>
  <c r="D49" i="10"/>
  <c r="B57" i="10"/>
  <c r="D56" i="10"/>
  <c r="T45" i="9" l="1"/>
  <c r="V39" i="9"/>
  <c r="U39" i="9"/>
  <c r="C40" i="9"/>
  <c r="F40" i="9" s="1"/>
  <c r="E51" i="10"/>
  <c r="D50" i="10"/>
  <c r="B58" i="10"/>
  <c r="D57" i="10"/>
  <c r="T46" i="9" l="1"/>
  <c r="V40" i="9"/>
  <c r="U40" i="9"/>
  <c r="C41" i="9"/>
  <c r="F41" i="9" s="1"/>
  <c r="E52" i="10"/>
  <c r="D51" i="10"/>
  <c r="D58" i="10"/>
  <c r="B59" i="10"/>
  <c r="T47" i="9" l="1"/>
  <c r="V41" i="9"/>
  <c r="U41" i="9"/>
  <c r="C42" i="9"/>
  <c r="F42" i="9" s="1"/>
  <c r="E53" i="10"/>
  <c r="D52" i="10"/>
  <c r="B60" i="10"/>
  <c r="D59" i="10"/>
  <c r="T48" i="9" l="1"/>
  <c r="V42" i="9"/>
  <c r="U42" i="9"/>
  <c r="C43" i="9"/>
  <c r="F43" i="9" s="1"/>
  <c r="E54" i="10"/>
  <c r="D53" i="10"/>
  <c r="B61" i="10"/>
  <c r="D60" i="10"/>
  <c r="V43" i="9" l="1"/>
  <c r="C44" i="9" s="1"/>
  <c r="F44" i="9" s="1"/>
  <c r="U43" i="9"/>
  <c r="T49" i="9"/>
  <c r="E55" i="10"/>
  <c r="D54" i="10"/>
  <c r="B62" i="10"/>
  <c r="D61" i="10"/>
  <c r="V44" i="9" l="1"/>
  <c r="C45" i="9" s="1"/>
  <c r="F45" i="9" s="1"/>
  <c r="U44" i="9"/>
  <c r="T50" i="9"/>
  <c r="E56" i="10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D55" i="10"/>
  <c r="B63" i="10"/>
  <c r="D62" i="10"/>
  <c r="V45" i="9" l="1"/>
  <c r="C46" i="9" s="1"/>
  <c r="F46" i="9" s="1"/>
  <c r="U45" i="9"/>
  <c r="T51" i="9"/>
  <c r="B64" i="10"/>
  <c r="D63" i="10"/>
  <c r="V46" i="9" l="1"/>
  <c r="C47" i="9" s="1"/>
  <c r="F47" i="9" s="1"/>
  <c r="H47" i="9" s="1"/>
  <c r="H48" i="9" s="1"/>
  <c r="H49" i="9" s="1"/>
  <c r="H50" i="9" s="1"/>
  <c r="U46" i="9"/>
  <c r="T52" i="9"/>
  <c r="D64" i="10"/>
  <c r="B65" i="10"/>
  <c r="T53" i="9" l="1"/>
  <c r="V47" i="9"/>
  <c r="W47" i="9" s="1"/>
  <c r="U47" i="9"/>
  <c r="C48" i="9"/>
  <c r="F48" i="9" s="1"/>
  <c r="B66" i="10"/>
  <c r="D65" i="10"/>
  <c r="T54" i="9" l="1"/>
  <c r="V48" i="9"/>
  <c r="U48" i="9"/>
  <c r="C49" i="9"/>
  <c r="F49" i="9" s="1"/>
  <c r="B67" i="10"/>
  <c r="D66" i="10"/>
  <c r="T55" i="9" l="1"/>
  <c r="V49" i="9"/>
  <c r="U49" i="9"/>
  <c r="C50" i="9"/>
  <c r="F50" i="9" s="1"/>
  <c r="B68" i="10"/>
  <c r="D67" i="10"/>
  <c r="T56" i="9" l="1"/>
  <c r="V50" i="9"/>
  <c r="U50" i="9"/>
  <c r="C51" i="9"/>
  <c r="B69" i="10"/>
  <c r="D68" i="10"/>
  <c r="T57" i="9" l="1"/>
  <c r="B70" i="10"/>
  <c r="D69" i="10"/>
  <c r="F51" i="9"/>
  <c r="T58" i="9" l="1"/>
  <c r="V51" i="9"/>
  <c r="U51" i="9"/>
  <c r="D70" i="10"/>
  <c r="B71" i="10"/>
  <c r="C52" i="9"/>
  <c r="H51" i="9"/>
  <c r="H52" i="9" s="1"/>
  <c r="H53" i="9" s="1"/>
  <c r="T59" i="9" l="1"/>
  <c r="B72" i="10"/>
  <c r="D71" i="10"/>
  <c r="F52" i="9"/>
  <c r="T60" i="9" l="1"/>
  <c r="V52" i="9"/>
  <c r="U52" i="9"/>
  <c r="C53" i="9"/>
  <c r="F53" i="9" s="1"/>
  <c r="B73" i="10"/>
  <c r="D72" i="10"/>
  <c r="T61" i="9" l="1"/>
  <c r="V53" i="9"/>
  <c r="U53" i="9"/>
  <c r="B74" i="10"/>
  <c r="D73" i="10"/>
  <c r="C54" i="9"/>
  <c r="F54" i="9" s="1"/>
  <c r="T62" i="9" l="1"/>
  <c r="V54" i="9"/>
  <c r="U54" i="9"/>
  <c r="D74" i="10"/>
  <c r="B75" i="10"/>
  <c r="C55" i="9"/>
  <c r="H54" i="9"/>
  <c r="H55" i="9" s="1"/>
  <c r="H56" i="9" s="1"/>
  <c r="H57" i="9" s="1"/>
  <c r="H58" i="9" s="1"/>
  <c r="T63" i="9" l="1"/>
  <c r="B76" i="10"/>
  <c r="D75" i="10"/>
  <c r="F55" i="9"/>
  <c r="T64" i="9" l="1"/>
  <c r="V55" i="9"/>
  <c r="U55" i="9"/>
  <c r="C56" i="9"/>
  <c r="F56" i="9" s="1"/>
  <c r="B77" i="10"/>
  <c r="D76" i="10"/>
  <c r="T65" i="9" l="1"/>
  <c r="V56" i="9"/>
  <c r="U56" i="9"/>
  <c r="C57" i="9"/>
  <c r="F57" i="9" s="1"/>
  <c r="B78" i="10"/>
  <c r="D77" i="10"/>
  <c r="T66" i="9" l="1"/>
  <c r="V57" i="9"/>
  <c r="U57" i="9"/>
  <c r="C58" i="9"/>
  <c r="F58" i="9" s="1"/>
  <c r="D78" i="10"/>
  <c r="B79" i="10"/>
  <c r="T67" i="9" l="1"/>
  <c r="V58" i="9"/>
  <c r="U58" i="9"/>
  <c r="B80" i="10"/>
  <c r="D79" i="10"/>
  <c r="C59" i="9"/>
  <c r="T68" i="9" l="1"/>
  <c r="B81" i="10"/>
  <c r="D80" i="10"/>
  <c r="F59" i="9"/>
  <c r="T69" i="9" l="1"/>
  <c r="V59" i="9"/>
  <c r="U59" i="9"/>
  <c r="C60" i="9"/>
  <c r="B82" i="10"/>
  <c r="D81" i="10"/>
  <c r="H59" i="9"/>
  <c r="T70" i="9" l="1"/>
  <c r="D82" i="10"/>
  <c r="B83" i="10"/>
  <c r="T185" i="9"/>
  <c r="H60" i="9"/>
  <c r="H61" i="9" s="1"/>
  <c r="H62" i="9" s="1"/>
  <c r="F60" i="9"/>
  <c r="V60" i="9" l="1"/>
  <c r="C61" i="9" s="1"/>
  <c r="F61" i="9" s="1"/>
  <c r="U60" i="9"/>
  <c r="T71" i="9"/>
  <c r="B84" i="10"/>
  <c r="D83" i="10"/>
  <c r="T186" i="9"/>
  <c r="V61" i="9" l="1"/>
  <c r="C62" i="9" s="1"/>
  <c r="F62" i="9" s="1"/>
  <c r="U61" i="9"/>
  <c r="T72" i="9"/>
  <c r="B85" i="10"/>
  <c r="D84" i="10"/>
  <c r="T187" i="9"/>
  <c r="V62" i="9" l="1"/>
  <c r="C63" i="9" s="1"/>
  <c r="F63" i="9" s="1"/>
  <c r="U62" i="9"/>
  <c r="T73" i="9"/>
  <c r="B86" i="10"/>
  <c r="D85" i="10"/>
  <c r="T188" i="9"/>
  <c r="V63" i="9" l="1"/>
  <c r="U63" i="9"/>
  <c r="T74" i="9"/>
  <c r="B87" i="10"/>
  <c r="D86" i="10"/>
  <c r="T189" i="9"/>
  <c r="C64" i="9"/>
  <c r="F64" i="9" s="1"/>
  <c r="H63" i="9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V64" i="9" l="1"/>
  <c r="U64" i="9"/>
  <c r="T75" i="9"/>
  <c r="C65" i="9"/>
  <c r="F65" i="9" s="1"/>
  <c r="B88" i="10"/>
  <c r="D87" i="10"/>
  <c r="T190" i="9"/>
  <c r="V65" i="9" l="1"/>
  <c r="C66" i="9" s="1"/>
  <c r="F66" i="9" s="1"/>
  <c r="U65" i="9"/>
  <c r="T76" i="9"/>
  <c r="D88" i="10"/>
  <c r="B89" i="10"/>
  <c r="T191" i="9"/>
  <c r="V66" i="9" l="1"/>
  <c r="C67" i="9" s="1"/>
  <c r="F67" i="9" s="1"/>
  <c r="U66" i="9"/>
  <c r="T77" i="9"/>
  <c r="B90" i="10"/>
  <c r="D89" i="10"/>
  <c r="T192" i="9"/>
  <c r="V67" i="9" l="1"/>
  <c r="C68" i="9" s="1"/>
  <c r="F68" i="9" s="1"/>
  <c r="U67" i="9"/>
  <c r="T78" i="9"/>
  <c r="D90" i="10"/>
  <c r="B91" i="10"/>
  <c r="T193" i="9"/>
  <c r="V68" i="9" l="1"/>
  <c r="C69" i="9" s="1"/>
  <c r="F69" i="9" s="1"/>
  <c r="U68" i="9"/>
  <c r="T79" i="9"/>
  <c r="B92" i="10"/>
  <c r="D91" i="10"/>
  <c r="T194" i="9"/>
  <c r="V69" i="9" l="1"/>
  <c r="C70" i="9" s="1"/>
  <c r="F70" i="9" s="1"/>
  <c r="U69" i="9"/>
  <c r="T80" i="9"/>
  <c r="B93" i="10"/>
  <c r="D92" i="10"/>
  <c r="T195" i="9"/>
  <c r="V70" i="9" l="1"/>
  <c r="U70" i="9"/>
  <c r="T81" i="9"/>
  <c r="T82" i="9" s="1"/>
  <c r="T83" i="9" s="1"/>
  <c r="T84" i="9" s="1"/>
  <c r="T85" i="9" s="1"/>
  <c r="T86" i="9" s="1"/>
  <c r="T87" i="9" s="1"/>
  <c r="T88" i="9" s="1"/>
  <c r="T89" i="9" s="1"/>
  <c r="T90" i="9" s="1"/>
  <c r="T91" i="9" s="1"/>
  <c r="T92" i="9" s="1"/>
  <c r="T93" i="9" s="1"/>
  <c r="T94" i="9" s="1"/>
  <c r="T95" i="9" s="1"/>
  <c r="T96" i="9" s="1"/>
  <c r="T97" i="9" s="1"/>
  <c r="T98" i="9" s="1"/>
  <c r="T99" i="9" s="1"/>
  <c r="T100" i="9" s="1"/>
  <c r="T101" i="9" s="1"/>
  <c r="T102" i="9" s="1"/>
  <c r="T103" i="9" s="1"/>
  <c r="T104" i="9" s="1"/>
  <c r="T105" i="9" s="1"/>
  <c r="T106" i="9" s="1"/>
  <c r="T107" i="9" s="1"/>
  <c r="T108" i="9" s="1"/>
  <c r="T109" i="9" s="1"/>
  <c r="T110" i="9" s="1"/>
  <c r="T111" i="9" s="1"/>
  <c r="T112" i="9" s="1"/>
  <c r="T113" i="9" s="1"/>
  <c r="T114" i="9" s="1"/>
  <c r="T115" i="9" s="1"/>
  <c r="T116" i="9" s="1"/>
  <c r="T117" i="9" s="1"/>
  <c r="T118" i="9" s="1"/>
  <c r="T119" i="9" s="1"/>
  <c r="T120" i="9" s="1"/>
  <c r="T121" i="9" s="1"/>
  <c r="T122" i="9" s="1"/>
  <c r="T123" i="9" s="1"/>
  <c r="T124" i="9" s="1"/>
  <c r="T125" i="9" s="1"/>
  <c r="T126" i="9" s="1"/>
  <c r="T127" i="9" s="1"/>
  <c r="T128" i="9" s="1"/>
  <c r="T129" i="9" s="1"/>
  <c r="T130" i="9" s="1"/>
  <c r="T131" i="9" s="1"/>
  <c r="T132" i="9" s="1"/>
  <c r="T133" i="9" s="1"/>
  <c r="T134" i="9" s="1"/>
  <c r="T135" i="9" s="1"/>
  <c r="T136" i="9" s="1"/>
  <c r="T137" i="9" s="1"/>
  <c r="T138" i="9" s="1"/>
  <c r="T139" i="9" s="1"/>
  <c r="T140" i="9" s="1"/>
  <c r="T141" i="9" s="1"/>
  <c r="T142" i="9" s="1"/>
  <c r="T143" i="9" s="1"/>
  <c r="T144" i="9" s="1"/>
  <c r="T145" i="9" s="1"/>
  <c r="T146" i="9" s="1"/>
  <c r="T147" i="9" s="1"/>
  <c r="T148" i="9" s="1"/>
  <c r="T149" i="9" s="1"/>
  <c r="T150" i="9" s="1"/>
  <c r="T151" i="9" s="1"/>
  <c r="T152" i="9" s="1"/>
  <c r="T153" i="9" s="1"/>
  <c r="T154" i="9" s="1"/>
  <c r="T155" i="9" s="1"/>
  <c r="T156" i="9" s="1"/>
  <c r="T157" i="9" s="1"/>
  <c r="T158" i="9" s="1"/>
  <c r="T159" i="9" s="1"/>
  <c r="T160" i="9" s="1"/>
  <c r="T161" i="9" s="1"/>
  <c r="T162" i="9" s="1"/>
  <c r="T163" i="9" s="1"/>
  <c r="T164" i="9" s="1"/>
  <c r="T165" i="9" s="1"/>
  <c r="T166" i="9" s="1"/>
  <c r="T167" i="9" s="1"/>
  <c r="T168" i="9" s="1"/>
  <c r="T169" i="9" s="1"/>
  <c r="T170" i="9" s="1"/>
  <c r="T171" i="9" s="1"/>
  <c r="T172" i="9" s="1"/>
  <c r="T173" i="9" s="1"/>
  <c r="T174" i="9" s="1"/>
  <c r="T175" i="9" s="1"/>
  <c r="T176" i="9" s="1"/>
  <c r="T177" i="9" s="1"/>
  <c r="T178" i="9" s="1"/>
  <c r="T179" i="9" s="1"/>
  <c r="T180" i="9" s="1"/>
  <c r="T181" i="9" s="1"/>
  <c r="T182" i="9" s="1"/>
  <c r="T183" i="9" s="1"/>
  <c r="T184" i="9" s="1"/>
  <c r="B94" i="10"/>
  <c r="D93" i="10"/>
  <c r="T196" i="9"/>
  <c r="C71" i="9"/>
  <c r="F71" i="9" s="1"/>
  <c r="V71" i="9" l="1"/>
  <c r="U71" i="9"/>
  <c r="D94" i="10"/>
  <c r="B95" i="10"/>
  <c r="T197" i="9"/>
  <c r="C72" i="9"/>
  <c r="F72" i="9" s="1"/>
  <c r="V72" i="9" l="1"/>
  <c r="C73" i="9" s="1"/>
  <c r="F73" i="9" s="1"/>
  <c r="U72" i="9"/>
  <c r="B96" i="10"/>
  <c r="D95" i="10"/>
  <c r="T198" i="9"/>
  <c r="V73" i="9" l="1"/>
  <c r="C74" i="9" s="1"/>
  <c r="F74" i="9" s="1"/>
  <c r="U73" i="9"/>
  <c r="B97" i="10"/>
  <c r="D96" i="10"/>
  <c r="T199" i="9"/>
  <c r="V74" i="9" l="1"/>
  <c r="U74" i="9"/>
  <c r="H74" i="9"/>
  <c r="B98" i="10"/>
  <c r="D97" i="10"/>
  <c r="T200" i="9"/>
  <c r="T201" i="9" s="1"/>
  <c r="C75" i="9"/>
  <c r="F75" i="9" s="1"/>
  <c r="V75" i="9" l="1"/>
  <c r="U75" i="9"/>
  <c r="H75" i="9"/>
  <c r="H76" i="9" s="1"/>
  <c r="H77" i="9" s="1"/>
  <c r="H78" i="9" s="1"/>
  <c r="H79" i="9" s="1"/>
  <c r="H80" i="9" s="1"/>
  <c r="H81" i="9" s="1"/>
  <c r="T202" i="9"/>
  <c r="D98" i="10"/>
  <c r="B99" i="10"/>
  <c r="C76" i="9"/>
  <c r="F76" i="9" s="1"/>
  <c r="V76" i="9" l="1"/>
  <c r="C77" i="9" s="1"/>
  <c r="F77" i="9" s="1"/>
  <c r="U76" i="9"/>
  <c r="T203" i="9"/>
  <c r="B100" i="10"/>
  <c r="D99" i="10"/>
  <c r="V77" i="9" l="1"/>
  <c r="C78" i="9" s="1"/>
  <c r="F78" i="9" s="1"/>
  <c r="U77" i="9"/>
  <c r="T204" i="9"/>
  <c r="B101" i="10"/>
  <c r="D100" i="10"/>
  <c r="V78" i="9" l="1"/>
  <c r="U78" i="9"/>
  <c r="T205" i="9"/>
  <c r="D101" i="10"/>
  <c r="D102" i="10" s="1"/>
  <c r="B102" i="10"/>
  <c r="C102" i="10"/>
  <c r="C79" i="9"/>
  <c r="F79" i="9" s="1"/>
  <c r="V79" i="9" l="1"/>
  <c r="U79" i="9"/>
  <c r="T206" i="9"/>
  <c r="K2" i="10"/>
  <c r="K3" i="10"/>
  <c r="J5" i="10"/>
  <c r="K5" i="10"/>
  <c r="K7" i="10" s="1"/>
  <c r="K8" i="10" s="1"/>
  <c r="C80" i="9"/>
  <c r="T207" i="9" l="1"/>
  <c r="T208" i="9" l="1"/>
  <c r="T209" i="9" l="1"/>
  <c r="T210" i="9" l="1"/>
  <c r="T211" i="9" l="1"/>
  <c r="T212" i="9" l="1"/>
  <c r="T213" i="9" l="1"/>
  <c r="T214" i="9" l="1"/>
  <c r="T215" i="9" l="1"/>
  <c r="T216" i="9" l="1"/>
  <c r="T217" i="9" l="1"/>
  <c r="T218" i="9" l="1"/>
  <c r="T219" i="9" l="1"/>
  <c r="T220" i="9" l="1"/>
  <c r="T221" i="9" l="1"/>
  <c r="T222" i="9" l="1"/>
  <c r="T223" i="9" l="1"/>
  <c r="T224" i="9" l="1"/>
  <c r="T225" i="9" l="1"/>
  <c r="T226" i="9" l="1"/>
  <c r="T227" i="9" l="1"/>
  <c r="T228" i="9" l="1"/>
  <c r="T229" i="9" l="1"/>
  <c r="T230" i="9" l="1"/>
  <c r="T231" i="9" l="1"/>
  <c r="T232" i="9" l="1"/>
  <c r="T233" i="9" l="1"/>
  <c r="T234" i="9" l="1"/>
  <c r="T235" i="9" l="1"/>
  <c r="T236" i="9" l="1"/>
  <c r="T237" i="9" l="1"/>
  <c r="T238" i="9" l="1"/>
  <c r="T239" i="9" l="1"/>
  <c r="T240" i="9" l="1"/>
  <c r="T241" i="9" l="1"/>
  <c r="T242" i="9" l="1"/>
  <c r="T243" i="9" l="1"/>
  <c r="T244" i="9" l="1"/>
  <c r="T245" i="9" l="1"/>
  <c r="T246" i="9" l="1"/>
  <c r="T247" i="9" l="1"/>
  <c r="T248" i="9" l="1"/>
  <c r="T249" i="9" l="1"/>
  <c r="T250" i="9" l="1"/>
  <c r="H82" i="9" l="1"/>
  <c r="H83" i="9" s="1"/>
  <c r="H84" i="9" s="1"/>
  <c r="F80" i="9"/>
  <c r="U80" i="9" s="1"/>
  <c r="V80" i="9" l="1"/>
  <c r="C81" i="9" s="1"/>
  <c r="F81" i="9" s="1"/>
  <c r="U81" i="9" s="1"/>
  <c r="V81" i="9" l="1"/>
  <c r="C82" i="9" s="1"/>
  <c r="F82" i="9" s="1"/>
  <c r="U82" i="9" s="1"/>
  <c r="V82" i="9" l="1"/>
  <c r="C83" i="9" s="1"/>
  <c r="F83" i="9" s="1"/>
  <c r="U83" i="9" s="1"/>
  <c r="V83" i="9"/>
  <c r="C84" i="9" s="1"/>
  <c r="F84" i="9" s="1"/>
  <c r="U84" i="9" l="1"/>
  <c r="V84" i="9"/>
  <c r="C85" i="9" s="1"/>
  <c r="F85" i="9" s="1"/>
  <c r="U85" i="9" l="1"/>
  <c r="H85" i="9"/>
  <c r="H86" i="9" s="1"/>
  <c r="V85" i="9"/>
  <c r="C86" i="9" s="1"/>
  <c r="F86" i="9" s="1"/>
  <c r="V86" i="9" l="1"/>
  <c r="C87" i="9" s="1"/>
  <c r="F87" i="9" s="1"/>
  <c r="U86" i="9"/>
  <c r="H87" i="9" l="1"/>
  <c r="H88" i="9" s="1"/>
  <c r="V87" i="9"/>
  <c r="C88" i="9" s="1"/>
  <c r="F88" i="9" s="1"/>
  <c r="U87" i="9"/>
  <c r="U88" i="9" l="1"/>
  <c r="V88" i="9"/>
  <c r="C89" i="9" s="1"/>
  <c r="F89" i="9" s="1"/>
  <c r="U89" i="9" l="1"/>
  <c r="V89" i="9"/>
  <c r="C90" i="9" s="1"/>
  <c r="F90" i="9" s="1"/>
  <c r="H89" i="9"/>
  <c r="H90" i="9" s="1"/>
  <c r="H91" i="9" s="1"/>
  <c r="H92" i="9" s="1"/>
  <c r="H93" i="9" s="1"/>
  <c r="H94" i="9" s="1"/>
  <c r="H95" i="9" s="1"/>
  <c r="H96" i="9" s="1"/>
  <c r="U90" i="9" l="1"/>
  <c r="V90" i="9"/>
  <c r="C91" i="9" s="1"/>
  <c r="F91" i="9" s="1"/>
  <c r="U91" i="9" l="1"/>
  <c r="V91" i="9"/>
  <c r="C92" i="9" s="1"/>
  <c r="F92" i="9" s="1"/>
  <c r="U92" i="9" l="1"/>
  <c r="V92" i="9"/>
  <c r="C93" i="9" s="1"/>
  <c r="F93" i="9" s="1"/>
  <c r="U93" i="9" l="1"/>
  <c r="V93" i="9"/>
  <c r="C94" i="9" s="1"/>
  <c r="F94" i="9" s="1"/>
  <c r="U94" i="9" l="1"/>
  <c r="V94" i="9"/>
  <c r="C95" i="9" s="1"/>
  <c r="F95" i="9" s="1"/>
  <c r="U95" i="9" l="1"/>
  <c r="V95" i="9"/>
  <c r="C96" i="9" s="1"/>
  <c r="F96" i="9" s="1"/>
  <c r="U96" i="9" l="1"/>
  <c r="V96" i="9"/>
  <c r="C97" i="9" s="1"/>
  <c r="F97" i="9" s="1"/>
  <c r="U97" i="9" l="1"/>
  <c r="H97" i="9"/>
  <c r="H98" i="9" s="1"/>
  <c r="H99" i="9" s="1"/>
  <c r="H100" i="9" s="1"/>
  <c r="V97" i="9"/>
  <c r="C98" i="9" s="1"/>
  <c r="F98" i="9" s="1"/>
  <c r="U98" i="9" l="1"/>
  <c r="V98" i="9"/>
  <c r="C99" i="9" s="1"/>
  <c r="F99" i="9" s="1"/>
  <c r="U99" i="9" l="1"/>
  <c r="V99" i="9"/>
  <c r="C100" i="9" s="1"/>
  <c r="F100" i="9" s="1"/>
  <c r="U100" i="9" l="1"/>
  <c r="V100" i="9"/>
  <c r="C101" i="9" s="1"/>
  <c r="F101" i="9" s="1"/>
  <c r="U101" i="9" l="1"/>
  <c r="V101" i="9"/>
  <c r="C102" i="9" s="1"/>
  <c r="F102" i="9" s="1"/>
  <c r="H101" i="9"/>
  <c r="H102" i="9" s="1"/>
  <c r="H103" i="9" s="1"/>
  <c r="H104" i="9" s="1"/>
  <c r="U102" i="9" l="1"/>
  <c r="V102" i="9"/>
  <c r="C103" i="9" s="1"/>
  <c r="F103" i="9" s="1"/>
  <c r="U103" i="9" l="1"/>
  <c r="V103" i="9"/>
  <c r="C104" i="9" s="1"/>
  <c r="F104" i="9" s="1"/>
  <c r="U104" i="9" l="1"/>
  <c r="V104" i="9"/>
  <c r="C105" i="9" s="1"/>
  <c r="F105" i="9" s="1"/>
  <c r="U105" i="9" l="1"/>
  <c r="V105" i="9"/>
  <c r="C106" i="9" s="1"/>
  <c r="F106" i="9" s="1"/>
  <c r="H105" i="9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H117" i="9" s="1"/>
  <c r="H118" i="9" s="1"/>
  <c r="U106" i="9" l="1"/>
  <c r="V106" i="9"/>
  <c r="C107" i="9" s="1"/>
  <c r="F107" i="9" s="1"/>
  <c r="U107" i="9" l="1"/>
  <c r="V107" i="9"/>
  <c r="C108" i="9" s="1"/>
  <c r="F108" i="9" s="1"/>
  <c r="U108" i="9" l="1"/>
  <c r="V108" i="9"/>
  <c r="C109" i="9" s="1"/>
  <c r="F109" i="9" s="1"/>
  <c r="U109" i="9" l="1"/>
  <c r="V109" i="9"/>
  <c r="C110" i="9" s="1"/>
  <c r="F110" i="9" s="1"/>
  <c r="U110" i="9" l="1"/>
  <c r="V110" i="9"/>
  <c r="C111" i="9" s="1"/>
  <c r="F111" i="9" s="1"/>
  <c r="U111" i="9" l="1"/>
  <c r="V111" i="9"/>
  <c r="C112" i="9" s="1"/>
  <c r="F112" i="9" s="1"/>
  <c r="U112" i="9" l="1"/>
  <c r="V112" i="9"/>
  <c r="C113" i="9" s="1"/>
  <c r="F113" i="9" s="1"/>
  <c r="U113" i="9" l="1"/>
  <c r="V113" i="9"/>
  <c r="C114" i="9" s="1"/>
  <c r="F114" i="9" s="1"/>
  <c r="U114" i="9" l="1"/>
  <c r="V114" i="9"/>
  <c r="C115" i="9" s="1"/>
  <c r="F115" i="9" s="1"/>
  <c r="U115" i="9" l="1"/>
  <c r="V115" i="9"/>
  <c r="C116" i="9" s="1"/>
  <c r="F116" i="9" s="1"/>
  <c r="U116" i="9" l="1"/>
  <c r="V116" i="9"/>
  <c r="C117" i="9" s="1"/>
  <c r="F117" i="9" s="1"/>
  <c r="U117" i="9" l="1"/>
  <c r="V117" i="9"/>
  <c r="C118" i="9" s="1"/>
  <c r="F118" i="9" s="1"/>
  <c r="U118" i="9" l="1"/>
  <c r="V118" i="9"/>
  <c r="C119" i="9" s="1"/>
  <c r="F119" i="9" s="1"/>
  <c r="U119" i="9" l="1"/>
  <c r="H119" i="9"/>
  <c r="V119" i="9"/>
  <c r="C120" i="9" s="1"/>
  <c r="F120" i="9" s="1"/>
  <c r="H120" i="9" l="1"/>
  <c r="U120" i="9"/>
  <c r="V120" i="9"/>
  <c r="C121" i="9" s="1"/>
  <c r="F121" i="9" s="1"/>
  <c r="U121" i="9" l="1"/>
  <c r="V121" i="9"/>
  <c r="C122" i="9" s="1"/>
  <c r="F122" i="9" s="1"/>
  <c r="H121" i="9"/>
  <c r="H122" i="9" s="1"/>
  <c r="H123" i="9" s="1"/>
  <c r="H124" i="9" s="1"/>
  <c r="H125" i="9" s="1"/>
  <c r="U122" i="9" l="1"/>
  <c r="V122" i="9"/>
  <c r="C123" i="9" s="1"/>
  <c r="F123" i="9" s="1"/>
  <c r="U123" i="9" l="1"/>
  <c r="V123" i="9"/>
  <c r="C124" i="9" s="1"/>
  <c r="F124" i="9" s="1"/>
  <c r="U124" i="9" l="1"/>
  <c r="V124" i="9"/>
  <c r="C125" i="9" s="1"/>
  <c r="F125" i="9" s="1"/>
  <c r="U125" i="9" l="1"/>
  <c r="V125" i="9"/>
  <c r="C126" i="9" s="1"/>
  <c r="F126" i="9" s="1"/>
  <c r="U126" i="9" l="1"/>
  <c r="H126" i="9"/>
  <c r="H127" i="9" s="1"/>
  <c r="V126" i="9"/>
  <c r="C127" i="9" s="1"/>
  <c r="F127" i="9" s="1"/>
  <c r="U127" i="9" l="1"/>
  <c r="V127" i="9"/>
  <c r="C128" i="9" s="1"/>
  <c r="F128" i="9" s="1"/>
  <c r="U128" i="9" l="1"/>
  <c r="V128" i="9"/>
  <c r="C129" i="9" s="1"/>
  <c r="F129" i="9" s="1"/>
  <c r="H128" i="9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U129" i="9" l="1"/>
  <c r="V129" i="9"/>
  <c r="C130" i="9" s="1"/>
  <c r="F130" i="9" s="1"/>
  <c r="U130" i="9" l="1"/>
  <c r="V130" i="9"/>
  <c r="C131" i="9" s="1"/>
  <c r="F131" i="9" s="1"/>
  <c r="U131" i="9" l="1"/>
  <c r="V131" i="9"/>
  <c r="C132" i="9" s="1"/>
  <c r="F132" i="9" s="1"/>
  <c r="U132" i="9" l="1"/>
  <c r="V132" i="9"/>
  <c r="C133" i="9" s="1"/>
  <c r="F133" i="9" s="1"/>
  <c r="U133" i="9" l="1"/>
  <c r="V133" i="9"/>
  <c r="C134" i="9" s="1"/>
  <c r="F134" i="9" s="1"/>
  <c r="U134" i="9" l="1"/>
  <c r="V134" i="9"/>
  <c r="C135" i="9" s="1"/>
  <c r="F135" i="9" s="1"/>
  <c r="U135" i="9" l="1"/>
  <c r="V135" i="9"/>
  <c r="C136" i="9" s="1"/>
  <c r="F136" i="9" s="1"/>
  <c r="U136" i="9" l="1"/>
  <c r="V136" i="9"/>
  <c r="C137" i="9" s="1"/>
  <c r="F137" i="9" s="1"/>
  <c r="U137" i="9" l="1"/>
  <c r="V137" i="9"/>
  <c r="C138" i="9" s="1"/>
  <c r="F138" i="9" s="1"/>
  <c r="U138" i="9" l="1"/>
  <c r="V138" i="9"/>
  <c r="C139" i="9" s="1"/>
  <c r="F139" i="9" s="1"/>
  <c r="U139" i="9" l="1"/>
  <c r="V139" i="9"/>
  <c r="C140" i="9" s="1"/>
  <c r="F140" i="9" s="1"/>
  <c r="U140" i="9" l="1"/>
  <c r="V140" i="9"/>
  <c r="C141" i="9" s="1"/>
  <c r="F141" i="9" s="1"/>
  <c r="U141" i="9" l="1"/>
  <c r="V141" i="9"/>
  <c r="C142" i="9" s="1"/>
  <c r="F142" i="9" s="1"/>
  <c r="U142" i="9" l="1"/>
  <c r="V142" i="9"/>
  <c r="C143" i="9" s="1"/>
  <c r="F143" i="9" s="1"/>
  <c r="U143" i="9" l="1"/>
  <c r="V143" i="9"/>
  <c r="C144" i="9" s="1"/>
  <c r="F144" i="9" s="1"/>
  <c r="U144" i="9" l="1"/>
  <c r="V144" i="9"/>
  <c r="C145" i="9" s="1"/>
  <c r="F145" i="9" s="1"/>
  <c r="U145" i="9" l="1"/>
  <c r="V145" i="9"/>
  <c r="C146" i="9" s="1"/>
  <c r="F146" i="9" s="1"/>
  <c r="U146" i="9" l="1"/>
  <c r="V146" i="9"/>
  <c r="C147" i="9" s="1"/>
  <c r="F147" i="9" s="1"/>
  <c r="U147" i="9" l="1"/>
  <c r="V147" i="9"/>
  <c r="C148" i="9" s="1"/>
  <c r="F148" i="9" s="1"/>
  <c r="U148" i="9" l="1"/>
  <c r="V148" i="9"/>
  <c r="C149" i="9" s="1"/>
  <c r="F149" i="9" s="1"/>
  <c r="U149" i="9" l="1"/>
  <c r="V149" i="9"/>
  <c r="C150" i="9" s="1"/>
  <c r="F150" i="9" s="1"/>
  <c r="U150" i="9" l="1"/>
  <c r="V150" i="9"/>
  <c r="C151" i="9" s="1"/>
  <c r="F151" i="9" s="1"/>
  <c r="U151" i="9" l="1"/>
  <c r="V151" i="9"/>
  <c r="C152" i="9" s="1"/>
  <c r="F152" i="9" s="1"/>
  <c r="U152" i="9" l="1"/>
  <c r="V152" i="9"/>
  <c r="C153" i="9" s="1"/>
  <c r="F153" i="9" s="1"/>
  <c r="U153" i="9" l="1"/>
  <c r="V153" i="9"/>
  <c r="C154" i="9" s="1"/>
  <c r="F154" i="9" s="1"/>
  <c r="U154" i="9" l="1"/>
  <c r="V154" i="9"/>
  <c r="C155" i="9" s="1"/>
  <c r="F155" i="9" s="1"/>
  <c r="U155" i="9" l="1"/>
  <c r="V155" i="9"/>
  <c r="C156" i="9" s="1"/>
  <c r="F156" i="9" s="1"/>
  <c r="U156" i="9" l="1"/>
  <c r="V156" i="9"/>
  <c r="C157" i="9" s="1"/>
  <c r="F157" i="9" s="1"/>
  <c r="U157" i="9" l="1"/>
  <c r="V157" i="9"/>
  <c r="C158" i="9" s="1"/>
  <c r="F158" i="9" s="1"/>
  <c r="U158" i="9" l="1"/>
  <c r="V158" i="9"/>
  <c r="C159" i="9" s="1"/>
  <c r="F159" i="9" s="1"/>
  <c r="U159" i="9" l="1"/>
  <c r="V159" i="9"/>
  <c r="C160" i="9" s="1"/>
  <c r="F160" i="9" s="1"/>
  <c r="H159" i="9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U160" i="9" l="1"/>
  <c r="V160" i="9"/>
  <c r="C161" i="9" s="1"/>
  <c r="F161" i="9" s="1"/>
  <c r="U161" i="9" l="1"/>
  <c r="V161" i="9"/>
  <c r="C162" i="9" s="1"/>
  <c r="F162" i="9" s="1"/>
  <c r="U162" i="9" l="1"/>
  <c r="V162" i="9"/>
  <c r="C163" i="9" s="1"/>
  <c r="F163" i="9" s="1"/>
  <c r="U163" i="9" l="1"/>
  <c r="V163" i="9"/>
  <c r="C164" i="9" s="1"/>
  <c r="F164" i="9" s="1"/>
  <c r="U164" i="9" l="1"/>
  <c r="V164" i="9"/>
  <c r="C165" i="9" s="1"/>
  <c r="F165" i="9" s="1"/>
  <c r="U165" i="9" l="1"/>
  <c r="V165" i="9"/>
  <c r="C166" i="9" s="1"/>
  <c r="F166" i="9" s="1"/>
  <c r="U166" i="9" l="1"/>
  <c r="V166" i="9"/>
  <c r="C167" i="9" s="1"/>
  <c r="F167" i="9" s="1"/>
  <c r="U167" i="9" l="1"/>
  <c r="V167" i="9"/>
  <c r="C168" i="9" s="1"/>
  <c r="F168" i="9" s="1"/>
  <c r="U168" i="9" l="1"/>
  <c r="V168" i="9"/>
  <c r="C169" i="9" s="1"/>
  <c r="F169" i="9" s="1"/>
  <c r="V169" i="9" l="1"/>
  <c r="C170" i="9" s="1"/>
  <c r="F170" i="9" s="1"/>
  <c r="U169" i="9"/>
  <c r="U170" i="9" l="1"/>
  <c r="V170" i="9"/>
  <c r="C171" i="9" s="1"/>
  <c r="F171" i="9" s="1"/>
  <c r="U171" i="9" l="1"/>
  <c r="V171" i="9"/>
  <c r="C172" i="9" s="1"/>
  <c r="F172" i="9" s="1"/>
  <c r="U172" i="9" l="1"/>
  <c r="V172" i="9"/>
  <c r="C173" i="9" s="1"/>
  <c r="F173" i="9" s="1"/>
  <c r="U173" i="9" l="1"/>
  <c r="H173" i="9"/>
  <c r="H174" i="9" s="1"/>
  <c r="V173" i="9"/>
  <c r="C174" i="9" s="1"/>
  <c r="F174" i="9" s="1"/>
  <c r="U174" i="9" l="1"/>
  <c r="V174" i="9"/>
  <c r="C175" i="9" s="1"/>
  <c r="F175" i="9" s="1"/>
  <c r="H175" i="9" l="1"/>
  <c r="H176" i="9" s="1"/>
  <c r="V175" i="9"/>
  <c r="C176" i="9" s="1"/>
  <c r="F176" i="9" s="1"/>
  <c r="U175" i="9"/>
  <c r="U176" i="9" l="1"/>
  <c r="V176" i="9"/>
  <c r="C177" i="9" s="1"/>
  <c r="F177" i="9" s="1"/>
  <c r="U177" i="9" l="1"/>
  <c r="H177" i="9"/>
  <c r="H178" i="9" s="1"/>
  <c r="H179" i="9" s="1"/>
  <c r="H180" i="9" s="1"/>
  <c r="H181" i="9" s="1"/>
  <c r="H182" i="9" s="1"/>
  <c r="V177" i="9"/>
  <c r="C178" i="9" s="1"/>
  <c r="F178" i="9" s="1"/>
  <c r="U178" i="9" l="1"/>
  <c r="V178" i="9"/>
  <c r="C179" i="9" s="1"/>
  <c r="F179" i="9" s="1"/>
  <c r="U179" i="9" l="1"/>
  <c r="V179" i="9"/>
  <c r="C180" i="9" s="1"/>
  <c r="F180" i="9" s="1"/>
  <c r="U180" i="9" l="1"/>
  <c r="V180" i="9"/>
  <c r="C181" i="9" s="1"/>
  <c r="F181" i="9" s="1"/>
  <c r="U181" i="9" l="1"/>
  <c r="V181" i="9"/>
  <c r="C182" i="9" s="1"/>
  <c r="F182" i="9" s="1"/>
  <c r="U182" i="9" l="1"/>
  <c r="V182" i="9"/>
  <c r="C183" i="9" s="1"/>
  <c r="F183" i="9" s="1"/>
  <c r="H183" i="9" l="1"/>
  <c r="H184" i="9" s="1"/>
  <c r="U183" i="9"/>
  <c r="V183" i="9"/>
  <c r="C184" i="9" s="1"/>
  <c r="F184" i="9" s="1"/>
  <c r="U184" i="9" l="1"/>
  <c r="V184" i="9"/>
  <c r="C185" i="9" s="1"/>
  <c r="F185" i="9" s="1"/>
  <c r="U185" i="9" l="1"/>
  <c r="H185" i="9"/>
  <c r="H186" i="9" s="1"/>
  <c r="H187" i="9" s="1"/>
  <c r="H188" i="9" s="1"/>
  <c r="H189" i="9" s="1"/>
  <c r="V185" i="9"/>
  <c r="C186" i="9" s="1"/>
  <c r="F186" i="9" s="1"/>
  <c r="U186" i="9" l="1"/>
  <c r="V186" i="9"/>
  <c r="C187" i="9" s="1"/>
  <c r="F187" i="9" s="1"/>
  <c r="U187" i="9" l="1"/>
  <c r="V187" i="9"/>
  <c r="C188" i="9" s="1"/>
  <c r="F188" i="9" s="1"/>
  <c r="U188" i="9" l="1"/>
  <c r="V188" i="9"/>
  <c r="C189" i="9" s="1"/>
  <c r="F189" i="9" s="1"/>
  <c r="U189" i="9" l="1"/>
  <c r="V189" i="9"/>
  <c r="C190" i="9" s="1"/>
  <c r="F190" i="9" s="1"/>
  <c r="U190" i="9" l="1"/>
  <c r="H190" i="9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V190" i="9"/>
  <c r="C191" i="9" s="1"/>
  <c r="F191" i="9" s="1"/>
  <c r="V191" i="9" l="1"/>
  <c r="C192" i="9" s="1"/>
  <c r="F192" i="9" s="1"/>
  <c r="U191" i="9"/>
  <c r="U192" i="9" l="1"/>
  <c r="V192" i="9"/>
  <c r="C193" i="9" s="1"/>
  <c r="F193" i="9" s="1"/>
  <c r="U193" i="9" l="1"/>
  <c r="V193" i="9"/>
  <c r="C194" i="9" s="1"/>
  <c r="F194" i="9" s="1"/>
  <c r="U194" i="9" l="1"/>
  <c r="V194" i="9"/>
  <c r="C195" i="9" s="1"/>
  <c r="F195" i="9" s="1"/>
  <c r="V195" i="9" l="1"/>
  <c r="C196" i="9" s="1"/>
  <c r="F196" i="9" s="1"/>
  <c r="U195" i="9"/>
  <c r="U196" i="9" l="1"/>
  <c r="V196" i="9"/>
  <c r="C197" i="9" s="1"/>
  <c r="F197" i="9" s="1"/>
  <c r="U197" i="9" l="1"/>
  <c r="V197" i="9"/>
  <c r="C198" i="9" s="1"/>
  <c r="F198" i="9" s="1"/>
  <c r="U198" i="9" l="1"/>
  <c r="V198" i="9"/>
  <c r="C199" i="9" s="1"/>
  <c r="F199" i="9" s="1"/>
  <c r="V199" i="9" l="1"/>
  <c r="C200" i="9" s="1"/>
  <c r="F200" i="9" s="1"/>
  <c r="U199" i="9"/>
  <c r="U200" i="9" l="1"/>
  <c r="V200" i="9"/>
  <c r="C201" i="9" s="1"/>
  <c r="F201" i="9" s="1"/>
  <c r="U201" i="9" l="1"/>
  <c r="V201" i="9"/>
  <c r="C202" i="9" s="1"/>
  <c r="F202" i="9" s="1"/>
  <c r="U202" i="9" l="1"/>
  <c r="V202" i="9"/>
  <c r="C203" i="9" s="1"/>
  <c r="F203" i="9" s="1"/>
  <c r="V203" i="9" l="1"/>
  <c r="C204" i="9" s="1"/>
  <c r="F204" i="9" s="1"/>
  <c r="U203" i="9"/>
  <c r="U204" i="9" l="1"/>
  <c r="V204" i="9"/>
  <c r="C205" i="9" s="1"/>
  <c r="F205" i="9" s="1"/>
  <c r="H204" i="9"/>
  <c r="W204" i="9" s="1"/>
  <c r="U205" i="9" l="1"/>
  <c r="V205" i="9"/>
  <c r="C206" i="9" s="1"/>
  <c r="F206" i="9" s="1"/>
  <c r="H205" i="9"/>
  <c r="H206" i="9" s="1"/>
  <c r="H207" i="9" s="1"/>
  <c r="H208" i="9" s="1"/>
  <c r="H209" i="9" s="1"/>
  <c r="H210" i="9" s="1"/>
  <c r="H211" i="9" s="1"/>
  <c r="H212" i="9" s="1"/>
  <c r="H213" i="9" s="1"/>
  <c r="H214" i="9" s="1"/>
  <c r="H215" i="9" s="1"/>
  <c r="H216" i="9" s="1"/>
  <c r="H217" i="9" s="1"/>
  <c r="H218" i="9" s="1"/>
  <c r="H219" i="9" s="1"/>
  <c r="H220" i="9" s="1"/>
  <c r="H221" i="9" s="1"/>
  <c r="H222" i="9" s="1"/>
  <c r="H223" i="9" s="1"/>
  <c r="H224" i="9" s="1"/>
  <c r="H225" i="9" s="1"/>
  <c r="H226" i="9" s="1"/>
  <c r="H227" i="9" s="1"/>
  <c r="H228" i="9" s="1"/>
  <c r="H229" i="9" s="1"/>
  <c r="H230" i="9" s="1"/>
  <c r="H231" i="9" s="1"/>
  <c r="H232" i="9" s="1"/>
  <c r="H233" i="9" s="1"/>
  <c r="H234" i="9" s="1"/>
  <c r="H235" i="9" s="1"/>
  <c r="H236" i="9" s="1"/>
  <c r="H237" i="9" s="1"/>
  <c r="H238" i="9" s="1"/>
  <c r="H239" i="9" s="1"/>
  <c r="H240" i="9" s="1"/>
  <c r="H241" i="9" s="1"/>
  <c r="H242" i="9" s="1"/>
  <c r="H243" i="9" s="1"/>
  <c r="H244" i="9" s="1"/>
  <c r="H245" i="9" s="1"/>
  <c r="H246" i="9" s="1"/>
  <c r="H247" i="9" s="1"/>
  <c r="H248" i="9" s="1"/>
  <c r="H249" i="9" s="1"/>
  <c r="H250" i="9" s="1"/>
  <c r="U206" i="9" l="1"/>
  <c r="V206" i="9"/>
  <c r="C207" i="9" s="1"/>
  <c r="F207" i="9" s="1"/>
  <c r="V207" i="9" l="1"/>
  <c r="C208" i="9" s="1"/>
  <c r="F208" i="9" s="1"/>
  <c r="U207" i="9"/>
  <c r="U208" i="9" l="1"/>
  <c r="V208" i="9"/>
  <c r="C209" i="9" s="1"/>
  <c r="F209" i="9" s="1"/>
  <c r="U209" i="9" l="1"/>
  <c r="V209" i="9"/>
  <c r="C210" i="9" s="1"/>
  <c r="F210" i="9" s="1"/>
  <c r="U210" i="9" l="1"/>
  <c r="V210" i="9"/>
  <c r="C211" i="9" s="1"/>
  <c r="F211" i="9" s="1"/>
  <c r="V211" i="9" l="1"/>
  <c r="C212" i="9" s="1"/>
  <c r="F212" i="9" s="1"/>
  <c r="U211" i="9"/>
  <c r="U212" i="9" l="1"/>
  <c r="V212" i="9"/>
  <c r="C213" i="9" s="1"/>
  <c r="F213" i="9" s="1"/>
  <c r="U213" i="9" l="1"/>
  <c r="V213" i="9"/>
  <c r="C214" i="9" s="1"/>
  <c r="F214" i="9" s="1"/>
  <c r="U214" i="9" l="1"/>
  <c r="V214" i="9"/>
  <c r="C215" i="9" s="1"/>
  <c r="F215" i="9" s="1"/>
  <c r="V215" i="9" l="1"/>
  <c r="C216" i="9" s="1"/>
  <c r="F216" i="9" s="1"/>
  <c r="U215" i="9"/>
  <c r="U216" i="9" l="1"/>
  <c r="V216" i="9"/>
  <c r="C217" i="9" s="1"/>
  <c r="F217" i="9" s="1"/>
  <c r="U217" i="9" l="1"/>
  <c r="V217" i="9"/>
  <c r="C218" i="9" s="1"/>
  <c r="F218" i="9" s="1"/>
  <c r="U218" i="9" l="1"/>
  <c r="V218" i="9"/>
  <c r="C219" i="9" s="1"/>
  <c r="F219" i="9" s="1"/>
  <c r="V219" i="9" l="1"/>
  <c r="C220" i="9" s="1"/>
  <c r="F220" i="9" s="1"/>
  <c r="U219" i="9"/>
  <c r="U220" i="9" l="1"/>
  <c r="V220" i="9"/>
  <c r="C221" i="9" s="1"/>
  <c r="F221" i="9" s="1"/>
  <c r="U221" i="9" l="1"/>
  <c r="V221" i="9"/>
  <c r="C222" i="9" s="1"/>
  <c r="F222" i="9" s="1"/>
  <c r="U222" i="9" l="1"/>
  <c r="V222" i="9"/>
  <c r="C223" i="9" s="1"/>
  <c r="F223" i="9" s="1"/>
  <c r="V223" i="9" l="1"/>
  <c r="C224" i="9" s="1"/>
  <c r="F224" i="9" s="1"/>
  <c r="U223" i="9"/>
  <c r="U224" i="9" l="1"/>
  <c r="V224" i="9"/>
  <c r="C225" i="9" s="1"/>
  <c r="F225" i="9" s="1"/>
  <c r="U225" i="9" l="1"/>
  <c r="V225" i="9"/>
  <c r="C226" i="9" s="1"/>
  <c r="F226" i="9" s="1"/>
  <c r="U226" i="9" l="1"/>
  <c r="V226" i="9"/>
  <c r="C227" i="9" s="1"/>
  <c r="F227" i="9" s="1"/>
  <c r="V227" i="9" l="1"/>
  <c r="C228" i="9" s="1"/>
  <c r="F228" i="9" s="1"/>
  <c r="U227" i="9"/>
  <c r="U228" i="9" l="1"/>
  <c r="V228" i="9"/>
  <c r="C229" i="9" s="1"/>
  <c r="F229" i="9" s="1"/>
  <c r="U229" i="9" l="1"/>
  <c r="V229" i="9"/>
  <c r="C230" i="9" s="1"/>
  <c r="F230" i="9" s="1"/>
  <c r="U230" i="9" l="1"/>
  <c r="V230" i="9"/>
  <c r="C231" i="9" s="1"/>
  <c r="F231" i="9" s="1"/>
  <c r="V231" i="9" l="1"/>
  <c r="C232" i="9" s="1"/>
  <c r="F232" i="9" s="1"/>
  <c r="U231" i="9"/>
  <c r="U232" i="9" l="1"/>
  <c r="V232" i="9"/>
  <c r="C233" i="9" s="1"/>
  <c r="F233" i="9" s="1"/>
  <c r="U233" i="9" l="1"/>
  <c r="V233" i="9"/>
  <c r="C234" i="9" s="1"/>
  <c r="F234" i="9" s="1"/>
  <c r="U234" i="9" l="1"/>
  <c r="V234" i="9"/>
  <c r="C235" i="9" s="1"/>
  <c r="F235" i="9" s="1"/>
  <c r="V235" i="9" l="1"/>
  <c r="C236" i="9" s="1"/>
  <c r="F236" i="9" s="1"/>
  <c r="U235" i="9"/>
  <c r="U236" i="9" l="1"/>
  <c r="V236" i="9"/>
  <c r="C237" i="9" s="1"/>
  <c r="F237" i="9" s="1"/>
  <c r="U237" i="9" l="1"/>
  <c r="V237" i="9"/>
  <c r="C238" i="9" s="1"/>
  <c r="F238" i="9" s="1"/>
  <c r="U238" i="9" l="1"/>
  <c r="V238" i="9"/>
  <c r="C239" i="9" s="1"/>
  <c r="F239" i="9" s="1"/>
  <c r="V239" i="9" l="1"/>
  <c r="C240" i="9" s="1"/>
  <c r="F240" i="9" s="1"/>
  <c r="U239" i="9"/>
  <c r="U240" i="9" l="1"/>
  <c r="V240" i="9"/>
  <c r="C241" i="9" s="1"/>
  <c r="F241" i="9" s="1"/>
  <c r="U241" i="9" l="1"/>
  <c r="V241" i="9"/>
  <c r="C242" i="9" s="1"/>
  <c r="F242" i="9" s="1"/>
  <c r="U242" i="9" l="1"/>
  <c r="V242" i="9"/>
  <c r="C243" i="9" s="1"/>
  <c r="F243" i="9" s="1"/>
  <c r="V243" i="9" l="1"/>
  <c r="C244" i="9" s="1"/>
  <c r="F244" i="9" s="1"/>
  <c r="U243" i="9"/>
  <c r="U244" i="9" l="1"/>
  <c r="V244" i="9"/>
  <c r="C245" i="9" s="1"/>
  <c r="F245" i="9" s="1"/>
  <c r="U245" i="9" l="1"/>
  <c r="V245" i="9"/>
  <c r="C246" i="9" s="1"/>
  <c r="F246" i="9" s="1"/>
  <c r="U246" i="9" l="1"/>
  <c r="V246" i="9"/>
  <c r="C247" i="9" s="1"/>
  <c r="F247" i="9" s="1"/>
  <c r="V247" i="9" l="1"/>
  <c r="C248" i="9" s="1"/>
  <c r="F248" i="9" s="1"/>
  <c r="U247" i="9"/>
  <c r="U248" i="9" l="1"/>
  <c r="V248" i="9"/>
  <c r="C249" i="9" s="1"/>
  <c r="F249" i="9" s="1"/>
  <c r="V249" i="9" l="1"/>
  <c r="C250" i="9" s="1"/>
  <c r="F250" i="9" s="1"/>
  <c r="U249" i="9"/>
  <c r="V250" i="9" l="1"/>
  <c r="U250" i="9"/>
</calcChain>
</file>

<file path=xl/comments1.xml><?xml version="1.0" encoding="utf-8"?>
<comments xmlns="http://schemas.openxmlformats.org/spreadsheetml/2006/main">
  <authors>
    <author>NDIRANGU</author>
  </authors>
  <commentList>
    <comment ref="C102" authorId="0">
      <text>
        <r>
          <rPr>
            <b/>
            <sz val="9"/>
            <color indexed="81"/>
            <rFont val="Tahoma"/>
            <family val="2"/>
          </rPr>
          <t xml:space="preserve"> - represents TFT ODDS success rate</t>
        </r>
      </text>
    </comment>
  </commentList>
</comments>
</file>

<file path=xl/comments2.xml><?xml version="1.0" encoding="utf-8"?>
<comments xmlns="http://schemas.openxmlformats.org/spreadsheetml/2006/main">
  <authors>
    <author>NDIRANGU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&gt;=2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&lt;=0</t>
        </r>
      </text>
    </comment>
  </commentList>
</comments>
</file>

<file path=xl/comments3.xml><?xml version="1.0" encoding="utf-8"?>
<comments xmlns="http://schemas.openxmlformats.org/spreadsheetml/2006/main">
  <authors>
    <author>NDIRANGU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&gt;=2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&lt;=0</t>
        </r>
      </text>
    </comment>
  </commentList>
</comments>
</file>

<file path=xl/comments4.xml><?xml version="1.0" encoding="utf-8"?>
<comments xmlns="http://schemas.openxmlformats.org/spreadsheetml/2006/main">
  <authors>
    <author>NDIRANGU</author>
  </authors>
  <commentList>
    <comment ref="F2" authorId="0">
      <text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Calibri"/>
            <family val="2"/>
            <scheme val="minor"/>
          </rPr>
          <t>- draw any gains above month bet budget upon realisation, to ensure accurate computation of 'To Stake' value.</t>
        </r>
      </text>
    </comment>
    <comment ref="M2" authorId="0">
      <text>
        <r>
          <rPr>
            <sz val="9"/>
            <color indexed="81"/>
            <rFont val="Tahoma"/>
            <family val="2"/>
          </rPr>
          <t xml:space="preserve"> - max value: To Stake/10*SC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 xml:space="preserve"> - Draw any profits at eom and reset 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file:///C:/Users/NDIRANGU/Downloads/20190305tips.htm"/>
  </connection>
  <connection id="2" name="log" type="6" refreshedVersion="4" background="1" saveData="1">
    <textPr sourceFile="D:\Projects\SelfProjects_Scrap-Betting-Tips\log.txt" delimited="0" space="1" consecutive="1" delimiter=":">
      <textFields count="3">
        <textField/>
        <textField position="1"/>
        <textField position="4"/>
      </textFields>
    </textPr>
  </connection>
</connections>
</file>

<file path=xl/sharedStrings.xml><?xml version="1.0" encoding="utf-8"?>
<sst xmlns="http://schemas.openxmlformats.org/spreadsheetml/2006/main" count="17302" uniqueCount="4044">
  <si>
    <t>TIME</t>
  </si>
  <si>
    <t>HOME TEAM</t>
  </si>
  <si>
    <t>AWAY TEAM</t>
  </si>
  <si>
    <t>LEAGUE</t>
  </si>
  <si>
    <t>% CHANCE</t>
  </si>
  <si>
    <t>ODDS</t>
  </si>
  <si>
    <t>PICK</t>
  </si>
  <si>
    <t>RESULT</t>
  </si>
  <si>
    <t>Leixoes</t>
  </si>
  <si>
    <t>Covilha</t>
  </si>
  <si>
    <t>Portugal: Segunda Liga</t>
  </si>
  <si>
    <t>HOME WIN</t>
  </si>
  <si>
    <t>  NOT STARTED</t>
  </si>
  <si>
    <t>Sheffield Utd</t>
  </si>
  <si>
    <t>Barnet</t>
  </si>
  <si>
    <t>England: Fa Cup</t>
  </si>
  <si>
    <t>Fulham</t>
  </si>
  <si>
    <t>Oldham</t>
  </si>
  <si>
    <t>Manchester City</t>
  </si>
  <si>
    <t>Rotherham</t>
  </si>
  <si>
    <t>Woking</t>
  </si>
  <si>
    <t>Watford</t>
  </si>
  <si>
    <t>AWAY WIN</t>
  </si>
  <si>
    <t>Thailand</t>
  </si>
  <si>
    <t>India</t>
  </si>
  <si>
    <t>Asia: Asian Cup</t>
  </si>
  <si>
    <t>Australia</t>
  </si>
  <si>
    <t>Jordan</t>
  </si>
  <si>
    <t>Crystal Palace</t>
  </si>
  <si>
    <t>Grimsby</t>
  </si>
  <si>
    <t>Newcastle</t>
  </si>
  <si>
    <t>Blackburn</t>
  </si>
  <si>
    <t>Blackpool</t>
  </si>
  <si>
    <t>Arsenal</t>
  </si>
  <si>
    <t>Den Bosch</t>
  </si>
  <si>
    <t>Cambuur</t>
  </si>
  <si>
    <t>Netherlands: Eerste Divisie</t>
  </si>
  <si>
    <t>Almere City</t>
  </si>
  <si>
    <t>Dordrecht</t>
  </si>
  <si>
    <t>G.A. Eagles</t>
  </si>
  <si>
    <t>Oss</t>
  </si>
  <si>
    <t>Eindhoven FC</t>
  </si>
  <si>
    <t>Helmond</t>
  </si>
  <si>
    <t>TSV Havelse</t>
  </si>
  <si>
    <t>BSV Rehden</t>
  </si>
  <si>
    <t>Germany: Regionalliga North</t>
  </si>
  <si>
    <t>Bayern II</t>
  </si>
  <si>
    <t>Pipinsried</t>
  </si>
  <si>
    <t>Germany: Regionalliga Bayern</t>
  </si>
  <si>
    <t>Nordhausen</t>
  </si>
  <si>
    <t>Altglienicke</t>
  </si>
  <si>
    <t>Germany: Regionalliga Nordost</t>
  </si>
  <si>
    <t>Hertha Berlin II</t>
  </si>
  <si>
    <t>Rathenow</t>
  </si>
  <si>
    <t>Lokomotiv Moscow</t>
  </si>
  <si>
    <t>Ural</t>
  </si>
  <si>
    <t>Russia: Premier League</t>
  </si>
  <si>
    <t>Piast Gliwice</t>
  </si>
  <si>
    <t>Zaglebie Sosnowiec</t>
  </si>
  <si>
    <t>Poland: Ekstraklasa</t>
  </si>
  <si>
    <t>Luceafarul Oradea</t>
  </si>
  <si>
    <t>Chindia Targoviste</t>
  </si>
  <si>
    <t>Romania: Liga 2</t>
  </si>
  <si>
    <t>Central Cordoba</t>
  </si>
  <si>
    <t>Los Andes</t>
  </si>
  <si>
    <t>Argentina: Primera B Nacional</t>
  </si>
  <si>
    <t>Granada CF</t>
  </si>
  <si>
    <t>Gijon</t>
  </si>
  <si>
    <t>Spain: Laliga2</t>
  </si>
  <si>
    <t>Lyon</t>
  </si>
  <si>
    <t>St Etienne</t>
  </si>
  <si>
    <t>France: Ligue 1</t>
  </si>
  <si>
    <t>KSV Roeselare</t>
  </si>
  <si>
    <t>KV Mechelen</t>
  </si>
  <si>
    <t>Belgium: Proximus League</t>
  </si>
  <si>
    <t>Club Brugge KV</t>
  </si>
  <si>
    <t>Waregem</t>
  </si>
  <si>
    <t>Belgium: Jupiler League</t>
  </si>
  <si>
    <t>Chelsea U23</t>
  </si>
  <si>
    <t>Tottenham U23</t>
  </si>
  <si>
    <t>England: Premier League 2</t>
  </si>
  <si>
    <t>FC Volendam</t>
  </si>
  <si>
    <t>Jong Utrecht</t>
  </si>
  <si>
    <t>Jong Ajax</t>
  </si>
  <si>
    <t>Maastricht</t>
  </si>
  <si>
    <t>Sparta Rotterdam</t>
  </si>
  <si>
    <t>Jong PSV</t>
  </si>
  <si>
    <t>Kursk</t>
  </si>
  <si>
    <t>Zenit Petersburg 2</t>
  </si>
  <si>
    <t>Russia: Fnl</t>
  </si>
  <si>
    <t>Eibar</t>
  </si>
  <si>
    <t>Real Madrid</t>
  </si>
  <si>
    <t>Spain: Laliga</t>
  </si>
  <si>
    <t>Krupa</t>
  </si>
  <si>
    <t>Zeljeznicar</t>
  </si>
  <si>
    <t>Bosnia And Herzegovina: Premier League</t>
  </si>
  <si>
    <t>Iskra</t>
  </si>
  <si>
    <t>Lovcen</t>
  </si>
  <si>
    <t>Montenegro: Prva Crnogorska Liga</t>
  </si>
  <si>
    <t>OFK Titograd</t>
  </si>
  <si>
    <t>Mornar Bar</t>
  </si>
  <si>
    <t>Chennai City</t>
  </si>
  <si>
    <t>NEROCA</t>
  </si>
  <si>
    <t>India: I-League</t>
  </si>
  <si>
    <t>F. Constanta</t>
  </si>
  <si>
    <t>Braila</t>
  </si>
  <si>
    <t>Dynamo Moscow</t>
  </si>
  <si>
    <t>Yenisey</t>
  </si>
  <si>
    <t>Oleksandriya U21</t>
  </si>
  <si>
    <t>Dynamo Kiev U21</t>
  </si>
  <si>
    <t>Ukraine: Youth League</t>
  </si>
  <si>
    <t>Alashkert</t>
  </si>
  <si>
    <t>Banants Yerevan</t>
  </si>
  <si>
    <t>Armenia: Premier League</t>
  </si>
  <si>
    <t>Eichstatt</t>
  </si>
  <si>
    <t>Illertissen</t>
  </si>
  <si>
    <t>Schweinfurt</t>
  </si>
  <si>
    <t>Garching</t>
  </si>
  <si>
    <t>FSV Frankfurt</t>
  </si>
  <si>
    <t>Saarbrucken</t>
  </si>
  <si>
    <t>Germany: Regionalliga Sudwest</t>
  </si>
  <si>
    <t>Freiburg II</t>
  </si>
  <si>
    <t>Stuttgart II</t>
  </si>
  <si>
    <t>VfL Osnabruck</t>
  </si>
  <si>
    <t>Energie Cottbus</t>
  </si>
  <si>
    <t>Germany: 3. Liga</t>
  </si>
  <si>
    <t>Ittihad Kalba</t>
  </si>
  <si>
    <t>Al Ain</t>
  </si>
  <si>
    <t>United Arab Emirates: Uae League</t>
  </si>
  <si>
    <t>Malaysia</t>
  </si>
  <si>
    <t>Myanmar</t>
  </si>
  <si>
    <t>Asia: Aff Suzuki Cup</t>
  </si>
  <si>
    <t>Vietnam</t>
  </si>
  <si>
    <t>Cambodia</t>
  </si>
  <si>
    <t>Oberlausitz</t>
  </si>
  <si>
    <t>Lokomotive Leipzig</t>
  </si>
  <si>
    <t>Hamilton</t>
  </si>
  <si>
    <t>Celtic</t>
  </si>
  <si>
    <t>Scotland: Premiership</t>
  </si>
  <si>
    <t>Beith</t>
  </si>
  <si>
    <t>Ayr</t>
  </si>
  <si>
    <t>Scotland: Fa Cup</t>
  </si>
  <si>
    <t>Wattens</t>
  </si>
  <si>
    <t>Horn</t>
  </si>
  <si>
    <t>Austria: 2. Liga</t>
  </si>
  <si>
    <t>Viktoria Griesheim</t>
  </si>
  <si>
    <t>Alzenau</t>
  </si>
  <si>
    <t>Germany: Oberliga Hessen</t>
  </si>
  <si>
    <t>Schott Mainz</t>
  </si>
  <si>
    <t>Jagersburg</t>
  </si>
  <si>
    <t>Germany: Oberliga Rheinland-Pfalz/Saar</t>
  </si>
  <si>
    <t>Etoile Sahel</t>
  </si>
  <si>
    <t>Bizertin</t>
  </si>
  <si>
    <t>Tunisia: Ligue Professionnelle 1</t>
  </si>
  <si>
    <t>Eskisehirspor</t>
  </si>
  <si>
    <t>Umraniyespor</t>
  </si>
  <si>
    <t>Turkey: 1. Lig</t>
  </si>
  <si>
    <t>Ilirija</t>
  </si>
  <si>
    <t>Tabor Sezana</t>
  </si>
  <si>
    <t>Slovenia: 2. Snl</t>
  </si>
  <si>
    <t>Mosta</t>
  </si>
  <si>
    <t>Birkirkara</t>
  </si>
  <si>
    <t>Malta: Premier League</t>
  </si>
  <si>
    <t>Dob</t>
  </si>
  <si>
    <t>Brda</t>
  </si>
  <si>
    <t>Karvina</t>
  </si>
  <si>
    <t>Slavia Prague</t>
  </si>
  <si>
    <t>Czech Republic: 1. Liga</t>
  </si>
  <si>
    <t>Berwick</t>
  </si>
  <si>
    <t>East Fife</t>
  </si>
  <si>
    <t>St. Mirren</t>
  </si>
  <si>
    <t>Hearts</t>
  </si>
  <si>
    <t>Queen's Park</t>
  </si>
  <si>
    <t>Raith</t>
  </si>
  <si>
    <t>Montrose</t>
  </si>
  <si>
    <t>Annan</t>
  </si>
  <si>
    <t>Stirling University</t>
  </si>
  <si>
    <t>Elgin City</t>
  </si>
  <si>
    <t>Stenhousemuir</t>
  </si>
  <si>
    <t>Falkirk</t>
  </si>
  <si>
    <t>Morton</t>
  </si>
  <si>
    <t>Peterhead</t>
  </si>
  <si>
    <t>Al-Faisaly</t>
  </si>
  <si>
    <t>Al-Hilal</t>
  </si>
  <si>
    <t>Saudi Arabia: Saudi Professional League</t>
  </si>
  <si>
    <t>Korona Kielce</t>
  </si>
  <si>
    <t>Gornik Z.</t>
  </si>
  <si>
    <t>Hadamar</t>
  </si>
  <si>
    <t>Baunatal</t>
  </si>
  <si>
    <t>Grantham</t>
  </si>
  <si>
    <t>North Ferriby</t>
  </si>
  <si>
    <t>England: Npl Premier Division</t>
  </si>
  <si>
    <t>West Ham</t>
  </si>
  <si>
    <t>England: Premier League</t>
  </si>
  <si>
    <t>Hibernian</t>
  </si>
  <si>
    <t>Dundee FC</t>
  </si>
  <si>
    <t>Cowdenbeath</t>
  </si>
  <si>
    <t>Brora Rangers</t>
  </si>
  <si>
    <t>Liverpool</t>
  </si>
  <si>
    <t>Tonbridge</t>
  </si>
  <si>
    <t>Leatherhead</t>
  </si>
  <si>
    <t>England: Isthmian League Premier Division</t>
  </si>
  <si>
    <t>Forfar Athletic</t>
  </si>
  <si>
    <t>BSC Glasgow</t>
  </si>
  <si>
    <t>Nantwich</t>
  </si>
  <si>
    <t>Marine</t>
  </si>
  <si>
    <t>Sutton</t>
  </si>
  <si>
    <t>Maidenhead</t>
  </si>
  <si>
    <t>England: National League</t>
  </si>
  <si>
    <t>Millwall</t>
  </si>
  <si>
    <t>Bolton</t>
  </si>
  <si>
    <t>England: Championship</t>
  </si>
  <si>
    <t>Asteras Tripolis</t>
  </si>
  <si>
    <t>AEL Larissa</t>
  </si>
  <si>
    <t>Greece: Super League</t>
  </si>
  <si>
    <t>Manchester Utd</t>
  </si>
  <si>
    <t>Everton</t>
  </si>
  <si>
    <t>Cardiff</t>
  </si>
  <si>
    <t>Northampton</t>
  </si>
  <si>
    <t>England: League Two</t>
  </si>
  <si>
    <t>Rangers</t>
  </si>
  <si>
    <t>Livingston</t>
  </si>
  <si>
    <t>Alloa</t>
  </si>
  <si>
    <t>Brechin</t>
  </si>
  <si>
    <t>East Kilbride</t>
  </si>
  <si>
    <t>Gala Fairydean</t>
  </si>
  <si>
    <t>Arbroath</t>
  </si>
  <si>
    <t>Stranraer</t>
  </si>
  <si>
    <t>Harrogate</t>
  </si>
  <si>
    <t>Braintree</t>
  </si>
  <si>
    <t>Qarabag</t>
  </si>
  <si>
    <t>Sabah Baku</t>
  </si>
  <si>
    <t>Azerbaijan: Premier League</t>
  </si>
  <si>
    <t>Apollon</t>
  </si>
  <si>
    <t>Alki Oroklini</t>
  </si>
  <si>
    <t>Cyprus: First Division</t>
  </si>
  <si>
    <t>Lillestrom</t>
  </si>
  <si>
    <t>Kristiansund</t>
  </si>
  <si>
    <t>Norway: Eliteserien</t>
  </si>
  <si>
    <t>Concordia</t>
  </si>
  <si>
    <t>CFR Cluj</t>
  </si>
  <si>
    <t>Romania: Liga 1</t>
  </si>
  <si>
    <t>Bohemians 1905</t>
  </si>
  <si>
    <t>Pribram</t>
  </si>
  <si>
    <t>Hartberg</t>
  </si>
  <si>
    <t>Salzburg</t>
  </si>
  <si>
    <t>Austria: Tipico Bundesliga</t>
  </si>
  <si>
    <t>Ostrava</t>
  </si>
  <si>
    <t>Slovacko</t>
  </si>
  <si>
    <t>Zlin</t>
  </si>
  <si>
    <t>Opava</t>
  </si>
  <si>
    <t>Paris SG</t>
  </si>
  <si>
    <t>Toulouse</t>
  </si>
  <si>
    <t>Maribor</t>
  </si>
  <si>
    <t>Krsko</t>
  </si>
  <si>
    <t>Slovenia: Prva Liga</t>
  </si>
  <si>
    <t>Valletta</t>
  </si>
  <si>
    <t>St. Andrews</t>
  </si>
  <si>
    <t>Young Boys</t>
  </si>
  <si>
    <t>Lugano</t>
  </si>
  <si>
    <t>Switzerland: Super League</t>
  </si>
  <si>
    <t>PAOK</t>
  </si>
  <si>
    <t>Xanthi FC</t>
  </si>
  <si>
    <t>Breda</t>
  </si>
  <si>
    <t>Ajax</t>
  </si>
  <si>
    <t>Netherlands: Eredivisie</t>
  </si>
  <si>
    <t>St. Liege</t>
  </si>
  <si>
    <t>Eupen</t>
  </si>
  <si>
    <t>Rosenborg</t>
  </si>
  <si>
    <t>Bodo/Glimt</t>
  </si>
  <si>
    <t>Panetolikos</t>
  </si>
  <si>
    <t>AEK Athens FC</t>
  </si>
  <si>
    <t>Valerenga</t>
  </si>
  <si>
    <t>Ranheim</t>
  </si>
  <si>
    <t>Sandefjord</t>
  </si>
  <si>
    <t>Molde</t>
  </si>
  <si>
    <t>Juventus</t>
  </si>
  <si>
    <t>Spal</t>
  </si>
  <si>
    <t>Italy: Serie A</t>
  </si>
  <si>
    <t>Brann</t>
  </si>
  <si>
    <t>Odd</t>
  </si>
  <si>
    <t>PSV</t>
  </si>
  <si>
    <t>Heerenveen</t>
  </si>
  <si>
    <t>Genk</t>
  </si>
  <si>
    <t>Cercle Brugge KSV</t>
  </si>
  <si>
    <t>Inter</t>
  </si>
  <si>
    <t>Frosinone</t>
  </si>
  <si>
    <t>Casertana</t>
  </si>
  <si>
    <t>Paganese</t>
  </si>
  <si>
    <t>Italy: Serie C - Group C</t>
  </si>
  <si>
    <t>Goias</t>
  </si>
  <si>
    <t>Brasil de Pelotas</t>
  </si>
  <si>
    <t>Brazil: Serie B</t>
  </si>
  <si>
    <t>Criciuma</t>
  </si>
  <si>
    <t>Sampaio Correa</t>
  </si>
  <si>
    <t>Paysandu PA</t>
  </si>
  <si>
    <t>Atletico GO</t>
  </si>
  <si>
    <t>Boa</t>
  </si>
  <si>
    <t>Oeste</t>
  </si>
  <si>
    <t>Juventude</t>
  </si>
  <si>
    <t>CSA</t>
  </si>
  <si>
    <t>Servette</t>
  </si>
  <si>
    <t>Vaduz</t>
  </si>
  <si>
    <t>Switzerland: Challenge League</t>
  </si>
  <si>
    <t>Spartak Moscow</t>
  </si>
  <si>
    <t>FK Krylya Sovetov Samara</t>
  </si>
  <si>
    <t>Melilla</t>
  </si>
  <si>
    <t>Sevilla FC B</t>
  </si>
  <si>
    <t>Spain: Segunda Division B - Group 4</t>
  </si>
  <si>
    <t>Krasnodar U21</t>
  </si>
  <si>
    <t>Arsenal Tula U21</t>
  </si>
  <si>
    <t>Russia: Youth League</t>
  </si>
  <si>
    <t>Perth Glory</t>
  </si>
  <si>
    <t>Central Coast Mariners</t>
  </si>
  <si>
    <t>Australia: A-League</t>
  </si>
  <si>
    <t>Monterrey</t>
  </si>
  <si>
    <t>Atlas</t>
  </si>
  <si>
    <t>Mexico: Primera Division - Apertura</t>
  </si>
  <si>
    <t>Club America</t>
  </si>
  <si>
    <t>Veracruz</t>
  </si>
  <si>
    <t>Pachuca</t>
  </si>
  <si>
    <t>Club Leon</t>
  </si>
  <si>
    <t>Canterbury</t>
  </si>
  <si>
    <t>New Zealand: Football Championship</t>
  </si>
  <si>
    <t>FC Porto</t>
  </si>
  <si>
    <t>Belenenses</t>
  </si>
  <si>
    <t>Portugal: Taça De Portugal</t>
  </si>
  <si>
    <t>Catania</t>
  </si>
  <si>
    <t>Reggina 1914</t>
  </si>
  <si>
    <t>Panachaiki</t>
  </si>
  <si>
    <t>Karaiskakis</t>
  </si>
  <si>
    <t>Greece: Football League</t>
  </si>
  <si>
    <t>Aiginiakos</t>
  </si>
  <si>
    <t>Dramas</t>
  </si>
  <si>
    <t>Thisted FC</t>
  </si>
  <si>
    <t>Silkeborg</t>
  </si>
  <si>
    <t>Denmark: 1st Division</t>
  </si>
  <si>
    <t>Triglav</t>
  </si>
  <si>
    <t>Domzale</t>
  </si>
  <si>
    <t>Siroki Brijeg</t>
  </si>
  <si>
    <t>GOSK Gabela</t>
  </si>
  <si>
    <t>Renova</t>
  </si>
  <si>
    <t>Akademija Pandev</t>
  </si>
  <si>
    <t>Fyr Of Macedonia: First League</t>
  </si>
  <si>
    <t>Pogon Szczecin</t>
  </si>
  <si>
    <t>Legnica</t>
  </si>
  <si>
    <t>Singapore</t>
  </si>
  <si>
    <t>Mohun Bagan</t>
  </si>
  <si>
    <t>Churchill Brothers</t>
  </si>
  <si>
    <t>Pyunik Yerevan</t>
  </si>
  <si>
    <t>Ararat Yerevan</t>
  </si>
  <si>
    <t>Anadia</t>
  </si>
  <si>
    <t>FK Sarajevo</t>
  </si>
  <si>
    <t>Zvijezda 09</t>
  </si>
  <si>
    <t>Napoli</t>
  </si>
  <si>
    <t>Chievo</t>
  </si>
  <si>
    <t>Empoli</t>
  </si>
  <si>
    <t>Atalanta</t>
  </si>
  <si>
    <t>Hajduk Split</t>
  </si>
  <si>
    <t>Slaven Belupo</t>
  </si>
  <si>
    <t>Croatia: 1. Hnl</t>
  </si>
  <si>
    <t>Krasnodar</t>
  </si>
  <si>
    <t>Arsenal Tula</t>
  </si>
  <si>
    <t>Utrecht</t>
  </si>
  <si>
    <t>Graafschap</t>
  </si>
  <si>
    <t>Feyenoord</t>
  </si>
  <si>
    <t>Groningen</t>
  </si>
  <si>
    <t>Sabail</t>
  </si>
  <si>
    <t>Neftci Baku</t>
  </si>
  <si>
    <t>Beroe</t>
  </si>
  <si>
    <t>Vereya</t>
  </si>
  <si>
    <t>Bulgaria: Parva Liga</t>
  </si>
  <si>
    <t>Pro Vercelli</t>
  </si>
  <si>
    <t>Juventus U23</t>
  </si>
  <si>
    <t>Italy: Serie C - Group A</t>
  </si>
  <si>
    <t>Levski Sofia</t>
  </si>
  <si>
    <t>Botev Vratsa</t>
  </si>
  <si>
    <t>Sevilla</t>
  </si>
  <si>
    <t>Valladolid</t>
  </si>
  <si>
    <t>SC Espinho</t>
  </si>
  <si>
    <t>Boavista</t>
  </si>
  <si>
    <t>U. Madeira</t>
  </si>
  <si>
    <t>Guimaraes</t>
  </si>
  <si>
    <t>Rio Ave</t>
  </si>
  <si>
    <t>Silves FC</t>
  </si>
  <si>
    <t>Tondela</t>
  </si>
  <si>
    <t>Vale Formoso</t>
  </si>
  <si>
    <t>Edinburgh City</t>
  </si>
  <si>
    <t>Inverness</t>
  </si>
  <si>
    <t>Ferreira</t>
  </si>
  <si>
    <t>Casa Pia</t>
  </si>
  <si>
    <t>Qormi</t>
  </si>
  <si>
    <t>Hibernians</t>
  </si>
  <si>
    <t>Raja Casablanca</t>
  </si>
  <si>
    <t>AS Vita Club</t>
  </si>
  <si>
    <t>Africa: Caf Confederations Cup - Play Offs</t>
  </si>
  <si>
    <t>Real Madrid B</t>
  </si>
  <si>
    <t>Guijuelo</t>
  </si>
  <si>
    <t>Spain: Segunda Division B - Group 1</t>
  </si>
  <si>
    <t>Espanyol</t>
  </si>
  <si>
    <t>Girona</t>
  </si>
  <si>
    <t>Oleksandriya</t>
  </si>
  <si>
    <t>Dyn. Kyiv</t>
  </si>
  <si>
    <t>Ukraine: Premier League</t>
  </si>
  <si>
    <t>R. Oviedo</t>
  </si>
  <si>
    <t>Reus Deportiu</t>
  </si>
  <si>
    <t>Mirandes</t>
  </si>
  <si>
    <t>Gernika</t>
  </si>
  <si>
    <t>Spain: Segunda Division B - Group 2</t>
  </si>
  <si>
    <t>Sparta Prague</t>
  </si>
  <si>
    <t>Jablonec</t>
  </si>
  <si>
    <t>Wolves</t>
  </si>
  <si>
    <t>Huddersfield</t>
  </si>
  <si>
    <t>Leonesa</t>
  </si>
  <si>
    <t>Burgos</t>
  </si>
  <si>
    <t>Al Wasl</t>
  </si>
  <si>
    <t>Ajman</t>
  </si>
  <si>
    <t>Bengaluru</t>
  </si>
  <si>
    <t>Delhi Dynamos</t>
  </si>
  <si>
    <t>India: Isl</t>
  </si>
  <si>
    <t>Jablonec U21</t>
  </si>
  <si>
    <t>Hradec Kralove U21</t>
  </si>
  <si>
    <t>Czech Republic: Youth League</t>
  </si>
  <si>
    <t>Pribram U21</t>
  </si>
  <si>
    <t>Ceske Budejovice U21</t>
  </si>
  <si>
    <t>Racing Club</t>
  </si>
  <si>
    <t>Banfield</t>
  </si>
  <si>
    <t>Argentina: Superliga</t>
  </si>
  <si>
    <t>Deportes Tolima</t>
  </si>
  <si>
    <t>Ind. Medellin</t>
  </si>
  <si>
    <t>Colombia: Liga Aguila - Clausura - Play Offs</t>
  </si>
  <si>
    <t>Junior</t>
  </si>
  <si>
    <t>Aguilas</t>
  </si>
  <si>
    <t>Exeter</t>
  </si>
  <si>
    <t>Macclesfield</t>
  </si>
  <si>
    <t>MK Dons</t>
  </si>
  <si>
    <t>Morecambe</t>
  </si>
  <si>
    <t>Bury</t>
  </si>
  <si>
    <t>Cheltenham</t>
  </si>
  <si>
    <t>Leeds</t>
  </si>
  <si>
    <t>Reading</t>
  </si>
  <si>
    <t>Portsmouth</t>
  </si>
  <si>
    <t>Walsall</t>
  </si>
  <si>
    <t>England: League One</t>
  </si>
  <si>
    <t>Al Ahly</t>
  </si>
  <si>
    <t>Arab Contractors</t>
  </si>
  <si>
    <t>Egypt: Premier League</t>
  </si>
  <si>
    <t>Juventus U19</t>
  </si>
  <si>
    <t>Valencia U19</t>
  </si>
  <si>
    <t>Europe: Uefa Youth League - Group Stage</t>
  </si>
  <si>
    <t>Defensa y Justicia</t>
  </si>
  <si>
    <t>Tigre</t>
  </si>
  <si>
    <t>Central Ballester</t>
  </si>
  <si>
    <t>Yupanqui</t>
  </si>
  <si>
    <t>Argentina: Primera D Metropolitana</t>
  </si>
  <si>
    <t>Jong AZ</t>
  </si>
  <si>
    <t>Twente</t>
  </si>
  <si>
    <t>Atl. Madrid U19</t>
  </si>
  <si>
    <t>Monaco U19</t>
  </si>
  <si>
    <t>Vardar</t>
  </si>
  <si>
    <t>Pobeda</t>
  </si>
  <si>
    <t>Shkupi</t>
  </si>
  <si>
    <t>Europe: Champions League - Group Stage</t>
  </si>
  <si>
    <t>Bayern Munich</t>
  </si>
  <si>
    <t>Benfica</t>
  </si>
  <si>
    <t>Hoffenheim</t>
  </si>
  <si>
    <t>Shakhtar Donetsk</t>
  </si>
  <si>
    <t>Valencia</t>
  </si>
  <si>
    <t>Mansfield</t>
  </si>
  <si>
    <t>Crawley</t>
  </si>
  <si>
    <t>Leyton Orient</t>
  </si>
  <si>
    <t>Aldershot</t>
  </si>
  <si>
    <t>Dortmund</t>
  </si>
  <si>
    <t>Barcelona</t>
  </si>
  <si>
    <t>Ath Bilbao</t>
  </si>
  <si>
    <t>Huesca</t>
  </si>
  <si>
    <t>Spain: Copa Del Rey</t>
  </si>
  <si>
    <t>Catanzaro</t>
  </si>
  <si>
    <t>Atl. Madrid</t>
  </si>
  <si>
    <t>Monaco</t>
  </si>
  <si>
    <t>Nogoom FC</t>
  </si>
  <si>
    <t>Pyramids</t>
  </si>
  <si>
    <t>Dortmund U19</t>
  </si>
  <si>
    <t>Club Brugge U19</t>
  </si>
  <si>
    <t>FC Porto U19</t>
  </si>
  <si>
    <t>Schalke U19</t>
  </si>
  <si>
    <t>Napoli U19</t>
  </si>
  <si>
    <t>Crvena zvezda U19</t>
  </si>
  <si>
    <t>Sfaxien</t>
  </si>
  <si>
    <t>Hammam-Lif</t>
  </si>
  <si>
    <t>Akhisar Genclik Spor</t>
  </si>
  <si>
    <t>Europe: Europa League - Group Stage</t>
  </si>
  <si>
    <t>Betis</t>
  </si>
  <si>
    <t>Olympiakos Piraeus</t>
  </si>
  <si>
    <t>Anderlecht</t>
  </si>
  <si>
    <t>Trnava</t>
  </si>
  <si>
    <t>AC Milan</t>
  </si>
  <si>
    <t>Dudelange</t>
  </si>
  <si>
    <t>Bayer Leverkusen</t>
  </si>
  <si>
    <t>Ludogorets</t>
  </si>
  <si>
    <t>FUS Rabat</t>
  </si>
  <si>
    <t>Hoceima</t>
  </si>
  <si>
    <t>Morocco: Botola Pro</t>
  </si>
  <si>
    <t>Rapid Vienna</t>
  </si>
  <si>
    <t>Dibba Al Fujairah</t>
  </si>
  <si>
    <t>FK Crvena zvezda</t>
  </si>
  <si>
    <t>Tottenham</t>
  </si>
  <si>
    <t>Pune City</t>
  </si>
  <si>
    <t>Zrinjski</t>
  </si>
  <si>
    <t>Al Jazira</t>
  </si>
  <si>
    <t>Emirates Club</t>
  </si>
  <si>
    <t>Chelsea</t>
  </si>
  <si>
    <t>Eintracht Frankfurt</t>
  </si>
  <si>
    <t>Marseille</t>
  </si>
  <si>
    <t>Lazio</t>
  </si>
  <si>
    <t>Real Pilar</t>
  </si>
  <si>
    <t>Vorskla Poltava</t>
  </si>
  <si>
    <t>Beerschot Wilrijk</t>
  </si>
  <si>
    <t>Lokeren</t>
  </si>
  <si>
    <t>Gent</t>
  </si>
  <si>
    <t>Dunkerque</t>
  </si>
  <si>
    <t>Sannois</t>
  </si>
  <si>
    <t>France: National</t>
  </si>
  <si>
    <t>Excelsior</t>
  </si>
  <si>
    <t>Voluntari</t>
  </si>
  <si>
    <t>Mannheim</t>
  </si>
  <si>
    <t>Hoffenheim II</t>
  </si>
  <si>
    <t>Konyaspor</t>
  </si>
  <si>
    <t>Alanyaspor</t>
  </si>
  <si>
    <t>Turkey: Super Lig</t>
  </si>
  <si>
    <t>Cherno More</t>
  </si>
  <si>
    <t>Etar</t>
  </si>
  <si>
    <t>Al Ahli SC</t>
  </si>
  <si>
    <t>Al Feiha</t>
  </si>
  <si>
    <t>Celta Vigo</t>
  </si>
  <si>
    <t>Ural U21</t>
  </si>
  <si>
    <t>Lok. Plovdiv</t>
  </si>
  <si>
    <t>Shakhtar Donetsk U21</t>
  </si>
  <si>
    <t>Olimpik Donetsk U21</t>
  </si>
  <si>
    <t>Ripensia Timisoara</t>
  </si>
  <si>
    <t>Sydney FC</t>
  </si>
  <si>
    <t>Incheon</t>
  </si>
  <si>
    <t>Jeonnam</t>
  </si>
  <si>
    <t>South Korea: K League 1 - Relegation Group</t>
  </si>
  <si>
    <t>Team Wellington</t>
  </si>
  <si>
    <t>Waitakere United</t>
  </si>
  <si>
    <t>Eastern Suburbs</t>
  </si>
  <si>
    <t>Newells Old Boys</t>
  </si>
  <si>
    <t>Patronato</t>
  </si>
  <si>
    <t>Plock</t>
  </si>
  <si>
    <t>Mlada Boleslav</t>
  </si>
  <si>
    <t>Wehen</t>
  </si>
  <si>
    <t>Lotte</t>
  </si>
  <si>
    <t>Genclerbirligi</t>
  </si>
  <si>
    <t>Kardemir Karabuk</t>
  </si>
  <si>
    <t>Basaksehir</t>
  </si>
  <si>
    <t>Sivasspor</t>
  </si>
  <si>
    <t>Rodinghausen</t>
  </si>
  <si>
    <t>Lippstadt</t>
  </si>
  <si>
    <t>Germany: Regionalliga West</t>
  </si>
  <si>
    <t>Viktoria Berlin</t>
  </si>
  <si>
    <t>Bautzen</t>
  </si>
  <si>
    <t>FC Halifax</t>
  </si>
  <si>
    <t>AFC Wimbledon</t>
  </si>
  <si>
    <t>Scotland: Championship</t>
  </si>
  <si>
    <t>Accrington</t>
  </si>
  <si>
    <t>Celik Zenica</t>
  </si>
  <si>
    <t>Nea Salamis</t>
  </si>
  <si>
    <t>Dunfermline</t>
  </si>
  <si>
    <t>Scotland: League One</t>
  </si>
  <si>
    <t>Ross County</t>
  </si>
  <si>
    <t>Scotland: League Two</t>
  </si>
  <si>
    <t>Clyde</t>
  </si>
  <si>
    <t>Dunav Ruse</t>
  </si>
  <si>
    <t>Dorking</t>
  </si>
  <si>
    <t>Norwich</t>
  </si>
  <si>
    <t>Nottingham</t>
  </si>
  <si>
    <t>Ipswich</t>
  </si>
  <si>
    <t>Billericay</t>
  </si>
  <si>
    <t>Oxford City</t>
  </si>
  <si>
    <t>England: National League South</t>
  </si>
  <si>
    <t>Welling</t>
  </si>
  <si>
    <t>Hungerford</t>
  </si>
  <si>
    <t>Bournemouth</t>
  </si>
  <si>
    <t>Lincoln</t>
  </si>
  <si>
    <t>Carlisle</t>
  </si>
  <si>
    <t>Burnley</t>
  </si>
  <si>
    <t>Maidstone</t>
  </si>
  <si>
    <t>Maccabi Petah Tikva</t>
  </si>
  <si>
    <t>Maccabi Tel Aviv</t>
  </si>
  <si>
    <t>Israel: Ligat Ha'Al</t>
  </si>
  <si>
    <t>AZ Alkmaar</t>
  </si>
  <si>
    <t>Willem II</t>
  </si>
  <si>
    <t>Feirense</t>
  </si>
  <si>
    <t>Portugal: Primeira Liga</t>
  </si>
  <si>
    <t>Vitesse</t>
  </si>
  <si>
    <t>FC Emmen</t>
  </si>
  <si>
    <t>Charleroi</t>
  </si>
  <si>
    <t>Fiorentina</t>
  </si>
  <si>
    <t>Petrojet</t>
  </si>
  <si>
    <t>H. Beer Sheva</t>
  </si>
  <si>
    <t>Hapoel Hadera</t>
  </si>
  <si>
    <t>Villarreal B</t>
  </si>
  <si>
    <t>Teruel</t>
  </si>
  <si>
    <t>Spain: Segunda Division B - Group 3</t>
  </si>
  <si>
    <t>Leioa</t>
  </si>
  <si>
    <t>Izarra</t>
  </si>
  <si>
    <t>Penafiel</t>
  </si>
  <si>
    <t>Ch. Odessa U21</t>
  </si>
  <si>
    <t>Jeonbuk</t>
  </si>
  <si>
    <t>Gyeongnam</t>
  </si>
  <si>
    <t>South Korea: K League 1 - Championship Group</t>
  </si>
  <si>
    <t>Auckland City</t>
  </si>
  <si>
    <t>Cruz Azul</t>
  </si>
  <si>
    <t>Queretaro</t>
  </si>
  <si>
    <t>Mexico: Primera Division - Apertura - Play Offs</t>
  </si>
  <si>
    <t>Braga</t>
  </si>
  <si>
    <t>Moreirense</t>
  </si>
  <si>
    <t>Antwerp</t>
  </si>
  <si>
    <t>St. Truiden</t>
  </si>
  <si>
    <t>Swindon</t>
  </si>
  <si>
    <t>SV Werder Bremen II</t>
  </si>
  <si>
    <t>Kickers Offenbach</t>
  </si>
  <si>
    <t>Walldorf</t>
  </si>
  <si>
    <t>Al-Gharafa</t>
  </si>
  <si>
    <t>Al-Sadd</t>
  </si>
  <si>
    <t>Qatar: Premier League</t>
  </si>
  <si>
    <t>Gabala</t>
  </si>
  <si>
    <t>Zira</t>
  </si>
  <si>
    <t>Kerkyra</t>
  </si>
  <si>
    <t>Chania Kissamikos</t>
  </si>
  <si>
    <t>Bistritsa</t>
  </si>
  <si>
    <t>Parma</t>
  </si>
  <si>
    <t>Den Haag</t>
  </si>
  <si>
    <t>Olimpik Donetsk</t>
  </si>
  <si>
    <t>Zurich</t>
  </si>
  <si>
    <t>Grasshoppers</t>
  </si>
  <si>
    <t>Osasuna</t>
  </si>
  <si>
    <t>Lugo</t>
  </si>
  <si>
    <t>Slavia Sofia</t>
  </si>
  <si>
    <t>CSKA Sofia</t>
  </si>
  <si>
    <t>Chiasso</t>
  </si>
  <si>
    <t>Tranmere</t>
  </si>
  <si>
    <t>Southport</t>
  </si>
  <si>
    <t>Slough</t>
  </si>
  <si>
    <t>Gillingham</t>
  </si>
  <si>
    <t>Stockport</t>
  </si>
  <si>
    <t>Schwachhausen</t>
  </si>
  <si>
    <t>Oberneuland</t>
  </si>
  <si>
    <t>Germany: Oberliga Bremen</t>
  </si>
  <si>
    <t>TuRU Dusseldorf</t>
  </si>
  <si>
    <t>Dusseldorf-West</t>
  </si>
  <si>
    <t>Germany: Oberliga Niederrhein</t>
  </si>
  <si>
    <t>Plzen</t>
  </si>
  <si>
    <t>Sigma Olomouc</t>
  </si>
  <si>
    <t>Juve Stabia</t>
  </si>
  <si>
    <t>Bisceglie</t>
  </si>
  <si>
    <t>Pisa</t>
  </si>
  <si>
    <t>Albissola</t>
  </si>
  <si>
    <t>Keshla</t>
  </si>
  <si>
    <t>Sparta Prague U21</t>
  </si>
  <si>
    <t>Plzen U21</t>
  </si>
  <si>
    <t>Bordeaux</t>
  </si>
  <si>
    <t>Waasland-Beveren</t>
  </si>
  <si>
    <t>Villarreal</t>
  </si>
  <si>
    <t>Numancia</t>
  </si>
  <si>
    <t>Gimnastic</t>
  </si>
  <si>
    <t>Guiseley</t>
  </si>
  <si>
    <t>Fleetwood</t>
  </si>
  <si>
    <t>Atletico Atlanta</t>
  </si>
  <si>
    <t>Comunicaciones</t>
  </si>
  <si>
    <t>Argentina: Primera B Metropolitana</t>
  </si>
  <si>
    <t>Beitar Tel Aviv</t>
  </si>
  <si>
    <t>H. Marmorek</t>
  </si>
  <si>
    <t>Israel: Leumit League</t>
  </si>
  <si>
    <t>Lamia</t>
  </si>
  <si>
    <t>Ch. Odessa</t>
  </si>
  <si>
    <t>Bologna</t>
  </si>
  <si>
    <t>Crotone</t>
  </si>
  <si>
    <t>Italy: Coppa Italia</t>
  </si>
  <si>
    <t>Club Africain</t>
  </si>
  <si>
    <t>APR</t>
  </si>
  <si>
    <t>Africa: Caf Champions League - Qualification</t>
  </si>
  <si>
    <t>Zapresic</t>
  </si>
  <si>
    <t>Vinogradar</t>
  </si>
  <si>
    <t>Croatia: Croatian Cup</t>
  </si>
  <si>
    <t>Al Nasr</t>
  </si>
  <si>
    <t>Al Fujairah</t>
  </si>
  <si>
    <t>Kahramanmarasspor</t>
  </si>
  <si>
    <t>Turkey: Turkish Cup</t>
  </si>
  <si>
    <t>Antalyaspor</t>
  </si>
  <si>
    <t>Darica Genclerbirligi</t>
  </si>
  <si>
    <t>Al Dhafra</t>
  </si>
  <si>
    <t>Nazillispor</t>
  </si>
  <si>
    <t>Goztepe</t>
  </si>
  <si>
    <t>Sivas Belediyespor</t>
  </si>
  <si>
    <t>Trabzonspor</t>
  </si>
  <si>
    <t>Velez Sarsfield</t>
  </si>
  <si>
    <t>Rosario Central</t>
  </si>
  <si>
    <t>Argentino de Merlo</t>
  </si>
  <si>
    <t>Deportivo Paraguayo</t>
  </si>
  <si>
    <t>Cadiz CF</t>
  </si>
  <si>
    <t>Sunderland</t>
  </si>
  <si>
    <t>Notts Co</t>
  </si>
  <si>
    <t>England: Efl Trophy - Play Offs</t>
  </si>
  <si>
    <t>Belgium: Belgian Cup</t>
  </si>
  <si>
    <t>Moadon Sport Ashdod</t>
  </si>
  <si>
    <t>Ebro</t>
  </si>
  <si>
    <t>Getafe</t>
  </si>
  <si>
    <t>Cordoba</t>
  </si>
  <si>
    <t>Rizespor</t>
  </si>
  <si>
    <t>Balikesirspor</t>
  </si>
  <si>
    <t>Chloraka</t>
  </si>
  <si>
    <t>Anorthosis</t>
  </si>
  <si>
    <t>Cyprus: Cyprus Cup</t>
  </si>
  <si>
    <t>Omonia</t>
  </si>
  <si>
    <t>Sotiras</t>
  </si>
  <si>
    <t>Boluspor</t>
  </si>
  <si>
    <t>Van Buyuksehir Bld.</t>
  </si>
  <si>
    <t>Siofok</t>
  </si>
  <si>
    <t>Paks</t>
  </si>
  <si>
    <t>Hungary: Hungarian Cup</t>
  </si>
  <si>
    <t>Platinum</t>
  </si>
  <si>
    <t>CNaPS Sport</t>
  </si>
  <si>
    <t>Asia: Aff Suzuki Cup - Play Offs</t>
  </si>
  <si>
    <t>Zeta</t>
  </si>
  <si>
    <t>Shkendija</t>
  </si>
  <si>
    <t>Fyr Of Macedonia: Macedonian Cup</t>
  </si>
  <si>
    <t>Trabzon</t>
  </si>
  <si>
    <t>Keciorengucu</t>
  </si>
  <si>
    <t>Galatasaray</t>
  </si>
  <si>
    <t>Chrobry Glogow</t>
  </si>
  <si>
    <t>Legia</t>
  </si>
  <si>
    <t>Poland: Polish Cup</t>
  </si>
  <si>
    <t>Deinze</t>
  </si>
  <si>
    <t>D. Zagreb</t>
  </si>
  <si>
    <t>Sant Andreu</t>
  </si>
  <si>
    <t>Rennes</t>
  </si>
  <si>
    <t>El Gounah</t>
  </si>
  <si>
    <t>Sassuolo</t>
  </si>
  <si>
    <t>Kaposvar</t>
  </si>
  <si>
    <t>Ujpest</t>
  </si>
  <si>
    <t>Russia: Russian Cup</t>
  </si>
  <si>
    <t>Ol. Nicosia</t>
  </si>
  <si>
    <t>Paphos</t>
  </si>
  <si>
    <t>Aberdeen</t>
  </si>
  <si>
    <t>Motherwell</t>
  </si>
  <si>
    <t>Mandel United</t>
  </si>
  <si>
    <t>Almeria</t>
  </si>
  <si>
    <t>Villanovense</t>
  </si>
  <si>
    <t>Mariupol U21</t>
  </si>
  <si>
    <t>Rozwoj Katowice</t>
  </si>
  <si>
    <t>Levante</t>
  </si>
  <si>
    <t>Bodrumspor</t>
  </si>
  <si>
    <t>Ankaragucu</t>
  </si>
  <si>
    <t>Lokbatan</t>
  </si>
  <si>
    <t>SumQayit</t>
  </si>
  <si>
    <t>Azerbaijan: Azerbaijan Cup</t>
  </si>
  <si>
    <t>Mallorca</t>
  </si>
  <si>
    <t>Southampton</t>
  </si>
  <si>
    <t>Strasbourg</t>
  </si>
  <si>
    <t>Luton</t>
  </si>
  <si>
    <t>Southend</t>
  </si>
  <si>
    <t>Venlo</t>
  </si>
  <si>
    <t>Fenerbahce</t>
  </si>
  <si>
    <t>Giresunspor</t>
  </si>
  <si>
    <t>Zamalek</t>
  </si>
  <si>
    <t>El Masry</t>
  </si>
  <si>
    <t>Genoa</t>
  </si>
  <si>
    <t>Entella</t>
  </si>
  <si>
    <t>Yeni Malatyaspor</t>
  </si>
  <si>
    <t>Etimesgut</t>
  </si>
  <si>
    <t>Al-Shabab</t>
  </si>
  <si>
    <t>Ohod</t>
  </si>
  <si>
    <t>Menemen Bld.</t>
  </si>
  <si>
    <t>Kasimpasa</t>
  </si>
  <si>
    <t>Philippines</t>
  </si>
  <si>
    <t>Al-Duhail</t>
  </si>
  <si>
    <t>Qatar SC</t>
  </si>
  <si>
    <t>M. Nazareth</t>
  </si>
  <si>
    <t>Hapoel Kfar-Saba</t>
  </si>
  <si>
    <t>Karpaty U21</t>
  </si>
  <si>
    <t>CSKA Moscow U21</t>
  </si>
  <si>
    <t>Yenisey U21</t>
  </si>
  <si>
    <t>Zorya U21</t>
  </si>
  <si>
    <t>Arsenal Kiev U21</t>
  </si>
  <si>
    <t>Anzhi U21</t>
  </si>
  <si>
    <t>Spartak Moscow U21</t>
  </si>
  <si>
    <t>WS Wanderers</t>
  </si>
  <si>
    <t>Santander</t>
  </si>
  <si>
    <t>Torino</t>
  </si>
  <si>
    <t>Sudtirol</t>
  </si>
  <si>
    <t>Suwalki</t>
  </si>
  <si>
    <t>Rakow</t>
  </si>
  <si>
    <t>West Ham U23</t>
  </si>
  <si>
    <t>Roda</t>
  </si>
  <si>
    <t>Al-Shahaniya</t>
  </si>
  <si>
    <t>United Arab Emirates: Presidents Cup</t>
  </si>
  <si>
    <t>Mariupol</t>
  </si>
  <si>
    <t>Zenit Petersburg U21</t>
  </si>
  <si>
    <t>Rubin Kazan U21</t>
  </si>
  <si>
    <t>Wellington Phoenix</t>
  </si>
  <si>
    <t>Brisbane U21</t>
  </si>
  <si>
    <t>Perth Glory U21</t>
  </si>
  <si>
    <t>Australia: National Youth League</t>
  </si>
  <si>
    <t>Deportivo Maipu</t>
  </si>
  <si>
    <t>Juventud Unida Universitario</t>
  </si>
  <si>
    <t>Argentina: Torneo Federal A</t>
  </si>
  <si>
    <t>Chaco For Ever</t>
  </si>
  <si>
    <t>Gimnasia y Tiro</t>
  </si>
  <si>
    <t>Portimonense</t>
  </si>
  <si>
    <t>Pescara</t>
  </si>
  <si>
    <t>Carpi</t>
  </si>
  <si>
    <t>Italy: Serie B</t>
  </si>
  <si>
    <t>Alaves</t>
  </si>
  <si>
    <t>Dep. La Coruna</t>
  </si>
  <si>
    <t>FK Zorya Luhansk</t>
  </si>
  <si>
    <t>Arsenal Kiev</t>
  </si>
  <si>
    <t>CSKA Moscow</t>
  </si>
  <si>
    <t>Karpaty</t>
  </si>
  <si>
    <t>Ufa U21</t>
  </si>
  <si>
    <t>Estoril</t>
  </si>
  <si>
    <t>Lviv U21</t>
  </si>
  <si>
    <t>Istanbulspor AS</t>
  </si>
  <si>
    <t>Orenburg</t>
  </si>
  <si>
    <t>Dortmund II</t>
  </si>
  <si>
    <t>Wattenscheid</t>
  </si>
  <si>
    <t>Stadtallendorf</t>
  </si>
  <si>
    <t>Monastir</t>
  </si>
  <si>
    <t>RW Essen</t>
  </si>
  <si>
    <t>Kaan-Marienborn</t>
  </si>
  <si>
    <t>Ulm</t>
  </si>
  <si>
    <t>Pirmasens</t>
  </si>
  <si>
    <t>Darlington</t>
  </si>
  <si>
    <t>Nuneaton</t>
  </si>
  <si>
    <t>England: National League North</t>
  </si>
  <si>
    <t>QPR</t>
  </si>
  <si>
    <t>Warrington</t>
  </si>
  <si>
    <t>Enfield Town</t>
  </si>
  <si>
    <t>Harlow</t>
  </si>
  <si>
    <t>Bath</t>
  </si>
  <si>
    <t>Concord</t>
  </si>
  <si>
    <t>Al-Raed</t>
  </si>
  <si>
    <t>Colchester</t>
  </si>
  <si>
    <t>Brightlingsea</t>
  </si>
  <si>
    <t>Stoke</t>
  </si>
  <si>
    <t>AEK Larnaca</t>
  </si>
  <si>
    <t>MTK Budapest</t>
  </si>
  <si>
    <t>Haladas</t>
  </si>
  <si>
    <t>Hungary: Otp Bank Liga</t>
  </si>
  <si>
    <t>Ferencvaros</t>
  </si>
  <si>
    <t>Mezokovesd-Zsory</t>
  </si>
  <si>
    <t>Hatta</t>
  </si>
  <si>
    <t>Giannina</t>
  </si>
  <si>
    <t>Tarxien</t>
  </si>
  <si>
    <t>Platense</t>
  </si>
  <si>
    <t>Ternana</t>
  </si>
  <si>
    <t>Fermana</t>
  </si>
  <si>
    <t>Italy: Serie C - Group B</t>
  </si>
  <si>
    <t>Sampdoria</t>
  </si>
  <si>
    <t>Dijon</t>
  </si>
  <si>
    <t>Gaz Metan Medias</t>
  </si>
  <si>
    <t>Thun</t>
  </si>
  <si>
    <t>Kortrijk</t>
  </si>
  <si>
    <t>Schaffhausen</t>
  </si>
  <si>
    <t>Kriens</t>
  </si>
  <si>
    <t>Berliner AK 07</t>
  </si>
  <si>
    <t>Furstenwalde</t>
  </si>
  <si>
    <t>Aizawl</t>
  </si>
  <si>
    <t>Heracles</t>
  </si>
  <si>
    <t>Alcorcon</t>
  </si>
  <si>
    <t>Elazigspor</t>
  </si>
  <si>
    <t>Tasman United</t>
  </si>
  <si>
    <t>Agropecuario</t>
  </si>
  <si>
    <t>Guillermo Brown</t>
  </si>
  <si>
    <t>Colon Santa FE</t>
  </si>
  <si>
    <t>Union de Santa Fe</t>
  </si>
  <si>
    <t>Piacenza</t>
  </si>
  <si>
    <t>Arzachena</t>
  </si>
  <si>
    <t>Bursaspor</t>
  </si>
  <si>
    <t>Gzira</t>
  </si>
  <si>
    <t>Gabes</t>
  </si>
  <si>
    <t>Lviv</t>
  </si>
  <si>
    <t>Rayo Majadahonda</t>
  </si>
  <si>
    <t>Doxa</t>
  </si>
  <si>
    <t>Carrarese</t>
  </si>
  <si>
    <t>Pistoiese</t>
  </si>
  <si>
    <t>Novara</t>
  </si>
  <si>
    <t>Lucchese</t>
  </si>
  <si>
    <t>Ufa</t>
  </si>
  <si>
    <t>Real Sociedad</t>
  </si>
  <si>
    <t>Pontedera</t>
  </si>
  <si>
    <t>Pro Piacenza</t>
  </si>
  <si>
    <t>El Gaish</t>
  </si>
  <si>
    <t>Cartagena</t>
  </si>
  <si>
    <t>San Fernando</t>
  </si>
  <si>
    <t>Pontevedra</t>
  </si>
  <si>
    <t>Union Adarve</t>
  </si>
  <si>
    <t>APOEL</t>
  </si>
  <si>
    <t>Barakaldo</t>
  </si>
  <si>
    <t>Torrelavega</t>
  </si>
  <si>
    <t>Wydad</t>
  </si>
  <si>
    <t>FAR Rabat</t>
  </si>
  <si>
    <t>Zenit Petersburg</t>
  </si>
  <si>
    <t>Rubin Kazan</t>
  </si>
  <si>
    <t>Liverpool U19</t>
  </si>
  <si>
    <t>Real Kashmir</t>
  </si>
  <si>
    <t>Lajong</t>
  </si>
  <si>
    <t>Cuneo</t>
  </si>
  <si>
    <t>Kayserispor</t>
  </si>
  <si>
    <t>Gaziantep</t>
  </si>
  <si>
    <t>Sporting</t>
  </si>
  <si>
    <t>Aves</t>
  </si>
  <si>
    <t>Dock Sud</t>
  </si>
  <si>
    <t>Argentina: Primera C Metropolitana</t>
  </si>
  <si>
    <t>East Thurrock</t>
  </si>
  <si>
    <t>Paris SG U19</t>
  </si>
  <si>
    <t>Rende</t>
  </si>
  <si>
    <t>Rieti</t>
  </si>
  <si>
    <t>Siena</t>
  </si>
  <si>
    <t>Real Madrid U19</t>
  </si>
  <si>
    <t>CSKA Moscow U19</t>
  </si>
  <si>
    <t>Jamshedpur</t>
  </si>
  <si>
    <t>Sicula Leonzio</t>
  </si>
  <si>
    <t>Pro Patria</t>
  </si>
  <si>
    <t>MOL Vidi</t>
  </si>
  <si>
    <t>Besiktas</t>
  </si>
  <si>
    <t>Malmo FF</t>
  </si>
  <si>
    <t>Al Sharjah</t>
  </si>
  <si>
    <t>Bani Yas</t>
  </si>
  <si>
    <t>Lewes</t>
  </si>
  <si>
    <t>Virtus Francavilla</t>
  </si>
  <si>
    <t>RB Leipzig</t>
  </si>
  <si>
    <t>BATE</t>
  </si>
  <si>
    <t>FC Astana</t>
  </si>
  <si>
    <t>Sarpsborg 08</t>
  </si>
  <si>
    <t>Bala</t>
  </si>
  <si>
    <t>TNS</t>
  </si>
  <si>
    <t>Wales: Premier League</t>
  </si>
  <si>
    <t>Nijmegen</t>
  </si>
  <si>
    <t>Rapperswil</t>
  </si>
  <si>
    <t>Al-Taawon</t>
  </si>
  <si>
    <t>Hansa Rostock</t>
  </si>
  <si>
    <t>Aalen</t>
  </si>
  <si>
    <t>Straelen</t>
  </si>
  <si>
    <t>Denizlispor</t>
  </si>
  <si>
    <t>Doncaster</t>
  </si>
  <si>
    <t>Scunthorpe</t>
  </si>
  <si>
    <t>FC Porto B</t>
  </si>
  <si>
    <t>Afjet Afyonspor</t>
  </si>
  <si>
    <t>Melbourne City U21</t>
  </si>
  <si>
    <t>Manchester City U23</t>
  </si>
  <si>
    <t>Dumbarton</t>
  </si>
  <si>
    <t>Airdrieonians</t>
  </si>
  <si>
    <t>Bristol Rovers</t>
  </si>
  <si>
    <t>Palermo</t>
  </si>
  <si>
    <t>Livorno</t>
  </si>
  <si>
    <t>Bonner</t>
  </si>
  <si>
    <t>TV Herkenrath</t>
  </si>
  <si>
    <t>Pordenone</t>
  </si>
  <si>
    <t>Gubbio</t>
  </si>
  <si>
    <t>Swansea</t>
  </si>
  <si>
    <t>Sheffield Wed</t>
  </si>
  <si>
    <t>Kilmarnock</t>
  </si>
  <si>
    <t>Chorley</t>
  </si>
  <si>
    <t>Stirling</t>
  </si>
  <si>
    <t>Albion Rovers</t>
  </si>
  <si>
    <t>Shmona</t>
  </si>
  <si>
    <t>Rayo Vallecano</t>
  </si>
  <si>
    <t>Green Buffaloes FC</t>
  </si>
  <si>
    <t>Africa: Caf Confederations Cup - Qualification</t>
  </si>
  <si>
    <t>Berkane</t>
  </si>
  <si>
    <t>Al-Ittihad</t>
  </si>
  <si>
    <t>Flamurtari</t>
  </si>
  <si>
    <t>Kamza</t>
  </si>
  <si>
    <t>Albania: Super League</t>
  </si>
  <si>
    <t>Olbia</t>
  </si>
  <si>
    <t>Brighton</t>
  </si>
  <si>
    <t>Stade Gabesien</t>
  </si>
  <si>
    <t>Munich 1860</t>
  </si>
  <si>
    <t>Jena</t>
  </si>
  <si>
    <t>Linense</t>
  </si>
  <si>
    <t>Granada CF B</t>
  </si>
  <si>
    <t>Sittard</t>
  </si>
  <si>
    <t>Xamax</t>
  </si>
  <si>
    <t>Aalst</t>
  </si>
  <si>
    <t>Heist</t>
  </si>
  <si>
    <t>Belgium: First Amateur Division</t>
  </si>
  <si>
    <t>Mumbai City</t>
  </si>
  <si>
    <t>Kerala Blasters</t>
  </si>
  <si>
    <t>Giana Erminio</t>
  </si>
  <si>
    <t>AS Roma</t>
  </si>
  <si>
    <t>Zaragoza</t>
  </si>
  <si>
    <t>Maritimo</t>
  </si>
  <si>
    <t>Oostende</t>
  </si>
  <si>
    <t>Cagliari</t>
  </si>
  <si>
    <t>Yehuda</t>
  </si>
  <si>
    <t>UD Logrones</t>
  </si>
  <si>
    <t>Arenas Club</t>
  </si>
  <si>
    <t>Maccabi Haifa</t>
  </si>
  <si>
    <t>Hamrun</t>
  </si>
  <si>
    <t>Uerdingen</t>
  </si>
  <si>
    <t>Levadiakos</t>
  </si>
  <si>
    <t>Erzurum BB</t>
  </si>
  <si>
    <t>Ashkelon</t>
  </si>
  <si>
    <t>Nacional</t>
  </si>
  <si>
    <t>Zwolle</t>
  </si>
  <si>
    <t>Netherlands: Knvb Beker</t>
  </si>
  <si>
    <t>Waalwijk</t>
  </si>
  <si>
    <t>B. Monchengladbach</t>
  </si>
  <si>
    <t>Nurnberg</t>
  </si>
  <si>
    <t>Germany: Bundesliga</t>
  </si>
  <si>
    <t>Iraklis</t>
  </si>
  <si>
    <t>Greece: Greek Cup - Second Round</t>
  </si>
  <si>
    <t>Adana Demirspor</t>
  </si>
  <si>
    <t>Irodotos</t>
  </si>
  <si>
    <t>Panionios</t>
  </si>
  <si>
    <t>USM Blida</t>
  </si>
  <si>
    <t>Paradou</t>
  </si>
  <si>
    <t>Algeria: Algeria Cup</t>
  </si>
  <si>
    <t>Ierapetra</t>
  </si>
  <si>
    <t>Orleans</t>
  </si>
  <si>
    <t>France: Coupe De La Ligue</t>
  </si>
  <si>
    <t>Leicester</t>
  </si>
  <si>
    <t>England: Efl Cup</t>
  </si>
  <si>
    <t>Middlesbrough</t>
  </si>
  <si>
    <t>Burton</t>
  </si>
  <si>
    <t>Whitehawk</t>
  </si>
  <si>
    <t>Worthing</t>
  </si>
  <si>
    <t>Solihull Moors</t>
  </si>
  <si>
    <t>Amiens</t>
  </si>
  <si>
    <t>Ayia Napa</t>
  </si>
  <si>
    <t>Thyella Kamari</t>
  </si>
  <si>
    <t>Atromitos</t>
  </si>
  <si>
    <t>Paeek</t>
  </si>
  <si>
    <t>Al Najoom</t>
  </si>
  <si>
    <t>Al Jeel</t>
  </si>
  <si>
    <t>Saudi Arabia: Division 1</t>
  </si>
  <si>
    <t>Panathinaikos</t>
  </si>
  <si>
    <t>Aris Avato</t>
  </si>
  <si>
    <t>Apollon Larissa</t>
  </si>
  <si>
    <t>St. Gilloise</t>
  </si>
  <si>
    <t>Rapide Oued Zem</t>
  </si>
  <si>
    <t>Al-Kharitiyath</t>
  </si>
  <si>
    <t>Qatar: Qsl Cup</t>
  </si>
  <si>
    <t>Al Batin</t>
  </si>
  <si>
    <t>Kozakken Boys</t>
  </si>
  <si>
    <t>Bahrain</t>
  </si>
  <si>
    <t>Tajikistan</t>
  </si>
  <si>
    <t>World: Friendly International</t>
  </si>
  <si>
    <t>Ergotelis</t>
  </si>
  <si>
    <t>Aris</t>
  </si>
  <si>
    <t>Aittitos Spata</t>
  </si>
  <si>
    <t>Preussen Munster</t>
  </si>
  <si>
    <t>Fortuna Koln</t>
  </si>
  <si>
    <t>Bidvest Wits</t>
  </si>
  <si>
    <t>Chippa Utd.</t>
  </si>
  <si>
    <t>South Africa: Premier League</t>
  </si>
  <si>
    <t>Partick Thistle</t>
  </si>
  <si>
    <t>Dundee Utd</t>
  </si>
  <si>
    <t>Hallescher</t>
  </si>
  <si>
    <t>Zwickau</t>
  </si>
  <si>
    <t>Brentford</t>
  </si>
  <si>
    <t>Charlton</t>
  </si>
  <si>
    <t>Dartford</t>
  </si>
  <si>
    <t>Newcastle Jets</t>
  </si>
  <si>
    <t>Melbourne Victory U21</t>
  </si>
  <si>
    <t>Enppi</t>
  </si>
  <si>
    <t>Difaa El Jadidi</t>
  </si>
  <si>
    <t>World: Fifa Club World Cup</t>
  </si>
  <si>
    <t>Ermis</t>
  </si>
  <si>
    <t>Cavese</t>
  </si>
  <si>
    <t>St Johnstone</t>
  </si>
  <si>
    <t>Osmanlispor</t>
  </si>
  <si>
    <t>Adanaspor AS</t>
  </si>
  <si>
    <t>ASEC Mimosas</t>
  </si>
  <si>
    <t>Stade Malien</t>
  </si>
  <si>
    <t>Siracusa</t>
  </si>
  <si>
    <t>Monopoli</t>
  </si>
  <si>
    <t>Albacete</t>
  </si>
  <si>
    <t>Trapani</t>
  </si>
  <si>
    <t>Matera</t>
  </si>
  <si>
    <t>Nes Tziona</t>
  </si>
  <si>
    <t>H. Akko</t>
  </si>
  <si>
    <t>Burgess Hill</t>
  </si>
  <si>
    <t>Farsley</t>
  </si>
  <si>
    <t>Whitby</t>
  </si>
  <si>
    <t>Ebbsfleet</t>
  </si>
  <si>
    <t>Viterbese</t>
  </si>
  <si>
    <t>Barnsley</t>
  </si>
  <si>
    <t>Peterborough</t>
  </si>
  <si>
    <t>West Brom</t>
  </si>
  <si>
    <t>Wigan</t>
  </si>
  <si>
    <t>Bradford City</t>
  </si>
  <si>
    <t>AFC Telford</t>
  </si>
  <si>
    <t>H. Raanana</t>
  </si>
  <si>
    <t>Portugal: League Cup</t>
  </si>
  <si>
    <t>United Arab Emirates</t>
  </si>
  <si>
    <t>Kuwait</t>
  </si>
  <si>
    <t>Ascoli</t>
  </si>
  <si>
    <t>Arezzo</t>
  </si>
  <si>
    <t>Boreham Wood</t>
  </si>
  <si>
    <t>Newport Co</t>
  </si>
  <si>
    <t>Bristol City</t>
  </si>
  <si>
    <t>Gateshead</t>
  </si>
  <si>
    <t>Rochdale</t>
  </si>
  <si>
    <t>Hull</t>
  </si>
  <si>
    <t>Brackley</t>
  </si>
  <si>
    <t>Oman</t>
  </si>
  <si>
    <t>Gozzano</t>
  </si>
  <si>
    <t>El Daklyeh</t>
  </si>
  <si>
    <t>Plymouth</t>
  </si>
  <si>
    <t>Hassania Agadir</t>
  </si>
  <si>
    <t>Beni Douala</t>
  </si>
  <si>
    <t>Metlaoui</t>
  </si>
  <si>
    <t>Crewe</t>
  </si>
  <si>
    <t>USM Alger</t>
  </si>
  <si>
    <t>Bel Abbes</t>
  </si>
  <si>
    <t>Chaves</t>
  </si>
  <si>
    <t>Varzim</t>
  </si>
  <si>
    <t>AFC Fylde</t>
  </si>
  <si>
    <t>Barrow</t>
  </si>
  <si>
    <t>FC United</t>
  </si>
  <si>
    <t>Witton</t>
  </si>
  <si>
    <t>Port Vale</t>
  </si>
  <si>
    <t>Cambridge Utd</t>
  </si>
  <si>
    <t>Arouca</t>
  </si>
  <si>
    <t>ASIL Lysi</t>
  </si>
  <si>
    <t>Brisbane Roar</t>
  </si>
  <si>
    <t>Al Adalh</t>
  </si>
  <si>
    <t>Saudi Arabia: King Cup</t>
  </si>
  <si>
    <t>Hapoel Bnei Lod</t>
  </si>
  <si>
    <t>AEL Limassol</t>
  </si>
  <si>
    <t>Mostaganem</t>
  </si>
  <si>
    <t>Skikda</t>
  </si>
  <si>
    <t>Algeria: Ligue 2</t>
  </si>
  <si>
    <t>Birmingham</t>
  </si>
  <si>
    <t>Sydney FC U21</t>
  </si>
  <si>
    <t>Central Coast U21</t>
  </si>
  <si>
    <t>Truro</t>
  </si>
  <si>
    <t>Merstham</t>
  </si>
  <si>
    <t>Wingate and Finchley</t>
  </si>
  <si>
    <t>Tlemcen</t>
  </si>
  <si>
    <t>Wealdstone</t>
  </si>
  <si>
    <t>Boston Utd</t>
  </si>
  <si>
    <t>Altrincham</t>
  </si>
  <si>
    <t>Malaga</t>
  </si>
  <si>
    <t>U.N.A.M.- Pumas</t>
  </si>
  <si>
    <t>Mexico: Primera Division - Clausura</t>
  </si>
  <si>
    <t>Syria</t>
  </si>
  <si>
    <t>Palestine</t>
  </si>
  <si>
    <t>Ponferradina</t>
  </si>
  <si>
    <t>DRAW</t>
  </si>
  <si>
    <t>LOST</t>
  </si>
  <si>
    <t>WON</t>
  </si>
  <si>
    <t xml:space="preserve">Total </t>
  </si>
  <si>
    <t>Won</t>
  </si>
  <si>
    <t>Draw</t>
  </si>
  <si>
    <t>Lost</t>
  </si>
  <si>
    <t>Not Played</t>
  </si>
  <si>
    <t>Statistics</t>
  </si>
  <si>
    <t>Filtered Data</t>
  </si>
  <si>
    <t>Iran</t>
  </si>
  <si>
    <t>Yemen</t>
  </si>
  <si>
    <t>China</t>
  </si>
  <si>
    <t>Kyrgyzstan</t>
  </si>
  <si>
    <t>Asian Cup:</t>
  </si>
  <si>
    <t>Newcastle Utd U21</t>
  </si>
  <si>
    <t>Saudi Arabia</t>
  </si>
  <si>
    <t>North Korea</t>
  </si>
  <si>
    <t>Greece: Greek Cup - Play Offs</t>
  </si>
  <si>
    <t>Iraq</t>
  </si>
  <si>
    <t>FINAL TIME 3:1  </t>
  </si>
  <si>
    <t>FINAL TIME 2:1  </t>
  </si>
  <si>
    <t>FINAL TIME 5:0  </t>
  </si>
  <si>
    <t>FINAL TIME 1:1  </t>
  </si>
  <si>
    <t>FINAL TIME 0:1  </t>
  </si>
  <si>
    <t>FINAL TIME 2:0  </t>
  </si>
  <si>
    <t>FINAL TIME 1:2  </t>
  </si>
  <si>
    <t>FINAL TIME 0:0  </t>
  </si>
  <si>
    <t>FINAL TIME 1:0  </t>
  </si>
  <si>
    <t>FINAL TIME 1:3  </t>
  </si>
  <si>
    <t>FINAL TIME 3:0  </t>
  </si>
  <si>
    <t>FINAL TIME 0:3  </t>
  </si>
  <si>
    <t>FINAL TIME 0:2  </t>
  </si>
  <si>
    <t>FINAL TIME 2:2  </t>
  </si>
  <si>
    <t>FINAL TIME 3:2  </t>
  </si>
  <si>
    <t>FINAL TIME 4:3  </t>
  </si>
  <si>
    <t>FINAL TIME 0:4  </t>
  </si>
  <si>
    <t>FINAL TIME 4:2  </t>
  </si>
  <si>
    <t>FINAL TIME 4:1  </t>
  </si>
  <si>
    <t>FINAL TIME 2:5  </t>
  </si>
  <si>
    <t>FINAL TIME 3:3  </t>
  </si>
  <si>
    <t>FINAL TIME 1:4  </t>
  </si>
  <si>
    <t>FINAL TIME 6:0  </t>
  </si>
  <si>
    <t>FINAL TIME 7:0  </t>
  </si>
  <si>
    <t>FINAL TIME 2:4  </t>
  </si>
  <si>
    <t>FINAL TIME 6:2  </t>
  </si>
  <si>
    <t>FINAL TIME 5:1  </t>
  </si>
  <si>
    <t>FINAL TIME 2:3  </t>
  </si>
  <si>
    <t>FINAL TIME 4:0  </t>
  </si>
  <si>
    <t>FINAL TIME 5:3  </t>
  </si>
  <si>
    <t>FINAL TIME 5:2  </t>
  </si>
  <si>
    <t>FINAL TIME 1:8  </t>
  </si>
  <si>
    <t>FINAL TIME 1:5  </t>
  </si>
  <si>
    <t>FINAL TIME 7:2  </t>
  </si>
  <si>
    <t>FINAL TIME 0:7  </t>
  </si>
  <si>
    <t>FINAL TIME 0:5  </t>
  </si>
  <si>
    <t>FINAL TIME 8:0  </t>
  </si>
  <si>
    <t>FINAL TIME 6:1  </t>
  </si>
  <si>
    <t>FINAL TIME 3:4  </t>
  </si>
  <si>
    <t>FINAL TIME 3:5  </t>
  </si>
  <si>
    <t>FINAL TIME 4:4  </t>
  </si>
  <si>
    <t>FINAL TIME 0:6  </t>
  </si>
  <si>
    <t>FINAL TIME 0:8  </t>
  </si>
  <si>
    <t>Spanish Copa del Rey:</t>
  </si>
  <si>
    <t>BET</t>
  </si>
  <si>
    <t>Current Betting Tips</t>
  </si>
  <si>
    <t>Archived Betting Tips</t>
  </si>
  <si>
    <t>Leganes</t>
  </si>
  <si>
    <t>Le Havre</t>
  </si>
  <si>
    <t>Guingamp</t>
  </si>
  <si>
    <t>World: Club Friendly</t>
  </si>
  <si>
    <t>Japan</t>
  </si>
  <si>
    <t>Turkmenistan</t>
  </si>
  <si>
    <t>Ceske Budejovice</t>
  </si>
  <si>
    <t>Brno</t>
  </si>
  <si>
    <t>Mas Taborsko</t>
  </si>
  <si>
    <t>Czech Republic: Tipsport Liga</t>
  </si>
  <si>
    <t>Al Orubah</t>
  </si>
  <si>
    <t>Over 90%</t>
  </si>
  <si>
    <t>Over 85%</t>
  </si>
  <si>
    <t>Over 80%</t>
  </si>
  <si>
    <t>% CHANCE: Over 95%</t>
  </si>
  <si>
    <t>16:00 GMT</t>
  </si>
  <si>
    <t>14:00 GMT</t>
  </si>
  <si>
    <t>Wurzburger Kickers</t>
  </si>
  <si>
    <t>Umm-Salal</t>
  </si>
  <si>
    <t>Guarulhos U20</t>
  </si>
  <si>
    <t>Madureira U20</t>
  </si>
  <si>
    <t>Brazil: Copa Sao Paulo De Juniores</t>
  </si>
  <si>
    <t>FINAL TIME 9:0  </t>
  </si>
  <si>
    <t>Portuguese Liga 1:</t>
  </si>
  <si>
    <t>TFT - Archived Betting Tips</t>
  </si>
  <si>
    <t>TFT - Current Betting Tips</t>
  </si>
  <si>
    <t>Bahrain </t>
  </si>
  <si>
    <t>Jordan </t>
  </si>
  <si>
    <t xml:space="preserve">India </t>
  </si>
  <si>
    <t xml:space="preserve"> Thailand</t>
  </si>
  <si>
    <t> Syria</t>
  </si>
  <si>
    <t> United Arab Emirate</t>
  </si>
  <si>
    <t>Sporting Braga</t>
  </si>
  <si>
    <t>Athletic Club</t>
  </si>
  <si>
    <t>Sevilla CF</t>
  </si>
  <si>
    <t>Real Betis Balompie</t>
  </si>
  <si>
    <t>Levante CF</t>
  </si>
  <si>
    <t>Barcelona CF</t>
  </si>
  <si>
    <t>Australian A-League:</t>
  </si>
  <si>
    <t>English League Cup:</t>
  </si>
  <si>
    <t>French Coupe de la Ligue:</t>
  </si>
  <si>
    <t>Portuguese Segunda Liga:</t>
  </si>
  <si>
    <t>French Ligue 1:</t>
  </si>
  <si>
    <t>English FA Cup:</t>
  </si>
  <si>
    <t>French Coupe de France:</t>
  </si>
  <si>
    <t>Israeli Ligat Ha’al:</t>
  </si>
  <si>
    <t>Spanish Primera Liga:</t>
  </si>
  <si>
    <t>Portuguese Liga 2:</t>
  </si>
  <si>
    <t>English Premier League:</t>
  </si>
  <si>
    <t>Western Sydney Wanderers </t>
  </si>
  <si>
    <t>Arsenal </t>
  </si>
  <si>
    <t xml:space="preserve">Cardiff City </t>
  </si>
  <si>
    <t>Newcastle Jets </t>
  </si>
  <si>
    <t>Bournemouth </t>
  </si>
  <si>
    <t>Chelsea </t>
  </si>
  <si>
    <t xml:space="preserve">Huddersfield Town </t>
  </si>
  <si>
    <t>West Ham United </t>
  </si>
  <si>
    <t xml:space="preserve">Newcastle United </t>
  </si>
  <si>
    <t>Santa Clara </t>
  </si>
  <si>
    <t xml:space="preserve">CD Nacional de Madeira </t>
  </si>
  <si>
    <t>Sporting Braga </t>
  </si>
  <si>
    <t>Portimonense </t>
  </si>
  <si>
    <t>Vitoria Guimaraes II </t>
  </si>
  <si>
    <t>Estoril </t>
  </si>
  <si>
    <t>Pacos de Ferreira </t>
  </si>
  <si>
    <t>Manchester City </t>
  </si>
  <si>
    <t>Sporting Clube de Portugal </t>
  </si>
  <si>
    <t>Villarreal CF </t>
  </si>
  <si>
    <t>Sydney FC </t>
  </si>
  <si>
    <t>Nantes Atlantique </t>
  </si>
  <si>
    <t xml:space="preserve">Grenoble Foot 38 </t>
  </si>
  <si>
    <t>Academica de Coimbra </t>
  </si>
  <si>
    <t>RCD Espanyol </t>
  </si>
  <si>
    <t>United Arab Emirates </t>
  </si>
  <si>
    <t>Adelaide United </t>
  </si>
  <si>
    <t xml:space="preserve">Western Sydney Wanderers </t>
  </si>
  <si>
    <t>Manchester United </t>
  </si>
  <si>
    <t>Burnley </t>
  </si>
  <si>
    <t>Derby County </t>
  </si>
  <si>
    <t>Newcastle United </t>
  </si>
  <si>
    <t>Crystal Palace </t>
  </si>
  <si>
    <t>Bristol City </t>
  </si>
  <si>
    <t xml:space="preserve">Blackpool </t>
  </si>
  <si>
    <t xml:space="preserve">Viry Chatillon </t>
  </si>
  <si>
    <t>Amiens SC </t>
  </si>
  <si>
    <t xml:space="preserve">Lyon Duchere </t>
  </si>
  <si>
    <t xml:space="preserve">Entente SSG </t>
  </si>
  <si>
    <t>Red Star 93 </t>
  </si>
  <si>
    <t xml:space="preserve">Schiltigheim </t>
  </si>
  <si>
    <t>Toulouse </t>
  </si>
  <si>
    <t xml:space="preserve">Bourges Foot </t>
  </si>
  <si>
    <t xml:space="preserve">Ironi Kiryat Shmona </t>
  </si>
  <si>
    <t>Hapoel Haifa </t>
  </si>
  <si>
    <t xml:space="preserve">Bnei Sakhnin </t>
  </si>
  <si>
    <t>Maritimo Funchal </t>
  </si>
  <si>
    <t>FC Porto II </t>
  </si>
  <si>
    <t>Real Valladolid </t>
  </si>
  <si>
    <t xml:space="preserve">Huesca </t>
  </si>
  <si>
    <t>Australia </t>
  </si>
  <si>
    <t>Thailand </t>
  </si>
  <si>
    <t>Syria </t>
  </si>
  <si>
    <t>Melbourne City </t>
  </si>
  <si>
    <t xml:space="preserve">Brisbane Roar </t>
  </si>
  <si>
    <t>Fulham </t>
  </si>
  <si>
    <t xml:space="preserve">Woking </t>
  </si>
  <si>
    <t xml:space="preserve">Newport County </t>
  </si>
  <si>
    <t xml:space="preserve">Canet Roussillon </t>
  </si>
  <si>
    <t>Andrezieux </t>
  </si>
  <si>
    <t>Stade Rennais </t>
  </si>
  <si>
    <t xml:space="preserve">Olympique Strasbourg </t>
  </si>
  <si>
    <t>Girondins de Bordeaux </t>
  </si>
  <si>
    <t xml:space="preserve">MS Ashdod </t>
  </si>
  <si>
    <t>Vitoria Setubal </t>
  </si>
  <si>
    <t>Feirense </t>
  </si>
  <si>
    <t xml:space="preserve">Belenenses </t>
  </si>
  <si>
    <t>SL Benfica </t>
  </si>
  <si>
    <t>Famalicao </t>
  </si>
  <si>
    <t>Sporting Braga II </t>
  </si>
  <si>
    <t>Leixoes Matosinhos </t>
  </si>
  <si>
    <t>Mafra </t>
  </si>
  <si>
    <t>Arouca </t>
  </si>
  <si>
    <t>Eibar </t>
  </si>
  <si>
    <t>Real Madrid </t>
  </si>
  <si>
    <t xml:space="preserve">Getafe </t>
  </si>
  <si>
    <t>China </t>
  </si>
  <si>
    <t>South Korea </t>
  </si>
  <si>
    <t>Iran </t>
  </si>
  <si>
    <t>Lille OSC </t>
  </si>
  <si>
    <t xml:space="preserve">Tondela </t>
  </si>
  <si>
    <t>FC Porto </t>
  </si>
  <si>
    <t>Celta de Vigo </t>
  </si>
  <si>
    <t>Iraq </t>
  </si>
  <si>
    <t>Saudi Arabia </t>
  </si>
  <si>
    <t>Tottenham Hotspur </t>
  </si>
  <si>
    <t>Olympique Lyonnais </t>
  </si>
  <si>
    <t xml:space="preserve">Sporting Gijon </t>
  </si>
  <si>
    <t>Japan </t>
  </si>
  <si>
    <t>Uzbekistan </t>
  </si>
  <si>
    <t>Qatar </t>
  </si>
  <si>
    <t>Perth Glory </t>
  </si>
  <si>
    <t>AS Monaco </t>
  </si>
  <si>
    <t>Paris Saint-Germain </t>
  </si>
  <si>
    <t>Varzim </t>
  </si>
  <si>
    <t>Penafiel </t>
  </si>
  <si>
    <t>Girona </t>
  </si>
  <si>
    <t>Getafe </t>
  </si>
  <si>
    <t> Melbourne City</t>
  </si>
  <si>
    <t>Everton </t>
  </si>
  <si>
    <t xml:space="preserve"> Leicester City</t>
  </si>
  <si>
    <t xml:space="preserve"> Fulham</t>
  </si>
  <si>
    <t> Tottenham Hotspur</t>
  </si>
  <si>
    <t xml:space="preserve"> Brisbane Roar</t>
  </si>
  <si>
    <t> Watford</t>
  </si>
  <si>
    <t xml:space="preserve"> Southampton</t>
  </si>
  <si>
    <t> Burnley</t>
  </si>
  <si>
    <t> Brighton &amp; Hove Albion</t>
  </si>
  <si>
    <t>Wolverhampton Wanderers </t>
  </si>
  <si>
    <t> Crystal Palace</t>
  </si>
  <si>
    <t> Manchester United</t>
  </si>
  <si>
    <t> Tondela</t>
  </si>
  <si>
    <t> Vitoria Guimaraes</t>
  </si>
  <si>
    <t>Boavista </t>
  </si>
  <si>
    <t xml:space="preserve"> Vitoria Setubal</t>
  </si>
  <si>
    <t xml:space="preserve"> Maritimo Funchal</t>
  </si>
  <si>
    <t> SL Benfica</t>
  </si>
  <si>
    <t>Rio Ave </t>
  </si>
  <si>
    <t xml:space="preserve"> Moreirense</t>
  </si>
  <si>
    <t>Sporting Covilha </t>
  </si>
  <si>
    <t> Sporting Braga II</t>
  </si>
  <si>
    <t xml:space="preserve"> Famalicao</t>
  </si>
  <si>
    <t xml:space="preserve"> Penafiel</t>
  </si>
  <si>
    <t xml:space="preserve"> Arouca</t>
  </si>
  <si>
    <t> Liverpool</t>
  </si>
  <si>
    <t>Chaves </t>
  </si>
  <si>
    <t xml:space="preserve"> Feirense</t>
  </si>
  <si>
    <t xml:space="preserve"> Belenenses</t>
  </si>
  <si>
    <t xml:space="preserve">Desportivo Aves </t>
  </si>
  <si>
    <t> FC Porto</t>
  </si>
  <si>
    <t> Real Madrid</t>
  </si>
  <si>
    <t xml:space="preserve"> Central Coast Mariners</t>
  </si>
  <si>
    <t xml:space="preserve">Tranmere Rovers </t>
  </si>
  <si>
    <t xml:space="preserve"> La Berrichonne de Chateauroux</t>
  </si>
  <si>
    <t> Racing Club Strasbourg</t>
  </si>
  <si>
    <t xml:space="preserve"> Cova Piedade</t>
  </si>
  <si>
    <t>Levante CF </t>
  </si>
  <si>
    <t> Girona</t>
  </si>
  <si>
    <t xml:space="preserve"> Leganes CF</t>
  </si>
  <si>
    <t xml:space="preserve"> Bahrain</t>
  </si>
  <si>
    <t> Wellington Phoenix</t>
  </si>
  <si>
    <t> Melbourne Victory</t>
  </si>
  <si>
    <t xml:space="preserve"> Reading</t>
  </si>
  <si>
    <t xml:space="preserve"> Birmingham City</t>
  </si>
  <si>
    <t> Barnsley</t>
  </si>
  <si>
    <t xml:space="preserve"> Nottingham Forest</t>
  </si>
  <si>
    <t xml:space="preserve"> Lincoln City</t>
  </si>
  <si>
    <t> Southampton</t>
  </si>
  <si>
    <t> Blackburn Rovers</t>
  </si>
  <si>
    <t xml:space="preserve"> Grimsby Town</t>
  </si>
  <si>
    <t xml:space="preserve"> Huddersfield Town</t>
  </si>
  <si>
    <t> Arsenal</t>
  </si>
  <si>
    <t> Angers SCO</t>
  </si>
  <si>
    <t xml:space="preserve"> Valenciennes</t>
  </si>
  <si>
    <t> Nimes Olympique</t>
  </si>
  <si>
    <t xml:space="preserve">Stade Pontivy </t>
  </si>
  <si>
    <t> En Avant Guingamp</t>
  </si>
  <si>
    <t> Montpellier HSC</t>
  </si>
  <si>
    <t> Stade Malherbe de Caen</t>
  </si>
  <si>
    <t> Dijon FCO</t>
  </si>
  <si>
    <t> OGC Nice</t>
  </si>
  <si>
    <t> Olympique Lyonnais</t>
  </si>
  <si>
    <t> Hapoel Tel-Aviv</t>
  </si>
  <si>
    <t xml:space="preserve"> Hapoel Hadera</t>
  </si>
  <si>
    <t xml:space="preserve">Maccabi Petah Tikva </t>
  </si>
  <si>
    <t> Maccabi Haifa</t>
  </si>
  <si>
    <t> Beitar Jerusalem</t>
  </si>
  <si>
    <t xml:space="preserve"> Portimonense</t>
  </si>
  <si>
    <t> SL Benfica II</t>
  </si>
  <si>
    <t> Rayo Vallecano de Madrid</t>
  </si>
  <si>
    <t xml:space="preserve">Deportivo Alaves </t>
  </si>
  <si>
    <t> Valencia CF</t>
  </si>
  <si>
    <t> Real Betis Balompie</t>
  </si>
  <si>
    <t xml:space="preserve"> Jordan</t>
  </si>
  <si>
    <t xml:space="preserve"> India</t>
  </si>
  <si>
    <t> Palestine</t>
  </si>
  <si>
    <t xml:space="preserve"> Newcastle Jets</t>
  </si>
  <si>
    <t> Perth Glory</t>
  </si>
  <si>
    <t> Oldham Athletic</t>
  </si>
  <si>
    <t xml:space="preserve"> Rotherham United</t>
  </si>
  <si>
    <t> Leicester City</t>
  </si>
  <si>
    <t> AS Monaco</t>
  </si>
  <si>
    <t> Olympique de Marseille</t>
  </si>
  <si>
    <t xml:space="preserve"> Stade Brestois</t>
  </si>
  <si>
    <t> AS Saint-Etienne</t>
  </si>
  <si>
    <t xml:space="preserve"> Le Havre</t>
  </si>
  <si>
    <t xml:space="preserve">Pontivy GSI </t>
  </si>
  <si>
    <t> Paris Saint-Germain</t>
  </si>
  <si>
    <t> Hapoel Ra’anana</t>
  </si>
  <si>
    <t>Bnei Yehuda Tel-Aviv </t>
  </si>
  <si>
    <t> Hapoel Be’er Sheva</t>
  </si>
  <si>
    <t> Chaves</t>
  </si>
  <si>
    <t xml:space="preserve"> Santa Clara</t>
  </si>
  <si>
    <t xml:space="preserve"> Rio Ave</t>
  </si>
  <si>
    <t xml:space="preserve"> Boavista</t>
  </si>
  <si>
    <t> Varzim</t>
  </si>
  <si>
    <t xml:space="preserve"> Vitoria Guimaraes II</t>
  </si>
  <si>
    <t xml:space="preserve"> Sporting Covilha</t>
  </si>
  <si>
    <t> Pacos de Ferreira</t>
  </si>
  <si>
    <t xml:space="preserve"> Farense</t>
  </si>
  <si>
    <t>UD Oliveirense </t>
  </si>
  <si>
    <t> Penafiel</t>
  </si>
  <si>
    <t> Villarreal CF</t>
  </si>
  <si>
    <t>Sevilla CF </t>
  </si>
  <si>
    <t> Atletico Madrid</t>
  </si>
  <si>
    <t xml:space="preserve"> Real Sociedad</t>
  </si>
  <si>
    <t> Barcelona CF</t>
  </si>
  <si>
    <t xml:space="preserve"> Kyrgyzstan (6) 1-0</t>
  </si>
  <si>
    <t xml:space="preserve"> Philippines (7) 1-0</t>
  </si>
  <si>
    <t xml:space="preserve"> Yemen (7) 1-0</t>
  </si>
  <si>
    <t xml:space="preserve">Wolverhampton Wanderers </t>
  </si>
  <si>
    <t> Liverpool (5) 0-1</t>
  </si>
  <si>
    <t xml:space="preserve"> Sochaux-Montbeliard (6) 2-1</t>
  </si>
  <si>
    <t>Maccabi Tel-Aviv </t>
  </si>
  <si>
    <t xml:space="preserve"> Maccabi Netanya (7) 1-0</t>
  </si>
  <si>
    <t> Sporting Clube de Portugal (6) 1-2</t>
  </si>
  <si>
    <t xml:space="preserve"> CD Nacional de Madeira (7) 2-0</t>
  </si>
  <si>
    <t> Athletic Club (5) 2-2</t>
  </si>
  <si>
    <t> Vietnam</t>
  </si>
  <si>
    <t xml:space="preserve"> North Korea</t>
  </si>
  <si>
    <t xml:space="preserve"> Chelsea</t>
  </si>
  <si>
    <t xml:space="preserve"> Racing Club Strasbourg</t>
  </si>
  <si>
    <t xml:space="preserve"> Angers SCO</t>
  </si>
  <si>
    <t xml:space="preserve"> Turkmenistan</t>
  </si>
  <si>
    <t xml:space="preserve"> Oman</t>
  </si>
  <si>
    <t xml:space="preserve"> Lebanon</t>
  </si>
  <si>
    <t xml:space="preserve"> Melbourne Victory</t>
  </si>
  <si>
    <t xml:space="preserve"> Sydney FC</t>
  </si>
  <si>
    <t xml:space="preserve"> Burton Albion</t>
  </si>
  <si>
    <t> Stade Rennais</t>
  </si>
  <si>
    <t> Le Havre</t>
  </si>
  <si>
    <t xml:space="preserve"> En Avant Guingamp</t>
  </si>
  <si>
    <t xml:space="preserve"> Leixoes Matosinhos</t>
  </si>
  <si>
    <t> FC Porto II</t>
  </si>
  <si>
    <t> Academico Viseu</t>
  </si>
  <si>
    <t xml:space="preserve"> Atletico Madrid</t>
  </si>
  <si>
    <t xml:space="preserve"> Real Valladolid</t>
  </si>
  <si>
    <t> RCD Espanyol</t>
  </si>
  <si>
    <t> Leganes CF</t>
  </si>
  <si>
    <t>0-1</t>
  </si>
  <si>
    <t>4-1</t>
  </si>
  <si>
    <t>0-3</t>
  </si>
  <si>
    <t>0-2</t>
  </si>
  <si>
    <t>0-0</t>
  </si>
  <si>
    <t>1-2</t>
  </si>
  <si>
    <t>3-3</t>
  </si>
  <si>
    <t>2-2</t>
  </si>
  <si>
    <t>0 - 0</t>
  </si>
  <si>
    <t>1 - 2</t>
  </si>
  <si>
    <t>0 - 2</t>
  </si>
  <si>
    <t>2 - 2</t>
  </si>
  <si>
    <t>Australian A-League</t>
  </si>
  <si>
    <t>1 - 0</t>
  </si>
  <si>
    <t>2 - 0</t>
  </si>
  <si>
    <t>3 - 1</t>
  </si>
  <si>
    <t>2-1</t>
  </si>
  <si>
    <t>1-0</t>
  </si>
  <si>
    <t>0 - 7</t>
  </si>
  <si>
    <t>5 - 2</t>
  </si>
  <si>
    <t>4 - 0</t>
  </si>
  <si>
    <t>2 - 1</t>
  </si>
  <si>
    <t>1 - 1</t>
  </si>
  <si>
    <t>4 - 1</t>
  </si>
  <si>
    <t>0 - 4</t>
  </si>
  <si>
    <t>0 - 1</t>
  </si>
  <si>
    <t>3 - 2</t>
  </si>
  <si>
    <t>0 - 3</t>
  </si>
  <si>
    <t>1 - 3</t>
  </si>
  <si>
    <t>5 - 0</t>
  </si>
  <si>
    <t>2 - 3</t>
  </si>
  <si>
    <t>Asian Cup</t>
  </si>
  <si>
    <t>N</t>
  </si>
  <si>
    <t>Adelaide Utd</t>
  </si>
  <si>
    <t>Melbourne Vic</t>
  </si>
  <si>
    <t>3 - 0</t>
  </si>
  <si>
    <t>2 - 4</t>
  </si>
  <si>
    <t>Football Conference South</t>
  </si>
  <si>
    <t>Man City</t>
  </si>
  <si>
    <t>7 - 0</t>
  </si>
  <si>
    <t>Atl Madrid</t>
  </si>
  <si>
    <t>4 - 2</t>
  </si>
  <si>
    <t>Paris St-G.</t>
  </si>
  <si>
    <t>English League Cup</t>
  </si>
  <si>
    <t>Football League Trophy</t>
  </si>
  <si>
    <t>French League Cup</t>
  </si>
  <si>
    <t>Copa del Rey</t>
  </si>
  <si>
    <t>We 09Jan 2019</t>
  </si>
  <si>
    <t>9 - 0</t>
  </si>
  <si>
    <t>Chelsea U21</t>
  </si>
  <si>
    <t>Uzbekistan</t>
  </si>
  <si>
    <t>Qatar</t>
  </si>
  <si>
    <t>Lebanon</t>
  </si>
  <si>
    <t>2-3</t>
  </si>
  <si>
    <t>3-0</t>
  </si>
  <si>
    <t>1-1</t>
  </si>
  <si>
    <t>2-0</t>
  </si>
  <si>
    <t>0-6</t>
  </si>
  <si>
    <t>-</t>
  </si>
  <si>
    <t>1-4</t>
  </si>
  <si>
    <t>19:45 GMT</t>
  </si>
  <si>
    <t>Reims</t>
  </si>
  <si>
    <t>19:00 GMT</t>
  </si>
  <si>
    <t>Africa: Caf Champions League</t>
  </si>
  <si>
    <t>Clermont</t>
  </si>
  <si>
    <t>Niort</t>
  </si>
  <si>
    <t>France: Ligue 2</t>
  </si>
  <si>
    <t>17:00 GMT</t>
  </si>
  <si>
    <t>MC Alger</t>
  </si>
  <si>
    <t>Tadjenant</t>
  </si>
  <si>
    <t>Algeria: Ligue 1</t>
  </si>
  <si>
    <t>Al Ahli Doha</t>
  </si>
  <si>
    <t>15:00 GMT</t>
  </si>
  <si>
    <t>JS Kabylie</t>
  </si>
  <si>
    <t>MO Bejaia</t>
  </si>
  <si>
    <t>Stuttgart</t>
  </si>
  <si>
    <t>Basel</t>
  </si>
  <si>
    <t>Aarau</t>
  </si>
  <si>
    <t>13:30 GMT</t>
  </si>
  <si>
    <t>Finland</t>
  </si>
  <si>
    <t>Estonia</t>
  </si>
  <si>
    <t>11:00 GMT</t>
  </si>
  <si>
    <t>Vasas</t>
  </si>
  <si>
    <t>Alebrijes Oaxaca</t>
  </si>
  <si>
    <t>Mexico: Copa Mexico - Clausura</t>
  </si>
  <si>
    <t>1-3</t>
  </si>
  <si>
    <t>Palestine </t>
  </si>
  <si>
    <t> Australia</t>
  </si>
  <si>
    <t>Philippines </t>
  </si>
  <si>
    <t> China</t>
  </si>
  <si>
    <t xml:space="preserve">Kyrgyzstan </t>
  </si>
  <si>
    <t> South Korea</t>
  </si>
  <si>
    <t xml:space="preserve"> Stade de Reims</t>
  </si>
  <si>
    <t>Desportivo Aves </t>
  </si>
  <si>
    <t xml:space="preserve">Santa Clara </t>
  </si>
  <si>
    <t>Vitoria Guimaraes </t>
  </si>
  <si>
    <t>Rayo Vallecano de Madrid </t>
  </si>
  <si>
    <t> Celta de Vigo</t>
  </si>
  <si>
    <t>#</t>
  </si>
  <si>
    <t>Inflows</t>
  </si>
  <si>
    <t>Outflows</t>
  </si>
  <si>
    <t>Bankroll</t>
  </si>
  <si>
    <t>Funds C/Bal</t>
  </si>
  <si>
    <t>Funds O/Bal</t>
  </si>
  <si>
    <t>Date</t>
  </si>
  <si>
    <t xml:space="preserve">League </t>
  </si>
  <si>
    <t>Bet Description</t>
  </si>
  <si>
    <t>Stake</t>
  </si>
  <si>
    <t>Odds</t>
  </si>
  <si>
    <t>Bookmaker</t>
  </si>
  <si>
    <t>Result</t>
  </si>
  <si>
    <t>P/L</t>
  </si>
  <si>
    <t>Cum. P/L</t>
  </si>
  <si>
    <t>ROI%</t>
  </si>
  <si>
    <t>Comments</t>
  </si>
  <si>
    <t>Rules &amp; Strategy</t>
  </si>
  <si>
    <t>Company</t>
  </si>
  <si>
    <t>Notes</t>
  </si>
  <si>
    <t>Parameters</t>
  </si>
  <si>
    <t>C</t>
  </si>
  <si>
    <t>X</t>
  </si>
  <si>
    <t>Betin</t>
  </si>
  <si>
    <t>Win</t>
  </si>
  <si>
    <t>Only stake what we can afford to lose (i.e. the Bankroll or Bet Budget).</t>
  </si>
  <si>
    <t>1XBet</t>
  </si>
  <si>
    <t xml:space="preserve"> - offers 100% bonus on the first 10,000 cash deposit.</t>
  </si>
  <si>
    <t>Loss</t>
  </si>
  <si>
    <t xml:space="preserve"> - allow you to bet on an ongoing match.</t>
  </si>
  <si>
    <t>English FA Cup</t>
  </si>
  <si>
    <t>23:00 GMT</t>
  </si>
  <si>
    <t>19:30 GMT</t>
  </si>
  <si>
    <t>Newtown</t>
  </si>
  <si>
    <t>Druids</t>
  </si>
  <si>
    <t>Barry</t>
  </si>
  <si>
    <t>Aberystwyth</t>
  </si>
  <si>
    <t>Llanelli</t>
  </si>
  <si>
    <t>Carmarthen Town</t>
  </si>
  <si>
    <t>Connahs Q.</t>
  </si>
  <si>
    <t>17:30 GMT</t>
  </si>
  <si>
    <t>15:15 GMT</t>
  </si>
  <si>
    <t>Buxton</t>
  </si>
  <si>
    <t>St. Albans</t>
  </si>
  <si>
    <t>Kidderminster</t>
  </si>
  <si>
    <t>Bradford PA</t>
  </si>
  <si>
    <t>Folkestone</t>
  </si>
  <si>
    <t>AFC Hornchurch</t>
  </si>
  <si>
    <t>Yeovil</t>
  </si>
  <si>
    <t>Netanya</t>
  </si>
  <si>
    <t>Podbeskidzie</t>
  </si>
  <si>
    <t>Ruch Zdzieszowice</t>
  </si>
  <si>
    <t>13:00 GMT</t>
  </si>
  <si>
    <t>Wolfsburg</t>
  </si>
  <si>
    <t>Rijeka</t>
  </si>
  <si>
    <t>10:00 GMT</t>
  </si>
  <si>
    <t>Teplice</t>
  </si>
  <si>
    <t>09:30 GMT</t>
  </si>
  <si>
    <t>Sokolov</t>
  </si>
  <si>
    <t>06:35 GMT</t>
  </si>
  <si>
    <t>  IN PLAY</t>
  </si>
  <si>
    <t>ES Setif</t>
  </si>
  <si>
    <t>Mlila</t>
  </si>
  <si>
    <t>Poprad</t>
  </si>
  <si>
    <t>Italian Coppa Italia:</t>
  </si>
  <si>
    <t>4-2</t>
  </si>
  <si>
    <t>En Avant Guingamp </t>
  </si>
  <si>
    <t> Juventus</t>
  </si>
  <si>
    <t>Check to see whether the results from the list produces 65% or greater success</t>
  </si>
  <si>
    <t>Arsenal vs Manchester United</t>
  </si>
  <si>
    <t>Melbourne Victory vs Sydney FC</t>
  </si>
  <si>
    <t>Brighton &amp; Hove Albion vs West Bromwich Albion</t>
  </si>
  <si>
    <t>To Stake</t>
  </si>
  <si>
    <t>Day P/L</t>
  </si>
  <si>
    <t>Day Stake</t>
  </si>
  <si>
    <t>Adelaide United vs Central Coast Mariners</t>
  </si>
  <si>
    <t>Crystal Palace vs Tottenham Hotspur</t>
  </si>
  <si>
    <t>Iran vs Japan</t>
  </si>
  <si>
    <t>Atlantic Cup</t>
  </si>
  <si>
    <t>Baumit Jablonec vs AGF Aarhus</t>
  </si>
  <si>
    <t>Argentinian Superliga</t>
  </si>
  <si>
    <t>Estudiantes de la Plata vs Velez Sarsfield</t>
  </si>
  <si>
    <t>Italian Serie A</t>
  </si>
  <si>
    <t>Empoli vs Genoa</t>
  </si>
  <si>
    <t>Penafiel vs Famalicao</t>
  </si>
  <si>
    <t>Portuguese Liga 2</t>
  </si>
  <si>
    <t>Copa Libertadores:</t>
  </si>
  <si>
    <t>Belgian Cup:</t>
  </si>
  <si>
    <t>Finnish Suomen Cup:</t>
  </si>
  <si>
    <t>German Bundesliga 2:</t>
  </si>
  <si>
    <t>English Premier League</t>
  </si>
  <si>
    <t>Huddersfield Town vs Everton</t>
  </si>
  <si>
    <t>French Coupe de la Ligue</t>
  </si>
  <si>
    <t>En Avant Guingamp vs AS Monaco</t>
  </si>
  <si>
    <t>German Bundesliga 2</t>
  </si>
  <si>
    <t>Greuther Furth vs Ingolstadt</t>
  </si>
  <si>
    <t>Darmstadt 98 vs St. Pauli</t>
  </si>
  <si>
    <t>Varzim vs Leixoes Matosinhos</t>
  </si>
  <si>
    <t>TFT-Tips</t>
  </si>
  <si>
    <t xml:space="preserve">Qatar </t>
  </si>
  <si>
    <t> United Arab Emirates</t>
  </si>
  <si>
    <t>Real Garcilaso </t>
  </si>
  <si>
    <t xml:space="preserve"> Deportivo La Guaira</t>
  </si>
  <si>
    <t>Union Saint-Gilloise </t>
  </si>
  <si>
    <t> KV Mechelen</t>
  </si>
  <si>
    <t xml:space="preserve"> Cardiff City</t>
  </si>
  <si>
    <t>Huddersfield Town </t>
  </si>
  <si>
    <t xml:space="preserve"> Everton</t>
  </si>
  <si>
    <t xml:space="preserve"> West Ham United</t>
  </si>
  <si>
    <t xml:space="preserve"> Burnley</t>
  </si>
  <si>
    <t> Manchester City</t>
  </si>
  <si>
    <t>HJK Helsinki </t>
  </si>
  <si>
    <t xml:space="preserve"> HIFK Helsinki</t>
  </si>
  <si>
    <t xml:space="preserve"> AS Monaco</t>
  </si>
  <si>
    <t>VfL Bochum </t>
  </si>
  <si>
    <t xml:space="preserve"> MSV Duisburg</t>
  </si>
  <si>
    <t>Darmstadt 98 </t>
  </si>
  <si>
    <t xml:space="preserve"> St. Pauli</t>
  </si>
  <si>
    <t>Greuther Furth </t>
  </si>
  <si>
    <t xml:space="preserve"> Ingolstadt</t>
  </si>
  <si>
    <t>Magdeburg </t>
  </si>
  <si>
    <t> Erzgebirge Aue</t>
  </si>
  <si>
    <t xml:space="preserve">AC Milan </t>
  </si>
  <si>
    <t> SSC Napoli</t>
  </si>
  <si>
    <t xml:space="preserve"> Chaves</t>
  </si>
  <si>
    <t>Farense </t>
  </si>
  <si>
    <t xml:space="preserve"> Sporting Braga II</t>
  </si>
  <si>
    <t>4-0</t>
  </si>
  <si>
    <t>5-1</t>
  </si>
  <si>
    <t>TOTAL</t>
  </si>
  <si>
    <t>To query - Bet won!</t>
  </si>
  <si>
    <t>Atlantic Cup:</t>
  </si>
  <si>
    <t>Argentinian Superliga:</t>
  </si>
  <si>
    <t>Croatian Prva Liga:</t>
  </si>
  <si>
    <t>COMBINED</t>
  </si>
  <si>
    <t>Nacional Asuncion </t>
  </si>
  <si>
    <t xml:space="preserve"> Delfin</t>
  </si>
  <si>
    <t>Defensor Sporting </t>
  </si>
  <si>
    <t xml:space="preserve"> Bolivar La Paz</t>
  </si>
  <si>
    <t>Beijing Guoan </t>
  </si>
  <si>
    <t> SV Mattersburg</t>
  </si>
  <si>
    <t>Godoy Cruz de Mendoza </t>
  </si>
  <si>
    <t xml:space="preserve"> River Plate</t>
  </si>
  <si>
    <t>KV Oostende </t>
  </si>
  <si>
    <t> AA Gent</t>
  </si>
  <si>
    <t>Slaven Koprivnica </t>
  </si>
  <si>
    <t> Rijeka</t>
  </si>
  <si>
    <t xml:space="preserve">Bournemouth </t>
  </si>
  <si>
    <t> Chelsea</t>
  </si>
  <si>
    <t xml:space="preserve">Southampton </t>
  </si>
  <si>
    <t>Liverpool </t>
  </si>
  <si>
    <t xml:space="preserve"> Watford</t>
  </si>
  <si>
    <t>Racing Club Strasbourg </t>
  </si>
  <si>
    <t xml:space="preserve"> Girondins de Bordeaux</t>
  </si>
  <si>
    <t>Jahn Regenbsurg </t>
  </si>
  <si>
    <t> Paderborn 07</t>
  </si>
  <si>
    <t>Hamburger SV </t>
  </si>
  <si>
    <t xml:space="preserve"> SV Sandhausen</t>
  </si>
  <si>
    <t>Heidenheim </t>
  </si>
  <si>
    <t> Holsten Kiel</t>
  </si>
  <si>
    <t xml:space="preserve">Dynamo Dresden </t>
  </si>
  <si>
    <t> Arminia Bielefeld</t>
  </si>
  <si>
    <t>ACF Fiorentina </t>
  </si>
  <si>
    <t xml:space="preserve"> AS Roma</t>
  </si>
  <si>
    <t>Atalanta Bergamo </t>
  </si>
  <si>
    <t xml:space="preserve">Vitoria Setubal </t>
  </si>
  <si>
    <t> Sporting Clube de Portugal</t>
  </si>
  <si>
    <t>SL Benfica II </t>
  </si>
  <si>
    <t>Barcelona CF </t>
  </si>
  <si>
    <t xml:space="preserve"> Sevilla CF</t>
  </si>
  <si>
    <t>Real Betis Balompie </t>
  </si>
  <si>
    <t xml:space="preserve"> RCD Espanyol</t>
  </si>
  <si>
    <t>Godoy Cruz de Mendoza  vs  River Plate</t>
  </si>
  <si>
    <t>ACF Fiorentina  vs  AS Roma</t>
  </si>
  <si>
    <t>Racing Club Strasbourg  vs  Girondins de Bordeaux</t>
  </si>
  <si>
    <t>M</t>
  </si>
  <si>
    <t>N/a</t>
  </si>
  <si>
    <t>M-&gt;18,19</t>
  </si>
  <si>
    <t>TFT running % Success Rate (Home Wins)</t>
  </si>
  <si>
    <t>Latest Filtered Data</t>
  </si>
  <si>
    <t>Error - Bet twice!</t>
  </si>
  <si>
    <t>Return</t>
  </si>
  <si>
    <t>w</t>
  </si>
  <si>
    <t>l</t>
  </si>
  <si>
    <t>Day Profit</t>
  </si>
  <si>
    <t>Notes:</t>
  </si>
  <si>
    <t>Monthly Bankroll (@60% s.rate)</t>
  </si>
  <si>
    <t>Average ODDS in day bets</t>
  </si>
  <si>
    <t>Total Staked in day bets</t>
  </si>
  <si>
    <t>Bet only on Home win predictions, NEVER on draws.</t>
  </si>
  <si>
    <t>0-4</t>
  </si>
  <si>
    <t>3-2</t>
  </si>
  <si>
    <t>3-4</t>
  </si>
  <si>
    <t>7-1</t>
  </si>
  <si>
    <t>3-1</t>
  </si>
  <si>
    <t>6-1</t>
  </si>
  <si>
    <t>San Martin de San Juan </t>
  </si>
  <si>
    <t> Boca Juniors</t>
  </si>
  <si>
    <t>Union Berlin </t>
  </si>
  <si>
    <t> Koln</t>
  </si>
  <si>
    <t>Internazionale </t>
  </si>
  <si>
    <t> SS Lazio</t>
  </si>
  <si>
    <t>See Logic tab for average ODDS in day bets &amp; total staked in day bets required to achieve Month Bet Turnover</t>
  </si>
  <si>
    <t>If day tips do not meet criteria above, do not bet.</t>
  </si>
  <si>
    <t>No. of Bets per Month</t>
  </si>
  <si>
    <t>Month Bet Turnover</t>
  </si>
  <si>
    <t>Month Bet Profit</t>
  </si>
  <si>
    <t>Row Labels</t>
  </si>
  <si>
    <t>Grand Total</t>
  </si>
  <si>
    <t>Count of TIME</t>
  </si>
  <si>
    <t>Column Labels</t>
  </si>
  <si>
    <t>Betin Kenya</t>
  </si>
  <si>
    <t xml:space="preserve"> - Bettors can choose to bet on different things with Betin.</t>
  </si>
  <si>
    <t xml:space="preserve"> - live betting.</t>
  </si>
  <si>
    <t xml:space="preserve"> - pay MPESA charges</t>
  </si>
  <si>
    <t>BetPawa</t>
  </si>
  <si>
    <t xml:space="preserve"> - offers 100% bonus on the first cash deposit.</t>
  </si>
  <si>
    <t xml:space="preserve"> - free withdrawals.</t>
  </si>
  <si>
    <t xml:space="preserve"> - free bet with first 25 bob pay.</t>
  </si>
  <si>
    <t>Betway</t>
  </si>
  <si>
    <t xml:space="preserve"> - offers 100% bonus on accumulated bets</t>
  </si>
  <si>
    <t>Betyetu</t>
  </si>
  <si>
    <t xml:space="preserve"> - a good jackpot offer (10 mil).</t>
  </si>
  <si>
    <t xml:space="preserve"> - reward bettors that have at least 9 correct scores out of 13.</t>
  </si>
  <si>
    <t xml:space="preserve"> - minimum withdrawal amount is 100</t>
  </si>
  <si>
    <t>Cheza Cash</t>
  </si>
  <si>
    <t xml:space="preserve"> - can bet on 5 different sports concurrently.</t>
  </si>
  <si>
    <t xml:space="preserve"> - has a 15 mil jackpot every week.</t>
  </si>
  <si>
    <t xml:space="preserve"> - Every time you play the jackpot you increase your chances of winning 15k, because you are earning points with each play.</t>
  </si>
  <si>
    <t xml:space="preserve"> - a bonus of 100 shillings when you place a bet with the same amount.</t>
  </si>
  <si>
    <t xml:space="preserve"> - 1/1/19: Deposit 250 &amp; get a Free Bet.</t>
  </si>
  <si>
    <t>Eazi Bet</t>
  </si>
  <si>
    <t xml:space="preserve"> - the cheapest since you can bet from as low as 1 shilling and withdraw as low as 50 shillings.</t>
  </si>
  <si>
    <t xml:space="preserve"> - 4/1/19: Free bonus. Voucher Code: Bet2019. Redeem by 9/1.</t>
  </si>
  <si>
    <t>Elibet Kenya</t>
  </si>
  <si>
    <t xml:space="preserve"> - has the lowest stakes</t>
  </si>
  <si>
    <t xml:space="preserve"> - weekly jackpots</t>
  </si>
  <si>
    <t>Sportspesa</t>
  </si>
  <si>
    <t xml:space="preserve"> - has excellent jackpots (over 100 mil).</t>
  </si>
  <si>
    <t xml:space="preserve"> - least bet is 49 bob.</t>
  </si>
  <si>
    <t xml:space="preserve"> - offers 50% bonus on cash deposit.-WRONG!</t>
  </si>
  <si>
    <t>Belgian Eerste Klasse:</t>
  </si>
  <si>
    <t>German Bundesliga:</t>
  </si>
  <si>
    <t>Italian Serie B:</t>
  </si>
  <si>
    <t>Dutch Eredivisie:</t>
  </si>
  <si>
    <t>Swiss Challenge League:</t>
  </si>
  <si>
    <t>Turkish Super Lig:</t>
  </si>
  <si>
    <t> Japan</t>
  </si>
  <si>
    <t>Salzburg </t>
  </si>
  <si>
    <t xml:space="preserve"> Beijing Guoan</t>
  </si>
  <si>
    <t xml:space="preserve">Rosenborg BK </t>
  </si>
  <si>
    <t> Slavia Prague</t>
  </si>
  <si>
    <t>Gimnasia de la Plata </t>
  </si>
  <si>
    <t xml:space="preserve"> Tigre</t>
  </si>
  <si>
    <t>Talleres de Cordoba </t>
  </si>
  <si>
    <t> Banfield</t>
  </si>
  <si>
    <t>San Martin de Tucuman </t>
  </si>
  <si>
    <t> Defensa y Justicia</t>
  </si>
  <si>
    <t> Newcastle Jets</t>
  </si>
  <si>
    <t>Royal Excel Mouscron </t>
  </si>
  <si>
    <t xml:space="preserve"> Sporting Charleroi</t>
  </si>
  <si>
    <t>Lokomotiva Zagreb </t>
  </si>
  <si>
    <t xml:space="preserve"> Inter Zapresic</t>
  </si>
  <si>
    <t>TPS Turku </t>
  </si>
  <si>
    <t xml:space="preserve"> Ekenas IF</t>
  </si>
  <si>
    <t xml:space="preserve"> OGC Nice</t>
  </si>
  <si>
    <t xml:space="preserve">Hannover 96 </t>
  </si>
  <si>
    <t> RB Leipzig</t>
  </si>
  <si>
    <t>MSV Duisburg </t>
  </si>
  <si>
    <t xml:space="preserve"> Darmstadt 98</t>
  </si>
  <si>
    <t>Ingolstadt </t>
  </si>
  <si>
    <t xml:space="preserve"> Magdeburg</t>
  </si>
  <si>
    <t>Lecce </t>
  </si>
  <si>
    <t xml:space="preserve"> Ascoli</t>
  </si>
  <si>
    <t>De Graafschap </t>
  </si>
  <si>
    <t xml:space="preserve"> NAC Breda</t>
  </si>
  <si>
    <t xml:space="preserve"> Tondela</t>
  </si>
  <si>
    <t>Huesca </t>
  </si>
  <si>
    <t> Real Valladolid</t>
  </si>
  <si>
    <t>Aarau </t>
  </si>
  <si>
    <t xml:space="preserve"> FC Wil</t>
  </si>
  <si>
    <t>Fenerbahce </t>
  </si>
  <si>
    <t> Goztepe</t>
  </si>
  <si>
    <t>Royal Excel Mouscron  vs  Sporting Charleroi</t>
  </si>
  <si>
    <t>MSV Duisburg  vs  Darmstadt 98</t>
  </si>
  <si>
    <t>De Graafschap  vs  NAC Breda</t>
  </si>
  <si>
    <t>Ingolstadt  vs  Magdeburg</t>
  </si>
  <si>
    <t>Gimnasia de la Plata  vs  Tigre</t>
  </si>
  <si>
    <t>1-5</t>
  </si>
  <si>
    <t xml:space="preserve"> Japan vs Qatar</t>
  </si>
  <si>
    <t>None of the teams is at home.</t>
  </si>
  <si>
    <t>Played at 1am on 2/1/19</t>
  </si>
  <si>
    <t>Month Bet Profit posted to Budget spreasheet is the 'Cum. P/L' value on the last day of the month (against the lat day bet).</t>
  </si>
  <si>
    <t>Hungarian Liga 1:</t>
  </si>
  <si>
    <t>Italian Serie A:</t>
  </si>
  <si>
    <t>Swiss Super League:</t>
  </si>
  <si>
    <t>San Lorenzo de Almagro </t>
  </si>
  <si>
    <t xml:space="preserve"> independiente</t>
  </si>
  <si>
    <t>Argentinos Juniors </t>
  </si>
  <si>
    <t> Belgrano de Cordoba</t>
  </si>
  <si>
    <t>Atletico Lanus </t>
  </si>
  <si>
    <t xml:space="preserve"> Colon de Santa Fe</t>
  </si>
  <si>
    <t>Rosario Central </t>
  </si>
  <si>
    <t xml:space="preserve"> Aldosivi</t>
  </si>
  <si>
    <t xml:space="preserve"> Wellington Phoenix</t>
  </si>
  <si>
    <t xml:space="preserve">KV Oostende </t>
  </si>
  <si>
    <t> Antwerp</t>
  </si>
  <si>
    <t>Kortrijk </t>
  </si>
  <si>
    <t> Lokeren</t>
  </si>
  <si>
    <t>Zulte-Waregem </t>
  </si>
  <si>
    <t xml:space="preserve"> Cercle Brugge</t>
  </si>
  <si>
    <t>Waasland-Beveren </t>
  </si>
  <si>
    <t> Racing Genk</t>
  </si>
  <si>
    <t>Dinamo Zagreb </t>
  </si>
  <si>
    <t xml:space="preserve"> Rudes</t>
  </si>
  <si>
    <t>Istra 1961 </t>
  </si>
  <si>
    <t> Slaven Koprivnica</t>
  </si>
  <si>
    <t xml:space="preserve"> Newcastle United</t>
  </si>
  <si>
    <t>Brighton &amp; Hove Albion </t>
  </si>
  <si>
    <t xml:space="preserve">Everton </t>
  </si>
  <si>
    <t> Wolverhampton Wanderers</t>
  </si>
  <si>
    <t> Bournemouth</t>
  </si>
  <si>
    <t>MyPa </t>
  </si>
  <si>
    <t xml:space="preserve"> Jaro Pietarsaari</t>
  </si>
  <si>
    <t xml:space="preserve"> IFK Mariehamn</t>
  </si>
  <si>
    <t>FC Lahti </t>
  </si>
  <si>
    <t>Ilves </t>
  </si>
  <si>
    <t> SJK</t>
  </si>
  <si>
    <t>Haka Valkeakoski </t>
  </si>
  <si>
    <t> AC Oulu</t>
  </si>
  <si>
    <t>TPV Tampere </t>
  </si>
  <si>
    <t> Kajaani</t>
  </si>
  <si>
    <t>VPS Vaasa </t>
  </si>
  <si>
    <t xml:space="preserve"> KuPS Kuopio</t>
  </si>
  <si>
    <t>Stade de Reims </t>
  </si>
  <si>
    <t>Angers SCO </t>
  </si>
  <si>
    <t xml:space="preserve"> Toulouse</t>
  </si>
  <si>
    <t xml:space="preserve"> Amiens SC</t>
  </si>
  <si>
    <t>Hoffenheim </t>
  </si>
  <si>
    <t xml:space="preserve"> Fortuna Dusseldorf</t>
  </si>
  <si>
    <t xml:space="preserve">Bayer 04 Leverkusen </t>
  </si>
  <si>
    <t> Bayern Munich</t>
  </si>
  <si>
    <t xml:space="preserve">Eintracht Frankfurt </t>
  </si>
  <si>
    <t> Bv09 Borussia Dortmund</t>
  </si>
  <si>
    <t>Hertha Berlin </t>
  </si>
  <si>
    <t xml:space="preserve"> VfL Wolfsburg</t>
  </si>
  <si>
    <t>Nurnberg </t>
  </si>
  <si>
    <t> Werder Bremen</t>
  </si>
  <si>
    <t xml:space="preserve">Schalke 04 </t>
  </si>
  <si>
    <t> Borussia Moenchengladbach</t>
  </si>
  <si>
    <t>Arminia Bielefeld </t>
  </si>
  <si>
    <t> Hamburger SV</t>
  </si>
  <si>
    <t xml:space="preserve"> Dynamo Dresden</t>
  </si>
  <si>
    <t>Paderborn 07 </t>
  </si>
  <si>
    <t xml:space="preserve"> Greuther Furth</t>
  </si>
  <si>
    <t>MTK Budapest </t>
  </si>
  <si>
    <t xml:space="preserve"> Paksi SE</t>
  </si>
  <si>
    <t>Vidi </t>
  </si>
  <si>
    <t xml:space="preserve"> Puskas FC</t>
  </si>
  <si>
    <t> Ujpest</t>
  </si>
  <si>
    <t xml:space="preserve">Diosgyori VTK </t>
  </si>
  <si>
    <t> Mezokovesd-Zsory</t>
  </si>
  <si>
    <t>Szombathelyi Haladas </t>
  </si>
  <si>
    <t> Varda SE</t>
  </si>
  <si>
    <t>Ferencvaros </t>
  </si>
  <si>
    <t xml:space="preserve"> Budapest Honved</t>
  </si>
  <si>
    <t>MS Ashdod </t>
  </si>
  <si>
    <t> Hapoel Hadera</t>
  </si>
  <si>
    <t>Hapoel Be’er Sheva </t>
  </si>
  <si>
    <t> Maccabi Netanya</t>
  </si>
  <si>
    <t xml:space="preserve">Bnei Yehuda Tel-Aviv </t>
  </si>
  <si>
    <t xml:space="preserve">Empoli </t>
  </si>
  <si>
    <t> Chievo Verona</t>
  </si>
  <si>
    <t>SSC Napoli </t>
  </si>
  <si>
    <t xml:space="preserve"> Sampdoria</t>
  </si>
  <si>
    <t>Juventus </t>
  </si>
  <si>
    <t xml:space="preserve"> Parma</t>
  </si>
  <si>
    <t xml:space="preserve">Cosenza </t>
  </si>
  <si>
    <t> Cittadella</t>
  </si>
  <si>
    <t>Carpi </t>
  </si>
  <si>
    <t xml:space="preserve"> Hellas Verona</t>
  </si>
  <si>
    <t>Padova </t>
  </si>
  <si>
    <t xml:space="preserve"> Salernitana</t>
  </si>
  <si>
    <t>Spezia </t>
  </si>
  <si>
    <t xml:space="preserve"> Cremonese</t>
  </si>
  <si>
    <t>Vitesse Arnhem </t>
  </si>
  <si>
    <t xml:space="preserve"> Heerenveen</t>
  </si>
  <si>
    <t>Willem II </t>
  </si>
  <si>
    <t xml:space="preserve"> Groningen</t>
  </si>
  <si>
    <t>AFC Ajax Amsterdam </t>
  </si>
  <si>
    <t xml:space="preserve"> VVV Venlo</t>
  </si>
  <si>
    <t>AZ Alkmaar </t>
  </si>
  <si>
    <t xml:space="preserve"> FC Emmen</t>
  </si>
  <si>
    <t> Feirense</t>
  </si>
  <si>
    <t> Sporting Braga</t>
  </si>
  <si>
    <t xml:space="preserve"> SL Benfica II</t>
  </si>
  <si>
    <t> Farense</t>
  </si>
  <si>
    <t xml:space="preserve"> Getafe</t>
  </si>
  <si>
    <t>Real Sociedad </t>
  </si>
  <si>
    <t> Athletic Club</t>
  </si>
  <si>
    <t xml:space="preserve">Celta de Vigo </t>
  </si>
  <si>
    <t> Sevilla CF</t>
  </si>
  <si>
    <t>Lugano </t>
  </si>
  <si>
    <t> Thun</t>
  </si>
  <si>
    <t>Young Boys Bern </t>
  </si>
  <si>
    <t xml:space="preserve"> Neuchatel Xamax</t>
  </si>
  <si>
    <t>Lausanne Sport </t>
  </si>
  <si>
    <t xml:space="preserve"> SC Kriens</t>
  </si>
  <si>
    <t>FC Schaffhausen </t>
  </si>
  <si>
    <t xml:space="preserve"> Chiasso</t>
  </si>
  <si>
    <t>Servette </t>
  </si>
  <si>
    <t xml:space="preserve"> Vaduz</t>
  </si>
  <si>
    <t>Yeni Malatyaspor </t>
  </si>
  <si>
    <t xml:space="preserve"> Kayserispor</t>
  </si>
  <si>
    <t>Kasimpasa </t>
  </si>
  <si>
    <t> Sivasspor</t>
  </si>
  <si>
    <t>Trabzonspor </t>
  </si>
  <si>
    <t xml:space="preserve"> Ankaragucu</t>
  </si>
  <si>
    <t xml:space="preserve">Alanyaspor </t>
  </si>
  <si>
    <t> Galatasaray</t>
  </si>
  <si>
    <t>Debreceni VSC </t>
  </si>
  <si>
    <t>VPS Vaasa  vs  KuPS Kuopio</t>
  </si>
  <si>
    <t>MyPa  vs  Jaro Pietarsaari</t>
  </si>
  <si>
    <t>Carpi  vs  Hellas Verona</t>
  </si>
  <si>
    <t>San Lorenzo de Almagro  vs  independiente</t>
  </si>
  <si>
    <t>Willem II  vs  Groningen</t>
  </si>
  <si>
    <t>Burnley  vs  Southampton</t>
  </si>
  <si>
    <t>Levante CF  vs  Getafe</t>
  </si>
  <si>
    <t>Mafra  vs  SL Benfica II</t>
  </si>
  <si>
    <t>Hertha Berlin  vs  VfL Wolfsburg</t>
  </si>
  <si>
    <t>Boca Juniors </t>
  </si>
  <si>
    <t xml:space="preserve"> Godoy Cruz de Mendoza</t>
  </si>
  <si>
    <t>Racing Club Avellaneda </t>
  </si>
  <si>
    <t xml:space="preserve"> Atletico Huracan</t>
  </si>
  <si>
    <t>Union de Santa Fe </t>
  </si>
  <si>
    <t> Newell’s Old Boys</t>
  </si>
  <si>
    <t xml:space="preserve">Velez Sarsfield </t>
  </si>
  <si>
    <t> River Plate</t>
  </si>
  <si>
    <t>Club Brugge </t>
  </si>
  <si>
    <t xml:space="preserve"> AA Gent</t>
  </si>
  <si>
    <t>Standard de Liege </t>
  </si>
  <si>
    <t xml:space="preserve"> RSC Anderlecht</t>
  </si>
  <si>
    <t xml:space="preserve">Sint-Truiden </t>
  </si>
  <si>
    <t> AS Eupen</t>
  </si>
  <si>
    <t>NK Osijek </t>
  </si>
  <si>
    <t> Hajduk Split</t>
  </si>
  <si>
    <t>Rijeka </t>
  </si>
  <si>
    <t xml:space="preserve"> Gorica</t>
  </si>
  <si>
    <t xml:space="preserve">Leicester City </t>
  </si>
  <si>
    <t xml:space="preserve"> Arsenal</t>
  </si>
  <si>
    <t>Nimes Olympique </t>
  </si>
  <si>
    <t xml:space="preserve">Olympique Lyonnais </t>
  </si>
  <si>
    <t>Augsburg </t>
  </si>
  <si>
    <t> Mainz 05</t>
  </si>
  <si>
    <t xml:space="preserve">VfB Stuttgart </t>
  </si>
  <si>
    <t> SC Freiburg</t>
  </si>
  <si>
    <t>Holstein Kiel </t>
  </si>
  <si>
    <t xml:space="preserve"> Jahn Regensburg</t>
  </si>
  <si>
    <t>SV Sandhausen </t>
  </si>
  <si>
    <t> VfL Bochum</t>
  </si>
  <si>
    <t xml:space="preserve">Erzgebirge Aue </t>
  </si>
  <si>
    <t>Ironi Kiryat Shmona </t>
  </si>
  <si>
    <t> Bnei Sakhnin</t>
  </si>
  <si>
    <t xml:space="preserve"> Hapoel Haifa</t>
  </si>
  <si>
    <t xml:space="preserve">SPAL </t>
  </si>
  <si>
    <t> Torino</t>
  </si>
  <si>
    <t xml:space="preserve">Udinese </t>
  </si>
  <si>
    <t> ACF Fiorentina</t>
  </si>
  <si>
    <t>Genoa </t>
  </si>
  <si>
    <t> Sassuolo</t>
  </si>
  <si>
    <t xml:space="preserve"> Bologna</t>
  </si>
  <si>
    <t>AS Roma </t>
  </si>
  <si>
    <t> AC Milan</t>
  </si>
  <si>
    <t>Crotone </t>
  </si>
  <si>
    <t xml:space="preserve"> Livorno</t>
  </si>
  <si>
    <t>Benevento </t>
  </si>
  <si>
    <t> Venezia</t>
  </si>
  <si>
    <t>Pescara </t>
  </si>
  <si>
    <t xml:space="preserve"> Brescia</t>
  </si>
  <si>
    <t xml:space="preserve">Excelsior Rotterdam </t>
  </si>
  <si>
    <t> Feyenoord Rotterdam</t>
  </si>
  <si>
    <t xml:space="preserve">PEC Zwolle </t>
  </si>
  <si>
    <t> FC Utrecht</t>
  </si>
  <si>
    <t>PSV Eindhoven </t>
  </si>
  <si>
    <t xml:space="preserve"> Fortuna Sittard</t>
  </si>
  <si>
    <t>ADO Den Haag </t>
  </si>
  <si>
    <t> Heracles Almelo</t>
  </si>
  <si>
    <t>CD Nacional de Madeira </t>
  </si>
  <si>
    <t> Portimonense</t>
  </si>
  <si>
    <t xml:space="preserve"> SL Benfica</t>
  </si>
  <si>
    <t xml:space="preserve">Vitoria Guimaraes </t>
  </si>
  <si>
    <t xml:space="preserve">Leixoes Matosinhos </t>
  </si>
  <si>
    <t> Estoril</t>
  </si>
  <si>
    <t xml:space="preserve"> Academico Viseu</t>
  </si>
  <si>
    <t>Cova Piedade </t>
  </si>
  <si>
    <t> UD Oliveirense</t>
  </si>
  <si>
    <t xml:space="preserve"> Deportivo Alaves</t>
  </si>
  <si>
    <t xml:space="preserve"> Girona</t>
  </si>
  <si>
    <t xml:space="preserve">Grasshopper Zurich </t>
  </si>
  <si>
    <t> FC Basel</t>
  </si>
  <si>
    <t>Luzern </t>
  </si>
  <si>
    <t> Sion </t>
  </si>
  <si>
    <t>St. Gallen </t>
  </si>
  <si>
    <t> FC Zurich</t>
  </si>
  <si>
    <t>Winterthur </t>
  </si>
  <si>
    <t xml:space="preserve"> Rapperswil-Jona</t>
  </si>
  <si>
    <t xml:space="preserve">BB Erzurumspor </t>
  </si>
  <si>
    <t> Rizespor</t>
  </si>
  <si>
    <t xml:space="preserve">Akhisarspor </t>
  </si>
  <si>
    <t> Istanbul BB</t>
  </si>
  <si>
    <t>Antalyaspor </t>
  </si>
  <si>
    <t> Besiktas JK</t>
  </si>
  <si>
    <t>Real Betis Balompie  vs  Atletico Madrid</t>
  </si>
  <si>
    <t>Sporting Clube de Portugal  vs  SL Benfica</t>
  </si>
  <si>
    <t>Pescara  vs  Brescia</t>
  </si>
  <si>
    <t>CD Nacional de Madeira  vs  Vitoria Setubal</t>
  </si>
  <si>
    <t>Holstein Kiel  vs  Jahn Regensburg</t>
  </si>
  <si>
    <t>FC Porto II  vs  Penafiel</t>
  </si>
  <si>
    <t>Standard de Liege  vs  RSC Anderlecht</t>
  </si>
  <si>
    <t>Crotone  vs  Livorno</t>
  </si>
  <si>
    <t>4-3</t>
  </si>
  <si>
    <t>7-2</t>
  </si>
  <si>
    <t>5-0</t>
  </si>
  <si>
    <t>6-0</t>
  </si>
  <si>
    <t>Check Bonus strategy!!!!</t>
  </si>
  <si>
    <t>Patronato  vs  Atletico Tucuman</t>
  </si>
  <si>
    <t>Rayo Vallecano de Madrid  vs  Leganes CF</t>
  </si>
  <si>
    <t>Bursaspor  vs  Konyaspor</t>
  </si>
  <si>
    <t>Maccabi Haifa  vs  Hapoel Tel-Aviv</t>
  </si>
  <si>
    <t>2-6</t>
  </si>
  <si>
    <t>2-4</t>
  </si>
  <si>
    <t>% WON</t>
  </si>
  <si>
    <t>Copa Sudamericana:</t>
  </si>
  <si>
    <t>German DFB Pokal:</t>
  </si>
  <si>
    <t>Israeli State Cup:</t>
  </si>
  <si>
    <t>Danubio </t>
  </si>
  <si>
    <t> Atletico Mineiro</t>
  </si>
  <si>
    <t>Melgar FBC </t>
  </si>
  <si>
    <t> Universidad de Chile</t>
  </si>
  <si>
    <t>The Strongest </t>
  </si>
  <si>
    <t xml:space="preserve"> Libertad Asuncion</t>
  </si>
  <si>
    <t>Union La Calera </t>
  </si>
  <si>
    <t> Chapecoense</t>
  </si>
  <si>
    <t xml:space="preserve"> Shrewsbury Town</t>
  </si>
  <si>
    <t>Olympique de Marseille </t>
  </si>
  <si>
    <t> Girondins de Bordeaux</t>
  </si>
  <si>
    <t>Bastia </t>
  </si>
  <si>
    <t xml:space="preserve">Croix Football IC </t>
  </si>
  <si>
    <t xml:space="preserve"> Nurnberg</t>
  </si>
  <si>
    <t xml:space="preserve">Heidenheim </t>
  </si>
  <si>
    <t> Bayer 04 Leverkusen</t>
  </si>
  <si>
    <t>Bv09 Borussia Dortmund </t>
  </si>
  <si>
    <t xml:space="preserve"> Werder Bremen</t>
  </si>
  <si>
    <t xml:space="preserve">Hapoel Afula </t>
  </si>
  <si>
    <t> Bnei Yehuda Tel-Aviv</t>
  </si>
  <si>
    <t>Maccabi Netanya </t>
  </si>
  <si>
    <t xml:space="preserve"> Maccabi Petah Tikva</t>
  </si>
  <si>
    <t xml:space="preserve">Famalicao </t>
  </si>
  <si>
    <t>Hamburger SV  vs  Nurnberg</t>
  </si>
  <si>
    <t>Maccabi Netanya  vs  Maccabi Petah Tikva</t>
  </si>
  <si>
    <t>Nantes Atlantique  vs  Toulouse</t>
  </si>
  <si>
    <t>St. Pauli </t>
  </si>
  <si>
    <t> Union Berlin</t>
  </si>
  <si>
    <t>Belenenses </t>
  </si>
  <si>
    <t> Moreirense</t>
  </si>
  <si>
    <t>Patronato </t>
  </si>
  <si>
    <t xml:space="preserve"> Atletico Tucuman</t>
  </si>
  <si>
    <t> Estudiantes de la Plata</t>
  </si>
  <si>
    <t>Bursaspor </t>
  </si>
  <si>
    <t xml:space="preserve"> Konyaspor</t>
  </si>
  <si>
    <t>Maccabi Haifa </t>
  </si>
  <si>
    <t xml:space="preserve"> Hapoel Tel-Aviv</t>
  </si>
  <si>
    <t>Palermo </t>
  </si>
  <si>
    <t xml:space="preserve"> Foggia</t>
  </si>
  <si>
    <t xml:space="preserve">SV Mattersburg </t>
  </si>
  <si>
    <t> IFK Norrkoping</t>
  </si>
  <si>
    <t xml:space="preserve">Cagliari </t>
  </si>
  <si>
    <t> Atalanta Bergamo</t>
  </si>
  <si>
    <t xml:space="preserve">Frosinone </t>
  </si>
  <si>
    <t>Cashout at 42.23</t>
  </si>
  <si>
    <t>Portuguese Taca de Portugal:</t>
  </si>
  <si>
    <t>Delfin </t>
  </si>
  <si>
    <t> Caracas</t>
  </si>
  <si>
    <t> Augsburg</t>
  </si>
  <si>
    <t>Schalke 04 </t>
  </si>
  <si>
    <t> Fortuna Dusseldorf</t>
  </si>
  <si>
    <t>Kafr Qasim </t>
  </si>
  <si>
    <t xml:space="preserve">Talleres de Cordoba </t>
  </si>
  <si>
    <t> Sao Paulo</t>
  </si>
  <si>
    <t> Lille OSC</t>
  </si>
  <si>
    <t xml:space="preserve">Palestino </t>
  </si>
  <si>
    <t> Independiente Medellin</t>
  </si>
  <si>
    <t>West Bromwich Albion </t>
  </si>
  <si>
    <t xml:space="preserve"> Brighton &amp; Hove Albion</t>
  </si>
  <si>
    <t xml:space="preserve"> Barcelona Guayaquil</t>
  </si>
  <si>
    <t xml:space="preserve"> Thun</t>
  </si>
  <si>
    <t>Botafogo </t>
  </si>
  <si>
    <t xml:space="preserve"> Defensa y Justicia</t>
  </si>
  <si>
    <t xml:space="preserve"> Cova de Piedade</t>
  </si>
  <si>
    <t xml:space="preserve"> Real Madrid</t>
  </si>
  <si>
    <t>RB Leipzig </t>
  </si>
  <si>
    <t xml:space="preserve"> Sporting Clube de Portugal</t>
  </si>
  <si>
    <t xml:space="preserve">Farense </t>
  </si>
  <si>
    <t> Maccabi Tel-Aviv</t>
  </si>
  <si>
    <t xml:space="preserve">Villefranche </t>
  </si>
  <si>
    <t> Paris Saint-Germain </t>
  </si>
  <si>
    <t xml:space="preserve">Deportivo La Guaira </t>
  </si>
  <si>
    <t> Atletico Nacional de Medellin</t>
  </si>
  <si>
    <t>Bahia </t>
  </si>
  <si>
    <t> Liverpool Montevideo</t>
  </si>
  <si>
    <t xml:space="preserve">Deportivo Santani </t>
  </si>
  <si>
    <t> Once Caldas Manizales</t>
  </si>
  <si>
    <t xml:space="preserve">Newcastle Jets </t>
  </si>
  <si>
    <t>SS Lazio </t>
  </si>
  <si>
    <t xml:space="preserve"> Empoli</t>
  </si>
  <si>
    <t>Czech Republic HET Liga:</t>
  </si>
  <si>
    <t>Danish Superligaen:</t>
  </si>
  <si>
    <t>Koln </t>
  </si>
  <si>
    <t> St. Pauli</t>
  </si>
  <si>
    <t>Racing Genk </t>
  </si>
  <si>
    <t> Standard de Liege</t>
  </si>
  <si>
    <t>Chievo Verona </t>
  </si>
  <si>
    <t> AS Roma</t>
  </si>
  <si>
    <t xml:space="preserve">AGF Aarhus </t>
  </si>
  <si>
    <t> Esbjerg</t>
  </si>
  <si>
    <t>Mainz 05 </t>
  </si>
  <si>
    <t>Dijon FCO </t>
  </si>
  <si>
    <t xml:space="preserve"> Olympique de Marseille</t>
  </si>
  <si>
    <t>Jahn Regensburg </t>
  </si>
  <si>
    <t>Salernitana </t>
  </si>
  <si>
    <t xml:space="preserve"> Benevento</t>
  </si>
  <si>
    <t>Atletico Huracan </t>
  </si>
  <si>
    <t xml:space="preserve"> Velez Sarsfield</t>
  </si>
  <si>
    <t>Sigma Olomouc </t>
  </si>
  <si>
    <t> Baumit Jablonec</t>
  </si>
  <si>
    <t> Gimnasia de la Plata</t>
  </si>
  <si>
    <t xml:space="preserve">Dukla Prague </t>
  </si>
  <si>
    <t> Banik Ostrava</t>
  </si>
  <si>
    <t xml:space="preserve">Vaduz </t>
  </si>
  <si>
    <t> Lausanne Sport</t>
  </si>
  <si>
    <t>Tigre </t>
  </si>
  <si>
    <t xml:space="preserve"> Banfield</t>
  </si>
  <si>
    <t xml:space="preserve">Kayserispor </t>
  </si>
  <si>
    <t> Fenerbahce</t>
  </si>
  <si>
    <t xml:space="preserve">KPV Kokkola </t>
  </si>
  <si>
    <t> Ilves</t>
  </si>
  <si>
    <t> Sydney FC</t>
  </si>
  <si>
    <t xml:space="preserve">Moreirense </t>
  </si>
  <si>
    <t xml:space="preserve">NAC Breda </t>
  </si>
  <si>
    <t> AZ Alkmaar</t>
  </si>
  <si>
    <t xml:space="preserve">Rudes </t>
  </si>
  <si>
    <t> NK Osijek</t>
  </si>
  <si>
    <t>Taken Bets Success Rate (from 1/2/19).</t>
  </si>
  <si>
    <t>West Bromwich Albion vs Brighton &amp; Hove Albion</t>
  </si>
  <si>
    <t>Defensor Sporting vs Barcelona Guayaquil</t>
  </si>
  <si>
    <t>Lugano vs Thun</t>
  </si>
  <si>
    <t>Botafogo vs Defensa y Justicia</t>
  </si>
  <si>
    <t>Sporting Covilha vs Cova de Piedade</t>
  </si>
  <si>
    <t>Dijon FCO vs Olympique de Marseille</t>
  </si>
  <si>
    <t>Salernitana vs Benevento</t>
  </si>
  <si>
    <t>Atletico Huracan vs Velez Sarsfield</t>
  </si>
  <si>
    <t>Tigre vs Banfield</t>
  </si>
  <si>
    <t>Varda SE </t>
  </si>
  <si>
    <t xml:space="preserve"> Debreceni VC</t>
  </si>
  <si>
    <t xml:space="preserve">Cremonese </t>
  </si>
  <si>
    <t> Padova</t>
  </si>
  <si>
    <t>Borussia Moenchengladbach </t>
  </si>
  <si>
    <t> Hertha Berlin</t>
  </si>
  <si>
    <t>Parma </t>
  </si>
  <si>
    <t> Internazionale</t>
  </si>
  <si>
    <t>Sporting Charleroi </t>
  </si>
  <si>
    <t> KV Oostende</t>
  </si>
  <si>
    <t>Inter Turku </t>
  </si>
  <si>
    <t> HJK Helsinki</t>
  </si>
  <si>
    <t>KTP </t>
  </si>
  <si>
    <t> TPS Turku</t>
  </si>
  <si>
    <t xml:space="preserve">Atletico Tucuman </t>
  </si>
  <si>
    <t xml:space="preserve"> Talleres de Cordoba</t>
  </si>
  <si>
    <t>Ekenas IF </t>
  </si>
  <si>
    <t> TPV Tampere</t>
  </si>
  <si>
    <t> RoPS Rovaniemi</t>
  </si>
  <si>
    <t>Budapest Honved </t>
  </si>
  <si>
    <t> Puskas FC</t>
  </si>
  <si>
    <t> MSV Duisburg</t>
  </si>
  <si>
    <t>Mezokovesd-Zsory </t>
  </si>
  <si>
    <t> MTK Budapest</t>
  </si>
  <si>
    <t xml:space="preserve">Portimonense </t>
  </si>
  <si>
    <t> Rio Ave</t>
  </si>
  <si>
    <t>Hannover 96 </t>
  </si>
  <si>
    <t> Nurnberg</t>
  </si>
  <si>
    <t>Atletico Madrid </t>
  </si>
  <si>
    <t>Karvina </t>
  </si>
  <si>
    <t> Opava</t>
  </si>
  <si>
    <t>Vejle </t>
  </si>
  <si>
    <t> SonderjyskE</t>
  </si>
  <si>
    <t xml:space="preserve">VVV Venlo </t>
  </si>
  <si>
    <t> Willem II</t>
  </si>
  <si>
    <t> Desportivo Aves</t>
  </si>
  <si>
    <t>Ujpest </t>
  </si>
  <si>
    <t> Ferencvaros</t>
  </si>
  <si>
    <t>Perugia </t>
  </si>
  <si>
    <t> Palermo</t>
  </si>
  <si>
    <t> Maccabi Petah Tikva</t>
  </si>
  <si>
    <t xml:space="preserve">AS Eupen </t>
  </si>
  <si>
    <t> Kortrijk</t>
  </si>
  <si>
    <t xml:space="preserve">Jaro Pietarsaari </t>
  </si>
  <si>
    <t xml:space="preserve"> AC Oulu</t>
  </si>
  <si>
    <t>SC Freiburg </t>
  </si>
  <si>
    <t xml:space="preserve"> Adelaide United</t>
  </si>
  <si>
    <t xml:space="preserve">Academico Viseu </t>
  </si>
  <si>
    <t>Watford </t>
  </si>
  <si>
    <t xml:space="preserve">SC Kriens </t>
  </si>
  <si>
    <t> Winterthur</t>
  </si>
  <si>
    <t>KuPS Kuopio </t>
  </si>
  <si>
    <t xml:space="preserve"> SJK</t>
  </si>
  <si>
    <t>Cittadella </t>
  </si>
  <si>
    <t xml:space="preserve"> Spezia</t>
  </si>
  <si>
    <t>Heerenveen </t>
  </si>
  <si>
    <t xml:space="preserve"> PEC Zwolle</t>
  </si>
  <si>
    <t xml:space="preserve">Mlada Boleslav </t>
  </si>
  <si>
    <t> Viktoria Plzen</t>
  </si>
  <si>
    <t xml:space="preserve">Hapoel Tel-Aviv </t>
  </si>
  <si>
    <t xml:space="preserve"> Huesca</t>
  </si>
  <si>
    <t>Zlin </t>
  </si>
  <si>
    <t xml:space="preserve"> Slovacko</t>
  </si>
  <si>
    <t xml:space="preserve"> Academica de Coimbra</t>
  </si>
  <si>
    <t xml:space="preserve"> Celta de Vigo</t>
  </si>
  <si>
    <t>Independiente </t>
  </si>
  <si>
    <t xml:space="preserve"> Union de Santa Fe</t>
  </si>
  <si>
    <t xml:space="preserve"> Hapoel Ra’anana</t>
  </si>
  <si>
    <t>Estudiantes de la Plata </t>
  </si>
  <si>
    <t xml:space="preserve"> Patronato</t>
  </si>
  <si>
    <t xml:space="preserve"> Eintracht Frankfurt</t>
  </si>
  <si>
    <t xml:space="preserve">Rapperswil-Jona </t>
  </si>
  <si>
    <t> Aarau</t>
  </si>
  <si>
    <t>Paksi SE </t>
  </si>
  <si>
    <t xml:space="preserve"> Szombathelyi Haladas</t>
  </si>
  <si>
    <t xml:space="preserve"> Rayo Vallecano de Madrid</t>
  </si>
  <si>
    <t>Rizespor </t>
  </si>
  <si>
    <t xml:space="preserve"> Antalyaspor</t>
  </si>
  <si>
    <t>Southampton </t>
  </si>
  <si>
    <t xml:space="preserve"> TSG Hoffenheim</t>
  </si>
  <si>
    <t xml:space="preserve">Lokeren </t>
  </si>
  <si>
    <t xml:space="preserve">Fulham </t>
  </si>
  <si>
    <t>FC Zurich </t>
  </si>
  <si>
    <t xml:space="preserve"> Grasshopper Zurich</t>
  </si>
  <si>
    <t xml:space="preserve">HIFK Helsinki </t>
  </si>
  <si>
    <t> FC Honka Espoo</t>
  </si>
  <si>
    <t>Besiktas JK </t>
  </si>
  <si>
    <t xml:space="preserve"> Bursaspor</t>
  </si>
  <si>
    <t>Sint-Truiden </t>
  </si>
  <si>
    <t xml:space="preserve"> Waasland-Beveren</t>
  </si>
  <si>
    <t>FC Basel </t>
  </si>
  <si>
    <t xml:space="preserve"> St. Gallen</t>
  </si>
  <si>
    <t xml:space="preserve"> MS Ashdod</t>
  </si>
  <si>
    <t>Slovan Liberec </t>
  </si>
  <si>
    <t xml:space="preserve"> Marila Pribram</t>
  </si>
  <si>
    <t>Brescia </t>
  </si>
  <si>
    <t xml:space="preserve"> Carpi</t>
  </si>
  <si>
    <t>Istanbul BB </t>
  </si>
  <si>
    <t xml:space="preserve"> BB Erzurumspor</t>
  </si>
  <si>
    <t xml:space="preserve"> Diosgyori VTK</t>
  </si>
  <si>
    <t>Bayern Munich </t>
  </si>
  <si>
    <t xml:space="preserve"> Schalke 04</t>
  </si>
  <si>
    <t xml:space="preserve">Heracles Almelo </t>
  </si>
  <si>
    <t> AFC Ajax Amsterdam</t>
  </si>
  <si>
    <t>Slavia Prague </t>
  </si>
  <si>
    <t xml:space="preserve"> Teplice</t>
  </si>
  <si>
    <t xml:space="preserve"> Bournemouth</t>
  </si>
  <si>
    <t xml:space="preserve"> Istra 1961</t>
  </si>
  <si>
    <t>Feyenoord Rotterdam </t>
  </si>
  <si>
    <t xml:space="preserve"> De Graafschap</t>
  </si>
  <si>
    <t>Varda SE  vs  Debreceni VC</t>
  </si>
  <si>
    <t>Jaro Pietarsaari  vs  AC Oulu</t>
  </si>
  <si>
    <t>SC Freiburg  vs  VfL Wolfsburg</t>
  </si>
  <si>
    <t>Melbourne City  vs  Adelaide United</t>
  </si>
  <si>
    <t>Slaven Koprivnica  vs  Gorica</t>
  </si>
  <si>
    <t>Watford  vs  Everton</t>
  </si>
  <si>
    <t>Farense  vs  Leixoes Matosinhos</t>
  </si>
  <si>
    <t>KuPS Kuopio  vs  SJK</t>
  </si>
  <si>
    <t>Cittadella  vs  Spezia</t>
  </si>
  <si>
    <t>Heerenveen  vs  PEC Zwolle</t>
  </si>
  <si>
    <t>Crystal Palace  vs  West Ham United</t>
  </si>
  <si>
    <t>4-4</t>
  </si>
  <si>
    <t>FC Utrecht </t>
  </si>
  <si>
    <t xml:space="preserve">  PSV Eindhoven</t>
  </si>
  <si>
    <t>Galatasaray </t>
  </si>
  <si>
    <t xml:space="preserve">  Trabzonspor</t>
  </si>
  <si>
    <t>RSC Anderlecht </t>
  </si>
  <si>
    <t xml:space="preserve">  Zulte-Waregem</t>
  </si>
  <si>
    <t>Inter Zapresic </t>
  </si>
  <si>
    <t xml:space="preserve">  Rijeka</t>
  </si>
  <si>
    <t>Sassuolo </t>
  </si>
  <si>
    <t xml:space="preserve">  Juventus</t>
  </si>
  <si>
    <t>Thun </t>
  </si>
  <si>
    <t xml:space="preserve"> Young Boys Bern</t>
  </si>
  <si>
    <t>FC Emmen </t>
  </si>
  <si>
    <t xml:space="preserve">  ADO Den Haag</t>
  </si>
  <si>
    <t xml:space="preserve">  AS Saint-Etienne</t>
  </si>
  <si>
    <t xml:space="preserve"> Lille OSC</t>
  </si>
  <si>
    <t xml:space="preserve">  Heidenheim</t>
  </si>
  <si>
    <t>Sion </t>
  </si>
  <si>
    <t xml:space="preserve">  Lugano</t>
  </si>
  <si>
    <t>Groningen </t>
  </si>
  <si>
    <t xml:space="preserve">  Vitesse Arnhem</t>
  </si>
  <si>
    <t>Aalborg BK </t>
  </si>
  <si>
    <t xml:space="preserve">  Randers</t>
  </si>
  <si>
    <t>IFK Mariehamn </t>
  </si>
  <si>
    <t xml:space="preserve">  FC Lahti</t>
  </si>
  <si>
    <t>River Plate </t>
  </si>
  <si>
    <t xml:space="preserve">  Racing Club Avellaneda</t>
  </si>
  <si>
    <t>Hellas Verona </t>
  </si>
  <si>
    <t xml:space="preserve">  Crotone</t>
  </si>
  <si>
    <t>Konyaspor </t>
  </si>
  <si>
    <t xml:space="preserve">  Yeni Malatyaspor</t>
  </si>
  <si>
    <t>Erzgebirge Aue </t>
  </si>
  <si>
    <t xml:space="preserve">  Ingolstadt</t>
  </si>
  <si>
    <t>Leganes CF </t>
  </si>
  <si>
    <t xml:space="preserve">  Real Betis Balompie</t>
  </si>
  <si>
    <t>Newell’s Old Boys </t>
  </si>
  <si>
    <t xml:space="preserve">  Rosario Central</t>
  </si>
  <si>
    <t xml:space="preserve">  Mafra</t>
  </si>
  <si>
    <t>Neuchatel Xamax </t>
  </si>
  <si>
    <t xml:space="preserve"> Luzern</t>
  </si>
  <si>
    <t xml:space="preserve">Hobro </t>
  </si>
  <si>
    <t xml:space="preserve">  AC Horsens</t>
  </si>
  <si>
    <t>Beitar Jerusalem </t>
  </si>
  <si>
    <t xml:space="preserve"> Maccabi Haifa</t>
  </si>
  <si>
    <t xml:space="preserve">Magdeburg </t>
  </si>
  <si>
    <t xml:space="preserve">  Holstein Kiel</t>
  </si>
  <si>
    <t xml:space="preserve">Hapoel Hadera </t>
  </si>
  <si>
    <t xml:space="preserve">  Bnei Yehuda Tel-Aviv</t>
  </si>
  <si>
    <t xml:space="preserve">FC Nordsjaelland </t>
  </si>
  <si>
    <t xml:space="preserve">  Brondby</t>
  </si>
  <si>
    <t>Montpellier HSC </t>
  </si>
  <si>
    <t>Goztepe </t>
  </si>
  <si>
    <t xml:space="preserve"> Alanyaspor</t>
  </si>
  <si>
    <t>Bologna </t>
  </si>
  <si>
    <t xml:space="preserve"> Genoa</t>
  </si>
  <si>
    <t xml:space="preserve"> MuSa</t>
  </si>
  <si>
    <t>Livorno </t>
  </si>
  <si>
    <t xml:space="preserve"> Cosenza</t>
  </si>
  <si>
    <t>Foggia </t>
  </si>
  <si>
    <t xml:space="preserve"> Pescara</t>
  </si>
  <si>
    <t>Fortuna Dusseldorf </t>
  </si>
  <si>
    <t xml:space="preserve"> VfB Stuttgart</t>
  </si>
  <si>
    <t xml:space="preserve"> San Martin de Tucuman</t>
  </si>
  <si>
    <t xml:space="preserve"> Nimes Olympique</t>
  </si>
  <si>
    <t>Hajduk Split </t>
  </si>
  <si>
    <t xml:space="preserve"> Lokomotiva Zagreb</t>
  </si>
  <si>
    <t>FC Wil </t>
  </si>
  <si>
    <t xml:space="preserve"> FC Schaffhausen</t>
  </si>
  <si>
    <t>Fortuna Sittard </t>
  </si>
  <si>
    <t xml:space="preserve"> Excelsior Rotterdam</t>
  </si>
  <si>
    <t>Valencia CF </t>
  </si>
  <si>
    <t xml:space="preserve">Belgrano de Cordoba </t>
  </si>
  <si>
    <t xml:space="preserve">  Boca Juniors</t>
  </si>
  <si>
    <t>FC Copenhagen </t>
  </si>
  <si>
    <t xml:space="preserve"> OB Odense</t>
  </si>
  <si>
    <t xml:space="preserve">OGC Nice </t>
  </si>
  <si>
    <t xml:space="preserve">  Olympique Lyonnais</t>
  </si>
  <si>
    <t>Werder Bremen </t>
  </si>
  <si>
    <t xml:space="preserve"> Augsburg</t>
  </si>
  <si>
    <t>Torino </t>
  </si>
  <si>
    <t xml:space="preserve"> Udinese</t>
  </si>
  <si>
    <t xml:space="preserve"> Eibar</t>
  </si>
  <si>
    <t xml:space="preserve">Athletic Club </t>
  </si>
  <si>
    <t xml:space="preserve">  Barcelona CF</t>
  </si>
  <si>
    <t>AA Gent </t>
  </si>
  <si>
    <t xml:space="preserve"> Royal Excel Mouscron</t>
  </si>
  <si>
    <t>Sampdoria </t>
  </si>
  <si>
    <t xml:space="preserve"> Frosinone</t>
  </si>
  <si>
    <t xml:space="preserve">Cercle Brugge </t>
  </si>
  <si>
    <t xml:space="preserve">  Club Brugge</t>
  </si>
  <si>
    <t xml:space="preserve">Feirense </t>
  </si>
  <si>
    <t xml:space="preserve">  Sporting Clube de Portugal</t>
  </si>
  <si>
    <t>AC Milan </t>
  </si>
  <si>
    <t xml:space="preserve"> Cagliari</t>
  </si>
  <si>
    <t xml:space="preserve">Chiasso </t>
  </si>
  <si>
    <t xml:space="preserve">  Servette</t>
  </si>
  <si>
    <t xml:space="preserve"> Varzim</t>
  </si>
  <si>
    <t xml:space="preserve"> SPAL</t>
  </si>
  <si>
    <t>Sparta Prague </t>
  </si>
  <si>
    <t xml:space="preserve"> Bohemians 1905</t>
  </si>
  <si>
    <t xml:space="preserve"> CD Nacional de Madeira</t>
  </si>
  <si>
    <t>Thun  vs  Young Boys Bern</t>
  </si>
  <si>
    <t>En Avant Guingamp  vs  Lille OSC</t>
  </si>
  <si>
    <t>Neuchatel Xamax  vs  Luzern</t>
  </si>
  <si>
    <t>Toulouse  vs  Stade de Reims</t>
  </si>
  <si>
    <t>Arouca  vs  Famalicao</t>
  </si>
  <si>
    <t>Beitar Jerusalem  vs  Maccabi Haifa</t>
  </si>
  <si>
    <t>Montpellier HSC  vs  AS Monaco</t>
  </si>
  <si>
    <t>Goztepe  vs  Alanyaspor</t>
  </si>
  <si>
    <t>Bologna  vs  Genoa</t>
  </si>
  <si>
    <t>MyPa  vs  MuSa</t>
  </si>
  <si>
    <t>Livorno  vs  Cosenza</t>
  </si>
  <si>
    <t>3-5</t>
  </si>
  <si>
    <t>Aldosivi </t>
  </si>
  <si>
    <t> San Martin de San Juan</t>
  </si>
  <si>
    <t xml:space="preserve">Vendsyssel </t>
  </si>
  <si>
    <t> FC Midtjylland</t>
  </si>
  <si>
    <t>Venezia </t>
  </si>
  <si>
    <t> Lecce</t>
  </si>
  <si>
    <t> Belenenses</t>
  </si>
  <si>
    <t>Deportivo Alaves </t>
  </si>
  <si>
    <t> Levante CF</t>
  </si>
  <si>
    <t>Ankaragucu </t>
  </si>
  <si>
    <t> Kasimpasa</t>
  </si>
  <si>
    <t>Sivasspor </t>
  </si>
  <si>
    <t xml:space="preserve"> Akhisarspor</t>
  </si>
  <si>
    <t>10-0</t>
  </si>
  <si>
    <t>UEFA Champions League:</t>
  </si>
  <si>
    <t>UEFA Europa League:</t>
  </si>
  <si>
    <t xml:space="preserve"> Paris Saint-Germain</t>
  </si>
  <si>
    <t xml:space="preserve"> FC Porto</t>
  </si>
  <si>
    <t xml:space="preserve">Fenerbahce </t>
  </si>
  <si>
    <t> Zenit St. Petersburg</t>
  </si>
  <si>
    <t>Atletico Mineiro </t>
  </si>
  <si>
    <t xml:space="preserve"> Danubio</t>
  </si>
  <si>
    <t>Independiente Medellin </t>
  </si>
  <si>
    <t xml:space="preserve"> Palestino</t>
  </si>
  <si>
    <t>Barcelona Guayaquil </t>
  </si>
  <si>
    <t> Defensor Sporting</t>
  </si>
  <si>
    <t>Manchester United  vs  Paris Saint-Germain</t>
  </si>
  <si>
    <t>AS Roma  vs  FC Porto</t>
  </si>
  <si>
    <t xml:space="preserve"> Bv09 Borussia Dortmund</t>
  </si>
  <si>
    <t xml:space="preserve">AFC Ajax Amsterdam </t>
  </si>
  <si>
    <t>Universidad de Chile </t>
  </si>
  <si>
    <t xml:space="preserve"> Melgar FBC</t>
  </si>
  <si>
    <t>Libertad Asuncion </t>
  </si>
  <si>
    <t xml:space="preserve"> The Strongest</t>
  </si>
  <si>
    <t>Sao Paulo </t>
  </si>
  <si>
    <t>Caracas </t>
  </si>
  <si>
    <t>Stade Malherbe de Caen </t>
  </si>
  <si>
    <t> Nantes Atlantique</t>
  </si>
  <si>
    <t>Caracas  vs  Delfin</t>
  </si>
  <si>
    <t>Tottenham Hotspur  vs  Bv09 Borussia Dortmund</t>
  </si>
  <si>
    <t>Rapid Vienna </t>
  </si>
  <si>
    <t xml:space="preserve"> Racing Genk</t>
  </si>
  <si>
    <t xml:space="preserve">FK Krasnodar </t>
  </si>
  <si>
    <t xml:space="preserve">Stade Rennais </t>
  </si>
  <si>
    <t>Olympiakos Piraeus </t>
  </si>
  <si>
    <t xml:space="preserve"> Dinamo Kiev</t>
  </si>
  <si>
    <t xml:space="preserve">BATE Borisov </t>
  </si>
  <si>
    <t xml:space="preserve">Viktoria Plzen </t>
  </si>
  <si>
    <t> Dinamo Zagreb</t>
  </si>
  <si>
    <t xml:space="preserve">Club Brugge </t>
  </si>
  <si>
    <t> Salzburg</t>
  </si>
  <si>
    <t xml:space="preserve">FC Zurich </t>
  </si>
  <si>
    <t xml:space="preserve">Malmo FF </t>
  </si>
  <si>
    <t>Shakhtar Donetsk </t>
  </si>
  <si>
    <t>Celtic </t>
  </si>
  <si>
    <t xml:space="preserve"> Villarreal CF</t>
  </si>
  <si>
    <t>Atletico Nacional de Medellin </t>
  </si>
  <si>
    <t>Corinthians </t>
  </si>
  <si>
    <t xml:space="preserve"> Racing Club Avellaneda</t>
  </si>
  <si>
    <t>Royal Pari </t>
  </si>
  <si>
    <t> Monagas SC</t>
  </si>
  <si>
    <t>Rosario Central  vs  River Plate</t>
  </si>
  <si>
    <t>Galatasaray  vs  SL Benfica</t>
  </si>
  <si>
    <t>Slavia Prague  vs  Racing Genk</t>
  </si>
  <si>
    <t>SS Lazio  vs  Sevilla CF</t>
  </si>
  <si>
    <t>Corinthians  vs  Racing Club Avellaneda</t>
  </si>
  <si>
    <t>Shakhtar Donetsk  vs  Eintracht Frankfurt</t>
  </si>
  <si>
    <t>Sporting Clube de Portugal  vs  Villarreal CF</t>
  </si>
  <si>
    <t>Olympiakos Piraeus  vs  Dinamo Kiev</t>
  </si>
  <si>
    <t>Austrian Cup:</t>
  </si>
  <si>
    <t>Bulgarian A PFG:</t>
  </si>
  <si>
    <t> Atletico Tucuman</t>
  </si>
  <si>
    <t>Velez Sarsfield </t>
  </si>
  <si>
    <t xml:space="preserve">San Martin Tucuman </t>
  </si>
  <si>
    <t xml:space="preserve">Grazer AK </t>
  </si>
  <si>
    <t> Austria Vienna</t>
  </si>
  <si>
    <t xml:space="preserve"> Lokeren</t>
  </si>
  <si>
    <t xml:space="preserve">Vereya </t>
  </si>
  <si>
    <t> Ludogorets Razgrad</t>
  </si>
  <si>
    <t>Teplice </t>
  </si>
  <si>
    <t> Mlada Boleslav</t>
  </si>
  <si>
    <t xml:space="preserve">SonderjyskE </t>
  </si>
  <si>
    <t> AGF Aarhus</t>
  </si>
  <si>
    <t xml:space="preserve">MuSa </t>
  </si>
  <si>
    <t> Haka Valkeakoski</t>
  </si>
  <si>
    <t xml:space="preserve">Augsburg </t>
  </si>
  <si>
    <t> PEC Zwolle</t>
  </si>
  <si>
    <t> Vaduz</t>
  </si>
  <si>
    <t xml:space="preserve"> Besiktas JK</t>
  </si>
  <si>
    <t>Yeni Malatyaspor  vs  Besiktas JK</t>
  </si>
  <si>
    <t>SV Sandhausen  vs  Darmstadt 98</t>
  </si>
  <si>
    <t>Palermo  vs  Brescia</t>
  </si>
  <si>
    <t>Eibar  vs  Getafe</t>
  </si>
  <si>
    <t>Danish Superligaen;</t>
  </si>
  <si>
    <t>Swedish Svenska Cupen:</t>
  </si>
  <si>
    <t xml:space="preserve"> Newell’s Old Boys</t>
  </si>
  <si>
    <t>LASK Linz </t>
  </si>
  <si>
    <t xml:space="preserve"> St. Polten</t>
  </si>
  <si>
    <t>Botev Vratsa </t>
  </si>
  <si>
    <t xml:space="preserve"> Vitosha Bistritsa</t>
  </si>
  <si>
    <t>Botev Plovdiv </t>
  </si>
  <si>
    <t xml:space="preserve"> Slavia Sofia</t>
  </si>
  <si>
    <t>Gorica </t>
  </si>
  <si>
    <t>Slovacko </t>
  </si>
  <si>
    <t xml:space="preserve"> Karvina</t>
  </si>
  <si>
    <t>FC Nordsjaelland </t>
  </si>
  <si>
    <t xml:space="preserve"> Hobro</t>
  </si>
  <si>
    <t xml:space="preserve"> KTP</t>
  </si>
  <si>
    <t xml:space="preserve"> KPV Kokkola</t>
  </si>
  <si>
    <t xml:space="preserve"> Hannover 96</t>
  </si>
  <si>
    <t>VfL Wolfsburg </t>
  </si>
  <si>
    <t xml:space="preserve"> Mainz 05</t>
  </si>
  <si>
    <t xml:space="preserve"> Erzgebirge Aue</t>
  </si>
  <si>
    <t>Puskas FC </t>
  </si>
  <si>
    <t xml:space="preserve"> Ujpest</t>
  </si>
  <si>
    <t>Hapoel Ra’anana </t>
  </si>
  <si>
    <t xml:space="preserve"> Ironi Kiryat Shmona</t>
  </si>
  <si>
    <t xml:space="preserve"> AC Milan</t>
  </si>
  <si>
    <t xml:space="preserve"> Cittadella</t>
  </si>
  <si>
    <t>Ascoli </t>
  </si>
  <si>
    <t>Heracles Almelo </t>
  </si>
  <si>
    <t>AIK Solna </t>
  </si>
  <si>
    <t xml:space="preserve"> Jonkopings Sodra</t>
  </si>
  <si>
    <t>BK Hacken Goteborg </t>
  </si>
  <si>
    <t xml:space="preserve"> Brage</t>
  </si>
  <si>
    <t>Ostersunds FK </t>
  </si>
  <si>
    <t xml:space="preserve"> Halmstad</t>
  </si>
  <si>
    <t>Hapoel Ra’anana  vs  Hapoel Tel-Aviv</t>
  </si>
  <si>
    <t>Puskas FC  vs  Ujpest</t>
  </si>
  <si>
    <t>Newport County City vs Manchester City</t>
  </si>
  <si>
    <t>Trial Run - No Cash Down</t>
  </si>
  <si>
    <t> Atletico Huracan</t>
  </si>
  <si>
    <t> Atletico Lanus</t>
  </si>
  <si>
    <t xml:space="preserve">Banfield </t>
  </si>
  <si>
    <t> Central Coast Mariners</t>
  </si>
  <si>
    <t xml:space="preserve">Wiener Neustadt </t>
  </si>
  <si>
    <t xml:space="preserve"> Hartberg</t>
  </si>
  <si>
    <t>Antwerp </t>
  </si>
  <si>
    <t>Etar </t>
  </si>
  <si>
    <t> Dunav 2010</t>
  </si>
  <si>
    <t xml:space="preserve">Septemvri Sofia </t>
  </si>
  <si>
    <t> Beroe</t>
  </si>
  <si>
    <t xml:space="preserve"> Lokomotiv Plovdiv</t>
  </si>
  <si>
    <t xml:space="preserve"> Slaven Koprivnica</t>
  </si>
  <si>
    <t>Baumit Jablonec </t>
  </si>
  <si>
    <t xml:space="preserve"> Opava</t>
  </si>
  <si>
    <t>AC Horsens </t>
  </si>
  <si>
    <t xml:space="preserve"> Vendsyssel</t>
  </si>
  <si>
    <t>OB Odense </t>
  </si>
  <si>
    <t> Vejle</t>
  </si>
  <si>
    <t xml:space="preserve">Randers </t>
  </si>
  <si>
    <t> FC Copenhagen</t>
  </si>
  <si>
    <t xml:space="preserve">Esbjerg </t>
  </si>
  <si>
    <t> Brondby</t>
  </si>
  <si>
    <t xml:space="preserve">Doncaster Rovers </t>
  </si>
  <si>
    <t xml:space="preserve"> Montpellier HSC</t>
  </si>
  <si>
    <t>AS Saint-Etienne </t>
  </si>
  <si>
    <t>Eintracht Frankfurt </t>
  </si>
  <si>
    <t xml:space="preserve"> Borussia Moenchengladbach</t>
  </si>
  <si>
    <t>Bayer 04 Leverkusen </t>
  </si>
  <si>
    <t> Magdeburg</t>
  </si>
  <si>
    <t> Jahn Regensburg</t>
  </si>
  <si>
    <t>Udinese </t>
  </si>
  <si>
    <t> Sampdoria</t>
  </si>
  <si>
    <t xml:space="preserve"> Torino</t>
  </si>
  <si>
    <t>Cosenza </t>
  </si>
  <si>
    <t> Hellas Verona</t>
  </si>
  <si>
    <t>Excelsior Rotterdam </t>
  </si>
  <si>
    <t>Moreirense </t>
  </si>
  <si>
    <t> Maritimo Funchal</t>
  </si>
  <si>
    <t xml:space="preserve">Sporting Covilha </t>
  </si>
  <si>
    <t xml:space="preserve"> Pacos de Ferreira</t>
  </si>
  <si>
    <t> Arouca</t>
  </si>
  <si>
    <t xml:space="preserve"> UD Oliveirense</t>
  </si>
  <si>
    <t xml:space="preserve">Mafra </t>
  </si>
  <si>
    <t> Vitoria Guimaraes II</t>
  </si>
  <si>
    <t>Malmo FF </t>
  </si>
  <si>
    <t xml:space="preserve"> Degerfors</t>
  </si>
  <si>
    <t>Djurgarden </t>
  </si>
  <si>
    <t xml:space="preserve"> Frej</t>
  </si>
  <si>
    <t>Hasselholms IF </t>
  </si>
  <si>
    <t> Elfsborg Boras</t>
  </si>
  <si>
    <t>Nykoping </t>
  </si>
  <si>
    <t> IFK Goteborg</t>
  </si>
  <si>
    <t>IFK Norrkoping </t>
  </si>
  <si>
    <t xml:space="preserve"> IFK Varnamo</t>
  </si>
  <si>
    <t xml:space="preserve"> FC Sion</t>
  </si>
  <si>
    <t>Grasshopper Zurich </t>
  </si>
  <si>
    <t xml:space="preserve"> FC Zurich</t>
  </si>
  <si>
    <t>BB Erzurumspor </t>
  </si>
  <si>
    <t xml:space="preserve"> Sivasspor</t>
  </si>
  <si>
    <t>Kayserispor </t>
  </si>
  <si>
    <t xml:space="preserve">Kasimpasa </t>
  </si>
  <si>
    <t>AS Saint-Etienne  vs  Paris Saint-Germain</t>
  </si>
  <si>
    <t>Antwerp  vs  RSC Anderlecht</t>
  </si>
  <si>
    <t>BB Erzurumspor  vs  Sivasspor</t>
  </si>
  <si>
    <t>Cosenza  vs  Cremonese</t>
  </si>
  <si>
    <t>Eintracht Frankfurt  vs  Borussia Moenchengladbach</t>
  </si>
  <si>
    <t>Grasshopper Zurich  vs  Neuchatel Xamax</t>
  </si>
  <si>
    <t>Excelsior Rotterdam  vs  FC Emmen</t>
  </si>
  <si>
    <t>Chaves  vs  Boavista</t>
  </si>
  <si>
    <t>Rosario Central  vs  Tigre</t>
  </si>
  <si>
    <t>AC Horsens  vs  Vendsyssel</t>
  </si>
  <si>
    <t>Girondins de Bordeaux  vs  Toulouse</t>
  </si>
  <si>
    <t>Lille OSC  vs  Montpellier HSC</t>
  </si>
  <si>
    <t>Moreirense  vs  Tondela</t>
  </si>
  <si>
    <t>Trabzonspor  vs  Alanyaspor</t>
  </si>
  <si>
    <t>5-2</t>
  </si>
  <si>
    <t>Refund</t>
  </si>
  <si>
    <t> Sparta Prague</t>
  </si>
  <si>
    <t>FC Midtjylland </t>
  </si>
  <si>
    <t xml:space="preserve"> Aalborg BK</t>
  </si>
  <si>
    <t xml:space="preserve">Nurnberg </t>
  </si>
  <si>
    <t xml:space="preserve">Hapoel Be’er Sheva </t>
  </si>
  <si>
    <t> Bologna</t>
  </si>
  <si>
    <t>Hammarby </t>
  </si>
  <si>
    <t xml:space="preserve"> Varberg</t>
  </si>
  <si>
    <t xml:space="preserve">Antalyaspor </t>
  </si>
  <si>
    <t>Crotone  vs  Pescara</t>
  </si>
  <si>
    <t xml:space="preserve"> Bayern Munich</t>
  </si>
  <si>
    <t>Chapecoense </t>
  </si>
  <si>
    <t xml:space="preserve"> Union La Calera</t>
  </si>
  <si>
    <t>Slavia Sofia </t>
  </si>
  <si>
    <t> Cherno More Varna</t>
  </si>
  <si>
    <t>Ludogorets Razgrad </t>
  </si>
  <si>
    <t xml:space="preserve"> Botev Plovdiv</t>
  </si>
  <si>
    <t>CSKA Sofia </t>
  </si>
  <si>
    <t xml:space="preserve"> Botev Vratsa</t>
  </si>
  <si>
    <t>HJK </t>
  </si>
  <si>
    <t xml:space="preserve"> FC Honka Espoo</t>
  </si>
  <si>
    <t>Liverpool  vs  Bayern Munich</t>
  </si>
  <si>
    <t xml:space="preserve"> SS Lazio</t>
  </si>
  <si>
    <t>Defensa y Justicia </t>
  </si>
  <si>
    <t xml:space="preserve"> Botafogo</t>
  </si>
  <si>
    <t>Dunav 2010 </t>
  </si>
  <si>
    <t xml:space="preserve"> Vereya</t>
  </si>
  <si>
    <t>Lokomotiv Plovdiv </t>
  </si>
  <si>
    <t xml:space="preserve"> Septemvri Sofia</t>
  </si>
  <si>
    <t xml:space="preserve">Vitosha Bistritsa </t>
  </si>
  <si>
    <t> Levski Sofia</t>
  </si>
  <si>
    <t xml:space="preserve"> Viktoria Plzen</t>
  </si>
  <si>
    <t xml:space="preserve"> Club Brugge</t>
  </si>
  <si>
    <t> Shakhtar Donetsk</t>
  </si>
  <si>
    <t xml:space="preserve"> Celtic</t>
  </si>
  <si>
    <t>Zenit St. Petersburg </t>
  </si>
  <si>
    <t xml:space="preserve"> Fenerbahce</t>
  </si>
  <si>
    <t xml:space="preserve"> BATE Borisov</t>
  </si>
  <si>
    <t> Rapid Vienna</t>
  </si>
  <si>
    <t xml:space="preserve"> FK Krasnodar</t>
  </si>
  <si>
    <t xml:space="preserve"> Malmo FF</t>
  </si>
  <si>
    <t xml:space="preserve"> Stade Rennais</t>
  </si>
  <si>
    <t>Dinamo Kiev </t>
  </si>
  <si>
    <t xml:space="preserve"> Olympiakos Piraeus</t>
  </si>
  <si>
    <t xml:space="preserve"> Galatasaray</t>
  </si>
  <si>
    <t>Liverpool Montevideo </t>
  </si>
  <si>
    <t xml:space="preserve"> Bahia</t>
  </si>
  <si>
    <t>Once Caldas Manizales </t>
  </si>
  <si>
    <t xml:space="preserve"> Deportivo Santani</t>
  </si>
  <si>
    <t>Beroe </t>
  </si>
  <si>
    <t xml:space="preserve"> Etar</t>
  </si>
  <si>
    <t>Liverpool Montevideo  vs  Bahia</t>
  </si>
  <si>
    <t>Dinamo Kiev  vs  Olympiakos Piraeus</t>
  </si>
  <si>
    <t>Zenit St. Petersburg  vs  Fenerbahce</t>
  </si>
  <si>
    <t>Beroe  vs  Etar</t>
  </si>
  <si>
    <t>Dinamo Zagreb  vs  Viktoria Plzen</t>
  </si>
  <si>
    <t>Austrian Bundesliga:</t>
  </si>
  <si>
    <t>Colon de Santa Fe </t>
  </si>
  <si>
    <t> Rosario Central</t>
  </si>
  <si>
    <t>Central Coast Mariners </t>
  </si>
  <si>
    <t xml:space="preserve"> Austria Vienna</t>
  </si>
  <si>
    <t xml:space="preserve"> Dukla Prague</t>
  </si>
  <si>
    <t>Cardiff City </t>
  </si>
  <si>
    <t>SJK </t>
  </si>
  <si>
    <t xml:space="preserve"> KPV</t>
  </si>
  <si>
    <t xml:space="preserve">Dijon FCO </t>
  </si>
  <si>
    <t xml:space="preserve"> Arminia Bielefeld</t>
  </si>
  <si>
    <t> Heidenheim</t>
  </si>
  <si>
    <t>VVV Venlo </t>
  </si>
  <si>
    <t xml:space="preserve">Assyriska Turabdin </t>
  </si>
  <si>
    <t xml:space="preserve"> Trabzonspor</t>
  </si>
  <si>
    <t xml:space="preserve"> Yeni Malatyaspor</t>
  </si>
  <si>
    <t>Goztepe  vs  Trabzonspor</t>
  </si>
  <si>
    <t>Central Coast Mariners  vs  Brisbane Roar</t>
  </si>
  <si>
    <t>The number of day bets taken will be determined by:</t>
  </si>
  <si>
    <t xml:space="preserve"> - the minimum allowable stake on an Individual bet</t>
  </si>
  <si>
    <t xml:space="preserve"> - the no. of eligible day bets</t>
  </si>
  <si>
    <t>Focus on minimizing losses.</t>
  </si>
  <si>
    <t>TBC. Strategy on picking bets:</t>
  </si>
  <si>
    <t xml:space="preserve"> - Scrap all day games and retrieve 1X2 ODDS for each game.</t>
  </si>
  <si>
    <t xml:space="preserve"> - Filter games where Home team ODDS =&gt; average ODDS in day bets (see Logic Tab).</t>
  </si>
  <si>
    <t xml:space="preserve"> - Filter games where the difference between home team ODDS and away team ODDS &lt;= ??? (determine ??? By analysing a population for games where ??? Achieves a success rate =&gt; average ODDS in day bets in Logic tab).</t>
  </si>
  <si>
    <t>SR</t>
  </si>
  <si>
    <t xml:space="preserve"> - the maximum stake on an Individual bet (day stake/10*%success rate)</t>
  </si>
  <si>
    <t>Belgrano de Cordoba </t>
  </si>
  <si>
    <t> San Lorenzo de Almagro</t>
  </si>
  <si>
    <t> Racing Club Avellaneda</t>
  </si>
  <si>
    <t>Wellington Phoenix </t>
  </si>
  <si>
    <t>Melbourne Victory </t>
  </si>
  <si>
    <t xml:space="preserve">Admira Wacker </t>
  </si>
  <si>
    <t> Wacker Innsbruck</t>
  </si>
  <si>
    <t>Wolfsberger AC </t>
  </si>
  <si>
    <t> SCR Altach</t>
  </si>
  <si>
    <t>AS Eupen </t>
  </si>
  <si>
    <t> Zulte-Waregem</t>
  </si>
  <si>
    <t>Cercle Brugge </t>
  </si>
  <si>
    <t xml:space="preserve"> KV Oostende</t>
  </si>
  <si>
    <t xml:space="preserve">Royal Excel Mouscron </t>
  </si>
  <si>
    <t> Slavia Sofia</t>
  </si>
  <si>
    <t>Cherno More Varna </t>
  </si>
  <si>
    <t xml:space="preserve"> Ludogorets Razgrad</t>
  </si>
  <si>
    <t> Teplice</t>
  </si>
  <si>
    <t>Mlada Boleslav </t>
  </si>
  <si>
    <t xml:space="preserve">Vejle </t>
  </si>
  <si>
    <t> FC Nordsjaelland</t>
  </si>
  <si>
    <t xml:space="preserve">Burnley </t>
  </si>
  <si>
    <t>Leicester City </t>
  </si>
  <si>
    <t>HIFK </t>
  </si>
  <si>
    <t> Inter Turku</t>
  </si>
  <si>
    <t>FC Honka Espoo </t>
  </si>
  <si>
    <t> IFK Mariehamn</t>
  </si>
  <si>
    <t xml:space="preserve"> HJK</t>
  </si>
  <si>
    <t> VPS</t>
  </si>
  <si>
    <t>Kajaani </t>
  </si>
  <si>
    <t> Ekenas IF</t>
  </si>
  <si>
    <t>Jaro Pietarsaari </t>
  </si>
  <si>
    <t xml:space="preserve"> Haka Valkeakoski</t>
  </si>
  <si>
    <t> Holstein Kiel</t>
  </si>
  <si>
    <t> Dynamo Dresden</t>
  </si>
  <si>
    <t xml:space="preserve"> Varda SE</t>
  </si>
  <si>
    <t xml:space="preserve"> Disogyori VTK</t>
  </si>
  <si>
    <t>Bnei Sakhnin </t>
  </si>
  <si>
    <t>Frosinone </t>
  </si>
  <si>
    <t>Cremonese </t>
  </si>
  <si>
    <t xml:space="preserve"> Crotone</t>
  </si>
  <si>
    <t xml:space="preserve"> Lecce</t>
  </si>
  <si>
    <t> Spezia</t>
  </si>
  <si>
    <t> Benevento</t>
  </si>
  <si>
    <t>PEC Zwolle </t>
  </si>
  <si>
    <t> De Graafschap</t>
  </si>
  <si>
    <t>Fortuna Sittuard </t>
  </si>
  <si>
    <t>NAC Breda </t>
  </si>
  <si>
    <t> Groningen</t>
  </si>
  <si>
    <t xml:space="preserve"> Desportivo Aves</t>
  </si>
  <si>
    <t xml:space="preserve"> Mafra</t>
  </si>
  <si>
    <t> Leixoes Matosinhos</t>
  </si>
  <si>
    <t>Athletic Club </t>
  </si>
  <si>
    <t xml:space="preserve">Karlstad </t>
  </si>
  <si>
    <t> Ostersunds FK</t>
  </si>
  <si>
    <t xml:space="preserve">Hassleholms IF </t>
  </si>
  <si>
    <t> Djurgarden</t>
  </si>
  <si>
    <t>Elfsborg Boras </t>
  </si>
  <si>
    <t xml:space="preserve">Sion </t>
  </si>
  <si>
    <t> St. Gallen</t>
  </si>
  <si>
    <t> FC Schaffhausen</t>
  </si>
  <si>
    <t>SC Kriens </t>
  </si>
  <si>
    <t> Servette</t>
  </si>
  <si>
    <t>Chiasso </t>
  </si>
  <si>
    <t>Alanyaspor </t>
  </si>
  <si>
    <t xml:space="preserve"> Kasimpasa</t>
  </si>
  <si>
    <t> DebrecenivsC</t>
  </si>
  <si>
    <t>Cherno More Varna  vs  Ludogorets Razgrad</t>
  </si>
  <si>
    <t>FC Lahti  vs  HJK</t>
  </si>
  <si>
    <t>Wellington Phoenix  vs  Sydney FC</t>
  </si>
  <si>
    <t>Godoy Cruz de Mendoza  vs  Velez Sarsfield</t>
  </si>
  <si>
    <t>Mainz 05  vs  Schalke 04</t>
  </si>
  <si>
    <t>Fortuna Sittuard  vs  Heerenveen</t>
  </si>
  <si>
    <t>Amiens SC  vs  OGC Nice</t>
  </si>
  <si>
    <t>Atletico Huracan  vs  Union de Santa Fe</t>
  </si>
  <si>
    <t>En Avant Guingamp  vs  Angers SCO</t>
  </si>
  <si>
    <t>Jaro Pietarsaari  vs  Haka Valkeakoski</t>
  </si>
  <si>
    <t>St. Pauli  vs  Ingolstadt</t>
  </si>
  <si>
    <t>Deportivo Alaves  vs  Celta de Vigo</t>
  </si>
  <si>
    <t>Zlin  vs  Bohemians 1905</t>
  </si>
  <si>
    <t>SC Freiburg  vs  Augsburg</t>
  </si>
  <si>
    <t>Cittadella  vs  Lecce</t>
  </si>
  <si>
    <t>Athletic Club  vs  Eibar</t>
  </si>
  <si>
    <t>Cercle Brugge  vs  KV Oostende</t>
  </si>
  <si>
    <t>Portimonense  vs  Desportivo Aves</t>
  </si>
  <si>
    <t>Penafiel  vs  Sporting Covilha</t>
  </si>
  <si>
    <t>Cremonese  vs  Ascoli</t>
  </si>
  <si>
    <t>Perugia  vs  Cosenza</t>
  </si>
  <si>
    <t>Brescia  vs  Crotone</t>
  </si>
  <si>
    <t>Newcastle United  vs  Huddersfield Town</t>
  </si>
  <si>
    <t>Borussia Moenchengladbach  vs  VfL Wolfsburg</t>
  </si>
  <si>
    <t>Alanyaspor  vs  Kasimpasa</t>
  </si>
  <si>
    <t>Mezokovesd-Zsory  vs  Varda SE</t>
  </si>
  <si>
    <t>Fortuna Dusseldorf  vs  Mainz 05</t>
  </si>
  <si>
    <t>Slaven Koprivnica  vs  Inter Zapresic</t>
  </si>
  <si>
    <t>Beitar Jerusalem  vs  Hapoel Ra’anana</t>
  </si>
  <si>
    <t>Famalicao  vs  Mafra</t>
  </si>
  <si>
    <t>Sivasspor  vs  Antalyaspor</t>
  </si>
  <si>
    <t>Lithuanian Super Cup:</t>
  </si>
  <si>
    <t xml:space="preserve"> San Martin Tucuman</t>
  </si>
  <si>
    <t>Atletico Tucuman </t>
  </si>
  <si>
    <t xml:space="preserve"> Argentinos Juniors</t>
  </si>
  <si>
    <t> Adelaide United</t>
  </si>
  <si>
    <t> Sturm Graz</t>
  </si>
  <si>
    <t>Hartberg </t>
  </si>
  <si>
    <t xml:space="preserve">Rapid Vienna </t>
  </si>
  <si>
    <t> Club Brugge</t>
  </si>
  <si>
    <t xml:space="preserve"> CSKA Sofia</t>
  </si>
  <si>
    <t> Lokomotiv Plovdiv</t>
  </si>
  <si>
    <t xml:space="preserve"> Dunav 2010</t>
  </si>
  <si>
    <t> Lokomotiva Zagreb</t>
  </si>
  <si>
    <t xml:space="preserve"> NK Osijek</t>
  </si>
  <si>
    <t xml:space="preserve"> Banik Ostrava</t>
  </si>
  <si>
    <t> OB Odense</t>
  </si>
  <si>
    <t>Brondby </t>
  </si>
  <si>
    <t xml:space="preserve"> Randers</t>
  </si>
  <si>
    <t xml:space="preserve"> Liverpool</t>
  </si>
  <si>
    <t xml:space="preserve">Chelsea </t>
  </si>
  <si>
    <t> Stade de Reims</t>
  </si>
  <si>
    <t xml:space="preserve">AS Monaco </t>
  </si>
  <si>
    <t> Eintracht Frankfurt</t>
  </si>
  <si>
    <t xml:space="preserve"> Bayer 04 Leverkusen</t>
  </si>
  <si>
    <t xml:space="preserve">Jahn Regensburg </t>
  </si>
  <si>
    <t> Cagliara</t>
  </si>
  <si>
    <t xml:space="preserve">Bologna </t>
  </si>
  <si>
    <t xml:space="preserve">Parma </t>
  </si>
  <si>
    <t xml:space="preserve"> Internazionale</t>
  </si>
  <si>
    <t>Suduva Marijampole </t>
  </si>
  <si>
    <t xml:space="preserve"> Zalgiris Vilnius</t>
  </si>
  <si>
    <t xml:space="preserve">ADO Den Haag </t>
  </si>
  <si>
    <t xml:space="preserve"> Feyenoord Rotterdam</t>
  </si>
  <si>
    <t xml:space="preserve">FC Emmen </t>
  </si>
  <si>
    <t> Vitesse Arnhem</t>
  </si>
  <si>
    <t> CD Nacional de Madeira</t>
  </si>
  <si>
    <t>Academico Viseu </t>
  </si>
  <si>
    <t xml:space="preserve">Real Valladolid </t>
  </si>
  <si>
    <t xml:space="preserve">Eskilsminne </t>
  </si>
  <si>
    <t> Hammarby</t>
  </si>
  <si>
    <t xml:space="preserve">Rosengard </t>
  </si>
  <si>
    <t> BK Hacken Goteborg</t>
  </si>
  <si>
    <t xml:space="preserve">Nykoping </t>
  </si>
  <si>
    <t> Orebro</t>
  </si>
  <si>
    <t xml:space="preserve">Norrby </t>
  </si>
  <si>
    <t> AIK Solna</t>
  </si>
  <si>
    <t> Young Boys Bern</t>
  </si>
  <si>
    <t xml:space="preserve">Ankaragucu </t>
  </si>
  <si>
    <t> BB Erzurumspor</t>
  </si>
  <si>
    <t>Chievo Verona  vs  Genoa</t>
  </si>
  <si>
    <t>Manchester United  vs  Liverpool</t>
  </si>
  <si>
    <t>ACF Fiorentina  vs  Internazionale</t>
  </si>
  <si>
    <t>Levski Sofia vs  CSKA Sofia</t>
  </si>
  <si>
    <t>Hartberg  vs  St. Polten</t>
  </si>
  <si>
    <t>Suduva Marijampole  vs  Zalgiris Vilnius</t>
  </si>
  <si>
    <t>Erzgebirge Aue  vs  MSV Duisburg</t>
  </si>
  <si>
    <t>Sint-Truiden  vs  Sporting Charleroi</t>
  </si>
  <si>
    <t>Nantes Atlantique  vs  Girondins de Bordeaux</t>
  </si>
  <si>
    <t>Konyaspor  vs  Kayserispor</t>
  </si>
  <si>
    <t>Academico Viseu  vs  Sporting Braga II</t>
  </si>
  <si>
    <t>FC Zurich  vs  Luzern</t>
  </si>
  <si>
    <t>Estoril  vs  Academica de Coimbra</t>
  </si>
  <si>
    <t>Sassuolo  vs  SPAL</t>
  </si>
  <si>
    <t>Draw any profit achieved on day bets.</t>
  </si>
  <si>
    <t>The minimum ODDS that we can bet on is 1.5?</t>
  </si>
  <si>
    <t xml:space="preserve">Aldosivi </t>
  </si>
  <si>
    <t>Septemvri Sofia </t>
  </si>
  <si>
    <t xml:space="preserve">Opava </t>
  </si>
  <si>
    <t xml:space="preserve">Maritimo Funchal </t>
  </si>
  <si>
    <t xml:space="preserve">Oster </t>
  </si>
  <si>
    <t>IFK Goteborg </t>
  </si>
  <si>
    <t> Gimnasia de la Plata </t>
  </si>
  <si>
    <t xml:space="preserve"> San Martin de San Juan </t>
  </si>
  <si>
    <t xml:space="preserve"> Vitosha Bistritsa </t>
  </si>
  <si>
    <t> Viktoria Plzen </t>
  </si>
  <si>
    <t xml:space="preserve"> Slovacko </t>
  </si>
  <si>
    <t xml:space="preserve"> Vendsyssel </t>
  </si>
  <si>
    <t xml:space="preserve"> Hoffenheim </t>
  </si>
  <si>
    <t> Maccabi Haifa </t>
  </si>
  <si>
    <t> Sporting Clube de Portugal </t>
  </si>
  <si>
    <t xml:space="preserve"> Chaves </t>
  </si>
  <si>
    <t xml:space="preserve"> Real Sociedad </t>
  </si>
  <si>
    <t> Malmo FF </t>
  </si>
  <si>
    <t xml:space="preserve"> GAIS Goteborg </t>
  </si>
  <si>
    <t xml:space="preserve"> Fenerbahce </t>
  </si>
  <si>
    <t xml:space="preserve">Girona  vs  Real Sociedad </t>
  </si>
  <si>
    <t xml:space="preserve">Septemvri Sofia  vs  Vitosha Bistritsa </t>
  </si>
  <si>
    <t>Santos </t>
  </si>
  <si>
    <t xml:space="preserve"> River Plate Montevideo</t>
  </si>
  <si>
    <t>Fluminense </t>
  </si>
  <si>
    <t xml:space="preserve"> Deportivo Anzoategui</t>
  </si>
  <si>
    <t> Everton</t>
  </si>
  <si>
    <t xml:space="preserve"> Dijon FCO</t>
  </si>
  <si>
    <t xml:space="preserve"> Hapoel Afula</t>
  </si>
  <si>
    <t xml:space="preserve"> Bnei Sakhnin</t>
  </si>
  <si>
    <t> Brescia</t>
  </si>
  <si>
    <t> Foggia</t>
  </si>
  <si>
    <t xml:space="preserve">Crotone </t>
  </si>
  <si>
    <t xml:space="preserve"> Sporting Braga</t>
  </si>
  <si>
    <t>Salernitana  vs  Cremonese</t>
  </si>
  <si>
    <t>Lecce  vs  Hellas Verona</t>
  </si>
  <si>
    <t>Danish DBU Pokalen:</t>
  </si>
  <si>
    <t>Dutch KNVB Beker:</t>
  </si>
  <si>
    <t>Swiss Schweizer Pokal:</t>
  </si>
  <si>
    <t>Palestino </t>
  </si>
  <si>
    <t xml:space="preserve"> Defensor Sporting</t>
  </si>
  <si>
    <t>Monagas SC </t>
  </si>
  <si>
    <t xml:space="preserve"> Royal Pari</t>
  </si>
  <si>
    <t xml:space="preserve"> Corinthians</t>
  </si>
  <si>
    <t xml:space="preserve"> Esbjerg</t>
  </si>
  <si>
    <t xml:space="preserve"> Orleans</t>
  </si>
  <si>
    <t xml:space="preserve"> Stade Malherbe de Caen</t>
  </si>
  <si>
    <t>Hapoel Hadera </t>
  </si>
  <si>
    <t xml:space="preserve"> Kafr Qasim</t>
  </si>
  <si>
    <t>Maccabi Petah Tikva </t>
  </si>
  <si>
    <t xml:space="preserve"> Perugia</t>
  </si>
  <si>
    <t xml:space="preserve"> AFC Ajax Amsterdam</t>
  </si>
  <si>
    <t xml:space="preserve">Real Madrid </t>
  </si>
  <si>
    <t>FC Sion </t>
  </si>
  <si>
    <t>Feyenoord Rotterdam  vs  AFC Ajax Amsterdam</t>
  </si>
  <si>
    <t>Venezia  vs  Perugia</t>
  </si>
  <si>
    <t>Palestino  vs  Talleres de Cordoba</t>
  </si>
  <si>
    <t>Racing Club Avellaneda  vs  Corinthians</t>
  </si>
  <si>
    <t>Southampton  vs  Fulham</t>
  </si>
  <si>
    <t>Spezia  vs  Livorno</t>
  </si>
  <si>
    <t>Guabira </t>
  </si>
  <si>
    <t xml:space="preserve"> Macara Ambato</t>
  </si>
  <si>
    <t>RoPS </t>
  </si>
  <si>
    <t xml:space="preserve"> Real Betis Balompie</t>
  </si>
  <si>
    <t xml:space="preserve"> Lugano</t>
  </si>
  <si>
    <t>Guabira  vs  Macara Ambato</t>
  </si>
  <si>
    <t>RoPS  vs  KPV</t>
  </si>
  <si>
    <t>Russian Premier League:</t>
  </si>
  <si>
    <t xml:space="preserve">Union de Santa Fe </t>
  </si>
  <si>
    <t>Vereya </t>
  </si>
  <si>
    <t>Banik Ostrava </t>
  </si>
  <si>
    <t> Zlin</t>
  </si>
  <si>
    <t xml:space="preserve">Holstein Kiel </t>
  </si>
  <si>
    <t xml:space="preserve">MSV Duisburg </t>
  </si>
  <si>
    <t xml:space="preserve"> ADO Den Haag</t>
  </si>
  <si>
    <t>FK Orenburg </t>
  </si>
  <si>
    <t xml:space="preserve"> Anzhi Makhachkala</t>
  </si>
  <si>
    <t> Ankaragucu</t>
  </si>
  <si>
    <t>Foggia  vs  Cosenza</t>
  </si>
  <si>
    <t>De Graafschap  vs  ADO Den Haag</t>
  </si>
  <si>
    <t>Rayo Vallecano de Madrid  vs  Girona</t>
  </si>
  <si>
    <t>San Lorenzo de Almagro  vs  Argentinos Juniors</t>
  </si>
  <si>
    <t>Desportivo Aves  vs  Boavista</t>
  </si>
  <si>
    <t xml:space="preserve"> Belgrano de Cordoba</t>
  </si>
  <si>
    <t>San Martin Tucuman </t>
  </si>
  <si>
    <t> Godoy Cruz de Mendoza</t>
  </si>
  <si>
    <t xml:space="preserve"> Wolfsberger AC</t>
  </si>
  <si>
    <t>SCR Altach </t>
  </si>
  <si>
    <t xml:space="preserve"> Admira Wacker</t>
  </si>
  <si>
    <t xml:space="preserve">St. Polten </t>
  </si>
  <si>
    <t xml:space="preserve">Sporting Charleroi </t>
  </si>
  <si>
    <t xml:space="preserve"> Sint-Truiden</t>
  </si>
  <si>
    <t xml:space="preserve">Dunav 2010 </t>
  </si>
  <si>
    <t> Botev Plovdiv</t>
  </si>
  <si>
    <t xml:space="preserve">Lokomotiva Zagreb </t>
  </si>
  <si>
    <t>Dukla Prague </t>
  </si>
  <si>
    <t> Sigma Olomouc</t>
  </si>
  <si>
    <t>Marila Pribram </t>
  </si>
  <si>
    <t> Karvina</t>
  </si>
  <si>
    <t>Viktoria Plzen </t>
  </si>
  <si>
    <t xml:space="preserve"> Sparta Prague</t>
  </si>
  <si>
    <t>Esbjerg </t>
  </si>
  <si>
    <t xml:space="preserve"> AC Horsens</t>
  </si>
  <si>
    <t> Newcastle United</t>
  </si>
  <si>
    <t>AC Oulu </t>
  </si>
  <si>
    <t xml:space="preserve"> MyPa</t>
  </si>
  <si>
    <t xml:space="preserve">Stade Malherbe de Caen </t>
  </si>
  <si>
    <t xml:space="preserve"> SC Freiburg</t>
  </si>
  <si>
    <t> Hoffenheim</t>
  </si>
  <si>
    <t> Paksi SE</t>
  </si>
  <si>
    <t xml:space="preserve"> Beitar Jerusalem</t>
  </si>
  <si>
    <t>Empoli </t>
  </si>
  <si>
    <t> Parma</t>
  </si>
  <si>
    <t xml:space="preserve"> Sassuolo</t>
  </si>
  <si>
    <t xml:space="preserve"> AS Roma </t>
  </si>
  <si>
    <t> Ascoli</t>
  </si>
  <si>
    <t> PSV Eindhoven</t>
  </si>
  <si>
    <t>Lokomotiv Moscow </t>
  </si>
  <si>
    <t xml:space="preserve"> Krylya Sovetov Samara</t>
  </si>
  <si>
    <t>Rubin Kazan’ </t>
  </si>
  <si>
    <t> Akhmat Grozny</t>
  </si>
  <si>
    <t> Deportivo Alaves</t>
  </si>
  <si>
    <t xml:space="preserve"> Orgryte</t>
  </si>
  <si>
    <t xml:space="preserve"> AFC Eskilstuna</t>
  </si>
  <si>
    <t xml:space="preserve"> Falkenberg</t>
  </si>
  <si>
    <t xml:space="preserve"> Brommapojkarna</t>
  </si>
  <si>
    <t xml:space="preserve"> Sion</t>
  </si>
  <si>
    <t>Rapperswil-Jona </t>
  </si>
  <si>
    <t> FC Wil</t>
  </si>
  <si>
    <t xml:space="preserve">FC Schaffhausen </t>
  </si>
  <si>
    <t xml:space="preserve"> DebrecenivsC</t>
  </si>
  <si>
    <t>Grasshopper Zurich  vs  Luzern</t>
  </si>
  <si>
    <t>Slovan Liberec  vs  Sparta Prague</t>
  </si>
  <si>
    <t>Maccabi Netanya  vs  Beitar Jerusalem</t>
  </si>
  <si>
    <t>Padova  vs  Crotone</t>
  </si>
  <si>
    <t>Puskas FC  vs  DebrecenivsC</t>
  </si>
  <si>
    <t>Esbjerg  vs  AC Horsens</t>
  </si>
  <si>
    <t>Heidenheim  vs  Jahn Regensburg</t>
  </si>
  <si>
    <t>Rosario Central  vs  Belgrano de Cordoba</t>
  </si>
  <si>
    <t>Bnei Yehuda Tel-Aviv  vs  Ironi Kiryat Shmona</t>
  </si>
  <si>
    <t>Sporting Braga II  vs  UD Oliveirense</t>
  </si>
  <si>
    <t>Tottenham Hotspur  vs  Arsenal</t>
  </si>
  <si>
    <t>SV Sandhausen  vs  Erzgebirge Aue</t>
  </si>
  <si>
    <t>Bursaspor  vs  Sivasspor</t>
  </si>
  <si>
    <t>Palermo  vs  Lecce</t>
  </si>
  <si>
    <t>7-0</t>
  </si>
  <si>
    <t>date</t>
  </si>
  <si>
    <t>league</t>
  </si>
  <si>
    <t>game</t>
  </si>
  <si>
    <t>odds_1</t>
  </si>
  <si>
    <t>odds_X</t>
  </si>
  <si>
    <t>odds_2</t>
  </si>
  <si>
    <t>2019-03-03T17:48:35.776Z</t>
  </si>
  <si>
    <t>Italian Serie D</t>
  </si>
  <si>
    <t>SSCD Granata 1924 vs AZ Picerno</t>
  </si>
  <si>
    <t>Turkish Lig 1 U21</t>
  </si>
  <si>
    <t>Afjet Afyonspor U21 vs Genclerbirligi U21</t>
  </si>
  <si>
    <t>Citta Di Messina vs Bari</t>
  </si>
  <si>
    <t>Czech 1. Liga</t>
  </si>
  <si>
    <t>Bohemians 1905 vs Slavia Prague</t>
  </si>
  <si>
    <t>Eng. Premier League</t>
  </si>
  <si>
    <t>Fulham vs Chelsea</t>
  </si>
  <si>
    <t>Everton vs Liverpool</t>
  </si>
  <si>
    <t>Slovenian 1. SNL</t>
  </si>
  <si>
    <t>NK Aluminij vs Maribor</t>
  </si>
  <si>
    <t>Azerbaijani Premyer Liqasi</t>
  </si>
  <si>
    <t>Keshla FK vs Qarabag</t>
  </si>
  <si>
    <t>Portuguese Campeonato de Portugal</t>
  </si>
  <si>
    <t>Merelinense FC vs FC Vizela</t>
  </si>
  <si>
    <t>Peruvian Primera</t>
  </si>
  <si>
    <t>Sport Boys Association vs Sporting Cristal</t>
  </si>
  <si>
    <t>Belgian First Division A</t>
  </si>
  <si>
    <t>Lokeren vs Anderlecht</t>
  </si>
  <si>
    <t>Singaporean S-League</t>
  </si>
  <si>
    <t>Hougang vs Tampines Rovers</t>
  </si>
  <si>
    <t>Indian League 1</t>
  </si>
  <si>
    <t>Minerva Punjab vs Kingfisher East Bengal</t>
  </si>
  <si>
    <t>Gravina vs SS Taranto 1927</t>
  </si>
  <si>
    <t>Bulgarian Pr. League</t>
  </si>
  <si>
    <t>Slavia Sofia vs Levski Sofia</t>
  </si>
  <si>
    <t>Brazilian Paulista</t>
  </si>
  <si>
    <t>Bragantino vs Sao Paulo SP</t>
  </si>
  <si>
    <t>Vitosha Bistritsa vs Etar Tarnovo</t>
  </si>
  <si>
    <t>Turkish Super Lig</t>
  </si>
  <si>
    <t>Malatyaspor vs Istanbul Basaksehir</t>
  </si>
  <si>
    <t>Belgian First Division B</t>
  </si>
  <si>
    <t>Lommel United vs KV Mechelen</t>
  </si>
  <si>
    <t>Hungarian NB 2</t>
  </si>
  <si>
    <t>Monori SE vs KaposvÃ¡ri RÃ¡kÃ³czi</t>
  </si>
  <si>
    <t>Russian Division 1</t>
  </si>
  <si>
    <t>Mordovia Saransk vs FC Tambov</t>
  </si>
  <si>
    <t>Bahraini Pr. League</t>
  </si>
  <si>
    <t>AlvsShabbab - Al Muharraq</t>
  </si>
  <si>
    <t>Greek Superleague</t>
  </si>
  <si>
    <t>Panathinaikos vs PAOK</t>
  </si>
  <si>
    <t>Spanish Seg. B Gr.4</t>
  </si>
  <si>
    <t>Malaga B vs UCAM Murcia</t>
  </si>
  <si>
    <t>German Regionall. North</t>
  </si>
  <si>
    <t>TSV Havelse vs Wolfsburg II</t>
  </si>
  <si>
    <t>Scottish FA Cup</t>
  </si>
  <si>
    <t>Aberdeen vs Rangers</t>
  </si>
  <si>
    <t>Portuguese Prim. Liga</t>
  </si>
  <si>
    <t>Rio Ave FC vs Sporting Braga</t>
  </si>
  <si>
    <t>San Pietro vs Como</t>
  </si>
  <si>
    <t>OudvsHeverlee Leuven - Kfco Beerschot Wilrijk</t>
  </si>
  <si>
    <t>Russian Premier League</t>
  </si>
  <si>
    <t>Yenisey Krasnoyarsk vs FC Rostov</t>
  </si>
  <si>
    <t>Croatian 1. HNL</t>
  </si>
  <si>
    <t>Inter Zapresic vs Hajduk Split</t>
  </si>
  <si>
    <t>BB Erzurumspor vs Galatasaray</t>
  </si>
  <si>
    <t>Italian Serie C Girone C</t>
  </si>
  <si>
    <t>Bisceglie vs Catanzaro</t>
  </si>
  <si>
    <t>Turkish Lig 1</t>
  </si>
  <si>
    <t>Afjet Afyonspor vs Genclerbirligi</t>
  </si>
  <si>
    <t>FC Ingolstadt 04 vs Cologne</t>
  </si>
  <si>
    <t>Spanish Seg. B Gr.1</t>
  </si>
  <si>
    <t>Navalcarnero vs Cultural Leonesa</t>
  </si>
  <si>
    <t>Spanish Liga Primera</t>
  </si>
  <si>
    <t>Real Sociedad vs Atletico Madrid</t>
  </si>
  <si>
    <t>S. Korean K-League Challenge</t>
  </si>
  <si>
    <t>Seoul EvsLand FC - Gwangju FC</t>
  </si>
  <si>
    <t>Chilean Primera</t>
  </si>
  <si>
    <t>Curico Unido vs Colo Colo</t>
  </si>
  <si>
    <t>Polish 2 Liga</t>
  </si>
  <si>
    <t>Gryf Wejherowo vs Widzew Lodz</t>
  </si>
  <si>
    <t>Japanese J-League 2</t>
  </si>
  <si>
    <t>Ehime vs Tokyo Verdy</t>
  </si>
  <si>
    <t>Danish Superliga</t>
  </si>
  <si>
    <t>Vendsyssel vs AGF Aarhus</t>
  </si>
  <si>
    <t>Lupo Martini Wolfsburg vs Hannover 96 II</t>
  </si>
  <si>
    <t>Armenian Premier League</t>
  </si>
  <si>
    <t>Artsakh vs Banants</t>
  </si>
  <si>
    <t>Cameroonian Elite One</t>
  </si>
  <si>
    <t>Unisport de Bafang vs UMS de Loum</t>
  </si>
  <si>
    <t>Ansan Greeners vs Daejeon Citizen</t>
  </si>
  <si>
    <t>Aus. NPL South Australia</t>
  </si>
  <si>
    <t>Adelaide United Youth vs Campbelltown City</t>
  </si>
  <si>
    <t>Chinese Super League</t>
  </si>
  <si>
    <t>Henan Jianye vs Dalian Yifang</t>
  </si>
  <si>
    <t>Zulte Waregem vs Gent</t>
  </si>
  <si>
    <t>Polish Ekstraklasa</t>
  </si>
  <si>
    <t>Wisla Krakow vs Pogon Szczecin</t>
  </si>
  <si>
    <t>Czech 2. Liga</t>
  </si>
  <si>
    <t>FC Sellier &amp; Bellot Vlasim vs Ceske Budejovice</t>
  </si>
  <si>
    <t>Port. Segunda Liga</t>
  </si>
  <si>
    <t>Varzim vs Estoril Praia</t>
  </si>
  <si>
    <t>Italian Serie C Girone B</t>
  </si>
  <si>
    <t>Giana Erminio vs Triestina</t>
  </si>
  <si>
    <t>Spanish Seg. B Gr.2</t>
  </si>
  <si>
    <t>UP Langreo vs Racing Santander</t>
  </si>
  <si>
    <t>Union Irun vs Mirandes</t>
  </si>
  <si>
    <t>Villafranca vs Caronnese</t>
  </si>
  <si>
    <t>Danish Division 1</t>
  </si>
  <si>
    <t>NÃ¦stved BK vs Viborg</t>
  </si>
  <si>
    <t>CAF Confed. Cup</t>
  </si>
  <si>
    <t>Petro Luanda vs Zamalek</t>
  </si>
  <si>
    <t>Spanish Seg. B Gr.3</t>
  </si>
  <si>
    <t>UE Olot vs Atletico Baleares</t>
  </si>
  <si>
    <t>Real Hyria Nola vs Savoia</t>
  </si>
  <si>
    <t>Polish 1 Liga</t>
  </si>
  <si>
    <t>Wigry Suwalki vs GKS Katowice</t>
  </si>
  <si>
    <t>Salitas FC vs Club Sportif Sfaxien</t>
  </si>
  <si>
    <t>Penalva Do Castelo vs Agueda</t>
  </si>
  <si>
    <t>Thai Premier League</t>
  </si>
  <si>
    <t>Trat FC vs Chainat</t>
  </si>
  <si>
    <t>Albanian Superliga</t>
  </si>
  <si>
    <t>Dajti Kamza vs FK Laci</t>
  </si>
  <si>
    <t>French Ligue 1</t>
  </si>
  <si>
    <t>Guingamp vs Nantes</t>
  </si>
  <si>
    <t>Austrian 1st Division</t>
  </si>
  <si>
    <t>Austria Klagenfurt vs FC Blau-Weiss Linz</t>
  </si>
  <si>
    <t>Spanish Liga Segunda</t>
  </si>
  <si>
    <t>CF Rayo Majadahonda vs Granada</t>
  </si>
  <si>
    <t>Sonderjyske vs Randers</t>
  </si>
  <si>
    <t>BGSZ Siofok vs BÃ©kÃ©scsabai ElÃµre FC</t>
  </si>
  <si>
    <t>German Regionall. Northeast</t>
  </si>
  <si>
    <t>FC Oberlausitz vs Viktoria Berlin</t>
  </si>
  <si>
    <t>Tudelano vs UD Logrones</t>
  </si>
  <si>
    <t>Conquense vs Villarreal B</t>
  </si>
  <si>
    <t>S. African Pr. League</t>
  </si>
  <si>
    <t>Chippa United vs Supersport United</t>
  </si>
  <si>
    <t>Melbourne City vs Perth Glory</t>
  </si>
  <si>
    <t>Romanian Liga 1</t>
  </si>
  <si>
    <t>AFC Hermannstadt vs Iasi</t>
  </si>
  <si>
    <t>Gimnastica Torrelavega vs Real Oviedo B</t>
  </si>
  <si>
    <t>Fidelis Andria vs Audace Cerignola</t>
  </si>
  <si>
    <t>Venezuelan Primera</t>
  </si>
  <si>
    <t>Atletico Venezuela vs Deportivo Lara</t>
  </si>
  <si>
    <t>Fagiano Okayama vs Zwiegen Kanazawa</t>
  </si>
  <si>
    <t>Austrian Bundesliga</t>
  </si>
  <si>
    <t>Sturm Graz vs LASK Linz</t>
  </si>
  <si>
    <t>German 3. Liga</t>
  </si>
  <si>
    <t>Carl Zeiss Jena vs Eintracht Braunschweig</t>
  </si>
  <si>
    <t>Mexican Primera</t>
  </si>
  <si>
    <t>Lobos BUAP vs Unam Pumas</t>
  </si>
  <si>
    <t>Costa Rican Primera Division</t>
  </si>
  <si>
    <t>Universidad de Costa Rica vs Alajuelense</t>
  </si>
  <si>
    <t>Guadalajara Chivas vs CF Monterrey</t>
  </si>
  <si>
    <t>Fiorenzuola vs Modena</t>
  </si>
  <si>
    <t>Udinese vs Bologna</t>
  </si>
  <si>
    <t>Colombian Primera A</t>
  </si>
  <si>
    <t>Envigado vs America de Cali</t>
  </si>
  <si>
    <t>Fanfulla vs US Pergolettese</t>
  </si>
  <si>
    <t>Vastese Calcio vs ASD Pineto Calcio</t>
  </si>
  <si>
    <t>Zira vs Gabala</t>
  </si>
  <si>
    <t>Estonian Super Cup</t>
  </si>
  <si>
    <t>NÃµmme Kalju vs FC Levadia Tallinn</t>
  </si>
  <si>
    <t>Sadcf Internacional De Madrid Dsl vs Real Madrid Castilla</t>
  </si>
  <si>
    <t>FC Rieti vs Viterbese</t>
  </si>
  <si>
    <t>US Casertana 1908 vs Juve Stabia</t>
  </si>
  <si>
    <t>Macedonian 1. MFL</t>
  </si>
  <si>
    <t>Pobeda Junior vs FK Rabotnicki Skopje</t>
  </si>
  <si>
    <t>FC Ufa vs Dinamo Moscow</t>
  </si>
  <si>
    <t>Almeria B vs Jumilla</t>
  </si>
  <si>
    <t>FC Nizhny Novgorod vs FC Sochi</t>
  </si>
  <si>
    <t>Zenitvs2 St. Petersburg - Shinnik Yaroslavl</t>
  </si>
  <si>
    <t>Bustese vs Sanremese</t>
  </si>
  <si>
    <t>French Ligue 2</t>
  </si>
  <si>
    <t>Paris FC vs RC Lens</t>
  </si>
  <si>
    <t>SPAL vs Sampdoria</t>
  </si>
  <si>
    <t>Wacker Innsbruck vs SV Mattersburg</t>
  </si>
  <si>
    <t>CD Vitoria vs SD Leioa</t>
  </si>
  <si>
    <t>Locri vs Marsala</t>
  </si>
  <si>
    <t>Adelaide Olympic vs Metro Stars</t>
  </si>
  <si>
    <t>Fremad Amager vs LFA Nykobing</t>
  </si>
  <si>
    <t>Hvidovre IF vs Lyngby BK</t>
  </si>
  <si>
    <t>Indian Super League</t>
  </si>
  <si>
    <t>Atk vs Delhi Dynamos</t>
  </si>
  <si>
    <t>Fovu de Baham vs Yong Sports Academy</t>
  </si>
  <si>
    <t>Swiss Challenge League</t>
  </si>
  <si>
    <t>Winterthur vs Lausanne</t>
  </si>
  <si>
    <t>FC Porto B vs Famalicao</t>
  </si>
  <si>
    <t>Coquimbo Unido vs Everton Vina</t>
  </si>
  <si>
    <t>Guadalupe vs San Carlos</t>
  </si>
  <si>
    <t>Kazakhstan Super Cup</t>
  </si>
  <si>
    <t>Kairat Almaty vs Astana</t>
  </si>
  <si>
    <t>Budoni vs Latina</t>
  </si>
  <si>
    <t>Uruguayan Primera</t>
  </si>
  <si>
    <t>Rampla Juniors vs Defensor Sporting</t>
  </si>
  <si>
    <t>Baltika Kaliningrad vs Avangard Kursk</t>
  </si>
  <si>
    <t>Argentinian Primera B Nacional</t>
  </si>
  <si>
    <t>Ferro Carril Oeste vs Mitre Santiago Del Estero</t>
  </si>
  <si>
    <t>Czech Liga U21</t>
  </si>
  <si>
    <t>MFK Okd Karvina vs Vysocina Jihlava</t>
  </si>
  <si>
    <t>Celta Vigo B vs Atletico Madrid B</t>
  </si>
  <si>
    <t>JEF United Chiba vs Niigata Albirex</t>
  </si>
  <si>
    <t>Sibir Novosibirsk vs FC Tyumen</t>
  </si>
  <si>
    <t>Ostia Mare vs Albalonga</t>
  </si>
  <si>
    <t>Spartak Moscow vs FC Krasnodar</t>
  </si>
  <si>
    <t>Honduran Liga Nacional</t>
  </si>
  <si>
    <t>CD Vida vs Motagua</t>
  </si>
  <si>
    <t>Watford vs Leicester</t>
  </si>
  <si>
    <t>Mexican Liga Ascenso</t>
  </si>
  <si>
    <t>Tampico Madero vs Atlante</t>
  </si>
  <si>
    <t>Baroka vs Polokwane City</t>
  </si>
  <si>
    <t>Nakhon Ratchasima FC vs Chiangrai United</t>
  </si>
  <si>
    <t>SC Covilha vs Benfica Lisbon B</t>
  </si>
  <si>
    <t>Giulianova vs ASD Savignanese</t>
  </si>
  <si>
    <t>ASD Axys Zola vs Vigor Carpaneto</t>
  </si>
  <si>
    <t>Chiasso vs Kriens</t>
  </si>
  <si>
    <t>Dynamo Dresden vs Bochum</t>
  </si>
  <si>
    <t>El Salvador Primera</t>
  </si>
  <si>
    <t>CD Sonsonate vs CD Chalatenango</t>
  </si>
  <si>
    <t>UD Melilla vs Cartagena</t>
  </si>
  <si>
    <t>Sarnese vs Francavilla 1931</t>
  </si>
  <si>
    <t>HB KÃ¸ge vs Fredericia</t>
  </si>
  <si>
    <t>United States MLS</t>
  </si>
  <si>
    <t>DC United vs Atlanta United</t>
  </si>
  <si>
    <t>Swedish Cup</t>
  </si>
  <si>
    <t>Orebro SK vs IFK Goteborg</t>
  </si>
  <si>
    <t>Deportivo Cali vs Millonarios</t>
  </si>
  <si>
    <t>Lupa Roma vs SEF Torres</t>
  </si>
  <si>
    <t>Ukrainian Premier League</t>
  </si>
  <si>
    <t>Karpaty Lviv vs FK Lviv</t>
  </si>
  <si>
    <t>Odense BK vs Brondby IF</t>
  </si>
  <si>
    <t>Guillermo Brown vs Instituto AC Cordoba</t>
  </si>
  <si>
    <t>Argentinian Primera</t>
  </si>
  <si>
    <t>Patronato vs CA Huracan</t>
  </si>
  <si>
    <t>San Jose Earthquakes vs Montreal Impact</t>
  </si>
  <si>
    <t>S. Korean K-League</t>
  </si>
  <si>
    <t>FC Seoul vs Pohang Steelers</t>
  </si>
  <si>
    <t>ASD Cjarlins Muzane vs Union Feltre ASD</t>
  </si>
  <si>
    <t>Paredes vs Gondomar</t>
  </si>
  <si>
    <t>Ecuadorian Serie A</t>
  </si>
  <si>
    <t>Independiente Del Valle vs Barcelona Guayaquil</t>
  </si>
  <si>
    <t>Nice vs Strasbourg</t>
  </si>
  <si>
    <t>Betis vs Getafe</t>
  </si>
  <si>
    <t>CA Boston River vs River Plate Montevideo</t>
  </si>
  <si>
    <t>Polisportiva Tamai vs ASC St Georgen</t>
  </si>
  <si>
    <t>Team Altamura vs Bitonto</t>
  </si>
  <si>
    <t>Numancia vs Sporting Gijon</t>
  </si>
  <si>
    <t>Cegledi Vse vs BalmazÃºjvÃ¡rosi</t>
  </si>
  <si>
    <t>Alcoyano vs UD Cornella</t>
  </si>
  <si>
    <t>CD Platense vs Real Espana</t>
  </si>
  <si>
    <t>Shirak Gumri vs FC Lori</t>
  </si>
  <si>
    <t>Darfo Boario vs Virtus Bergamo</t>
  </si>
  <si>
    <t>Torpedo Armavir vs Tom Tomsk</t>
  </si>
  <si>
    <t>Villanovense vs Real Balompedica Linense</t>
  </si>
  <si>
    <t>Napoli vs Juventus</t>
  </si>
  <si>
    <t>Kazincbaricika BSC vs Soroksar</t>
  </si>
  <si>
    <t>Tunisian Ligue 1</t>
  </si>
  <si>
    <t>Jeunesse Sportive Kairouanaise vs US Monastirienne</t>
  </si>
  <si>
    <t>Israeli Premier League</t>
  </si>
  <si>
    <t>Hapoel Raanana vs Hapoel Hadera</t>
  </si>
  <si>
    <t>South Adelaide FC vs Adelaide Raiders</t>
  </si>
  <si>
    <t>Mito Hollyhock vs Tochigi</t>
  </si>
  <si>
    <t>Kenyan Premier League</t>
  </si>
  <si>
    <t>Zoo Kericho vs Posta Ranger FC</t>
  </si>
  <si>
    <t>Mosonmagyarovar vs Dorogi FC</t>
  </si>
  <si>
    <t>Calcio San Dona vs Montebelluna</t>
  </si>
  <si>
    <t>Colombian Primera B</t>
  </si>
  <si>
    <t>Llaneros FC vs Club CortuluÃ¡</t>
  </si>
  <si>
    <t>Leca vs Uniao Madeira</t>
  </si>
  <si>
    <t>Cesarense vs Pedras Rubras</t>
  </si>
  <si>
    <t>Guijuelo vs San Sebastian Reyes</t>
  </si>
  <si>
    <t>Ternana vs SSD Monza 1912</t>
  </si>
  <si>
    <t>Bosnian Premijer Liga</t>
  </si>
  <si>
    <t>Gosk Gabela vs Sloboda Tuzla</t>
  </si>
  <si>
    <t>US Inveruno vs Savona</t>
  </si>
  <si>
    <t>Avenir Gabesien vs US Tataouine</t>
  </si>
  <si>
    <t>Italian Serie B</t>
  </si>
  <si>
    <t>Pescara vs Spezia</t>
  </si>
  <si>
    <t>Renate vs Ravenna</t>
  </si>
  <si>
    <t>Vicenza vs Imolese Calcio</t>
  </si>
  <si>
    <t>Al Hala vs Al Hidd</t>
  </si>
  <si>
    <t>CSD Dorados Sinaloa vs Alebrijes De Oaxaca</t>
  </si>
  <si>
    <t>Boluspor U21 vs Istanbulspor U21</t>
  </si>
  <si>
    <t>Altinordu vs Hatayspor</t>
  </si>
  <si>
    <t>AS Fortuna Mfou vs Les Astres FC de Douala</t>
  </si>
  <si>
    <t>Roeselare vs Westerlo</t>
  </si>
  <si>
    <t>Hansa LÃ¼neburg vs Holstein Kiel II</t>
  </si>
  <si>
    <t>Deportivo La Equidad vs Cucuta Deportivo</t>
  </si>
  <si>
    <t>Peralada vs Espanyol B</t>
  </si>
  <si>
    <t>Tuttocuoio vs San Donato Tavarnelle</t>
  </si>
  <si>
    <t>New Zealand Premiership</t>
  </si>
  <si>
    <t>Hawkes Bay United vs Tasman United</t>
  </si>
  <si>
    <t>Sabadell vs CD Ebro</t>
  </si>
  <si>
    <t>1860 Munich vs Hansa Rostock</t>
  </si>
  <si>
    <t>Campodarsego vs Union Arzignanochiampo</t>
  </si>
  <si>
    <t>Moroccan GNF I</t>
  </si>
  <si>
    <t>Cra de Hoceima vs Ittihad Tanger</t>
  </si>
  <si>
    <t>CD Fas vs AD Isidro Metapan</t>
  </si>
  <si>
    <t>Yokohama FC vs Montedio Yamagata</t>
  </si>
  <si>
    <t>Latte Dolce Calcio vs ASD Lanusei Calcio</t>
  </si>
  <si>
    <t>Teramo vs Fermana</t>
  </si>
  <si>
    <t>Cypriot Division 1</t>
  </si>
  <si>
    <t>Ermis Aradippou vs Anorthosis Famagusta</t>
  </si>
  <si>
    <t>CD Olmedo vs Macara</t>
  </si>
  <si>
    <t>FK Varnsdorf vs FK Pardubice</t>
  </si>
  <si>
    <t>AC Bra vs Chieri</t>
  </si>
  <si>
    <t>Egyptian Pr. League</t>
  </si>
  <si>
    <t>Talaea El Gaish vs Al Masry</t>
  </si>
  <si>
    <t>Ponferradina vs Pontevedra</t>
  </si>
  <si>
    <t>Paraguayan Primera</t>
  </si>
  <si>
    <t>Deportivo Capiata vs Nacional Asuncion</t>
  </si>
  <si>
    <t>Pavia vs Sasso Marconi</t>
  </si>
  <si>
    <t>ENPPI vs Wadi Degla</t>
  </si>
  <si>
    <t>Zorya Luhansk vs Vorskla Poltava</t>
  </si>
  <si>
    <t>Venados FC vs Correcaminos</t>
  </si>
  <si>
    <t>Chaves vs CD Santa Clara</t>
  </si>
  <si>
    <t>Alianza Universidad vs Ayacucho</t>
  </si>
  <si>
    <t>Sileks Kratovo vs FK Renova</t>
  </si>
  <si>
    <t>Croydon Kings vs West Adelaide FC</t>
  </si>
  <si>
    <t>Levadiakos vs Lamia</t>
  </si>
  <si>
    <t>Salmantino vs Coruxo</t>
  </si>
  <si>
    <t>German Bundesliga</t>
  </si>
  <si>
    <t>Wolfsburg vs Werder Bremen</t>
  </si>
  <si>
    <t>Talleres vs Colon de Santa Fe</t>
  </si>
  <si>
    <t>Olimpik Donetsk vs Arsenal Kiev</t>
  </si>
  <si>
    <t>ASD Montegiorgio Calcio vs Campobasso</t>
  </si>
  <si>
    <t>S.Nicolo Calcio Teramo vs FC Francavilla</t>
  </si>
  <si>
    <t>Konyaspor vs Goztepe</t>
  </si>
  <si>
    <t>Hapoel TelvsAviv - Maccabi Petach-Tikva</t>
  </si>
  <si>
    <t>Zaragoza vs Almeria</t>
  </si>
  <si>
    <t>Csakvari vs Gyori Eto FC</t>
  </si>
  <si>
    <t>Virtus Francavilla vs Vibonese</t>
  </si>
  <si>
    <t>Algerian Ligue 1</t>
  </si>
  <si>
    <t>MC Oran vs Cr Belouizdad</t>
  </si>
  <si>
    <t>APEJES Academy vs Union Sportive de Douala</t>
  </si>
  <si>
    <t>Ciliverghe Mazzano vs Lentigione Calcio</t>
  </si>
  <si>
    <t>ASD Seravezza Pozzi Calcio vs Ponsacco</t>
  </si>
  <si>
    <t>RSB Berkane vs Raja Casablanca</t>
  </si>
  <si>
    <t>Perez Zeledon vs Cartagines</t>
  </si>
  <si>
    <t>Perugia vs Salernitana</t>
  </si>
  <si>
    <t>FC Khimki vs Fakel Voronezh</t>
  </si>
  <si>
    <t>Enugu Rangers vs Etoile Sportive du Sahel</t>
  </si>
  <si>
    <t>Danubio FC vs CA Cerro</t>
  </si>
  <si>
    <t>Russian Youth League</t>
  </si>
  <si>
    <t>Spartak Moscow Youth vs FK Krasnodar Youth</t>
  </si>
  <si>
    <t>Arminia Bielefeld vs Darmstadt</t>
  </si>
  <si>
    <t>UD Ibiza vs San Fernando</t>
  </si>
  <si>
    <t>Atletico vs CD Real San Andres</t>
  </si>
  <si>
    <t>Leon vs Santos Laguna</t>
  </si>
  <si>
    <t>Swiss Super League</t>
  </si>
  <si>
    <t>Zurich vs Lugano</t>
  </si>
  <si>
    <t>Leones Negros UDEG vs Zacatepec</t>
  </si>
  <si>
    <t>Nueva Chicago vs Club Atletico Temperley</t>
  </si>
  <si>
    <t>CD Cova Piedade vs Sporting Farense</t>
  </si>
  <si>
    <t>Real Valladolid B vs Unionistas CF</t>
  </si>
  <si>
    <t>Rimini Calcio vs Gubbio</t>
  </si>
  <si>
    <t>Dundee United vs Inverness Caledonian Thistle</t>
  </si>
  <si>
    <t>AS Otoho vs Hassania Agadir</t>
  </si>
  <si>
    <t>USD Caravaggio vs Scanzorosciate Calcio</t>
  </si>
  <si>
    <t>Vasas Budapest vs Nyiregyhaza Spartacus FC</t>
  </si>
  <si>
    <t>Santos de Guapiles vs Limon</t>
  </si>
  <si>
    <t>Valencia vs Athletic Bilbao</t>
  </si>
  <si>
    <t>Union Magdalena vs Deportivo Pasto</t>
  </si>
  <si>
    <t>Sevilla Atletico vs Don Benito</t>
  </si>
  <si>
    <t>Mallorca vs Elche</t>
  </si>
  <si>
    <t>Atletico Sanluqueno vs Granada CF B</t>
  </si>
  <si>
    <t>Feralpisalo vs Sudtirol</t>
  </si>
  <si>
    <t>Municipal Limeno vs Jocoro FC</t>
  </si>
  <si>
    <t>Tigres FC vs Orsomarso</t>
  </si>
  <si>
    <t>Estudiantes de Caracas vs Llaneros FC</t>
  </si>
  <si>
    <t>Estudiantes Merida vs Academia Puerto Cabello</t>
  </si>
  <si>
    <t>CD Audaz vs Santa Tecla FC</t>
  </si>
  <si>
    <t>Avezzano Calcio vs Santarcangelo</t>
  </si>
  <si>
    <t>1 Dezembro vs Co Do Montijo</t>
  </si>
  <si>
    <t>Real Burgos CF vs Club RÃ¡pido de Bouzas</t>
  </si>
  <si>
    <t>New Star de Douala vs Tonnerre YaoundÃ©</t>
  </si>
  <si>
    <t>Chilean Primera B</t>
  </si>
  <si>
    <t>San Luis Quillota vs Nublense</t>
  </si>
  <si>
    <t>OFI Crete vs Larissa</t>
  </si>
  <si>
    <t>St Gallen vs Neuchatel Xamax</t>
  </si>
  <si>
    <t>Real Murcia vs Marbella</t>
  </si>
  <si>
    <t>Feutcheu FC vs Eding Sport</t>
  </si>
  <si>
    <t>Home United vs DPMM</t>
  </si>
  <si>
    <t>Rotor Volgograd vs Spartak-2 Moscow</t>
  </si>
  <si>
    <t>ASD Cartigliano vs US Levico Terme</t>
  </si>
  <si>
    <t>Hellas Verona vs Venezia</t>
  </si>
  <si>
    <t>Ligorna 1922 vs Caratese</t>
  </si>
  <si>
    <t>PFC Oleksandria vs FC Mariupol</t>
  </si>
  <si>
    <t>CD Calahorra vs Arenas Club De Getxo</t>
  </si>
  <si>
    <t>CD Aguila vs CD Pasaquina</t>
  </si>
  <si>
    <t>Atalanta vs Fiorentina</t>
  </si>
  <si>
    <t>Guatemalan Liga Nacional</t>
  </si>
  <si>
    <t>Deportivo Guastatoya vs Coban Imperial</t>
  </si>
  <si>
    <t>Deportes Copiapo vs Melipilla</t>
  </si>
  <si>
    <t>Belluno vs Chioggia</t>
  </si>
  <si>
    <t>CA Platense vs Villa Dalmine</t>
  </si>
  <si>
    <t>Libertad Asuncion vs Sportivo San Lorenzo</t>
  </si>
  <si>
    <t>Union Adarve Barrio del Pilar vs Deportivo Fabril</t>
  </si>
  <si>
    <t>Budaorsi vs Dunakanyar</t>
  </si>
  <si>
    <t>SD Ejea vs CD Teruel</t>
  </si>
  <si>
    <t>Boluspor vs Istanbulspor</t>
  </si>
  <si>
    <t>Dutch Eredivisie</t>
  </si>
  <si>
    <t>Heerenveen vs Willem II</t>
  </si>
  <si>
    <t>Dragon Club vs Colombe FC</t>
  </si>
  <si>
    <t>Olimpo vs Santamarina de Tandil</t>
  </si>
  <si>
    <t>Marseille vs Saint-Etienne</t>
  </si>
  <si>
    <t>Sofapaka FC vs Kenya Commercial Bank</t>
  </si>
  <si>
    <t>Cavese vs Siracusa</t>
  </si>
  <si>
    <t>US Palmese 1912 vs A.s.d. Sancataldese Calcio</t>
  </si>
  <si>
    <t>Belenenses vs Feirense</t>
  </si>
  <si>
    <t>Los Angeles Galaxy vs Chicago Fire</t>
  </si>
  <si>
    <t>AC Delta Calcio Rovigo vs Este</t>
  </si>
  <si>
    <t>CD Castellon vs AtlÃ©tico Levante</t>
  </si>
  <si>
    <t>Viitoral Constanta vs Botosani</t>
  </si>
  <si>
    <t>Gornik Leczna vs Resovia Rzeszow</t>
  </si>
  <si>
    <t>Sammaurese vs Forli</t>
  </si>
  <si>
    <t>VIS Pesaro vs Virtus Vecomp Verona</t>
  </si>
  <si>
    <t>Independiente Santa Fe vs Rionegro Ãguilas</t>
  </si>
  <si>
    <t>Luxembourg Division 1</t>
  </si>
  <si>
    <t>F91 Dudelange vs CS Fola Esch</t>
  </si>
  <si>
    <t>Eibar vs Celta Vigo</t>
  </si>
  <si>
    <t>Gavorrano vs Sangiovannese</t>
  </si>
  <si>
    <t>Scandicci vs Real Forte Querceta</t>
  </si>
  <si>
    <t>FK Teplice vs SFC Opava</t>
  </si>
  <si>
    <t>Rudar Velenje vs NK Krsko</t>
  </si>
  <si>
    <t>Montevideo Wanderers vs Atletico Fenix Montevideo</t>
  </si>
  <si>
    <t>Croatian 2. HNL</t>
  </si>
  <si>
    <t>Hajduk Split II vs Dugopolje</t>
  </si>
  <si>
    <t>Pafos FC vs Alki Oroklini</t>
  </si>
  <si>
    <t>Zeljeznicar vs Mladost Doboj Kakanj</t>
  </si>
  <si>
    <t>Tokushima Vortis vs Gifu</t>
  </si>
  <si>
    <t>Vietnamese V-League</t>
  </si>
  <si>
    <t>Binh Duong vs Da Nang</t>
  </si>
  <si>
    <t>Real Oviedo vs Lugo</t>
  </si>
  <si>
    <t>Brazilian Paulista A2</t>
  </si>
  <si>
    <t>EC Taubate SP vs Portuguesa</t>
  </si>
  <si>
    <t>Casale vs Lavagnese</t>
  </si>
  <si>
    <t>Virtus Bolzano vs Chions 1972</t>
  </si>
  <si>
    <t>Espinho vs Amarante FC</t>
  </si>
  <si>
    <t>SC Coimbroes vs Gafanha</t>
  </si>
  <si>
    <t>FC Basel vs FC Thun</t>
  </si>
  <si>
    <t>Asg Nocerina vs Roccella</t>
  </si>
  <si>
    <t>Ghivizzano Borgoamozzano vs Prato</t>
  </si>
  <si>
    <t>Gela vs Messina</t>
  </si>
  <si>
    <t>Gelbison Vallo DL vs Sorrento</t>
  </si>
  <si>
    <t>Stuttgart vs Hannover 96</t>
  </si>
  <si>
    <t>Leixoes vs Academica Viseu</t>
  </si>
  <si>
    <t>Viktoria Zizkov vs 1.SK Prostejov</t>
  </si>
  <si>
    <t>FAR Rabat vs Cayb Club Athletic Youssoufia Berrechid</t>
  </si>
  <si>
    <t>Mushuc Runa vs El Nacional</t>
  </si>
  <si>
    <t>Silkeborg IF vs FC Roskilde</t>
  </si>
  <si>
    <t>Austria Vienna vs Hartberg</t>
  </si>
  <si>
    <t>GS Arconatese 1926 vs Borgaro</t>
  </si>
  <si>
    <t>Genoa vs Frosinone</t>
  </si>
  <si>
    <t>Djurgardens vs IF Elfsborg</t>
  </si>
  <si>
    <t>Asteras Tripoli vs Panaitolikos</t>
  </si>
  <si>
    <t>River Plate vs Newell's Old Boys</t>
  </si>
  <si>
    <t>Akademija Pandev vs KF Shkupi Skopje</t>
  </si>
  <si>
    <t>ND Gorica vs NK Triglav</t>
  </si>
  <si>
    <t>Turkish Super Lig U21</t>
  </si>
  <si>
    <t>Konyaspor U21 vs GÃ¶ztepe U21</t>
  </si>
  <si>
    <t>Lech Poznan vs Arka Gdynia</t>
  </si>
  <si>
    <t>Groningen vs VVV Venlo</t>
  </si>
  <si>
    <t>US Citta di Fasano vs ASD Citta Di Gragnano</t>
  </si>
  <si>
    <t>Pordenone vs Sambenedettese</t>
  </si>
  <si>
    <t>Lleida vs Badalona</t>
  </si>
  <si>
    <t>San Luis vs Cimarrones de Sonora</t>
  </si>
  <si>
    <t>Sigma Olomouc vs Banik Ostrava</t>
  </si>
  <si>
    <t>Aprilia vs Citta Di Anagni</t>
  </si>
  <si>
    <t>Zulia vs Metropolitanos FC</t>
  </si>
  <si>
    <t>UANL Tigres vs Pachuca</t>
  </si>
  <si>
    <t>Monterosi FC vs SFF Atletico</t>
  </si>
  <si>
    <t>Portici 1906 vs Rotonda</t>
  </si>
  <si>
    <t>Nardo Calcio vs Pomigliano</t>
  </si>
  <si>
    <t>Argentinian Primera B Metro</t>
  </si>
  <si>
    <t>JJ Urquiza vs Club Atletico Fenix</t>
  </si>
  <si>
    <t>Brazilian Catarinense</t>
  </si>
  <si>
    <t>Avai vs Joinville</t>
  </si>
  <si>
    <t>Calcio Catania vs Potenza</t>
  </si>
  <si>
    <t>Sondrio Calcio vs Ciserano</t>
  </si>
  <si>
    <t>Dinamo Zagreb vs Radnik Sesvete</t>
  </si>
  <si>
    <t>NK Osijek vs NK Slaven Belupo</t>
  </si>
  <si>
    <t>Xelaju vs CD Chiantla</t>
  </si>
  <si>
    <t>Seattle Sounders vs FC Cincinnati</t>
  </si>
  <si>
    <t>Jiangsu Suning vs Tianjin Teda</t>
  </si>
  <si>
    <t>Serbian Super Liga</t>
  </si>
  <si>
    <t>FK Backa BP vs Zemun</t>
  </si>
  <si>
    <t>Cobreloa vs Rangers Talca</t>
  </si>
  <si>
    <t>Friendly Intls. W.</t>
  </si>
  <si>
    <t>New Zealand W. vs Argentina W.</t>
  </si>
  <si>
    <t>USD 1913 Seregno Calcio vs Ambrosiana</t>
  </si>
  <si>
    <t>Ostersunds FK vs IK Sirius FK</t>
  </si>
  <si>
    <t>CFR Cluj vs Sepsi OSK Sfantu Gheorghe</t>
  </si>
  <si>
    <t>Antwerp vs Eupen</t>
  </si>
  <si>
    <t>Matelica vs A.C. Sangiustese</t>
  </si>
  <si>
    <t>Las Palmas vs Extremadura</t>
  </si>
  <si>
    <t>Oldenburg vs Rehden</t>
  </si>
  <si>
    <t>Mineros de Guayana vs Deportivo Tachira</t>
  </si>
  <si>
    <t>Antigua GFC vs Siquinala FC</t>
  </si>
  <si>
    <t>German Regionall. Bavaria</t>
  </si>
  <si>
    <t>Nuremburg II vs FC Pipinsried</t>
  </si>
  <si>
    <t>Sicula Leonzio vs Paganese</t>
  </si>
  <si>
    <t>Racing FC Union Luxembourg vs US Hostert</t>
  </si>
  <si>
    <t>Lille vs Dijon</t>
  </si>
  <si>
    <t>Alianza Lima vs Universidad Cesar Vallejo</t>
  </si>
  <si>
    <t>Deportes Valdivia vs La Serena</t>
  </si>
  <si>
    <t>FC Hradec Kralove vs BanÃ­k Sokolov</t>
  </si>
  <si>
    <t>SS Cassino vs Virtus Flaminia</t>
  </si>
  <si>
    <t>AC Crema vs San Marino Calcio</t>
  </si>
  <si>
    <t>Australia W. vs South Korea W.</t>
  </si>
  <si>
    <t>Al Hilal vs Zesco United</t>
  </si>
  <si>
    <t>Asante Kotoko vs Nkana FC</t>
  </si>
  <si>
    <t>CD Olimpia vs Lobos UPNFM</t>
  </si>
  <si>
    <t>Viktoria Plzen vs Baumit Jablonec</t>
  </si>
  <si>
    <t>Sestri Levante vs Stresa Sportiva</t>
  </si>
  <si>
    <t>Flamurtari Vlore vs Kastrioti Kruje</t>
  </si>
  <si>
    <t>Port FC vs Ratchaburi FC</t>
  </si>
  <si>
    <t>Krasnodarvs2 - Luch-Energia Vladivostok</t>
  </si>
  <si>
    <t>Atromitos vs Panionios</t>
  </si>
  <si>
    <t>Torino vs Chievo</t>
  </si>
  <si>
    <t>Malaysian Super League</t>
  </si>
  <si>
    <t>Melaka vs Kuala Lumpur</t>
  </si>
  <si>
    <t>Casa Pia Atletico vs Vasco da Gama</t>
  </si>
  <si>
    <t>Deportivo Toluca vs Tiburones Rojos de Veracruz</t>
  </si>
  <si>
    <t>Brusque vs Hercilio Luz FC</t>
  </si>
  <si>
    <t>NA Hussein Dey vs Gor Mahia</t>
  </si>
  <si>
    <t>SKAvsKhabarovsk - Chertanovo</t>
  </si>
  <si>
    <t>Zalaegerszegi vs Duna Aszfalt TVSE</t>
  </si>
  <si>
    <t>Gyirmot SE vs Budafoki MTE</t>
  </si>
  <si>
    <t>Racing Club vs Estudiantes de La Plata</t>
  </si>
  <si>
    <t>Union SaintvsGilloise - Tubize</t>
  </si>
  <si>
    <t>GAIS vs NykÃ¶pings BIS</t>
  </si>
  <si>
    <t>BoyacÃ¡ ChicÃ³ vs Bogota FC</t>
  </si>
  <si>
    <t>Reggio Audace vs AC Calvina Sport</t>
  </si>
  <si>
    <t>Turkish Lig 3 Group 1</t>
  </si>
  <si>
    <t>Hekimoglu Trabzon vs Batman Petrolspor</t>
  </si>
  <si>
    <t>Fuenlabrada vs UD Las Palmas Atletico</t>
  </si>
  <si>
    <t>Pro Sesto vs Villa Dalme Calcio</t>
  </si>
  <si>
    <t>Halmstads vs Karlstad BK</t>
  </si>
  <si>
    <t>Club Sport Emelec vs Tecnico Universitario</t>
  </si>
  <si>
    <t>Vardar Skopje vs Gjorce Petrov</t>
  </si>
  <si>
    <t>AC Rezzato vs US Olginatese 1968</t>
  </si>
  <si>
    <t>Sporting Clube Ideal vs FC Ferreiras</t>
  </si>
  <si>
    <t>Hertha Berlin II vs Bischofswerdaer FV 08</t>
  </si>
  <si>
    <t>Sporting Lisbon vs Portimonense</t>
  </si>
  <si>
    <t>AlvsRiffa - AL Badii</t>
  </si>
  <si>
    <t>Slovakian Super Liga</t>
  </si>
  <si>
    <t>Slovan Bratislava vs Spartak Trnava</t>
  </si>
  <si>
    <t>Marathon vs Real De Minas</t>
  </si>
  <si>
    <t>Chemnitz vs Germania Halberstadt</t>
  </si>
  <si>
    <t>Penarol de Montevideo vs Juventud de Las Piedras</t>
  </si>
  <si>
    <t>Zrinjski Mostar vs Radnik Bijeljina</t>
  </si>
  <si>
    <t>Lyon vs Toulouse</t>
  </si>
  <si>
    <t>Monagas SC vs Aragua</t>
  </si>
  <si>
    <t>Barakaldo vs SCD Durango</t>
  </si>
  <si>
    <t>Recreativo Huelva vs CD EL Ejido 2012</t>
  </si>
  <si>
    <t>Olhanense vs Angrense</t>
  </si>
  <si>
    <t>Romanian Liga 2</t>
  </si>
  <si>
    <t>Petrolul Ploiesti vs FC Metaloglobus Bucuresti</t>
  </si>
  <si>
    <t>ASD Trastevere vs US Ladispoli</t>
  </si>
  <si>
    <t>AC Mantova vs Legnago</t>
  </si>
  <si>
    <t>AZ vs Fortuna Sittard</t>
  </si>
  <si>
    <t>ASD Romagna Centro Cesena vs Isernia</t>
  </si>
  <si>
    <t>Feyenoord vs Emmen</t>
  </si>
  <si>
    <t>Copenhagen vs Vejle BK</t>
  </si>
  <si>
    <t>Ludogorets Razgrad vs Botev Vratsa</t>
  </si>
  <si>
    <t>Lithuanian A Lyga</t>
  </si>
  <si>
    <t>Zalgiris Vilnius vs FK Palanga</t>
  </si>
  <si>
    <t>IK Frej Taby vs HÃ¤ssleholms IF</t>
  </si>
  <si>
    <t>Gibraltar Premier Division</t>
  </si>
  <si>
    <t>Gibraltar United vs Lions Gibraltar</t>
  </si>
  <si>
    <t>Skendija Tetovo vs FK Belasica</t>
  </si>
  <si>
    <t>Ãœmraniyespor vs Kardemir Karabukspor</t>
  </si>
  <si>
    <t>HW (+)</t>
  </si>
  <si>
    <t>Delta (0.5)</t>
  </si>
  <si>
    <t>HWO(-)</t>
  </si>
  <si>
    <t>WIN</t>
  </si>
  <si>
    <t>LOSS</t>
  </si>
  <si>
    <t>2019-03-04T04:07:48.262Z</t>
  </si>
  <si>
    <t>Union La Calera vs Cobresal</t>
  </si>
  <si>
    <t>Municipal Grecia vs CS Herediano</t>
  </si>
  <si>
    <t>Gimnasia Y Esgrima vs CA Independiente</t>
  </si>
  <si>
    <t>Los Angeles FC vs Sporting Kansas City</t>
  </si>
  <si>
    <t>Akhisar U21 vs Alanyaspor U21</t>
  </si>
  <si>
    <t>Kasimpasa U21 vs Trabzonspor U21</t>
  </si>
  <si>
    <t>Adelaide Blue Eagles vs Adelaide City</t>
  </si>
  <si>
    <t>Fastav Zlin vs Slovacko</t>
  </si>
  <si>
    <t>Cyprus Women Cup</t>
  </si>
  <si>
    <t>Czech Republic W. vs South Africa W.</t>
  </si>
  <si>
    <t>Italy W. vs Thailand W.</t>
  </si>
  <si>
    <t>Slovakia W. vs Austria W.</t>
  </si>
  <si>
    <t>Portuguese League U23</t>
  </si>
  <si>
    <t>Sporting CP U23 vs Sp. Braga U23</t>
  </si>
  <si>
    <t>1 FK Pribram vs FC Hradec Kralove</t>
  </si>
  <si>
    <t>Bohemians 1905 vs FK Teplice</t>
  </si>
  <si>
    <t>FC Zbrojovka Brno vs Fotbal Trinec</t>
  </si>
  <si>
    <t>Czech Liga U19</t>
  </si>
  <si>
    <t>SK Slavia Praha vs Karvina</t>
  </si>
  <si>
    <t>Dukla Praha vs SK Slavia Praha</t>
  </si>
  <si>
    <t>Ceske Budejovice vs Sparta Prague</t>
  </si>
  <si>
    <t>Algarve Cup</t>
  </si>
  <si>
    <t>Denmark W. vs China W.</t>
  </si>
  <si>
    <t>Iceland W. vs Scotland W.</t>
  </si>
  <si>
    <t>Wydad Casablanca vs Mat Maghrib Association Tetouan</t>
  </si>
  <si>
    <t>Saudi Arabian Division 1</t>
  </si>
  <si>
    <t>Al Jeel vs Abha</t>
  </si>
  <si>
    <t>Universitatea Cluj vs Politehnica Timisoara</t>
  </si>
  <si>
    <t>Finland W. vs North Korea W.</t>
  </si>
  <si>
    <t>Mexico W. vs Hungary W.</t>
  </si>
  <si>
    <t>Nigeria W. vs Belgium W.</t>
  </si>
  <si>
    <t>Vitkovice vs Mas Taborsko</t>
  </si>
  <si>
    <t>Vysocina Jihlava vs 1. SC Znojmo</t>
  </si>
  <si>
    <t>Altay Izmir vs Balikesirspor</t>
  </si>
  <si>
    <t>Switzerland W. vs Portugal W.</t>
  </si>
  <si>
    <t>Enosis Neon Paralimni vs Doksa Katokopias</t>
  </si>
  <si>
    <t>AlvsAhly Cairo - Petrojet</t>
  </si>
  <si>
    <t>Apollon Smyrnis vs Olympiakos</t>
  </si>
  <si>
    <t>Israeli Liga Leumit</t>
  </si>
  <si>
    <t>Maccabi Achi Nazereth vs Hapoel Katamon</t>
  </si>
  <si>
    <t>Hapoel Afula vs Hapoel Nazareth Illit</t>
  </si>
  <si>
    <t>Hapoel Bnei Lod vs Hapoel Ashkelon FC</t>
  </si>
  <si>
    <t>KGHM Zaglebie Lubin vs Lechia Gdansk</t>
  </si>
  <si>
    <t>Kasimpasa vs Trabzonspor</t>
  </si>
  <si>
    <t>Akhisar Bld Spor vs Alanyaspor</t>
  </si>
  <si>
    <t>Netherlands W. vs Poland W.</t>
  </si>
  <si>
    <t>EC Agua Santa SP vs Rio Claro SP</t>
  </si>
  <si>
    <t>FC Midtjylland vs FC Nordsjaelland</t>
  </si>
  <si>
    <t>Kickers Wurzburg vs SpVgg Unterhaching</t>
  </si>
  <si>
    <t>CS Universitatea Craiova vs Astra Giurgiu</t>
  </si>
  <si>
    <t>Hammarby vs Dalkurd FF</t>
  </si>
  <si>
    <t>Varbergs vs Eskilsminne IF</t>
  </si>
  <si>
    <t>Dutch Eerste Divisie</t>
  </si>
  <si>
    <t>Jong AZ Alkmaar vs Volendam</t>
  </si>
  <si>
    <t>Hapoel Beer Sheva vs Hapoel Haifa</t>
  </si>
  <si>
    <t>Partick vs Heart of Midlothian</t>
  </si>
  <si>
    <t>Memmingen vs TSV 1860 Rosenheim</t>
  </si>
  <si>
    <t>Hamburger SV vs Greuther Furth</t>
  </si>
  <si>
    <t>Eng. National North</t>
  </si>
  <si>
    <t>Curzon Ashton FC vs Guiseley</t>
  </si>
  <si>
    <t>English Championship</t>
  </si>
  <si>
    <t>Sheffield Wednesday vs Sheffield United</t>
  </si>
  <si>
    <t>English Isthmian Premier</t>
  </si>
  <si>
    <t>Carshalton Athletic vs Harlow</t>
  </si>
  <si>
    <t>Le Havre vs Metz</t>
  </si>
  <si>
    <t>Irish League Cup</t>
  </si>
  <si>
    <t>Athlone vs Galway United</t>
  </si>
  <si>
    <t>Drogheda United vs Cabinteely FC</t>
  </si>
  <si>
    <t>Bray Wanderers vs Wexford</t>
  </si>
  <si>
    <t>Shelbourne FC vs Bluebell United</t>
  </si>
  <si>
    <t>Urbs Sportiva Reggina 1914 vs Rende</t>
  </si>
  <si>
    <t>Deportivo Riestra vs CA Acassuso</t>
  </si>
  <si>
    <t>Deportivo EspaÃ±ol vs CSD Flandria</t>
  </si>
  <si>
    <t>France W. vs Uruguay W.</t>
  </si>
  <si>
    <t>Irish Premier League</t>
  </si>
  <si>
    <t>Shamrock Rovers vs Finn Harps</t>
  </si>
  <si>
    <t>Livorno vs Benevento</t>
  </si>
  <si>
    <t>Leganes vs Levante</t>
  </si>
  <si>
    <t>Deportivo La Corunya vs Alcorcon</t>
  </si>
  <si>
    <t>Tristan Suarez vs Estudiantes</t>
  </si>
  <si>
    <t>Banfield vs Atletico Tucuman</t>
  </si>
  <si>
    <t>Vitoria Guimaraes vs Maritimo</t>
  </si>
  <si>
    <t>Inter De Limeira SP vs Juventus SP</t>
  </si>
  <si>
    <t>Union Comercio vs Molinos El Pirata</t>
  </si>
  <si>
    <t>Guarani vs River Plate Asuncion</t>
  </si>
  <si>
    <t>Brazilian Mineiro</t>
  </si>
  <si>
    <t>URT MG vs Boa EC</t>
  </si>
  <si>
    <t>Velez Sarsfield vs Tigre</t>
  </si>
  <si>
    <t>Ponte Preta vs Botafogo SP</t>
  </si>
  <si>
    <t>Deportes Quindio vs Universitario De Popayan</t>
  </si>
  <si>
    <t>Sol de America vs Deportivo Santani</t>
  </si>
  <si>
    <t>2019-03-05T09:37:27.886Z</t>
  </si>
  <si>
    <t>Sarmiento vs Deportivo Moron</t>
  </si>
  <si>
    <t>Universidad Catolica vs Fuerza Amarilla SC</t>
  </si>
  <si>
    <t>CA Aldosivi vs Defensa Y Justicia</t>
  </si>
  <si>
    <t>Atletico Huila vs Alianza Petrolera</t>
  </si>
  <si>
    <t>Sport Huancayo vs Academia Cantolao</t>
  </si>
  <si>
    <t>Puebla vs Gallos Blancos Queretaro</t>
  </si>
  <si>
    <t>Khanh Hoa vs Hai Phong</t>
  </si>
  <si>
    <t>Hoang Anh Gia Lai vs Sai Gon</t>
  </si>
  <si>
    <t>Turkish Lig 2 Beyaz Grup</t>
  </si>
  <si>
    <t>Hacettepe SK vs Adana Demirspor</t>
  </si>
  <si>
    <t>Wales W. vs Ireland W.</t>
  </si>
  <si>
    <t>TP Ho Chi Minh vs Nam Dinh</t>
  </si>
  <si>
    <t>Kosovan Superliga</t>
  </si>
  <si>
    <t>KF Ballkani vs KF Drita</t>
  </si>
  <si>
    <t>Alshoulla vs Al Kawkab</t>
  </si>
  <si>
    <t>Italian Serie C Girone A</t>
  </si>
  <si>
    <t>Cuneo vs Virtus Entella</t>
  </si>
  <si>
    <t>Bosnian Cup</t>
  </si>
  <si>
    <t>Sloga Gornje Crnjelovo vs Klis Buturovic Polje</t>
  </si>
  <si>
    <t>Kuwaiti Premier League</t>
  </si>
  <si>
    <t>Al Salmiyah vs Al-Fehaheel</t>
  </si>
  <si>
    <t>Kazma vs Al Shabab Kuwait</t>
  </si>
  <si>
    <t>Academica de Coimbra U23 vs Vitoria de Guimaraes U23</t>
  </si>
  <si>
    <t>Hajer Club vs Al Jabalain</t>
  </si>
  <si>
    <t>Portimonense U23 vs CD Cova da Piedade U23</t>
  </si>
  <si>
    <t>Benfica U23 vs Rio Ave U23</t>
  </si>
  <si>
    <t>Jeddah Club vs Dhamk</t>
  </si>
  <si>
    <t>Robur Siena vs Pistoiese</t>
  </si>
  <si>
    <t>Cape Town City FC vs Mamelodi Sundowns</t>
  </si>
  <si>
    <t>Orlando Pirates vs Bloemfontein Celtic</t>
  </si>
  <si>
    <t>Bordeaux vs Montpellier</t>
  </si>
  <si>
    <t>SV Lafnitz vs Wattens</t>
  </si>
  <si>
    <t>Pisa vs Pro Vercelli</t>
  </si>
  <si>
    <t>EFL Trophy</t>
  </si>
  <si>
    <t>Bristol Rovers vs Sunderland</t>
  </si>
  <si>
    <t>Boston United vs Stockport</t>
  </si>
  <si>
    <t>Altrincham vs Blyth Spartans</t>
  </si>
  <si>
    <t>Spennymoor Town vs Southport</t>
  </si>
  <si>
    <t>Bradford Park vs Leamington</t>
  </si>
  <si>
    <t>Telford vs Darlington</t>
  </si>
  <si>
    <t>Eng. National South</t>
  </si>
  <si>
    <t>Hemel Hempstead Town vs Dartford</t>
  </si>
  <si>
    <t>Gloucester City vs Concord Rangers</t>
  </si>
  <si>
    <t>Torquay vs Chelmsford</t>
  </si>
  <si>
    <t>WestonvsSuper-Mare - Wealdstone FC</t>
  </si>
  <si>
    <t>Derby vs Wigan</t>
  </si>
  <si>
    <t>Corinthian Casuals vs Lewes</t>
  </si>
  <si>
    <t>Hornchurch vs Wingate &amp; Finchley</t>
  </si>
  <si>
    <t>English League 1</t>
  </si>
  <si>
    <t>Accrington vs Blackpool</t>
  </si>
  <si>
    <t>English League 2</t>
  </si>
  <si>
    <t>Cheltenham vs Bury</t>
  </si>
  <si>
    <t>English National League</t>
  </si>
  <si>
    <t>Harrogate Town vs Bromley</t>
  </si>
  <si>
    <t>Braintree vs Chesterfield</t>
  </si>
  <si>
    <t>Barrow vs Leyton Orient</t>
  </si>
  <si>
    <t>Halifax vs Barnet</t>
  </si>
  <si>
    <t>Maidenhead vs Dagenham and Redbridge</t>
  </si>
  <si>
    <t>Salford City vs Sutton</t>
  </si>
  <si>
    <t>Cobh Ramblers vs Limerick FC</t>
  </si>
  <si>
    <t>Scottish League 1</t>
  </si>
  <si>
    <t>Brechin City FC vs East Fife</t>
  </si>
  <si>
    <t>Scottish League 2</t>
  </si>
  <si>
    <t>Edinburgh City vs Berwick</t>
  </si>
  <si>
    <t>Cowdenbeath vs Peterhead</t>
  </si>
  <si>
    <t>Colegiales vs CA All Boys Santa Rosa</t>
  </si>
  <si>
    <t>Champions League</t>
  </si>
  <si>
    <t>Real Madrid vs Ajax</t>
  </si>
  <si>
    <t>Borussia Dortmund vs Tottenham</t>
  </si>
  <si>
    <t>Copa Argentina</t>
  </si>
  <si>
    <t>Argentinos Juniors vs CA Douglas Haig</t>
  </si>
  <si>
    <t>SheBelieves Cup</t>
  </si>
  <si>
    <t>Japan W. vs England W.</t>
  </si>
  <si>
    <t>Alebrijes De Oaxaca vs Mineros De Zacatecas</t>
  </si>
  <si>
    <t>W/T</t>
  </si>
  <si>
    <t>Wo/T</t>
  </si>
  <si>
    <t>tip H</t>
  </si>
  <si>
    <t>tip A</t>
  </si>
  <si>
    <t>Gain/(Loss)</t>
  </si>
  <si>
    <t>2019-03-08T15:24:05.703Z</t>
  </si>
  <si>
    <t>Copa Libertadores</t>
  </si>
  <si>
    <t>Liga Deportiva Universitaria vs Penarol de Montevideo</t>
  </si>
  <si>
    <t>Brazilian Copa do Nordeste</t>
  </si>
  <si>
    <t>CS Alagoano vs CRB AL</t>
  </si>
  <si>
    <t>Vitoria BA vs Botafogo PB</t>
  </si>
  <si>
    <t>Boyaca Patriotas vs Deportivo Cali</t>
  </si>
  <si>
    <t>Copa do Brasil</t>
  </si>
  <si>
    <t>Santos vs America RN</t>
  </si>
  <si>
    <t>CD Honduras Progreso vs Motagua</t>
  </si>
  <si>
    <t>Deportivo Lara vs Club Sport Emelec</t>
  </si>
  <si>
    <t>Krylya Sovetov Youth vs Yenisey Youth</t>
  </si>
  <si>
    <t>South Adelaide FC vs Metro Stars</t>
  </si>
  <si>
    <t>Aus. NPL Northern NSW</t>
  </si>
  <si>
    <t>Weston Workers Bears FC vs Hamilton Olympic FC</t>
  </si>
  <si>
    <t>Aus. NPL Victoria</t>
  </si>
  <si>
    <t>Melbourne Knights vs Bentleigh Greens</t>
  </si>
  <si>
    <t>Brisbane Roar vs Western Sydney</t>
  </si>
  <si>
    <t>Pascoe Vale vs Port Melbourne Sharks</t>
  </si>
  <si>
    <t>SK Slavia Praha vs Dukla Praha</t>
  </si>
  <si>
    <t>CSKA Moscow Youth vs Rubin Kazan Youth</t>
  </si>
  <si>
    <t>Azerbaijani Division 1</t>
  </si>
  <si>
    <t>Agsu vs Keshla-2</t>
  </si>
  <si>
    <t>Turan Tovuz vs Garadag Lokbatan</t>
  </si>
  <si>
    <t>Zira FK 2 vs PFK Zaqatala</t>
  </si>
  <si>
    <t>FC Hradec Kralove vs Banik Ostrava</t>
  </si>
  <si>
    <t>Mlada Boleslav vs Vysocina Jihlava</t>
  </si>
  <si>
    <t>Montenegrin 1. CFL</t>
  </si>
  <si>
    <t>Mornar Bar vs Rudar Pljevlja</t>
  </si>
  <si>
    <t>Lajong SC vs Mohun Bagan AC</t>
  </si>
  <si>
    <t>Guangzhou Evergrande vs Tianjin Teda</t>
  </si>
  <si>
    <t>Tampines Rovers vs Home United</t>
  </si>
  <si>
    <t>Uzbek PFL</t>
  </si>
  <si>
    <t>Qizilqum vs Andijon</t>
  </si>
  <si>
    <t>Iranian Pro League</t>
  </si>
  <si>
    <t>Nassaji Mazandaran vs Persepolis</t>
  </si>
  <si>
    <t>Saudi Arabian Pro League</t>
  </si>
  <si>
    <t>Al Qadisiyah FC vs Al Ahli Jeddah</t>
  </si>
  <si>
    <t>Sanat Naft vs Sepidrood Rasht</t>
  </si>
  <si>
    <t>Beitar Tel Aviv Ramla vs Hapoel Afula</t>
  </si>
  <si>
    <t>Hapoel Iksal FC vs Hapoel Bnei Lod</t>
  </si>
  <si>
    <t>Hapoel PetachvsTikva - Hapoel Kfar Saba</t>
  </si>
  <si>
    <t>Hapoel Akko vs Maccabi Achi Nazereth</t>
  </si>
  <si>
    <t>FC Rishon Lezion vs Sektzia Nes Tziona</t>
  </si>
  <si>
    <t>Malaysian Premier League</t>
  </si>
  <si>
    <t>Uitm FC vs Kelantan</t>
  </si>
  <si>
    <t>Pahang FA vs Kedah</t>
  </si>
  <si>
    <t>Chonburi FC vs Port FC</t>
  </si>
  <si>
    <t>Radnik Sesvete vs NK Osijek II</t>
  </si>
  <si>
    <t>Sepahan vs Pars Jonoubi Jam FC</t>
  </si>
  <si>
    <t>Jordanian Pro League</t>
  </si>
  <si>
    <t>AlvsJazeera Amman - That Ras</t>
  </si>
  <si>
    <t>Slovakian 2. Liga</t>
  </si>
  <si>
    <t>MFK Dubnica vs MSK Zilina B</t>
  </si>
  <si>
    <t>Manama Club vs Al-Riffa</t>
  </si>
  <si>
    <t>APEJES Academy vs New Star de Douala</t>
  </si>
  <si>
    <t>NK Hrvatski Dragovoljac vs Medimurje Cakovec</t>
  </si>
  <si>
    <t>Esteghlal vs Naft Masjed Soleyman</t>
  </si>
  <si>
    <t>Botev Vratsa vs Vereya</t>
  </si>
  <si>
    <t>Al Nasr Riyadh vs Al Ittifaq</t>
  </si>
  <si>
    <t>CAF Champions League</t>
  </si>
  <si>
    <t>Ismaily SC vs TP Mazembe</t>
  </si>
  <si>
    <t>Constantine vs Club Africain</t>
  </si>
  <si>
    <t>Gazisehir Gaziantep FK vs Elazigspor</t>
  </si>
  <si>
    <t>UAE Arabian Gulf Cup</t>
  </si>
  <si>
    <t>Al Nasr vs Shabab Al-Ahli Dubai FC</t>
  </si>
  <si>
    <t>Shabab AlvsOrdon - AL Sareeh</t>
  </si>
  <si>
    <t>AlvsShabbab - AL Badii</t>
  </si>
  <si>
    <t>Rudes vs Inter Zapresic</t>
  </si>
  <si>
    <t>FK Jablonec vs FK Teplice</t>
  </si>
  <si>
    <t>Usti Nad Labem vs FC Sellier &amp; Bellot Vlasim</t>
  </si>
  <si>
    <t>1. SC Znojmo vs MFk Chrudim</t>
  </si>
  <si>
    <t>Estonian Meistriliiga</t>
  </si>
  <si>
    <t>Nomme Kalju vs Paide Linnameeskond</t>
  </si>
  <si>
    <t>Maltese Pr. League</t>
  </si>
  <si>
    <t>Tarxien Rainbows vs Birkirkara FC</t>
  </si>
  <si>
    <t>Stal Mielec vs LKS Lódz</t>
  </si>
  <si>
    <t>Odra Opole vs Chojniczanka Chojnice</t>
  </si>
  <si>
    <t>Gornik Zabrze vs Piast Gliwice</t>
  </si>
  <si>
    <t>Bochum vs Heidenheim</t>
  </si>
  <si>
    <t>Union Berlin vs FC Ingolstadt 04</t>
  </si>
  <si>
    <t>German Regionall. Southwest</t>
  </si>
  <si>
    <t>FC 08 HomburgvsSaar - Ulm 1846</t>
  </si>
  <si>
    <t>Al Ittihad Jeddah vs Al Faiha</t>
  </si>
  <si>
    <t>AlvsHilal Riyadh - Al-Wehdat</t>
  </si>
  <si>
    <t>Sivasspor vs Malatyaspor</t>
  </si>
  <si>
    <t>Austrian Regionalliga</t>
  </si>
  <si>
    <t>Rapid Vienna II vs SKN St. Polten II</t>
  </si>
  <si>
    <t>Union Vocklamarkt vs WSC Hertha Wels</t>
  </si>
  <si>
    <t>SC Weiz vs VST Völkermarkt</t>
  </si>
  <si>
    <t>Mattersburg II vs ASK Ebreichsdorf</t>
  </si>
  <si>
    <t>Allerheiligen vs Kalsdorf</t>
  </si>
  <si>
    <t>Neusiedl vs Wiener Sportklub</t>
  </si>
  <si>
    <t>Hobro vs FC Midtjylland</t>
  </si>
  <si>
    <t>Uerdingen vs Karlsruhe</t>
  </si>
  <si>
    <t>TSV Buchbach vs Schweinfurt 05</t>
  </si>
  <si>
    <t>Elversberg vs FSV Mainz 05 II</t>
  </si>
  <si>
    <t>Wormatia Worms vs Hoffenheim II</t>
  </si>
  <si>
    <t>TSV Steinbach vs Eintracht Stadtallendorf</t>
  </si>
  <si>
    <t>Stuttgart II vs Astoria Walldorf</t>
  </si>
  <si>
    <t>German Regionall. West</t>
  </si>
  <si>
    <t>Borussia Dortmund II vs SV Rodinghausen</t>
  </si>
  <si>
    <t>Hamrun Spartans vs Hibernians FC Paola</t>
  </si>
  <si>
    <t>FUS Rabat vs Mouloudia Oujda</t>
  </si>
  <si>
    <t>Austria Wien II vs FC Liefering</t>
  </si>
  <si>
    <t>Austria Klagenfurt vs Wattens</t>
  </si>
  <si>
    <t>Ried vs KSV 1919</t>
  </si>
  <si>
    <t>SV Lafnitz vs Amstetten</t>
  </si>
  <si>
    <t>Floridsdorfer AC vs FC Juniors OO</t>
  </si>
  <si>
    <t>Schwechat vs FC Marchfeld Donauauen</t>
  </si>
  <si>
    <t>Traiskirchen Fcm vs FC Stadlau</t>
  </si>
  <si>
    <t>Kickers Offenbach vs SC Hessen Dreieich</t>
  </si>
  <si>
    <t>Dinamo Bucharest vs Dunarea Calarasi</t>
  </si>
  <si>
    <t>Belgian Super League W.</t>
  </si>
  <si>
    <t>Genk W. vs Oud-Heuverlee W.</t>
  </si>
  <si>
    <t>Esperance Sportive Tunis vs Horoya AC</t>
  </si>
  <si>
    <t>Orlando Pirates vs FC Platinum</t>
  </si>
  <si>
    <t>Telstar vs Dordrecht</t>
  </si>
  <si>
    <t>Jong PSV Eindhoven vs Jong Utrecht</t>
  </si>
  <si>
    <t>MVV Maastricht vs Almere City</t>
  </si>
  <si>
    <t>FC Eindhoven vs Sparta Rotterdam</t>
  </si>
  <si>
    <t>FC Oss vs Twente</t>
  </si>
  <si>
    <t>RKC Waalwijk vs Cambuur Leeuwarden</t>
  </si>
  <si>
    <t>Den Bosch vs Helmond Sport</t>
  </si>
  <si>
    <t>Volendam vs Go Ahead Eagles</t>
  </si>
  <si>
    <t>NEC Nijmegen vs Roda</t>
  </si>
  <si>
    <t>Utrecht vs Groningen</t>
  </si>
  <si>
    <t>Clermont Foot vs Grenoble Foot 38</t>
  </si>
  <si>
    <t>Nancy vs Lorient</t>
  </si>
  <si>
    <t>Orléans vs Gazelec Ajaccio</t>
  </si>
  <si>
    <t>Paris FC vs Niort</t>
  </si>
  <si>
    <t>Troyes vs Chateauroux</t>
  </si>
  <si>
    <t>Brest vs Valenciennes</t>
  </si>
  <si>
    <t>Ajaccio vs Red Star</t>
  </si>
  <si>
    <t>AS Beziers vs Le Havre</t>
  </si>
  <si>
    <t>French National</t>
  </si>
  <si>
    <t>F. Bourg en Bresse Peronnas 01 vs Avranches</t>
  </si>
  <si>
    <t>Rodez Aveyron vs Pau</t>
  </si>
  <si>
    <t>Jeanne d'Arc vs FC Chambly Thelle</t>
  </si>
  <si>
    <t>Concarneau vs Cholet</t>
  </si>
  <si>
    <t>Boulogne Cote D'Opale vs Dunkerque</t>
  </si>
  <si>
    <t>Tours vs FC Villefranche</t>
  </si>
  <si>
    <t>Lyon Duchere vs Sannois-Saint-Gratien</t>
  </si>
  <si>
    <t>Wil vs Winterthur</t>
  </si>
  <si>
    <t>Scottish Championship</t>
  </si>
  <si>
    <t>Falkirk vs Ayr</t>
  </si>
  <si>
    <t>Sliema Wanderers vs Mosta FC</t>
  </si>
  <si>
    <t>Werder Bremen vs Schalke 04</t>
  </si>
  <si>
    <t>Gibraltar Phoenix FC vs Lincoln Red Imps FC</t>
  </si>
  <si>
    <t>Juventus vs Udinese</t>
  </si>
  <si>
    <t>Slask Wroclaw vs Jagiellonia Bialystok</t>
  </si>
  <si>
    <t>Norwich City vs Swansea</t>
  </si>
  <si>
    <t>Coventry vs Burton Albion</t>
  </si>
  <si>
    <t>Tranmere vs Crewe</t>
  </si>
  <si>
    <t>Lincoln vs Yeovil</t>
  </si>
  <si>
    <t>Irish Division 1</t>
  </si>
  <si>
    <t>Cabinteely FC vs Longford Town</t>
  </si>
  <si>
    <t>Galway United vs Bray Wanderers</t>
  </si>
  <si>
    <t>Limerick FC vs Drogheda United</t>
  </si>
  <si>
    <t>Athlone vs Shelbourne FC</t>
  </si>
  <si>
    <t>St. Patrick's Athletic vs Shamrock Rovers</t>
  </si>
  <si>
    <t>Dundalk vs Waterford United</t>
  </si>
  <si>
    <t>Bohemians Dublin vs Derry City</t>
  </si>
  <si>
    <t>N. Irish Premiership</t>
  </si>
  <si>
    <t>Glenavon vs Linfield</t>
  </si>
  <si>
    <t>Scottish Premiership</t>
  </si>
  <si>
    <t>Hibernian vs Rangers</t>
  </si>
  <si>
    <t>Welsh Premier League</t>
  </si>
  <si>
    <t>Cefn Druids vs Llandudno FC</t>
  </si>
  <si>
    <t>Llanelli AFC vs Cardiff Met University</t>
  </si>
  <si>
    <t>Aberystwyth vs Carmarthen</t>
  </si>
  <si>
    <t>Caernarfon vs Bala Town</t>
  </si>
  <si>
    <t>UAI Urquiza vs Deportivo Español</t>
  </si>
  <si>
    <t>Sacachispas FC vs JJ Urquiza</t>
  </si>
  <si>
    <t>San Telmo vs Talleres de Remedios de Escalada</t>
  </si>
  <si>
    <t>Finn Harps vs Cork City</t>
  </si>
  <si>
    <t>Perugia vs Hellas Verona</t>
  </si>
  <si>
    <t>Athletic Bilbao vs Espanyol</t>
  </si>
  <si>
    <t>Barracas Central vs Tristan Suarez</t>
  </si>
  <si>
    <t>Ayacucho vs EM Deportivo Binacional</t>
  </si>
  <si>
    <t>Chaves vs Rio Ave FC</t>
  </si>
  <si>
    <t>Brazilian Paulista A3</t>
  </si>
  <si>
    <t>Taboao DA Serra SP vs Barretos SP</t>
  </si>
  <si>
    <t>Botafogo SP vs Bragantino</t>
  </si>
  <si>
    <t>Atletico Lanus vs San Martin San Juan</t>
  </si>
  <si>
    <t>Oeste vs Red Bull Brasil SP</t>
  </si>
  <si>
    <t>O'Higgins vs Coquimbo Unido</t>
  </si>
  <si>
    <t>Sportivo San Lorenzo vs Deportivo Capiata</t>
  </si>
  <si>
    <t>Joinville vs Metropolitano</t>
  </si>
  <si>
    <t>Brazilian Matogrossense</t>
  </si>
  <si>
    <t>Cuiaba Esporte Clube vs Operario FC MG</t>
  </si>
  <si>
    <t>XV de Piracicaba vs Atletico Linense SP</t>
  </si>
  <si>
    <t>Barnechea vs CD Santa Cruz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</si>
</sst>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-* #,##0.00_-;\-* #,##0.00_-;_-* &quot;-&quot;??_-;_-@_-"/>
  </numFmts>
  <fonts count="3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323C46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Helv"/>
      <charset val="204"/>
    </font>
    <font>
      <u/>
      <sz val="10"/>
      <color indexed="12"/>
      <name val="Arial"/>
      <family val="2"/>
    </font>
    <font>
      <b/>
      <sz val="10"/>
      <name val="MS Sans"/>
      <family val="2"/>
    </font>
    <font>
      <u/>
      <sz val="10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323C46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sz val="9"/>
      <color indexed="8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165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/>
    <xf numFmtId="0" fontId="11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18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164" fontId="1" fillId="0" borderId="0" xfId="1" applyNumberFormat="1" applyFont="1" applyAlignment="1"/>
    <xf numFmtId="15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vertical="center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right"/>
    </xf>
    <xf numFmtId="164" fontId="1" fillId="0" borderId="1" xfId="1" applyNumberFormat="1" applyFont="1" applyBorder="1" applyAlignment="1"/>
    <xf numFmtId="9" fontId="1" fillId="0" borderId="1" xfId="2" applyFont="1" applyBorder="1" applyAlignment="1"/>
    <xf numFmtId="0" fontId="4" fillId="0" borderId="0" xfId="0" applyFont="1"/>
    <xf numFmtId="0" fontId="2" fillId="2" borderId="0" xfId="0" applyFont="1" applyFill="1" applyAlignment="1"/>
    <xf numFmtId="9" fontId="1" fillId="0" borderId="1" xfId="0" applyNumberFormat="1" applyFont="1" applyBorder="1" applyAlignment="1"/>
    <xf numFmtId="0" fontId="2" fillId="0" borderId="0" xfId="0" applyFont="1" applyAlignment="1">
      <alignment vertical="center"/>
    </xf>
    <xf numFmtId="0" fontId="0" fillId="0" borderId="0" xfId="0" applyAlignment="1"/>
    <xf numFmtId="0" fontId="1" fillId="3" borderId="1" xfId="0" applyFont="1" applyFill="1" applyBorder="1" applyAlignment="1">
      <alignment horizontal="right"/>
    </xf>
    <xf numFmtId="164" fontId="1" fillId="3" borderId="1" xfId="1" applyNumberFormat="1" applyFont="1" applyFill="1" applyBorder="1" applyAlignment="1"/>
    <xf numFmtId="9" fontId="1" fillId="3" borderId="1" xfId="2" applyFont="1" applyFill="1" applyBorder="1" applyAlignment="1"/>
    <xf numFmtId="0" fontId="1" fillId="2" borderId="0" xfId="0" applyFont="1" applyFill="1" applyAlignment="1">
      <alignment horizontal="center"/>
    </xf>
    <xf numFmtId="9" fontId="1" fillId="0" borderId="0" xfId="2" applyFont="1" applyAlignment="1"/>
    <xf numFmtId="9" fontId="1" fillId="0" borderId="0" xfId="0" applyNumberFormat="1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5" fillId="0" borderId="0" xfId="3" applyAlignment="1">
      <alignment vertical="center"/>
    </xf>
    <xf numFmtId="0" fontId="0" fillId="0" borderId="0" xfId="0" applyAlignment="1">
      <alignment vertical="center"/>
    </xf>
    <xf numFmtId="0" fontId="1" fillId="2" borderId="0" xfId="0" applyFont="1" applyFill="1" applyAlignment="1"/>
    <xf numFmtId="0" fontId="6" fillId="0" borderId="0" xfId="0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0" borderId="0" xfId="0" quotePrefix="1" applyFont="1" applyAlignment="1">
      <alignment horizontal="center"/>
    </xf>
    <xf numFmtId="15" fontId="8" fillId="0" borderId="0" xfId="0" applyNumberFormat="1" applyFont="1" applyFill="1" applyAlignment="1">
      <alignment vertical="center"/>
    </xf>
    <xf numFmtId="0" fontId="8" fillId="0" borderId="0" xfId="0" applyFont="1" applyFill="1"/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8" fillId="0" borderId="0" xfId="0" applyNumberFormat="1" applyFont="1" applyFill="1" applyAlignment="1">
      <alignment horizontal="center"/>
    </xf>
    <xf numFmtId="0" fontId="11" fillId="0" borderId="0" xfId="4" applyAlignment="1">
      <alignment horizontal="center"/>
    </xf>
    <xf numFmtId="165" fontId="0" fillId="0" borderId="0" xfId="5" applyFont="1" applyAlignment="1">
      <alignment horizontal="center"/>
    </xf>
    <xf numFmtId="0" fontId="11" fillId="0" borderId="0" xfId="4"/>
    <xf numFmtId="0" fontId="12" fillId="2" borderId="0" xfId="4" applyFont="1" applyFill="1" applyAlignment="1">
      <alignment horizontal="center"/>
    </xf>
    <xf numFmtId="165" fontId="12" fillId="2" borderId="0" xfId="5" applyFont="1" applyFill="1" applyAlignment="1">
      <alignment horizontal="center"/>
    </xf>
    <xf numFmtId="0" fontId="9" fillId="2" borderId="0" xfId="4" applyFont="1" applyFill="1" applyAlignment="1">
      <alignment horizontal="center"/>
    </xf>
    <xf numFmtId="0" fontId="11" fillId="2" borderId="0" xfId="4" applyFill="1" applyAlignment="1">
      <alignment horizontal="center"/>
    </xf>
    <xf numFmtId="0" fontId="12" fillId="2" borderId="0" xfId="4" applyFont="1" applyFill="1" applyAlignment="1">
      <alignment horizontal="left"/>
    </xf>
    <xf numFmtId="14" fontId="11" fillId="0" borderId="0" xfId="4" applyNumberFormat="1" applyAlignment="1">
      <alignment horizontal="center"/>
    </xf>
    <xf numFmtId="2" fontId="11" fillId="0" borderId="0" xfId="4" applyNumberFormat="1" applyAlignment="1">
      <alignment horizontal="center"/>
    </xf>
    <xf numFmtId="10" fontId="0" fillId="0" borderId="0" xfId="6" applyNumberFormat="1" applyFont="1" applyAlignment="1">
      <alignment horizontal="center"/>
    </xf>
    <xf numFmtId="0" fontId="11" fillId="0" borderId="0" xfId="4" applyFont="1"/>
    <xf numFmtId="0" fontId="12" fillId="0" borderId="0" xfId="4" applyFont="1"/>
    <xf numFmtId="0" fontId="14" fillId="0" borderId="0" xfId="4" applyFont="1"/>
    <xf numFmtId="0" fontId="11" fillId="0" borderId="0" xfId="4" applyBorder="1" applyAlignment="1">
      <alignment horizontal="center"/>
    </xf>
    <xf numFmtId="165" fontId="0" fillId="0" borderId="0" xfId="5" applyFont="1" applyBorder="1" applyAlignment="1">
      <alignment horizontal="center"/>
    </xf>
    <xf numFmtId="14" fontId="11" fillId="0" borderId="0" xfId="4" applyNumberFormat="1" applyBorder="1" applyAlignment="1">
      <alignment horizontal="center"/>
    </xf>
    <xf numFmtId="2" fontId="11" fillId="0" borderId="0" xfId="4" applyNumberFormat="1" applyBorder="1" applyAlignment="1">
      <alignment horizontal="center"/>
    </xf>
    <xf numFmtId="0" fontId="13" fillId="0" borderId="0" xfId="4" applyFont="1" applyBorder="1" applyAlignment="1">
      <alignment horizontal="center"/>
    </xf>
    <xf numFmtId="0" fontId="11" fillId="0" borderId="0" xfId="4" applyFont="1" applyBorder="1"/>
    <xf numFmtId="10" fontId="0" fillId="0" borderId="0" xfId="6" applyNumberFormat="1" applyFont="1" applyBorder="1" applyAlignment="1">
      <alignment horizontal="center"/>
    </xf>
    <xf numFmtId="0" fontId="11" fillId="0" borderId="0" xfId="4" applyBorder="1"/>
    <xf numFmtId="0" fontId="12" fillId="0" borderId="0" xfId="4" applyFont="1" applyBorder="1"/>
    <xf numFmtId="0" fontId="14" fillId="0" borderId="0" xfId="4" applyFont="1" applyBorder="1"/>
    <xf numFmtId="0" fontId="20" fillId="2" borderId="0" xfId="3" applyFont="1" applyFill="1" applyAlignment="1"/>
    <xf numFmtId="0" fontId="1" fillId="0" borderId="0" xfId="0" applyFont="1" applyFill="1"/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21" fillId="4" borderId="0" xfId="0" applyFont="1" applyFill="1" applyAlignment="1"/>
    <xf numFmtId="0" fontId="22" fillId="0" borderId="0" xfId="0" applyFont="1" applyAlignment="1">
      <alignment vertical="center" wrapText="1"/>
    </xf>
    <xf numFmtId="9" fontId="11" fillId="0" borderId="0" xfId="4" applyNumberFormat="1" applyBorder="1"/>
    <xf numFmtId="0" fontId="11" fillId="0" borderId="0" xfId="4" applyBorder="1" applyAlignment="1">
      <alignment horizontal="center" wrapText="1"/>
    </xf>
    <xf numFmtId="43" fontId="11" fillId="0" borderId="0" xfId="1" applyFont="1"/>
    <xf numFmtId="43" fontId="9" fillId="2" borderId="0" xfId="1" applyFont="1" applyFill="1" applyAlignment="1">
      <alignment horizontal="center"/>
    </xf>
    <xf numFmtId="43" fontId="0" fillId="0" borderId="0" xfId="1" applyFont="1" applyBorder="1" applyAlignment="1">
      <alignment horizontal="center"/>
    </xf>
    <xf numFmtId="165" fontId="0" fillId="0" borderId="0" xfId="5" applyFont="1" applyFill="1" applyBorder="1" applyAlignment="1">
      <alignment horizont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4" fontId="11" fillId="3" borderId="0" xfId="4" applyNumberFormat="1" applyFill="1" applyAlignment="1">
      <alignment horizontal="center"/>
    </xf>
    <xf numFmtId="165" fontId="0" fillId="3" borderId="0" xfId="5" applyFont="1" applyFill="1" applyAlignment="1">
      <alignment horizontal="center"/>
    </xf>
    <xf numFmtId="165" fontId="0" fillId="3" borderId="0" xfId="5" applyFont="1" applyFill="1" applyBorder="1" applyAlignment="1">
      <alignment horizontal="center"/>
    </xf>
    <xf numFmtId="0" fontId="1" fillId="0" borderId="1" xfId="0" applyFont="1" applyBorder="1" applyAlignment="1"/>
    <xf numFmtId="0" fontId="1" fillId="2" borderId="1" xfId="0" applyFont="1" applyFill="1" applyBorder="1" applyAlignment="1">
      <alignment horizontal="right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22" fillId="3" borderId="0" xfId="0" applyFont="1" applyFill="1" applyAlignment="1">
      <alignment vertical="center" wrapText="1"/>
    </xf>
    <xf numFmtId="0" fontId="1" fillId="3" borderId="0" xfId="0" applyFont="1" applyFill="1" applyAlignment="1"/>
    <xf numFmtId="0" fontId="7" fillId="3" borderId="0" xfId="0" applyFont="1" applyFill="1" applyAlignment="1">
      <alignment vertical="center"/>
    </xf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vertical="center" wrapText="1"/>
    </xf>
    <xf numFmtId="0" fontId="23" fillId="0" borderId="0" xfId="0" quotePrefix="1" applyFont="1" applyAlignment="1"/>
    <xf numFmtId="0" fontId="24" fillId="2" borderId="0" xfId="3" applyFont="1" applyFill="1" applyAlignment="1"/>
    <xf numFmtId="0" fontId="1" fillId="0" borderId="1" xfId="0" applyFont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2" fontId="1" fillId="0" borderId="1" xfId="0" applyNumberFormat="1" applyFont="1" applyBorder="1"/>
    <xf numFmtId="43" fontId="1" fillId="0" borderId="1" xfId="1" applyFont="1" applyBorder="1"/>
    <xf numFmtId="43" fontId="2" fillId="5" borderId="1" xfId="1" applyFont="1" applyFill="1" applyBorder="1"/>
    <xf numFmtId="0" fontId="1" fillId="2" borderId="1" xfId="0" quotePrefix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43" fontId="1" fillId="5" borderId="1" xfId="1" applyFont="1" applyFill="1" applyBorder="1"/>
    <xf numFmtId="2" fontId="1" fillId="5" borderId="1" xfId="0" applyNumberFormat="1" applyFont="1" applyFill="1" applyBorder="1"/>
    <xf numFmtId="43" fontId="1" fillId="5" borderId="1" xfId="0" applyNumberFormat="1" applyFont="1" applyFill="1" applyBorder="1"/>
    <xf numFmtId="0" fontId="1" fillId="5" borderId="1" xfId="0" applyFont="1" applyFill="1" applyBorder="1" applyAlignment="1">
      <alignment horizontal="center"/>
    </xf>
    <xf numFmtId="0" fontId="0" fillId="0" borderId="0" xfId="0" pivotButton="1"/>
    <xf numFmtId="15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9" fontId="0" fillId="0" borderId="0" xfId="2" applyFont="1"/>
    <xf numFmtId="0" fontId="25" fillId="0" borderId="0" xfId="4" applyFont="1"/>
    <xf numFmtId="0" fontId="2" fillId="5" borderId="1" xfId="0" applyFont="1" applyFill="1" applyBorder="1" applyAlignment="1">
      <alignment horizontal="left"/>
    </xf>
    <xf numFmtId="0" fontId="1" fillId="5" borderId="1" xfId="0" applyFont="1" applyFill="1" applyBorder="1"/>
    <xf numFmtId="0" fontId="26" fillId="0" borderId="0" xfId="4" applyFont="1"/>
    <xf numFmtId="0" fontId="26" fillId="0" borderId="0" xfId="4" applyFont="1" applyBorder="1"/>
    <xf numFmtId="0" fontId="25" fillId="0" borderId="0" xfId="4" applyFont="1" applyBorder="1"/>
    <xf numFmtId="0" fontId="0" fillId="0" borderId="0" xfId="0" applyAlignment="1">
      <alignment horizontal="center"/>
    </xf>
    <xf numFmtId="164" fontId="0" fillId="0" borderId="0" xfId="1" applyNumberFormat="1" applyFont="1"/>
    <xf numFmtId="0" fontId="11" fillId="0" borderId="5" xfId="4" applyBorder="1" applyAlignment="1">
      <alignment horizontal="center"/>
    </xf>
    <xf numFmtId="14" fontId="11" fillId="3" borderId="6" xfId="4" applyNumberFormat="1" applyFill="1" applyBorder="1" applyAlignment="1">
      <alignment horizontal="center"/>
    </xf>
    <xf numFmtId="165" fontId="0" fillId="3" borderId="6" xfId="5" applyFont="1" applyFill="1" applyBorder="1" applyAlignment="1">
      <alignment horizontal="center"/>
    </xf>
    <xf numFmtId="165" fontId="0" fillId="0" borderId="6" xfId="5" applyFont="1" applyFill="1" applyBorder="1" applyAlignment="1">
      <alignment horizontal="center"/>
    </xf>
    <xf numFmtId="14" fontId="11" fillId="0" borderId="6" xfId="4" applyNumberFormat="1" applyBorder="1" applyAlignment="1">
      <alignment horizontal="center"/>
    </xf>
    <xf numFmtId="0" fontId="11" fillId="0" borderId="6" xfId="4" applyBorder="1" applyAlignment="1">
      <alignment horizontal="center"/>
    </xf>
    <xf numFmtId="0" fontId="11" fillId="0" borderId="6" xfId="4" applyBorder="1" applyAlignment="1">
      <alignment horizontal="center" wrapText="1"/>
    </xf>
    <xf numFmtId="43" fontId="0" fillId="0" borderId="6" xfId="1" applyFont="1" applyBorder="1" applyAlignment="1">
      <alignment horizontal="center"/>
    </xf>
    <xf numFmtId="2" fontId="11" fillId="0" borderId="6" xfId="4" applyNumberFormat="1" applyBorder="1" applyAlignment="1">
      <alignment horizontal="center"/>
    </xf>
    <xf numFmtId="0" fontId="13" fillId="0" borderId="6" xfId="4" applyFont="1" applyBorder="1" applyAlignment="1">
      <alignment horizontal="center"/>
    </xf>
    <xf numFmtId="165" fontId="0" fillId="0" borderId="6" xfId="5" applyFont="1" applyBorder="1" applyAlignment="1">
      <alignment horizontal="center"/>
    </xf>
    <xf numFmtId="10" fontId="0" fillId="0" borderId="6" xfId="6" applyNumberFormat="1" applyFont="1" applyBorder="1" applyAlignment="1">
      <alignment horizontal="center"/>
    </xf>
    <xf numFmtId="0" fontId="11" fillId="0" borderId="7" xfId="4" applyBorder="1" applyAlignment="1">
      <alignment horizontal="center"/>
    </xf>
    <xf numFmtId="0" fontId="11" fillId="0" borderId="8" xfId="4" applyBorder="1" applyAlignment="1">
      <alignment horizontal="center"/>
    </xf>
    <xf numFmtId="0" fontId="11" fillId="0" borderId="9" xfId="4" applyBorder="1" applyAlignment="1">
      <alignment horizontal="center"/>
    </xf>
    <xf numFmtId="14" fontId="11" fillId="3" borderId="0" xfId="4" applyNumberFormat="1" applyFill="1" applyBorder="1" applyAlignment="1">
      <alignment horizontal="center"/>
    </xf>
    <xf numFmtId="43" fontId="11" fillId="0" borderId="0" xfId="1" applyFont="1" applyBorder="1"/>
    <xf numFmtId="0" fontId="11" fillId="0" borderId="9" xfId="4" applyBorder="1"/>
    <xf numFmtId="0" fontId="11" fillId="0" borderId="10" xfId="4" applyBorder="1" applyAlignment="1">
      <alignment horizontal="center"/>
    </xf>
    <xf numFmtId="14" fontId="11" fillId="0" borderId="11" xfId="4" applyNumberFormat="1" applyBorder="1" applyAlignment="1">
      <alignment horizontal="center"/>
    </xf>
    <xf numFmtId="165" fontId="0" fillId="0" borderId="11" xfId="5" applyFont="1" applyBorder="1" applyAlignment="1">
      <alignment horizontal="center"/>
    </xf>
    <xf numFmtId="165" fontId="0" fillId="0" borderId="11" xfId="5" applyFont="1" applyFill="1" applyBorder="1" applyAlignment="1">
      <alignment horizontal="center"/>
    </xf>
    <xf numFmtId="0" fontId="11" fillId="0" borderId="11" xfId="4" applyBorder="1" applyAlignment="1">
      <alignment horizontal="center"/>
    </xf>
    <xf numFmtId="43" fontId="11" fillId="0" borderId="11" xfId="1" applyFont="1" applyBorder="1"/>
    <xf numFmtId="2" fontId="11" fillId="0" borderId="11" xfId="4" applyNumberFormat="1" applyBorder="1" applyAlignment="1">
      <alignment horizontal="center"/>
    </xf>
    <xf numFmtId="0" fontId="13" fillId="0" borderId="11" xfId="4" applyFont="1" applyBorder="1" applyAlignment="1">
      <alignment horizontal="center"/>
    </xf>
    <xf numFmtId="10" fontId="0" fillId="0" borderId="11" xfId="6" applyNumberFormat="1" applyFont="1" applyBorder="1" applyAlignment="1">
      <alignment horizontal="center"/>
    </xf>
    <xf numFmtId="0" fontId="11" fillId="0" borderId="12" xfId="4" applyBorder="1"/>
    <xf numFmtId="0" fontId="8" fillId="0" borderId="0" xfId="0" applyFont="1" applyFill="1" applyAlignment="1">
      <alignment vertical="center" wrapText="1"/>
    </xf>
    <xf numFmtId="49" fontId="8" fillId="0" borderId="0" xfId="0" quotePrefix="1" applyNumberFormat="1" applyFont="1" applyFill="1" applyAlignment="1">
      <alignment horizontal="center"/>
    </xf>
    <xf numFmtId="0" fontId="8" fillId="0" borderId="0" xfId="0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0" fontId="2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8" fillId="0" borderId="0" xfId="0" applyNumberFormat="1" applyFont="1" applyAlignment="1">
      <alignment horizontal="center"/>
    </xf>
    <xf numFmtId="49" fontId="8" fillId="0" borderId="0" xfId="0" quotePrefix="1" applyNumberFormat="1" applyFont="1" applyAlignment="1">
      <alignment horizontal="center"/>
    </xf>
    <xf numFmtId="0" fontId="1" fillId="2" borderId="2" xfId="0" applyFont="1" applyFill="1" applyBorder="1" applyAlignment="1">
      <alignment horizontal="right"/>
    </xf>
    <xf numFmtId="0" fontId="22" fillId="0" borderId="0" xfId="0" applyFont="1" applyAlignment="1">
      <alignment vertical="center"/>
    </xf>
    <xf numFmtId="15" fontId="4" fillId="0" borderId="0" xfId="0" applyNumberFormat="1" applyFont="1" applyAlignment="1">
      <alignment vertical="center"/>
    </xf>
    <xf numFmtId="0" fontId="22" fillId="6" borderId="0" xfId="0" applyFont="1" applyFill="1" applyAlignment="1">
      <alignment vertical="center"/>
    </xf>
    <xf numFmtId="49" fontId="1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164" fontId="1" fillId="0" borderId="1" xfId="1" applyNumberFormat="1" applyFont="1" applyFill="1" applyBorder="1" applyAlignment="1"/>
    <xf numFmtId="15" fontId="8" fillId="0" borderId="0" xfId="0" applyNumberFormat="1" applyFont="1" applyAlignment="1">
      <alignment vertical="center"/>
    </xf>
    <xf numFmtId="9" fontId="1" fillId="0" borderId="1" xfId="2" applyFont="1" applyFill="1" applyBorder="1" applyAlignment="1"/>
    <xf numFmtId="0" fontId="24" fillId="2" borderId="0" xfId="0" applyFont="1" applyFill="1" applyAlignment="1"/>
    <xf numFmtId="0" fontId="8" fillId="0" borderId="0" xfId="0" applyFont="1" applyAlignment="1"/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/>
    </xf>
    <xf numFmtId="16" fontId="8" fillId="0" borderId="0" xfId="0" applyNumberFormat="1" applyFont="1" applyAlignment="1">
      <alignment horizontal="center"/>
    </xf>
    <xf numFmtId="0" fontId="28" fillId="4" borderId="0" xfId="4" applyFont="1" applyFill="1"/>
    <xf numFmtId="43" fontId="11" fillId="0" borderId="6" xfId="1" applyFont="1" applyBorder="1"/>
    <xf numFmtId="0" fontId="11" fillId="0" borderId="7" xfId="4" applyBorder="1"/>
    <xf numFmtId="0" fontId="13" fillId="0" borderId="9" xfId="4" applyFont="1" applyBorder="1"/>
    <xf numFmtId="165" fontId="11" fillId="0" borderId="9" xfId="4" applyNumberFormat="1" applyBorder="1"/>
    <xf numFmtId="43" fontId="11" fillId="0" borderId="0" xfId="4" applyNumberFormat="1" applyBorder="1" applyAlignment="1">
      <alignment horizontal="center"/>
    </xf>
    <xf numFmtId="0" fontId="13" fillId="0" borderId="0" xfId="4" applyFont="1" applyFill="1" applyBorder="1" applyAlignment="1">
      <alignment horizontal="center"/>
    </xf>
    <xf numFmtId="165" fontId="0" fillId="3" borderId="11" xfId="5" applyFont="1" applyFill="1" applyBorder="1" applyAlignment="1">
      <alignment horizontal="center"/>
    </xf>
    <xf numFmtId="0" fontId="8" fillId="6" borderId="0" xfId="0" applyFont="1" applyFill="1" applyAlignment="1">
      <alignment vertical="center"/>
    </xf>
    <xf numFmtId="15" fontId="21" fillId="4" borderId="0" xfId="0" applyNumberFormat="1" applyFont="1" applyFill="1" applyAlignment="1">
      <alignment vertical="center"/>
    </xf>
    <xf numFmtId="0" fontId="29" fillId="4" borderId="0" xfId="0" applyFont="1" applyFill="1" applyAlignment="1">
      <alignment vertical="center"/>
    </xf>
    <xf numFmtId="0" fontId="21" fillId="4" borderId="0" xfId="0" applyFont="1" applyFill="1"/>
    <xf numFmtId="0" fontId="21" fillId="4" borderId="0" xfId="0" applyFont="1" applyFill="1" applyAlignment="1">
      <alignment vertical="center"/>
    </xf>
    <xf numFmtId="0" fontId="21" fillId="4" borderId="0" xfId="0" applyFont="1" applyFill="1" applyAlignment="1">
      <alignment horizontal="center"/>
    </xf>
    <xf numFmtId="49" fontId="21" fillId="4" borderId="0" xfId="0" applyNumberFormat="1" applyFont="1" applyFill="1" applyAlignment="1">
      <alignment horizontal="center"/>
    </xf>
    <xf numFmtId="0" fontId="13" fillId="0" borderId="0" xfId="4" applyFont="1" applyAlignment="1">
      <alignment horizontal="center"/>
    </xf>
    <xf numFmtId="9" fontId="1" fillId="7" borderId="0" xfId="2" applyFont="1" applyFill="1" applyBorder="1" applyAlignment="1">
      <alignment horizontal="center"/>
    </xf>
    <xf numFmtId="0" fontId="13" fillId="0" borderId="0" xfId="4" applyFont="1"/>
    <xf numFmtId="49" fontId="1" fillId="2" borderId="0" xfId="0" applyNumberFormat="1" applyFont="1" applyFill="1" applyAlignment="1">
      <alignment horizontal="center" vertical="center"/>
    </xf>
    <xf numFmtId="49" fontId="7" fillId="0" borderId="0" xfId="0" quotePrefix="1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49" fontId="1" fillId="0" borderId="0" xfId="0" quotePrefix="1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8" fillId="0" borderId="0" xfId="0" quotePrefix="1" applyNumberFormat="1" applyFont="1" applyFill="1" applyAlignment="1">
      <alignment horizontal="center" vertical="center"/>
    </xf>
    <xf numFmtId="49" fontId="24" fillId="2" borderId="0" xfId="0" applyNumberFormat="1" applyFont="1" applyFill="1" applyAlignment="1">
      <alignment horizontal="center" vertical="center"/>
    </xf>
    <xf numFmtId="1" fontId="11" fillId="0" borderId="0" xfId="4" applyNumberFormat="1"/>
    <xf numFmtId="0" fontId="13" fillId="3" borderId="0" xfId="4" applyFont="1" applyFill="1"/>
    <xf numFmtId="2" fontId="1" fillId="3" borderId="1" xfId="0" applyNumberFormat="1" applyFont="1" applyFill="1" applyBorder="1"/>
    <xf numFmtId="9" fontId="1" fillId="0" borderId="0" xfId="2" applyFont="1"/>
    <xf numFmtId="164" fontId="1" fillId="0" borderId="0" xfId="1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/>
    <xf numFmtId="0" fontId="1" fillId="8" borderId="0" xfId="0" applyFont="1" applyFill="1" applyAlignment="1"/>
    <xf numFmtId="0" fontId="2" fillId="8" borderId="0" xfId="0" applyFont="1" applyFill="1" applyAlignment="1">
      <alignment horizontal="center" vertical="center"/>
    </xf>
    <xf numFmtId="0" fontId="1" fillId="0" borderId="0" xfId="0" applyFont="1" applyFill="1" applyAlignment="1"/>
    <xf numFmtId="0" fontId="2" fillId="9" borderId="0" xfId="0" applyFont="1" applyFill="1" applyAlignment="1">
      <alignment horizontal="center" vertical="center"/>
    </xf>
    <xf numFmtId="0" fontId="1" fillId="9" borderId="0" xfId="0" applyFont="1" applyFill="1" applyAlignment="1"/>
    <xf numFmtId="43" fontId="1" fillId="0" borderId="0" xfId="1" applyFont="1"/>
    <xf numFmtId="43" fontId="1" fillId="0" borderId="0" xfId="0" applyNumberFormat="1" applyFont="1"/>
    <xf numFmtId="0" fontId="1" fillId="0" borderId="1" xfId="0" applyFont="1" applyBorder="1"/>
    <xf numFmtId="9" fontId="1" fillId="3" borderId="1" xfId="2" applyFont="1" applyFill="1" applyBorder="1"/>
    <xf numFmtId="0" fontId="1" fillId="0" borderId="2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2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0" fontId="1" fillId="0" borderId="4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</cellXfs>
  <cellStyles count="103">
    <cellStyle name="_S024 FEB RECON FOR PAYMENT" xfId="7"/>
    <cellStyle name="Comma" xfId="1" builtinId="3"/>
    <cellStyle name="Comma 10" xfId="8"/>
    <cellStyle name="Comma 10 2" xfId="9"/>
    <cellStyle name="Comma 11" xfId="10"/>
    <cellStyle name="Comma 11 2" xfId="11"/>
    <cellStyle name="Comma 11 2 2" xfId="12"/>
    <cellStyle name="Comma 11 3" xfId="13"/>
    <cellStyle name="Comma 12" xfId="14"/>
    <cellStyle name="Comma 12 2" xfId="15"/>
    <cellStyle name="Comma 13" xfId="16"/>
    <cellStyle name="Comma 13 2" xfId="17"/>
    <cellStyle name="Comma 14" xfId="18"/>
    <cellStyle name="Comma 14 2" xfId="19"/>
    <cellStyle name="Comma 15" xfId="20"/>
    <cellStyle name="Comma 16" xfId="21"/>
    <cellStyle name="Comma 2" xfId="5"/>
    <cellStyle name="Comma 2 2" xfId="22"/>
    <cellStyle name="Comma 2 2 2" xfId="23"/>
    <cellStyle name="Comma 2 3" xfId="24"/>
    <cellStyle name="Comma 3" xfId="25"/>
    <cellStyle name="Comma 3 2" xfId="26"/>
    <cellStyle name="Comma 4" xfId="27"/>
    <cellStyle name="Comma 4 2" xfId="28"/>
    <cellStyle name="Comma 4 2 2" xfId="29"/>
    <cellStyle name="Comma 4 3" xfId="30"/>
    <cellStyle name="Comma 5" xfId="31"/>
    <cellStyle name="Comma 5 2" xfId="32"/>
    <cellStyle name="Comma 5 2 2" xfId="33"/>
    <cellStyle name="Comma 5 3" xfId="34"/>
    <cellStyle name="Comma 6" xfId="35"/>
    <cellStyle name="Comma 6 2" xfId="36"/>
    <cellStyle name="Comma 7" xfId="37"/>
    <cellStyle name="Comma 7 2" xfId="38"/>
    <cellStyle name="Comma 8" xfId="39"/>
    <cellStyle name="Comma 9" xfId="40"/>
    <cellStyle name="Comma 9 2" xfId="41"/>
    <cellStyle name="Hyperlink" xfId="3" builtinId="8"/>
    <cellStyle name="Hyperlink 2" xfId="42"/>
    <cellStyle name="Hyperlink 3" xfId="43"/>
    <cellStyle name="Normal" xfId="0" builtinId="0"/>
    <cellStyle name="Normal 10" xfId="44"/>
    <cellStyle name="Normal 10 2" xfId="45"/>
    <cellStyle name="Normal 11" xfId="46"/>
    <cellStyle name="Normal 11 2" xfId="47"/>
    <cellStyle name="Normal 12" xfId="48"/>
    <cellStyle name="Normal 12 2" xfId="49"/>
    <cellStyle name="Normal 13" xfId="50"/>
    <cellStyle name="Normal 13 2" xfId="51"/>
    <cellStyle name="Normal 14" xfId="52"/>
    <cellStyle name="Normal 14 2" xfId="53"/>
    <cellStyle name="Normal 15" xfId="54"/>
    <cellStyle name="Normal 15 2" xfId="55"/>
    <cellStyle name="Normal 16" xfId="56"/>
    <cellStyle name="Normal 16 2" xfId="57"/>
    <cellStyle name="Normal 17" xfId="58"/>
    <cellStyle name="Normal 18" xfId="59"/>
    <cellStyle name="Normal 2" xfId="4"/>
    <cellStyle name="Normal 2 2" xfId="60"/>
    <cellStyle name="Normal 2 2 2" xfId="61"/>
    <cellStyle name="Normal 2 3" xfId="62"/>
    <cellStyle name="Normal 3" xfId="63"/>
    <cellStyle name="Normal 3 2" xfId="64"/>
    <cellStyle name="Normal 4" xfId="65"/>
    <cellStyle name="Normal 4 2" xfId="66"/>
    <cellStyle name="Normal 4 2 2" xfId="67"/>
    <cellStyle name="Normal 4 3" xfId="68"/>
    <cellStyle name="Normal 5" xfId="69"/>
    <cellStyle name="Normal 5 2" xfId="70"/>
    <cellStyle name="Normal 5 2 2" xfId="71"/>
    <cellStyle name="Normal 5 3" xfId="72"/>
    <cellStyle name="Normal 6" xfId="73"/>
    <cellStyle name="Normal 6 2" xfId="74"/>
    <cellStyle name="Normal 6 2 2" xfId="75"/>
    <cellStyle name="Normal 6 3" xfId="76"/>
    <cellStyle name="Normal 7" xfId="77"/>
    <cellStyle name="Normal 7 2" xfId="78"/>
    <cellStyle name="Normal 7 2 2" xfId="79"/>
    <cellStyle name="Normal 7 3" xfId="80"/>
    <cellStyle name="Normal 8" xfId="81"/>
    <cellStyle name="Normal 8 2" xfId="82"/>
    <cellStyle name="Normal 8 2 2" xfId="83"/>
    <cellStyle name="Normal 8 3" xfId="84"/>
    <cellStyle name="Normal 9" xfId="85"/>
    <cellStyle name="Normal 9 2" xfId="86"/>
    <cellStyle name="Normal 9 2 2" xfId="87"/>
    <cellStyle name="Normal 9 3" xfId="88"/>
    <cellStyle name="Normal 9 4" xfId="89"/>
    <cellStyle name="Percent" xfId="2" builtinId="5"/>
    <cellStyle name="Percent 2" xfId="6"/>
    <cellStyle name="Percent 2 2" xfId="90"/>
    <cellStyle name="Percent 3" xfId="91"/>
    <cellStyle name="Percent 3 2" xfId="92"/>
    <cellStyle name="Percent 4" xfId="93"/>
    <cellStyle name="Percent 5" xfId="94"/>
    <cellStyle name="Percent 5 2" xfId="95"/>
    <cellStyle name="Percent 6" xfId="96"/>
    <cellStyle name="Percent 6 2" xfId="97"/>
    <cellStyle name="Percent 7" xfId="98"/>
    <cellStyle name="Percent 7 2" xfId="99"/>
    <cellStyle name="Percent 8" xfId="100"/>
    <cellStyle name="Percent 9" xfId="101"/>
    <cellStyle name="Style 1" xfId="102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50</xdr:row>
      <xdr:rowOff>0</xdr:rowOff>
    </xdr:from>
    <xdr:to>
      <xdr:col>1</xdr:col>
      <xdr:colOff>285750</xdr:colOff>
      <xdr:row>51</xdr:row>
      <xdr:rowOff>119062</xdr:rowOff>
    </xdr:to>
    <xdr:sp macro="" textlink="">
      <xdr:nvSpPr>
        <xdr:cNvPr id="1025" name="AutoShape 1"/>
        <xdr:cNvSpPr>
          <a:spLocks noChangeAspect="1" noChangeArrowheads="1"/>
        </xdr:cNvSpPr>
      </xdr:nvSpPr>
      <xdr:spPr bwMode="auto">
        <a:xfrm>
          <a:off x="609600" y="3238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285750</xdr:colOff>
      <xdr:row>51</xdr:row>
      <xdr:rowOff>119062</xdr:rowOff>
    </xdr:to>
    <xdr:sp macro="" textlink="">
      <xdr:nvSpPr>
        <xdr:cNvPr id="1026" name="AutoShape 2"/>
        <xdr:cNvSpPr>
          <a:spLocks noChangeAspect="1" noChangeArrowheads="1"/>
        </xdr:cNvSpPr>
      </xdr:nvSpPr>
      <xdr:spPr bwMode="auto">
        <a:xfrm>
          <a:off x="1219200" y="3238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285750</xdr:colOff>
      <xdr:row>51</xdr:row>
      <xdr:rowOff>123824</xdr:rowOff>
    </xdr:to>
    <xdr:sp macro="" textlink="">
      <xdr:nvSpPr>
        <xdr:cNvPr id="1027" name="AutoShape 3"/>
        <xdr:cNvSpPr>
          <a:spLocks noChangeAspect="1" noChangeArrowheads="1"/>
        </xdr:cNvSpPr>
      </xdr:nvSpPr>
      <xdr:spPr bwMode="auto">
        <a:xfrm>
          <a:off x="609600" y="10858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285750</xdr:colOff>
      <xdr:row>51</xdr:row>
      <xdr:rowOff>123825</xdr:rowOff>
    </xdr:to>
    <xdr:sp macro="" textlink="">
      <xdr:nvSpPr>
        <xdr:cNvPr id="1030" name="AutoShape 6"/>
        <xdr:cNvSpPr>
          <a:spLocks noChangeAspect="1" noChangeArrowheads="1"/>
        </xdr:cNvSpPr>
      </xdr:nvSpPr>
      <xdr:spPr bwMode="auto">
        <a:xfrm>
          <a:off x="1219200" y="2038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285750</xdr:colOff>
      <xdr:row>51</xdr:row>
      <xdr:rowOff>123824</xdr:rowOff>
    </xdr:to>
    <xdr:sp macro="" textlink="">
      <xdr:nvSpPr>
        <xdr:cNvPr id="1032" name="AutoShape 8"/>
        <xdr:cNvSpPr>
          <a:spLocks noChangeAspect="1" noChangeArrowheads="1"/>
        </xdr:cNvSpPr>
      </xdr:nvSpPr>
      <xdr:spPr bwMode="auto">
        <a:xfrm>
          <a:off x="1219200" y="3562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285750</xdr:colOff>
      <xdr:row>51</xdr:row>
      <xdr:rowOff>123825</xdr:rowOff>
    </xdr:to>
    <xdr:sp macro="" textlink="">
      <xdr:nvSpPr>
        <xdr:cNvPr id="1033" name="AutoShape 9"/>
        <xdr:cNvSpPr>
          <a:spLocks noChangeAspect="1" noChangeArrowheads="1"/>
        </xdr:cNvSpPr>
      </xdr:nvSpPr>
      <xdr:spPr bwMode="auto">
        <a:xfrm>
          <a:off x="609600" y="5467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285750</xdr:colOff>
      <xdr:row>51</xdr:row>
      <xdr:rowOff>123824</xdr:rowOff>
    </xdr:to>
    <xdr:sp macro="" textlink="">
      <xdr:nvSpPr>
        <xdr:cNvPr id="1035" name="AutoShape 11"/>
        <xdr:cNvSpPr>
          <a:spLocks noChangeAspect="1" noChangeArrowheads="1"/>
        </xdr:cNvSpPr>
      </xdr:nvSpPr>
      <xdr:spPr bwMode="auto">
        <a:xfrm>
          <a:off x="609600" y="6991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285750</xdr:colOff>
      <xdr:row>51</xdr:row>
      <xdr:rowOff>123824</xdr:rowOff>
    </xdr:to>
    <xdr:sp macro="" textlink="">
      <xdr:nvSpPr>
        <xdr:cNvPr id="1036" name="AutoShape 12"/>
        <xdr:cNvSpPr>
          <a:spLocks noChangeAspect="1" noChangeArrowheads="1"/>
        </xdr:cNvSpPr>
      </xdr:nvSpPr>
      <xdr:spPr bwMode="auto">
        <a:xfrm>
          <a:off x="1219200" y="6991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285750</xdr:colOff>
      <xdr:row>51</xdr:row>
      <xdr:rowOff>123825</xdr:rowOff>
    </xdr:to>
    <xdr:sp macro="" textlink="">
      <xdr:nvSpPr>
        <xdr:cNvPr id="1037" name="AutoShape 13"/>
        <xdr:cNvSpPr>
          <a:spLocks noChangeAspect="1" noChangeArrowheads="1"/>
        </xdr:cNvSpPr>
      </xdr:nvSpPr>
      <xdr:spPr bwMode="auto">
        <a:xfrm>
          <a:off x="609600" y="7753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285750</xdr:colOff>
      <xdr:row>51</xdr:row>
      <xdr:rowOff>123825</xdr:rowOff>
    </xdr:to>
    <xdr:sp macro="" textlink="">
      <xdr:nvSpPr>
        <xdr:cNvPr id="1038" name="AutoShape 14"/>
        <xdr:cNvSpPr>
          <a:spLocks noChangeAspect="1" noChangeArrowheads="1"/>
        </xdr:cNvSpPr>
      </xdr:nvSpPr>
      <xdr:spPr bwMode="auto">
        <a:xfrm>
          <a:off x="1219200" y="7753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952500</xdr:colOff>
      <xdr:row>55</xdr:row>
      <xdr:rowOff>133349</xdr:rowOff>
    </xdr:to>
    <xdr:sp macro="" textlink="">
      <xdr:nvSpPr>
        <xdr:cNvPr id="1039" name="AutoShape 15"/>
        <xdr:cNvSpPr>
          <a:spLocks noChangeAspect="1" noChangeArrowheads="1"/>
        </xdr:cNvSpPr>
      </xdr:nvSpPr>
      <xdr:spPr bwMode="auto">
        <a:xfrm>
          <a:off x="609600" y="851535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285750</xdr:colOff>
      <xdr:row>51</xdr:row>
      <xdr:rowOff>123824</xdr:rowOff>
    </xdr:to>
    <xdr:sp macro="" textlink="">
      <xdr:nvSpPr>
        <xdr:cNvPr id="1040" name="AutoShape 16"/>
        <xdr:cNvSpPr>
          <a:spLocks noChangeAspect="1" noChangeArrowheads="1"/>
        </xdr:cNvSpPr>
      </xdr:nvSpPr>
      <xdr:spPr bwMode="auto">
        <a:xfrm>
          <a:off x="1219200" y="85153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923</xdr:row>
      <xdr:rowOff>0</xdr:rowOff>
    </xdr:from>
    <xdr:to>
      <xdr:col>1</xdr:col>
      <xdr:colOff>952500</xdr:colOff>
      <xdr:row>928</xdr:row>
      <xdr:rowOff>119063</xdr:rowOff>
    </xdr:to>
    <xdr:sp macro="" textlink="">
      <xdr:nvSpPr>
        <xdr:cNvPr id="1041" name="AutoShape 17"/>
        <xdr:cNvSpPr>
          <a:spLocks noChangeAspect="1" noChangeArrowheads="1"/>
        </xdr:cNvSpPr>
      </xdr:nvSpPr>
      <xdr:spPr bwMode="auto">
        <a:xfrm>
          <a:off x="609600" y="103632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923</xdr:row>
      <xdr:rowOff>0</xdr:rowOff>
    </xdr:from>
    <xdr:to>
      <xdr:col>2</xdr:col>
      <xdr:colOff>285750</xdr:colOff>
      <xdr:row>924</xdr:row>
      <xdr:rowOff>123826</xdr:rowOff>
    </xdr:to>
    <xdr:sp macro="" textlink="">
      <xdr:nvSpPr>
        <xdr:cNvPr id="1042" name="AutoShape 18"/>
        <xdr:cNvSpPr>
          <a:spLocks noChangeAspect="1" noChangeArrowheads="1"/>
        </xdr:cNvSpPr>
      </xdr:nvSpPr>
      <xdr:spPr bwMode="auto">
        <a:xfrm>
          <a:off x="1219200" y="1036320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285750</xdr:colOff>
      <xdr:row>173</xdr:row>
      <xdr:rowOff>123824</xdr:rowOff>
    </xdr:to>
    <xdr:sp macro="" textlink="">
      <xdr:nvSpPr>
        <xdr:cNvPr id="1043" name="AutoShape 19"/>
        <xdr:cNvSpPr>
          <a:spLocks noChangeAspect="1" noChangeArrowheads="1"/>
        </xdr:cNvSpPr>
      </xdr:nvSpPr>
      <xdr:spPr bwMode="auto">
        <a:xfrm>
          <a:off x="609600" y="124015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172</xdr:row>
      <xdr:rowOff>0</xdr:rowOff>
    </xdr:from>
    <xdr:to>
      <xdr:col>2</xdr:col>
      <xdr:colOff>954881</xdr:colOff>
      <xdr:row>177</xdr:row>
      <xdr:rowOff>119062</xdr:rowOff>
    </xdr:to>
    <xdr:sp macro="" textlink="">
      <xdr:nvSpPr>
        <xdr:cNvPr id="1044" name="AutoShape 20"/>
        <xdr:cNvSpPr>
          <a:spLocks noChangeAspect="1" noChangeArrowheads="1"/>
        </xdr:cNvSpPr>
      </xdr:nvSpPr>
      <xdr:spPr bwMode="auto">
        <a:xfrm>
          <a:off x="1219200" y="1240155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0</xdr:rowOff>
        </xdr:from>
        <xdr:to>
          <xdr:col>5</xdr:col>
          <xdr:colOff>238125</xdr:colOff>
          <xdr:row>0</xdr:row>
          <xdr:rowOff>295275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Rules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0</xdr:row>
          <xdr:rowOff>28575</xdr:rowOff>
        </xdr:from>
        <xdr:to>
          <xdr:col>24</xdr:col>
          <xdr:colOff>838200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0</xdr:row>
          <xdr:rowOff>19050</xdr:rowOff>
        </xdr:from>
        <xdr:to>
          <xdr:col>9</xdr:col>
          <xdr:colOff>381000</xdr:colOff>
          <xdr:row>1</xdr:row>
          <xdr:rowOff>19050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Companies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0</xdr:row>
          <xdr:rowOff>28575</xdr:rowOff>
        </xdr:from>
        <xdr:to>
          <xdr:col>26</xdr:col>
          <xdr:colOff>790575</xdr:colOff>
          <xdr:row>0</xdr:row>
          <xdr:rowOff>285750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0</xdr:row>
          <xdr:rowOff>0</xdr:rowOff>
        </xdr:from>
        <xdr:to>
          <xdr:col>10</xdr:col>
          <xdr:colOff>533400</xdr:colOff>
          <xdr:row>1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Parameters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28575</xdr:rowOff>
        </xdr:from>
        <xdr:to>
          <xdr:col>28</xdr:col>
          <xdr:colOff>990600</xdr:colOff>
          <xdr:row>1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DIRANGU" refreshedDate="43496.52684953704" createdVersion="4" refreshedVersion="4" minRefreshableVersion="3" recordCount="193">
  <cacheSource type="worksheet">
    <worksheetSource ref="A6:H199" sheet="TFT-Archive"/>
  </cacheSource>
  <cacheFields count="8">
    <cacheField name="TIME" numFmtId="15">
      <sharedItems containsSemiMixedTypes="0" containsNonDate="0" containsDate="1" containsString="0" minDate="2019-01-01T00:00:00" maxDate="2019-01-31T00:00:00" count="13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29T00:00:00"/>
        <d v="2019-01-30T00:00:00"/>
      </sharedItems>
    </cacheField>
    <cacheField name="HOME TEAM" numFmtId="0">
      <sharedItems/>
    </cacheField>
    <cacheField name="AWAY TEAM" numFmtId="0">
      <sharedItems/>
    </cacheField>
    <cacheField name="LEAGUE" numFmtId="0">
      <sharedItems/>
    </cacheField>
    <cacheField name="PICK" numFmtId="0">
      <sharedItems containsMixedTypes="1" containsNumber="1" containsInteger="1" minValue="1" maxValue="2" count="3">
        <s v="X"/>
        <n v="1"/>
        <n v="2"/>
      </sharedItems>
    </cacheField>
    <cacheField name="ODDS" numFmtId="0">
      <sharedItems containsString="0" containsBlank="1" containsNumber="1" minValue="1.18" maxValue="5.0999999999999996"/>
    </cacheField>
    <cacheField name="RESULT" numFmtId="0">
      <sharedItems containsBlank="1"/>
    </cacheField>
    <cacheField name="BET" numFmtId="0">
      <sharedItems count="3">
        <s v="LOST"/>
        <s v="WON"/>
        <s v="-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3">
  <r>
    <x v="0"/>
    <s v="Western Sydney Wanderers "/>
    <s v=" Melbourne City"/>
    <s v="Australian A-League:"/>
    <x v="0"/>
    <m/>
    <s v="0-2"/>
    <x v="0"/>
  </r>
  <r>
    <x v="0"/>
    <s v="Everton "/>
    <s v=" Leicester City"/>
    <s v="English Premier League:"/>
    <x v="1"/>
    <m/>
    <s v="0-1"/>
    <x v="0"/>
  </r>
  <r>
    <x v="0"/>
    <s v="Arsenal "/>
    <s v=" Fulham"/>
    <s v="English Premier League:"/>
    <x v="1"/>
    <m/>
    <s v="4-1"/>
    <x v="1"/>
  </r>
  <r>
    <x v="0"/>
    <s v="Cardiff City "/>
    <s v=" Tottenham Hotspur"/>
    <s v="English Premier League:"/>
    <x v="2"/>
    <m/>
    <s v="0-3"/>
    <x v="1"/>
  </r>
  <r>
    <x v="1"/>
    <s v="Newcastle Jets "/>
    <s v=" Brisbane Roar"/>
    <s v="Australian A-League:"/>
    <x v="1"/>
    <m/>
    <s v="2 - 2"/>
    <x v="0"/>
  </r>
  <r>
    <x v="1"/>
    <s v="Bournemouth "/>
    <s v=" Watford"/>
    <s v="English Premier League:"/>
    <x v="0"/>
    <m/>
    <s v="3-3"/>
    <x v="1"/>
  </r>
  <r>
    <x v="1"/>
    <s v="Chelsea "/>
    <s v=" Southampton"/>
    <s v="English Premier League:"/>
    <x v="1"/>
    <m/>
    <s v="0-0"/>
    <x v="0"/>
  </r>
  <r>
    <x v="1"/>
    <s v="Huddersfield Town "/>
    <s v=" Burnley"/>
    <s v="English Premier League:"/>
    <x v="2"/>
    <m/>
    <s v="1-2"/>
    <x v="1"/>
  </r>
  <r>
    <x v="1"/>
    <s v="West Ham United "/>
    <s v=" Brighton &amp; Hove Albion"/>
    <s v="English Premier League:"/>
    <x v="0"/>
    <m/>
    <s v="2-2"/>
    <x v="1"/>
  </r>
  <r>
    <x v="1"/>
    <s v="Wolverhampton Wanderers "/>
    <s v=" Crystal Palace"/>
    <s v="English Premier League:"/>
    <x v="0"/>
    <m/>
    <s v="0-2"/>
    <x v="0"/>
  </r>
  <r>
    <x v="1"/>
    <s v="Newcastle United "/>
    <s v=" Manchester United"/>
    <s v="English Premier League:"/>
    <x v="2"/>
    <m/>
    <s v="0-2"/>
    <x v="1"/>
  </r>
  <r>
    <x v="1"/>
    <s v="Santa Clara "/>
    <s v=" Tondela"/>
    <s v="Portuguese Liga 1:"/>
    <x v="0"/>
    <m/>
    <s v="1 - 2"/>
    <x v="0"/>
  </r>
  <r>
    <x v="1"/>
    <s v="CD Nacional de Madeira "/>
    <s v=" Vitoria Guimaraes"/>
    <s v="Portuguese Liga 1:"/>
    <x v="2"/>
    <m/>
    <s v="1 - 0"/>
    <x v="1"/>
  </r>
  <r>
    <x v="1"/>
    <s v="Boavista "/>
    <s v=" Vitoria Setubal"/>
    <s v="Portuguese Liga 1:"/>
    <x v="1"/>
    <m/>
    <s v="1 - 0"/>
    <x v="1"/>
  </r>
  <r>
    <x v="1"/>
    <s v="Sporting Braga "/>
    <s v=" Maritimo Funchal"/>
    <s v="Portuguese Liga 1:"/>
    <x v="1"/>
    <m/>
    <s v="2 - 0"/>
    <x v="1"/>
  </r>
  <r>
    <x v="1"/>
    <s v="Portimonense "/>
    <s v=" SL Benfica"/>
    <s v="Portuguese Liga 1:"/>
    <x v="0"/>
    <m/>
    <s v="2 - 0"/>
    <x v="0"/>
  </r>
  <r>
    <x v="1"/>
    <s v="Rio Ave "/>
    <s v=" Moreirense"/>
    <s v="Portuguese Liga 1:"/>
    <x v="1"/>
    <m/>
    <s v="1 - 2"/>
    <x v="0"/>
  </r>
  <r>
    <x v="1"/>
    <s v="Sporting Covilha "/>
    <s v=" Sporting Braga II"/>
    <s v="Portuguese Liga 2:"/>
    <x v="0"/>
    <m/>
    <s v="2-1"/>
    <x v="0"/>
  </r>
  <r>
    <x v="1"/>
    <s v="Vitoria Guimaraes II "/>
    <s v=" Famalicao"/>
    <s v="Portuguese Liga 2:"/>
    <x v="1"/>
    <m/>
    <s v="0-1"/>
    <x v="0"/>
  </r>
  <r>
    <x v="1"/>
    <s v="Estoril "/>
    <s v=" Penafiel"/>
    <s v="Portuguese Liga 2:"/>
    <x v="1"/>
    <m/>
    <s v="2-3"/>
    <x v="0"/>
  </r>
  <r>
    <x v="1"/>
    <s v="Pacos de Ferreira "/>
    <s v=" Arouca"/>
    <s v="Portuguese Liga 2:"/>
    <x v="1"/>
    <m/>
    <s v="1-0"/>
    <x v="1"/>
  </r>
  <r>
    <x v="2"/>
    <s v="Manchester City "/>
    <s v=" Liverpool"/>
    <s v="English Premier League:"/>
    <x v="0"/>
    <m/>
    <s v="2-1"/>
    <x v="0"/>
  </r>
  <r>
    <x v="2"/>
    <s v="Chaves "/>
    <s v=" Feirense"/>
    <s v="Portuguese Liga 1:"/>
    <x v="1"/>
    <m/>
    <s v="0-0"/>
    <x v="0"/>
  </r>
  <r>
    <x v="2"/>
    <s v="Sporting Clube de Portugal "/>
    <s v=" Belenenses"/>
    <s v="Portuguese Liga 1:"/>
    <x v="1"/>
    <m/>
    <s v="2-1"/>
    <x v="1"/>
  </r>
  <r>
    <x v="2"/>
    <s v="Desportivo Aves "/>
    <s v=" FC Porto"/>
    <s v="Portuguese Liga 1:"/>
    <x v="2"/>
    <m/>
    <s v="0-1"/>
    <x v="1"/>
  </r>
  <r>
    <x v="2"/>
    <s v="Villarreal CF "/>
    <s v=" Real Madrid"/>
    <s v="Spanish Primera Liga:"/>
    <x v="0"/>
    <m/>
    <s v="2-2"/>
    <x v="1"/>
  </r>
  <r>
    <x v="3"/>
    <s v="Sydney FC "/>
    <s v=" Central Coast Mariners"/>
    <s v="Australian A-League:"/>
    <x v="1"/>
    <m/>
    <s v="5 - 2"/>
    <x v="1"/>
  </r>
  <r>
    <x v="3"/>
    <s v="Tranmere Rovers "/>
    <s v=" Tottenham Hotspur"/>
    <s v="English FA Cup:"/>
    <x v="2"/>
    <m/>
    <s v="0 - 7"/>
    <x v="1"/>
  </r>
  <r>
    <x v="3"/>
    <s v="Nantes Atlantique "/>
    <s v=" La Berrichonne de Chateauroux"/>
    <s v="French Coupe de France:"/>
    <x v="1"/>
    <m/>
    <s v="4 - 1"/>
    <x v="1"/>
  </r>
  <r>
    <x v="3"/>
    <s v="Grenoble Foot 38 "/>
    <s v=" Racing Club Strasbourg"/>
    <s v="French Coupe de France:"/>
    <x v="2"/>
    <m/>
    <s v="-"/>
    <x v="2"/>
  </r>
  <r>
    <x v="3"/>
    <s v="Academica de Coimbra "/>
    <s v=" Cova Piedade"/>
    <s v="Portuguese Segunda Liga:"/>
    <x v="1"/>
    <m/>
    <s v="3-0"/>
    <x v="1"/>
  </r>
  <r>
    <x v="3"/>
    <s v="Levante CF "/>
    <s v=" Girona"/>
    <s v="Spanish Primera Liga:"/>
    <x v="0"/>
    <m/>
    <s v="2 - 2"/>
    <x v="1"/>
  </r>
  <r>
    <x v="3"/>
    <s v="RCD Espanyol "/>
    <s v=" Leganes CF"/>
    <s v="Spanish Primera Liga:"/>
    <x v="1"/>
    <m/>
    <s v="1 - 0"/>
    <x v="1"/>
  </r>
  <r>
    <x v="4"/>
    <s v="United Arab Emirates "/>
    <s v=" Bahrain"/>
    <s v="Asian Cup:"/>
    <x v="1"/>
    <m/>
    <s v="1 - 1"/>
    <x v="0"/>
  </r>
  <r>
    <x v="4"/>
    <s v="Adelaide United "/>
    <s v=" Wellington Phoenix"/>
    <s v="Australian A-League:"/>
    <x v="0"/>
    <m/>
    <s v="0 - 0"/>
    <x v="1"/>
  </r>
  <r>
    <x v="4"/>
    <s v="Western Sydney Wanderers "/>
    <s v=" Melbourne Victory"/>
    <s v="Australian A-League:"/>
    <x v="2"/>
    <m/>
    <s v="1 - 2"/>
    <x v="1"/>
  </r>
  <r>
    <x v="4"/>
    <s v="Manchester United "/>
    <s v=" Reading"/>
    <s v="English FA Cup:"/>
    <x v="1"/>
    <m/>
    <s v="2 - 0"/>
    <x v="1"/>
  </r>
  <r>
    <x v="4"/>
    <s v="Bournemouth "/>
    <s v=" Brighton &amp; Hove Albion"/>
    <s v="English FA Cup:"/>
    <x v="0"/>
    <m/>
    <s v="1 - 3"/>
    <x v="0"/>
  </r>
  <r>
    <x v="4"/>
    <s v="West Ham United "/>
    <s v=" Birmingham City"/>
    <s v="English FA Cup:"/>
    <x v="1"/>
    <m/>
    <s v="2 - 0"/>
    <x v="1"/>
  </r>
  <r>
    <x v="4"/>
    <s v="Burnley "/>
    <s v=" Barnsley"/>
    <s v="English FA Cup:"/>
    <x v="0"/>
    <m/>
    <s v="1 - 0"/>
    <x v="0"/>
  </r>
  <r>
    <x v="4"/>
    <s v="Chelsea "/>
    <s v=" Nottingham Forest"/>
    <s v="English FA Cup:"/>
    <x v="1"/>
    <m/>
    <s v="2 - 0"/>
    <x v="1"/>
  </r>
  <r>
    <x v="4"/>
    <s v="Everton "/>
    <s v=" Lincoln City"/>
    <s v="English FA Cup:"/>
    <x v="1"/>
    <m/>
    <s v="2 - 1"/>
    <x v="1"/>
  </r>
  <r>
    <x v="4"/>
    <s v="Derby County "/>
    <s v=" Southampton"/>
    <s v="English FA Cup:"/>
    <x v="0"/>
    <m/>
    <s v="2 - 2"/>
    <x v="1"/>
  </r>
  <r>
    <x v="4"/>
    <s v="Newcastle United "/>
    <s v=" Blackburn Rovers"/>
    <s v="English FA Cup:"/>
    <x v="0"/>
    <m/>
    <s v="1 - 1"/>
    <x v="1"/>
  </r>
  <r>
    <x v="4"/>
    <s v="Crystal Palace "/>
    <s v=" Grimsby Town"/>
    <s v="English FA Cup:"/>
    <x v="1"/>
    <m/>
    <s v="1 - 0"/>
    <x v="1"/>
  </r>
  <r>
    <x v="4"/>
    <s v="Bristol City "/>
    <s v=" Huddersfield Town"/>
    <s v="English FA Cup:"/>
    <x v="1"/>
    <m/>
    <s v="1 - 0"/>
    <x v="1"/>
  </r>
  <r>
    <x v="4"/>
    <s v="Blackpool "/>
    <s v=" Arsenal"/>
    <s v="English FA Cup:"/>
    <x v="2"/>
    <m/>
    <s v="0 - 3"/>
    <x v="1"/>
  </r>
  <r>
    <x v="4"/>
    <s v="Viry Chatillon "/>
    <s v=" Angers SCO"/>
    <s v="French Coupe de France:"/>
    <x v="2"/>
    <m/>
    <s v="1 - 0"/>
    <x v="0"/>
  </r>
  <r>
    <x v="4"/>
    <s v="Amiens SC "/>
    <s v=" Valenciennes"/>
    <s v="French Coupe de France:"/>
    <x v="1"/>
    <m/>
    <s v="1 - 0"/>
    <x v="1"/>
  </r>
  <r>
    <x v="4"/>
    <s v="Lyon Duchere "/>
    <s v=" Nimes Olympique"/>
    <s v="French Coupe de France:"/>
    <x v="2"/>
    <m/>
    <s v="3 - 0"/>
    <x v="0"/>
  </r>
  <r>
    <x v="4"/>
    <s v="Stade Pontivy "/>
    <s v=" En Avant Guingamp"/>
    <s v="French Coupe de France:"/>
    <x v="2"/>
    <m/>
    <s v="2 - 4"/>
    <x v="1"/>
  </r>
  <r>
    <x v="4"/>
    <s v="Entente SSG "/>
    <s v=" Montpellier HSC"/>
    <s v="French Coupe de France:"/>
    <x v="2"/>
    <m/>
    <s v="1 - 0"/>
    <x v="0"/>
  </r>
  <r>
    <x v="4"/>
    <s v="Red Star 93 "/>
    <s v=" Stade Malherbe de Caen"/>
    <s v="French Coupe de France:"/>
    <x v="0"/>
    <m/>
    <s v="0 - 1"/>
    <x v="0"/>
  </r>
  <r>
    <x v="4"/>
    <s v="Schiltigheim "/>
    <s v=" Dijon FCO"/>
    <s v="French Coupe de France:"/>
    <x v="2"/>
    <m/>
    <s v="1 - 3"/>
    <x v="1"/>
  </r>
  <r>
    <x v="4"/>
    <s v="Toulouse "/>
    <s v=" OGC Nice"/>
    <s v="French Coupe de France:"/>
    <x v="0"/>
    <m/>
    <s v="-"/>
    <x v="2"/>
  </r>
  <r>
    <x v="4"/>
    <s v="Bourges Foot "/>
    <s v=" Olympique Lyonnais"/>
    <s v="French Coupe de France:"/>
    <x v="2"/>
    <m/>
    <s v="0 - 2"/>
    <x v="1"/>
  </r>
  <r>
    <x v="4"/>
    <s v="Ironi Kiryat Shmona "/>
    <s v=" Hapoel Tel-Aviv"/>
    <s v="Israeli Ligat Ha’al:"/>
    <x v="2"/>
    <m/>
    <s v="1-0"/>
    <x v="0"/>
  </r>
  <r>
    <x v="4"/>
    <s v="Hapoel Haifa "/>
    <s v=" Hapoel Hadera"/>
    <s v="Israeli Ligat Ha’al:"/>
    <x v="1"/>
    <m/>
    <s v="1-1"/>
    <x v="0"/>
  </r>
  <r>
    <x v="4"/>
    <s v="Maccabi Petah Tikva "/>
    <s v=" Maccabi Haifa"/>
    <s v="Israeli Ligat Ha’al:"/>
    <x v="2"/>
    <m/>
    <s v="1-2"/>
    <x v="1"/>
  </r>
  <r>
    <x v="4"/>
    <s v="Bnei Sakhnin "/>
    <s v=" Beitar Jerusalem"/>
    <s v="Israeli Ligat Ha’al:"/>
    <x v="2"/>
    <m/>
    <s v="0-0"/>
    <x v="0"/>
  </r>
  <r>
    <x v="4"/>
    <s v="Maritimo Funchal "/>
    <s v=" Portimonense"/>
    <s v="Portuguese Liga 1:"/>
    <x v="1"/>
    <m/>
    <s v="2 - 1"/>
    <x v="1"/>
  </r>
  <r>
    <x v="4"/>
    <s v="FC Porto II "/>
    <s v=" SL Benfica II"/>
    <s v="Portuguese Liga 2:"/>
    <x v="0"/>
    <m/>
    <s v="-"/>
    <x v="2"/>
  </r>
  <r>
    <x v="4"/>
    <s v="Real Valladolid "/>
    <s v=" Rayo Vallecano de Madrid"/>
    <s v="Spanish Primera Liga:"/>
    <x v="0"/>
    <m/>
    <s v="0 - 1"/>
    <x v="0"/>
  </r>
  <r>
    <x v="4"/>
    <s v="Deportivo Alaves "/>
    <s v=" Valencia CF"/>
    <s v="Spanish Primera Liga:"/>
    <x v="2"/>
    <m/>
    <s v="2 - 1"/>
    <x v="0"/>
  </r>
  <r>
    <x v="4"/>
    <s v="Huesca "/>
    <s v=" Real Betis Balompie"/>
    <s v="Spanish Primera Liga:"/>
    <x v="2"/>
    <m/>
    <s v="2 - 1"/>
    <x v="0"/>
  </r>
  <r>
    <x v="5"/>
    <s v="Australia "/>
    <s v=" Jordan"/>
    <s v="Asian Cup:"/>
    <x v="1"/>
    <m/>
    <s v="0-1"/>
    <x v="0"/>
  </r>
  <r>
    <x v="5"/>
    <s v="Thailand "/>
    <s v=" India"/>
    <s v="Asian Cup:"/>
    <x v="1"/>
    <m/>
    <s v="1-4"/>
    <x v="0"/>
  </r>
  <r>
    <x v="5"/>
    <s v="Syria "/>
    <s v=" Palestine"/>
    <s v="Asian Cup:"/>
    <x v="0"/>
    <m/>
    <s v="0-0"/>
    <x v="1"/>
  </r>
  <r>
    <x v="5"/>
    <s v="Melbourne City "/>
    <s v=" Newcastle Jets"/>
    <s v="Australian A-League:"/>
    <x v="1"/>
    <m/>
    <s v="2 - 1"/>
    <x v="1"/>
  </r>
  <r>
    <x v="5"/>
    <s v="Brisbane Roar "/>
    <s v=" Perth Glory"/>
    <s v="Australian A-League:"/>
    <x v="2"/>
    <m/>
    <s v="2 - 4"/>
    <x v="1"/>
  </r>
  <r>
    <x v="5"/>
    <s v="Fulham "/>
    <s v=" Oldham Athletic"/>
    <s v="English FA Cup:"/>
    <x v="0"/>
    <m/>
    <s v="1 - 2"/>
    <x v="0"/>
  </r>
  <r>
    <x v="5"/>
    <s v="Manchester City "/>
    <s v=" Rotherham United"/>
    <s v="English FA Cup:"/>
    <x v="1"/>
    <m/>
    <s v="7 - 0"/>
    <x v="1"/>
  </r>
  <r>
    <x v="5"/>
    <s v="Woking "/>
    <s v=" Watford"/>
    <s v="English FA Cup:"/>
    <x v="2"/>
    <m/>
    <s v="0 - 2"/>
    <x v="1"/>
  </r>
  <r>
    <x v="5"/>
    <s v="Newport County "/>
    <s v=" Leicester City"/>
    <s v="English FA Cup:"/>
    <x v="2"/>
    <m/>
    <s v="2 - 1"/>
    <x v="0"/>
  </r>
  <r>
    <x v="5"/>
    <s v="Canet Roussillon "/>
    <s v=" AS Monaco"/>
    <s v="French Coupe de France:"/>
    <x v="2"/>
    <m/>
    <s v="0 - 1"/>
    <x v="1"/>
  </r>
  <r>
    <x v="5"/>
    <s v="Andrezieux "/>
    <s v=" Olympique de Marseille"/>
    <s v="French Coupe de France:"/>
    <x v="0"/>
    <m/>
    <s v="2 - 0"/>
    <x v="0"/>
  </r>
  <r>
    <x v="5"/>
    <s v="Stade Rennais "/>
    <s v=" Stade Brestois"/>
    <s v="French Coupe de France:"/>
    <x v="1"/>
    <m/>
    <s v="2 - 2"/>
    <x v="0"/>
  </r>
  <r>
    <x v="5"/>
    <s v="Olympique Strasbourg "/>
    <s v=" AS Saint-Etienne"/>
    <s v="French Coupe de France:"/>
    <x v="2"/>
    <m/>
    <s v="0-6"/>
    <x v="1"/>
  </r>
  <r>
    <x v="5"/>
    <s v="Girondins de Bordeaux "/>
    <s v=" Le Havre"/>
    <s v="French Coupe de France:"/>
    <x v="1"/>
    <m/>
    <s v="0 - 1"/>
    <x v="0"/>
  </r>
  <r>
    <x v="5"/>
    <s v="Pontivy GSI "/>
    <s v=" Paris Saint-Germain"/>
    <s v="French Coupe de France:"/>
    <x v="2"/>
    <m/>
    <s v="0 - 4"/>
    <x v="1"/>
  </r>
  <r>
    <x v="5"/>
    <s v="MS Ashdod "/>
    <s v=" Hapoel Ra’anana"/>
    <s v="Israeli Ligat Ha’al:"/>
    <x v="2"/>
    <m/>
    <s v="1 - 1"/>
    <x v="0"/>
  </r>
  <r>
    <x v="5"/>
    <s v="Bnei Yehuda Tel-Aviv "/>
    <s v=" Hapoel Be’er Sheva"/>
    <s v="Israeli Ligat Ha’al:"/>
    <x v="0"/>
    <m/>
    <s v="3 - 1"/>
    <x v="0"/>
  </r>
  <r>
    <x v="5"/>
    <s v="Vitoria Setubal "/>
    <s v=" Chaves"/>
    <s v="Portuguese Liga 1:"/>
    <x v="0"/>
    <m/>
    <s v="0 - 0"/>
    <x v="1"/>
  </r>
  <r>
    <x v="5"/>
    <s v="Feirense "/>
    <s v=" Santa Clara"/>
    <s v="Portuguese Liga 1:"/>
    <x v="1"/>
    <m/>
    <s v="2 - 2"/>
    <x v="0"/>
  </r>
  <r>
    <x v="5"/>
    <s v="Belenenses "/>
    <s v=" Vitoria Guimaraes"/>
    <s v="Portuguese Liga 1:"/>
    <x v="2"/>
    <m/>
    <s v="1 - 0"/>
    <x v="0"/>
  </r>
  <r>
    <x v="5"/>
    <s v="SL Benfica "/>
    <s v=" Rio Ave"/>
    <s v="Portuguese Liga 1:"/>
    <x v="1"/>
    <m/>
    <s v="4 - 2"/>
    <x v="1"/>
  </r>
  <r>
    <x v="5"/>
    <s v="Sporting Braga "/>
    <s v=" Boavista"/>
    <s v="Portuguese Liga 1:"/>
    <x v="1"/>
    <m/>
    <s v="1 - 0"/>
    <x v="1"/>
  </r>
  <r>
    <x v="5"/>
    <s v="Famalicao "/>
    <s v=" Varzim"/>
    <s v="Portuguese Liga 2:"/>
    <x v="0"/>
    <m/>
    <s v="0-0"/>
    <x v="1"/>
  </r>
  <r>
    <x v="5"/>
    <s v="Sporting Braga II "/>
    <s v=" Vitoria Guimaraes II"/>
    <s v="Portuguese Liga 2:"/>
    <x v="1"/>
    <m/>
    <s v="2-3"/>
    <x v="0"/>
  </r>
  <r>
    <x v="5"/>
    <s v="Leixoes Matosinhos "/>
    <s v=" Sporting Covilha"/>
    <s v="Portuguese Liga 2:"/>
    <x v="1"/>
    <m/>
    <s v="1-0"/>
    <x v="1"/>
  </r>
  <r>
    <x v="5"/>
    <s v="Mafra "/>
    <s v=" Pacos de Ferreira"/>
    <s v="Portuguese Liga 2:"/>
    <x v="0"/>
    <m/>
    <s v="1-1"/>
    <x v="1"/>
  </r>
  <r>
    <x v="5"/>
    <s v="Arouca "/>
    <s v=" Farense"/>
    <s v="Portuguese Liga 2:"/>
    <x v="1"/>
    <m/>
    <s v="3-3"/>
    <x v="0"/>
  </r>
  <r>
    <x v="5"/>
    <s v="UD Oliveirense "/>
    <s v=" Penafiel"/>
    <s v="Portuguese Liga 2:"/>
    <x v="0"/>
    <m/>
    <s v="2-1"/>
    <x v="0"/>
  </r>
  <r>
    <x v="5"/>
    <s v="Eibar "/>
    <s v=" Villarreal CF"/>
    <s v="Spanish Primera Liga:"/>
    <x v="0"/>
    <m/>
    <s v="0 - 0"/>
    <x v="1"/>
  </r>
  <r>
    <x v="5"/>
    <s v="Sevilla CF "/>
    <s v=" Atletico Madrid"/>
    <s v="Spanish Primera Liga:"/>
    <x v="0"/>
    <m/>
    <s v="1 - 1"/>
    <x v="1"/>
  </r>
  <r>
    <x v="5"/>
    <s v="Real Madrid "/>
    <s v=" Real Sociedad"/>
    <s v="Spanish Primera Liga:"/>
    <x v="1"/>
    <m/>
    <s v="0 - 2"/>
    <x v="0"/>
  </r>
  <r>
    <x v="5"/>
    <s v="Getafe "/>
    <s v=" Barcelona CF"/>
    <s v="Spanish Primera Liga:"/>
    <x v="2"/>
    <m/>
    <s v="1 - 2"/>
    <x v="1"/>
  </r>
  <r>
    <x v="6"/>
    <s v="China "/>
    <s v=" Kyrgyzstan (6) 1-0"/>
    <s v="Asian Cup:"/>
    <x v="1"/>
    <m/>
    <s v="2 - 1"/>
    <x v="1"/>
  </r>
  <r>
    <x v="6"/>
    <s v="South Korea "/>
    <s v=" Philippines (7) 1-0"/>
    <s v="Asian Cup:"/>
    <x v="1"/>
    <m/>
    <s v="1 - 0"/>
    <x v="1"/>
  </r>
  <r>
    <x v="6"/>
    <s v="Iran "/>
    <s v=" Yemen (7) 1-0"/>
    <s v="Asian Cup:"/>
    <x v="1"/>
    <m/>
    <s v="5 - 0"/>
    <x v="1"/>
  </r>
  <r>
    <x v="6"/>
    <s v="Wolverhampton Wanderers "/>
    <s v=" Liverpool (5) 0-1"/>
    <s v="English FA Cup:"/>
    <x v="2"/>
    <m/>
    <s v="2 - 1"/>
    <x v="0"/>
  </r>
  <r>
    <x v="6"/>
    <s v="Lille OSC "/>
    <s v=" Sochaux-Montbeliard (6) 2-1"/>
    <s v="French Coupe de France:"/>
    <x v="1"/>
    <m/>
    <s v="1 - 0"/>
    <x v="1"/>
  </r>
  <r>
    <x v="6"/>
    <s v="Maccabi Tel-Aviv "/>
    <s v=" Maccabi Netanya (7) 1-0"/>
    <s v="Israeli Ligat Ha’al:"/>
    <x v="1"/>
    <m/>
    <s v="4 - 1"/>
    <x v="1"/>
  </r>
  <r>
    <x v="6"/>
    <s v="Tondela "/>
    <s v=" Sporting Clube de Portugal (6) 1-2"/>
    <s v="Portuguese Liga 1:"/>
    <x v="2"/>
    <m/>
    <s v="2 - 1"/>
    <x v="0"/>
  </r>
  <r>
    <x v="6"/>
    <s v="FC Porto "/>
    <s v=" CD Nacional de Madeira (7) 2-0"/>
    <s v="Portuguese Liga 1:"/>
    <x v="1"/>
    <m/>
    <s v="3 - 1"/>
    <x v="1"/>
  </r>
  <r>
    <x v="6"/>
    <s v="Celta de Vigo "/>
    <s v=" Athletic Club (5) 2-2"/>
    <s v="Spanish Primera Liga:"/>
    <x v="0"/>
    <m/>
    <s v="1 - 2"/>
    <x v="0"/>
  </r>
  <r>
    <x v="7"/>
    <s v="Iraq "/>
    <s v=" Vietnam"/>
    <s v="Asian Cup:"/>
    <x v="0"/>
    <m/>
    <s v="3 - 2"/>
    <x v="0"/>
  </r>
  <r>
    <x v="7"/>
    <s v="Saudi Arabia "/>
    <s v=" North Korea"/>
    <s v="Asian Cup:"/>
    <x v="1"/>
    <m/>
    <s v="4 - 0"/>
    <x v="1"/>
  </r>
  <r>
    <x v="7"/>
    <s v="Western Sydney Wanderers "/>
    <s v=" Wellington Phoenix"/>
    <s v="Australian A-League:"/>
    <x v="0"/>
    <m/>
    <s v="2 - 3"/>
    <x v="0"/>
  </r>
  <r>
    <x v="7"/>
    <s v="Tottenham Hotspur "/>
    <s v=" Chelsea"/>
    <s v="English League Cup:"/>
    <x v="1"/>
    <m/>
    <s v="1 - 0"/>
    <x v="1"/>
  </r>
  <r>
    <x v="7"/>
    <s v="Olympique Lyonnais "/>
    <s v=" Racing Club Strasbourg"/>
    <s v="French Coupe de la Ligue:"/>
    <x v="1"/>
    <m/>
    <s v="1-2"/>
    <x v="0"/>
  </r>
  <r>
    <x v="7"/>
    <s v="Amiens SC "/>
    <s v=" Angers SCO"/>
    <s v="French Coupe de la Ligue:"/>
    <x v="1"/>
    <m/>
    <s v="0 - 0"/>
    <x v="0"/>
  </r>
  <r>
    <x v="7"/>
    <s v="Nantes Atlantique "/>
    <s v=" Montpellier HSC"/>
    <s v="French Ligue 1:"/>
    <x v="0"/>
    <m/>
    <s v="2 - 0"/>
    <x v="0"/>
  </r>
  <r>
    <x v="7"/>
    <s v="Sporting Gijon "/>
    <s v=" Valencia CF"/>
    <s v="Spanish Copa del Rey:"/>
    <x v="2"/>
    <m/>
    <s v="2 - 1"/>
    <x v="0"/>
  </r>
  <r>
    <x v="8"/>
    <s v="Japan "/>
    <s v=" Turkmenistan"/>
    <s v="Asian Cup:"/>
    <x v="1"/>
    <m/>
    <s v="3 - 2"/>
    <x v="1"/>
  </r>
  <r>
    <x v="8"/>
    <s v="Uzbekistan "/>
    <s v=" Oman"/>
    <s v="Asian Cup:"/>
    <x v="1"/>
    <m/>
    <s v="2 - 1"/>
    <x v="1"/>
  </r>
  <r>
    <x v="8"/>
    <s v="Qatar "/>
    <s v=" Lebanon"/>
    <s v="Asian Cup:"/>
    <x v="1"/>
    <m/>
    <s v="2 - 0"/>
    <x v="1"/>
  </r>
  <r>
    <x v="8"/>
    <s v="Adelaide United "/>
    <s v=" Melbourne Victory"/>
    <s v="Australian A-League:"/>
    <x v="1"/>
    <m/>
    <s v="2 - 0"/>
    <x v="1"/>
  </r>
  <r>
    <x v="8"/>
    <s v="Perth Glory "/>
    <s v=" Sydney FC"/>
    <s v="Australian A-League:"/>
    <x v="1"/>
    <m/>
    <s v="3 - 1"/>
    <x v="1"/>
  </r>
  <r>
    <x v="8"/>
    <s v="Manchester City "/>
    <s v=" Burton Albion"/>
    <s v="English League Cup:"/>
    <x v="1"/>
    <m/>
    <s v="9 - 0"/>
    <x v="1"/>
  </r>
  <r>
    <x v="8"/>
    <s v="AS Monaco "/>
    <s v=" Stade Rennais"/>
    <s v="French Coupe de la Ligue:"/>
    <x v="0"/>
    <m/>
    <s v="1 - 1"/>
    <x v="1"/>
  </r>
  <r>
    <x v="8"/>
    <s v="Girondins de Bordeaux "/>
    <s v=" Le Havre"/>
    <s v="French Coupe de la Ligue:"/>
    <x v="0"/>
    <m/>
    <s v="1 - 0"/>
    <x v="0"/>
  </r>
  <r>
    <x v="8"/>
    <s v="Paris Saint-Germain "/>
    <s v=" En Avant Guingamp"/>
    <s v="French Coupe de la Ligue:"/>
    <x v="1"/>
    <m/>
    <s v="1 - 2"/>
    <x v="0"/>
  </r>
  <r>
    <x v="8"/>
    <s v="Estoril "/>
    <s v=" Arouca"/>
    <s v="Portuguese Segunda Liga:"/>
    <x v="1"/>
    <m/>
    <s v="1-1"/>
    <x v="0"/>
  </r>
  <r>
    <x v="8"/>
    <s v="Pacos de Ferreira "/>
    <s v=" Leixoes Matosinhos"/>
    <s v="Portuguese Segunda Liga:"/>
    <x v="1"/>
    <m/>
    <s v="1-0"/>
    <x v="1"/>
  </r>
  <r>
    <x v="8"/>
    <s v="Varzim "/>
    <s v=" Cova Piedade"/>
    <s v="Portuguese Segunda Liga:"/>
    <x v="1"/>
    <m/>
    <s v="2-1"/>
    <x v="1"/>
  </r>
  <r>
    <x v="8"/>
    <s v="Vitoria Guimaraes II "/>
    <s v=" SL Benfica II"/>
    <s v="Portuguese Segunda Liga:"/>
    <x v="0"/>
    <m/>
    <s v="2-1"/>
    <x v="0"/>
  </r>
  <r>
    <x v="8"/>
    <s v="Sporting Braga II "/>
    <s v=" FC Porto II"/>
    <s v="Portuguese Segunda Liga:"/>
    <x v="0"/>
    <m/>
    <s v="0-1"/>
    <x v="0"/>
  </r>
  <r>
    <x v="8"/>
    <s v="Penafiel "/>
    <s v=" Academico Viseu"/>
    <s v="Portuguese Segunda Liga:"/>
    <x v="0"/>
    <m/>
    <s v="2-0"/>
    <x v="0"/>
  </r>
  <r>
    <x v="8"/>
    <s v="Girona "/>
    <s v=" Atletico Madrid"/>
    <s v="Spanish Copa del Rey:"/>
    <x v="1"/>
    <m/>
    <s v="1 - 1"/>
    <x v="0"/>
  </r>
  <r>
    <x v="8"/>
    <s v="Getafe "/>
    <s v=" Real Valladolid"/>
    <s v="Spanish Copa del Rey:"/>
    <x v="1"/>
    <m/>
    <s v="1 - 0"/>
    <x v="1"/>
  </r>
  <r>
    <x v="8"/>
    <s v="Villarreal CF "/>
    <s v=" RCD Espanyol"/>
    <s v="Spanish Copa del Rey:"/>
    <x v="0"/>
    <m/>
    <s v="2 - 2"/>
    <x v="1"/>
  </r>
  <r>
    <x v="8"/>
    <s v="Real Madrid "/>
    <s v=" Leganes CF"/>
    <s v="Spanish Copa del Rey:"/>
    <x v="0"/>
    <m/>
    <s v="3 - 0"/>
    <x v="0"/>
  </r>
  <r>
    <x v="9"/>
    <s v="Levante CF"/>
    <s v="Barcelona CF"/>
    <s v="Spanish Copa del Rey:"/>
    <x v="0"/>
    <n v="4.8"/>
    <s v="2-1"/>
    <x v="0"/>
  </r>
  <r>
    <x v="9"/>
    <s v="Portimonense"/>
    <s v="Sporting Braga"/>
    <s v="Portuguese Liga 1:"/>
    <x v="0"/>
    <n v="3.5"/>
    <s v="1-1"/>
    <x v="1"/>
  </r>
  <r>
    <x v="9"/>
    <s v="Jordan "/>
    <s v=" Syria"/>
    <s v="Asian Cup:"/>
    <x v="0"/>
    <n v="2.83"/>
    <s v="2-0"/>
    <x v="0"/>
  </r>
  <r>
    <x v="9"/>
    <s v="Athletic Club"/>
    <s v="Sevilla CF"/>
    <s v="Spanish Copa del Rey:"/>
    <x v="1"/>
    <n v="2.66"/>
    <s v="1-3"/>
    <x v="0"/>
  </r>
  <r>
    <x v="9"/>
    <s v="Real Betis Balompie"/>
    <s v="Real Sociedad"/>
    <s v="Spanish Copa del Rey:"/>
    <x v="1"/>
    <n v="2.13"/>
    <s v="0-0"/>
    <x v="0"/>
  </r>
  <r>
    <x v="9"/>
    <s v="Bahrain "/>
    <s v=" Thailand"/>
    <s v="Asian Cup:"/>
    <x v="1"/>
    <n v="1.9"/>
    <s v="0-1"/>
    <x v="0"/>
  </r>
  <r>
    <x v="9"/>
    <s v="India "/>
    <s v=" United Arab Emirate"/>
    <s v="Asian Cup:"/>
    <x v="2"/>
    <n v="1.38"/>
    <s v="0-2"/>
    <x v="1"/>
  </r>
  <r>
    <x v="10"/>
    <s v="Palestine "/>
    <s v=" Australia"/>
    <s v="Asian Cup:"/>
    <x v="0"/>
    <n v="5.0999999999999996"/>
    <s v="0-3"/>
    <x v="0"/>
  </r>
  <r>
    <x v="10"/>
    <s v="Philippines "/>
    <s v=" China"/>
    <s v="Asian Cup:"/>
    <x v="0"/>
    <n v="3.75"/>
    <s v="0-3"/>
    <x v="0"/>
  </r>
  <r>
    <x v="10"/>
    <s v="Kyrgyzstan "/>
    <s v=" South Korea"/>
    <s v="Asian Cup:"/>
    <x v="2"/>
    <n v="1.18"/>
    <s v="0-1"/>
    <x v="1"/>
  </r>
  <r>
    <x v="10"/>
    <s v="Melbourne City "/>
    <s v=" Brisbane Roar"/>
    <s v="Australian A-League:"/>
    <x v="1"/>
    <n v="1.56"/>
    <s v="1-0"/>
    <x v="1"/>
  </r>
  <r>
    <x v="10"/>
    <s v="Olympique Lyonnais "/>
    <s v=" Stade de Reims"/>
    <s v="French Ligue 1:"/>
    <x v="1"/>
    <n v="1.47"/>
    <s v="1-1"/>
    <x v="0"/>
  </r>
  <r>
    <x v="10"/>
    <s v="Desportivo Aves "/>
    <s v=" Feirense"/>
    <s v="Portuguese Liga 1:"/>
    <x v="1"/>
    <n v="2"/>
    <s v="1-1"/>
    <x v="0"/>
  </r>
  <r>
    <x v="10"/>
    <s v="Santa Clara "/>
    <s v=" SL Benfica"/>
    <s v="Portuguese Liga 1:"/>
    <x v="2"/>
    <n v="1.42"/>
    <s v="0-2"/>
    <x v="1"/>
  </r>
  <r>
    <x v="10"/>
    <s v="Vitoria Guimaraes "/>
    <s v=" Moreirense"/>
    <s v="Portuguese Liga 1:"/>
    <x v="1"/>
    <n v="1.9"/>
    <s v="1-0"/>
    <x v="1"/>
  </r>
  <r>
    <x v="10"/>
    <s v="Rayo Vallecano de Madrid "/>
    <s v=" Celta de Vigo"/>
    <s v="Spanish Primera Liga:"/>
    <x v="0"/>
    <n v="3.4"/>
    <s v="4-2"/>
    <x v="0"/>
  </r>
  <r>
    <x v="11"/>
    <s v="Qatar "/>
    <s v=" United Arab Emirates"/>
    <s v="Asian Cup:"/>
    <x v="2"/>
    <m/>
    <s v="4-0"/>
    <x v="0"/>
  </r>
  <r>
    <x v="11"/>
    <s v="Real Garcilaso "/>
    <s v=" Deportivo La Guaira"/>
    <s v="Copa Libertadores:"/>
    <x v="1"/>
    <m/>
    <s v="2-1"/>
    <x v="1"/>
  </r>
  <r>
    <x v="11"/>
    <s v="Union Saint-Gilloise "/>
    <s v=" KV Mechelen"/>
    <s v="Belgian Cup:"/>
    <x v="0"/>
    <m/>
    <s v="1-2"/>
    <x v="0"/>
  </r>
  <r>
    <x v="11"/>
    <s v="Arsenal "/>
    <s v=" Cardiff City"/>
    <s v="English Premier League:"/>
    <x v="1"/>
    <m/>
    <s v="2-1"/>
    <x v="1"/>
  </r>
  <r>
    <x v="11"/>
    <s v="Fulham "/>
    <s v=" Brighton &amp; Hove Albion"/>
    <s v="English Premier League:"/>
    <x v="0"/>
    <m/>
    <s v="4-2"/>
    <x v="0"/>
  </r>
  <r>
    <x v="11"/>
    <s v="Huddersfield Town "/>
    <s v=" Everton"/>
    <s v="English Premier League:"/>
    <x v="1"/>
    <n v="3.9"/>
    <s v="0-1"/>
    <x v="0"/>
  </r>
  <r>
    <x v="11"/>
    <s v="Wolverhampton Wanderers "/>
    <s v=" West Ham United"/>
    <s v="English Premier League:"/>
    <x v="1"/>
    <m/>
    <s v="3-0"/>
    <x v="1"/>
  </r>
  <r>
    <x v="11"/>
    <s v="Manchester United "/>
    <s v=" Burnley"/>
    <s v="English Premier League:"/>
    <x v="1"/>
    <m/>
    <s v="2-2"/>
    <x v="0"/>
  </r>
  <r>
    <x v="11"/>
    <s v="Newcastle United "/>
    <s v=" Manchester City"/>
    <s v="English Premier League:"/>
    <x v="2"/>
    <m/>
    <s v="2-1"/>
    <x v="0"/>
  </r>
  <r>
    <x v="11"/>
    <s v="HJK Helsinki "/>
    <s v=" HIFK Helsinki"/>
    <s v="Finnish Suomen Cup:"/>
    <x v="1"/>
    <m/>
    <s v="1-0"/>
    <x v="1"/>
  </r>
  <r>
    <x v="11"/>
    <s v="En Avant Guingamp "/>
    <s v=" AS Monaco"/>
    <s v="French Coupe de la Ligue:"/>
    <x v="1"/>
    <n v="2.8"/>
    <s v="2-2"/>
    <x v="0"/>
  </r>
  <r>
    <x v="11"/>
    <s v="VfL Bochum "/>
    <s v=" MSV Duisburg"/>
    <s v="German Bundesliga 2:"/>
    <x v="1"/>
    <m/>
    <s v="2-1"/>
    <x v="1"/>
  </r>
  <r>
    <x v="11"/>
    <s v="Darmstadt 98 "/>
    <s v=" St. Pauli"/>
    <s v="German Bundesliga 2:"/>
    <x v="1"/>
    <n v="2.76"/>
    <s v="2-1"/>
    <x v="1"/>
  </r>
  <r>
    <x v="11"/>
    <s v="Greuther Furth "/>
    <s v=" Ingolstadt"/>
    <s v="German Bundesliga 2:"/>
    <x v="1"/>
    <n v="2.87"/>
    <s v="0-1"/>
    <x v="0"/>
  </r>
  <r>
    <x v="11"/>
    <s v="Magdeburg "/>
    <s v=" Erzgebirge Aue"/>
    <s v="German Bundesliga 2:"/>
    <x v="0"/>
    <m/>
    <s v="1-0"/>
    <x v="0"/>
  </r>
  <r>
    <x v="11"/>
    <s v="AC Milan "/>
    <s v=" SSC Napoli"/>
    <s v="Italian Coppa Italia:"/>
    <x v="2"/>
    <m/>
    <s v="2-0"/>
    <x v="0"/>
  </r>
  <r>
    <x v="11"/>
    <s v="SL Benfica "/>
    <s v=" Boavista"/>
    <s v="Portuguese Liga 1:"/>
    <x v="1"/>
    <m/>
    <s v="5-1"/>
    <x v="1"/>
  </r>
  <r>
    <x v="11"/>
    <s v="Sporting Braga "/>
    <s v=" Santa Clara"/>
    <s v="Portuguese Liga 1:"/>
    <x v="1"/>
    <m/>
    <s v="1-0"/>
    <x v="1"/>
  </r>
  <r>
    <x v="11"/>
    <s v="Portimonense "/>
    <s v=" Chaves"/>
    <s v="Portuguese Liga 1:"/>
    <x v="1"/>
    <m/>
    <s v="0-1"/>
    <x v="0"/>
  </r>
  <r>
    <x v="11"/>
    <s v="Farense "/>
    <s v=" FC Porto II"/>
    <s v="Portuguese Liga 2:"/>
    <x v="0"/>
    <m/>
    <s v="0-0"/>
    <x v="1"/>
  </r>
  <r>
    <x v="11"/>
    <s v="Varzim "/>
    <s v=" Leixoes Matosinhos"/>
    <s v="Portuguese Liga 2:"/>
    <x v="1"/>
    <n v="2.35"/>
    <s v="1-0"/>
    <x v="1"/>
  </r>
  <r>
    <x v="11"/>
    <s v="Estoril "/>
    <s v=" Sporting Braga II"/>
    <s v="Portuguese Liga 2:"/>
    <x v="1"/>
    <m/>
    <s v="2-1"/>
    <x v="1"/>
  </r>
  <r>
    <x v="12"/>
    <s v="Godoy Cruz de Mendoza "/>
    <s v=" River Plate"/>
    <s v="Argentinian Superliga:"/>
    <x v="1"/>
    <n v="3.7"/>
    <s v="0-4"/>
    <x v="0"/>
  </r>
  <r>
    <x v="12"/>
    <s v="Beijing Guoan "/>
    <s v=" SV Mattersburg"/>
    <s v="Atlantic Cup:"/>
    <x v="0"/>
    <n v="3.8"/>
    <m/>
    <x v="2"/>
  </r>
  <r>
    <x v="12"/>
    <s v="KV Oostende "/>
    <s v=" AA Gent"/>
    <s v="Belgian Cup:"/>
    <x v="0"/>
    <n v="3.75"/>
    <s v="2-2"/>
    <x v="1"/>
  </r>
  <r>
    <x v="12"/>
    <s v="Nacional Asuncion "/>
    <s v=" Delfin"/>
    <s v="Copa Libertadores:"/>
    <x v="1"/>
    <n v="1.78"/>
    <s v="1-2"/>
    <x v="0"/>
  </r>
  <r>
    <x v="12"/>
    <s v="Defensor Sporting "/>
    <s v=" Bolivar La Paz"/>
    <s v="Copa Libertadores:"/>
    <x v="1"/>
    <n v="1.58"/>
    <s v="2-3"/>
    <x v="0"/>
  </r>
  <r>
    <x v="12"/>
    <s v="Slaven Koprivnica "/>
    <s v=" Rijeka"/>
    <s v="Croatian Prva Liga:"/>
    <x v="0"/>
    <n v="3.35"/>
    <s v="1-1"/>
    <x v="1"/>
  </r>
  <r>
    <x v="12"/>
    <s v="Southampton "/>
    <s v=" Crystal Palace"/>
    <s v="English Premier League:"/>
    <x v="2"/>
    <n v="3.1"/>
    <s v="1-1"/>
    <x v="0"/>
  </r>
  <r>
    <x v="12"/>
    <s v="Bournemouth "/>
    <s v=" Chelsea"/>
    <s v="English Premier League:"/>
    <x v="2"/>
    <n v="1.68"/>
    <s v="4-0"/>
    <x v="0"/>
  </r>
  <r>
    <x v="12"/>
    <s v="Tottenham Hotspur "/>
    <s v=" Watford"/>
    <s v="English Premier League:"/>
    <x v="1"/>
    <n v="1.67"/>
    <s v="2-1"/>
    <x v="1"/>
  </r>
  <r>
    <x v="12"/>
    <s v="Liverpool "/>
    <s v=" Leicester City"/>
    <s v="English Premier League:"/>
    <x v="1"/>
    <n v="1.25"/>
    <s v="1-1"/>
    <x v="0"/>
  </r>
  <r>
    <x v="12"/>
    <s v="Racing Club Strasbourg "/>
    <s v=" Girondins de Bordeaux"/>
    <s v="French Coupe de la Ligue:"/>
    <x v="1"/>
    <n v="2.33"/>
    <s v="3-2"/>
    <x v="1"/>
  </r>
  <r>
    <x v="12"/>
    <s v="Jahn Regenbsurg "/>
    <s v=" Paderborn 07"/>
    <s v="German Bundesliga 2:"/>
    <x v="0"/>
    <n v="3.7"/>
    <s v="2-0"/>
    <x v="0"/>
  </r>
  <r>
    <x v="12"/>
    <s v="Heidenheim "/>
    <s v=" Holsten Kiel"/>
    <s v="German Bundesliga 2:"/>
    <x v="0"/>
    <n v="3.5"/>
    <s v="2-2"/>
    <x v="1"/>
  </r>
  <r>
    <x v="12"/>
    <s v="Dynamo Dresden "/>
    <s v=" Arminia Bielefeld"/>
    <s v="German Bundesliga 2:"/>
    <x v="2"/>
    <n v="1.88"/>
    <s v="3-4"/>
    <x v="1"/>
  </r>
  <r>
    <x v="12"/>
    <s v="Hamburger SV "/>
    <s v=" SV Sandhausen"/>
    <s v="German Bundesliga 2:"/>
    <x v="1"/>
    <n v="1.65"/>
    <s v="2-1"/>
    <x v="1"/>
  </r>
  <r>
    <x v="12"/>
    <s v="Atalanta Bergamo "/>
    <s v=" Juventus"/>
    <s v="Italian Coppa Italia:"/>
    <x v="0"/>
    <n v="3.4"/>
    <s v="3-0"/>
    <x v="0"/>
  </r>
  <r>
    <x v="12"/>
    <s v="ACF Fiorentina "/>
    <s v=" AS Roma"/>
    <s v="Italian Coppa Italia:"/>
    <x v="1"/>
    <n v="2.58"/>
    <s v="7-1"/>
    <x v="1"/>
  </r>
  <r>
    <x v="12"/>
    <s v="Vitoria Setubal "/>
    <s v=" Sporting Clube de Portugal"/>
    <s v="Portuguese Liga 1:"/>
    <x v="2"/>
    <n v="1.67"/>
    <s v="1-1"/>
    <x v="0"/>
  </r>
  <r>
    <x v="12"/>
    <s v="FC Porto "/>
    <s v=" Belenenses"/>
    <s v="Portuguese Liga 1:"/>
    <x v="1"/>
    <n v="1.19"/>
    <s v="3-0"/>
    <x v="1"/>
  </r>
  <r>
    <x v="12"/>
    <s v="SL Benfica II "/>
    <s v=" Arouca"/>
    <s v="Portuguese Liga 2:"/>
    <x v="1"/>
    <n v="1.9"/>
    <s v="3-1"/>
    <x v="1"/>
  </r>
  <r>
    <x v="12"/>
    <s v="Real Betis Balompie "/>
    <s v=" RCD Espanyol"/>
    <s v="Spanish Copa del Rey:"/>
    <x v="1"/>
    <n v="1.82"/>
    <s v="3-1"/>
    <x v="1"/>
  </r>
  <r>
    <x v="12"/>
    <s v="Barcelona CF "/>
    <s v=" Sevilla CF"/>
    <s v="Spanish Copa del Rey:"/>
    <x v="1"/>
    <n v="1.26"/>
    <s v="6-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18" firstHeaderRow="1" firstDataRow="2" firstDataCol="1" rowPageCount="1" colPageCount="1"/>
  <pivotFields count="8">
    <pivotField axis="axisRow" dataField="1" numFmtId="15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axis="axisPage" multipleItemSelectionAllowed="1" showAll="0">
      <items count="4">
        <item x="1"/>
        <item h="1" x="2"/>
        <item h="1" x="0"/>
        <item t="default"/>
      </items>
    </pivotField>
    <pivotField showAll="0"/>
    <pivotField showAll="0"/>
    <pivotField axis="axisCol" showAll="0">
      <items count="4">
        <item x="2"/>
        <item x="0"/>
        <item x="1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3">
    <i>
      <x v="1"/>
    </i>
    <i>
      <x v="2"/>
    </i>
    <i t="grand">
      <x/>
    </i>
  </colItems>
  <pageFields count="1">
    <pageField fld="4" hier="-1"/>
  </pageFields>
  <dataFields count="1">
    <dataField name="Count of TI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2019030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ddslot.com/tips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queryTable" Target="../queryTables/queryTable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61"/>
  <sheetViews>
    <sheetView zoomScale="80" zoomScaleNormal="80" workbookViewId="0">
      <pane ySplit="6" topLeftCell="A7" activePane="bottomLeft" state="frozen"/>
      <selection pane="bottomLeft" activeCell="Q3" sqref="Q3"/>
    </sheetView>
  </sheetViews>
  <sheetFormatPr defaultRowHeight="12.75"/>
  <cols>
    <col min="1" max="1" width="11" style="2" bestFit="1" customWidth="1"/>
    <col min="2" max="2" width="23.85546875" style="2" bestFit="1" customWidth="1"/>
    <col min="3" max="3" width="30.140625" style="2" bestFit="1" customWidth="1"/>
    <col min="4" max="4" width="40.5703125" style="2" bestFit="1" customWidth="1"/>
    <col min="5" max="5" width="8.28515625" style="2" customWidth="1"/>
    <col min="6" max="6" width="5.42578125" style="2" bestFit="1" customWidth="1"/>
    <col min="7" max="7" width="10.7109375" style="2" bestFit="1" customWidth="1"/>
    <col min="8" max="8" width="19.85546875" style="2" bestFit="1" customWidth="1"/>
    <col min="9" max="9" width="9.140625" style="2"/>
    <col min="10" max="10" width="2.85546875" style="2" customWidth="1"/>
    <col min="11" max="11" width="13.7109375" style="2" customWidth="1"/>
    <col min="12" max="13" width="9.140625" style="2"/>
    <col min="14" max="14" width="2.7109375" style="2" customWidth="1"/>
    <col min="15" max="15" width="17.7109375" style="2" customWidth="1"/>
    <col min="16" max="16384" width="9.140625" style="2"/>
  </cols>
  <sheetData>
    <row r="1" spans="1:17">
      <c r="A1" s="13" t="s">
        <v>1218</v>
      </c>
      <c r="B1" s="13"/>
      <c r="D1" s="8" t="s">
        <v>1233</v>
      </c>
      <c r="E1" s="22">
        <v>0.91</v>
      </c>
      <c r="K1" s="13" t="s">
        <v>1160</v>
      </c>
    </row>
    <row r="2" spans="1:17">
      <c r="D2" s="8" t="s">
        <v>1230</v>
      </c>
      <c r="E2" s="22">
        <v>0.87</v>
      </c>
      <c r="K2" s="9" t="s">
        <v>1155</v>
      </c>
      <c r="L2" s="10">
        <f>COUNT(A7:A1061)</f>
        <v>1055</v>
      </c>
      <c r="M2" s="14">
        <f>SUM(M3:M6)</f>
        <v>1</v>
      </c>
      <c r="O2" s="8" t="s">
        <v>1161</v>
      </c>
      <c r="P2" s="5">
        <f>SUBTOTAL(2,F7:F1061)</f>
        <v>1055</v>
      </c>
      <c r="Q2" s="2">
        <v>345</v>
      </c>
    </row>
    <row r="3" spans="1:17">
      <c r="D3" s="8" t="s">
        <v>1231</v>
      </c>
      <c r="E3" s="22">
        <v>0.77</v>
      </c>
      <c r="K3" s="17" t="s">
        <v>1156</v>
      </c>
      <c r="L3" s="18">
        <f>COUNTIF($I$7:$I$1061,"WON")</f>
        <v>675</v>
      </c>
      <c r="M3" s="19">
        <f>+L3/$L$2</f>
        <v>0.6398104265402843</v>
      </c>
      <c r="Q3" s="2">
        <v>197</v>
      </c>
    </row>
    <row r="4" spans="1:17">
      <c r="D4" s="8" t="s">
        <v>1232</v>
      </c>
      <c r="E4" s="22">
        <v>0.69</v>
      </c>
      <c r="K4" s="9" t="s">
        <v>1157</v>
      </c>
      <c r="L4" s="10">
        <f>COUNTIF($I$7:$I$1061,"DRAW")</f>
        <v>190</v>
      </c>
      <c r="M4" s="11">
        <f>+L4/$L$2</f>
        <v>0.18009478672985782</v>
      </c>
      <c r="Q4" s="21">
        <f>+Q3/Q2</f>
        <v>0.57101449275362315</v>
      </c>
    </row>
    <row r="5" spans="1:17">
      <c r="K5" s="9" t="s">
        <v>1158</v>
      </c>
      <c r="L5" s="10">
        <f>COUNTIF($I$7:$I$1061,"LOST")</f>
        <v>175</v>
      </c>
      <c r="M5" s="11">
        <f>+L5/$L$2</f>
        <v>0.16587677725118483</v>
      </c>
    </row>
    <row r="6" spans="1:17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20" t="s">
        <v>1216</v>
      </c>
      <c r="K6" s="17" t="s">
        <v>1159</v>
      </c>
      <c r="L6" s="18">
        <f>COUNTIF($I$7:$I$1061,"")</f>
        <v>15</v>
      </c>
      <c r="M6" s="19">
        <f>+L6/$L$2</f>
        <v>1.4218009478672985E-2</v>
      </c>
    </row>
    <row r="7" spans="1:17" ht="12.75" customHeight="1">
      <c r="A7" s="6">
        <v>43439</v>
      </c>
      <c r="B7" s="3" t="s">
        <v>478</v>
      </c>
      <c r="C7" s="3" t="s">
        <v>736</v>
      </c>
      <c r="D7" s="1" t="s">
        <v>476</v>
      </c>
      <c r="E7" s="7">
        <v>0.97</v>
      </c>
      <c r="F7" s="3">
        <v>1.06</v>
      </c>
      <c r="G7" s="1" t="s">
        <v>11</v>
      </c>
      <c r="H7" s="1" t="s">
        <v>1200</v>
      </c>
      <c r="I7" s="2" t="s">
        <v>1154</v>
      </c>
    </row>
    <row r="8" spans="1:17" ht="12.75" customHeight="1">
      <c r="A8" s="6">
        <v>43471</v>
      </c>
      <c r="B8" s="12" t="s">
        <v>18</v>
      </c>
      <c r="C8" s="12" t="s">
        <v>19</v>
      </c>
      <c r="D8" s="1" t="s">
        <v>15</v>
      </c>
      <c r="E8" s="7">
        <v>0.97</v>
      </c>
      <c r="F8" s="3">
        <v>1.05</v>
      </c>
      <c r="G8" s="1" t="s">
        <v>11</v>
      </c>
      <c r="H8" s="1" t="s">
        <v>1195</v>
      </c>
      <c r="I8" s="2" t="s">
        <v>1154</v>
      </c>
    </row>
    <row r="9" spans="1:17" ht="12.75" customHeight="1">
      <c r="A9" s="6">
        <v>43474</v>
      </c>
      <c r="B9" s="3" t="s">
        <v>18</v>
      </c>
      <c r="C9" s="3" t="s">
        <v>1026</v>
      </c>
      <c r="D9" s="1" t="s">
        <v>1024</v>
      </c>
      <c r="E9" s="7">
        <v>0.97</v>
      </c>
      <c r="F9" s="3">
        <v>1.04</v>
      </c>
      <c r="G9" s="1" t="s">
        <v>11</v>
      </c>
      <c r="H9" s="1" t="s">
        <v>1241</v>
      </c>
      <c r="I9" s="3" t="s">
        <v>1154</v>
      </c>
    </row>
    <row r="10" spans="1:17">
      <c r="A10" s="6">
        <v>43450</v>
      </c>
      <c r="B10" s="3" t="s">
        <v>264</v>
      </c>
      <c r="C10" s="3" t="s">
        <v>364</v>
      </c>
      <c r="D10" s="1" t="s">
        <v>265</v>
      </c>
      <c r="E10" s="7">
        <v>0.97</v>
      </c>
      <c r="F10" s="3">
        <v>1.03</v>
      </c>
      <c r="G10" s="1" t="s">
        <v>11</v>
      </c>
      <c r="H10" s="1" t="s">
        <v>1208</v>
      </c>
      <c r="I10" s="2" t="s">
        <v>1154</v>
      </c>
    </row>
    <row r="11" spans="1:17">
      <c r="A11" s="6">
        <v>43453</v>
      </c>
      <c r="B11" s="3" t="s">
        <v>1032</v>
      </c>
      <c r="C11" s="3" t="s">
        <v>1033</v>
      </c>
      <c r="D11" s="1" t="s">
        <v>1013</v>
      </c>
      <c r="E11" s="7">
        <v>0.97</v>
      </c>
      <c r="F11" s="3">
        <v>1.03</v>
      </c>
      <c r="G11" s="1" t="s">
        <v>22</v>
      </c>
      <c r="H11" s="1" t="s">
        <v>1214</v>
      </c>
      <c r="I11" s="2" t="s">
        <v>1154</v>
      </c>
    </row>
    <row r="12" spans="1:17">
      <c r="A12" s="6">
        <v>43472</v>
      </c>
      <c r="B12" s="3" t="s">
        <v>1162</v>
      </c>
      <c r="C12" s="3" t="s">
        <v>1163</v>
      </c>
      <c r="D12" s="1" t="s">
        <v>25</v>
      </c>
      <c r="E12" s="7">
        <v>0.96</v>
      </c>
      <c r="F12" s="3">
        <v>1.0900000000000001</v>
      </c>
      <c r="G12" s="1" t="s">
        <v>11</v>
      </c>
      <c r="H12" s="1" t="s">
        <v>1174</v>
      </c>
      <c r="I12" s="2" t="s">
        <v>1154</v>
      </c>
      <c r="L12" s="5">
        <f>+L2-SUM(L3:L6)</f>
        <v>0</v>
      </c>
    </row>
    <row r="13" spans="1:17">
      <c r="A13" s="6">
        <v>43439</v>
      </c>
      <c r="B13" s="3" t="s">
        <v>377</v>
      </c>
      <c r="C13" s="3" t="s">
        <v>749</v>
      </c>
      <c r="D13" s="1" t="s">
        <v>476</v>
      </c>
      <c r="E13" s="7">
        <v>0.96</v>
      </c>
      <c r="F13" s="3">
        <v>1.08</v>
      </c>
      <c r="G13" s="1" t="s">
        <v>11</v>
      </c>
      <c r="H13" s="1" t="s">
        <v>1180</v>
      </c>
      <c r="I13" s="2" t="s">
        <v>1154</v>
      </c>
    </row>
    <row r="14" spans="1:17">
      <c r="A14" s="6">
        <v>43439</v>
      </c>
      <c r="B14" s="3" t="s">
        <v>473</v>
      </c>
      <c r="C14" s="3" t="s">
        <v>413</v>
      </c>
      <c r="D14" s="1" t="s">
        <v>476</v>
      </c>
      <c r="E14" s="7">
        <v>0.96</v>
      </c>
      <c r="F14" s="3">
        <v>1.08</v>
      </c>
      <c r="G14" s="1" t="s">
        <v>11</v>
      </c>
      <c r="H14" s="1" t="s">
        <v>1190</v>
      </c>
      <c r="I14" s="2" t="s">
        <v>1154</v>
      </c>
    </row>
    <row r="15" spans="1:17">
      <c r="A15" s="6">
        <v>43474</v>
      </c>
      <c r="B15" s="3" t="s">
        <v>251</v>
      </c>
      <c r="C15" s="3" t="s">
        <v>1221</v>
      </c>
      <c r="D15" s="1" t="s">
        <v>1022</v>
      </c>
      <c r="E15" s="7">
        <v>0.96</v>
      </c>
      <c r="F15" s="3">
        <v>1.08</v>
      </c>
      <c r="G15" s="1" t="s">
        <v>11</v>
      </c>
      <c r="H15" s="1" t="s">
        <v>1178</v>
      </c>
      <c r="I15" s="3" t="s">
        <v>1153</v>
      </c>
    </row>
    <row r="16" spans="1:17">
      <c r="A16" s="6">
        <v>43436</v>
      </c>
      <c r="B16" s="3" t="s">
        <v>264</v>
      </c>
      <c r="C16" s="3" t="s">
        <v>633</v>
      </c>
      <c r="D16" s="1" t="s">
        <v>265</v>
      </c>
      <c r="E16" s="7">
        <v>0.96</v>
      </c>
      <c r="F16" s="3">
        <v>1.07</v>
      </c>
      <c r="G16" s="1" t="s">
        <v>11</v>
      </c>
      <c r="H16" s="1" t="s">
        <v>1198</v>
      </c>
      <c r="I16" s="2" t="s">
        <v>1154</v>
      </c>
    </row>
    <row r="17" spans="1:9">
      <c r="A17" s="6">
        <v>43441</v>
      </c>
      <c r="B17" s="3" t="s">
        <v>281</v>
      </c>
      <c r="C17" s="3" t="s">
        <v>523</v>
      </c>
      <c r="D17" s="1" t="s">
        <v>265</v>
      </c>
      <c r="E17" s="7">
        <v>0.96</v>
      </c>
      <c r="F17" s="3">
        <v>1.07</v>
      </c>
      <c r="G17" s="1" t="s">
        <v>11</v>
      </c>
      <c r="H17" s="1" t="s">
        <v>1194</v>
      </c>
      <c r="I17" s="2" t="s">
        <v>1154</v>
      </c>
    </row>
    <row r="18" spans="1:9">
      <c r="A18" s="6">
        <v>43453</v>
      </c>
      <c r="B18" s="3" t="s">
        <v>1039</v>
      </c>
      <c r="C18" s="3" t="s">
        <v>493</v>
      </c>
      <c r="D18" s="1" t="s">
        <v>1013</v>
      </c>
      <c r="E18" s="7">
        <v>0.96</v>
      </c>
      <c r="F18" s="3">
        <v>1.06</v>
      </c>
      <c r="G18" s="1" t="s">
        <v>22</v>
      </c>
      <c r="H18" s="1" t="s">
        <v>1178</v>
      </c>
      <c r="I18" s="2" t="s">
        <v>1154</v>
      </c>
    </row>
    <row r="19" spans="1:9">
      <c r="A19" s="6">
        <v>43439</v>
      </c>
      <c r="B19" s="3" t="s">
        <v>715</v>
      </c>
      <c r="C19" s="3" t="s">
        <v>716</v>
      </c>
      <c r="D19" s="1" t="s">
        <v>714</v>
      </c>
      <c r="E19" s="7">
        <v>0.96</v>
      </c>
      <c r="F19" s="3">
        <v>1.03</v>
      </c>
      <c r="G19" s="1" t="s">
        <v>11</v>
      </c>
      <c r="H19" s="1" t="s">
        <v>1182</v>
      </c>
      <c r="I19" s="2" t="s">
        <v>1154</v>
      </c>
    </row>
    <row r="20" spans="1:9">
      <c r="A20" s="6">
        <v>43454</v>
      </c>
      <c r="B20" s="3" t="s">
        <v>1052</v>
      </c>
      <c r="C20" s="3" t="s">
        <v>261</v>
      </c>
      <c r="D20" s="1" t="s">
        <v>1013</v>
      </c>
      <c r="E20" s="7">
        <v>0.96</v>
      </c>
      <c r="F20" s="3">
        <v>1.03</v>
      </c>
      <c r="G20" s="1" t="s">
        <v>22</v>
      </c>
      <c r="H20" s="1" t="s">
        <v>1213</v>
      </c>
      <c r="I20" s="2" t="s">
        <v>1154</v>
      </c>
    </row>
    <row r="21" spans="1:9">
      <c r="A21" s="6">
        <v>43429</v>
      </c>
      <c r="B21" s="3" t="s">
        <v>385</v>
      </c>
      <c r="C21" s="3" t="s">
        <v>386</v>
      </c>
      <c r="D21" s="1" t="s">
        <v>326</v>
      </c>
      <c r="E21" s="7">
        <v>0.96</v>
      </c>
      <c r="F21" s="3">
        <v>1.02</v>
      </c>
      <c r="G21" s="1" t="s">
        <v>11</v>
      </c>
      <c r="H21" s="1" t="s">
        <v>1195</v>
      </c>
      <c r="I21" s="2" t="s">
        <v>1154</v>
      </c>
    </row>
    <row r="22" spans="1:9">
      <c r="A22" s="6">
        <v>43453</v>
      </c>
      <c r="B22" s="3" t="s">
        <v>898</v>
      </c>
      <c r="C22" s="3" t="s">
        <v>1031</v>
      </c>
      <c r="D22" s="1" t="s">
        <v>714</v>
      </c>
      <c r="E22" s="7">
        <v>0.96</v>
      </c>
      <c r="F22" s="3">
        <v>1.02</v>
      </c>
      <c r="G22" s="1" t="s">
        <v>11</v>
      </c>
      <c r="H22" s="1" t="s">
        <v>1174</v>
      </c>
      <c r="I22" s="2" t="s">
        <v>1154</v>
      </c>
    </row>
    <row r="23" spans="1:9">
      <c r="A23" s="6">
        <v>43428</v>
      </c>
      <c r="B23" s="3" t="s">
        <v>276</v>
      </c>
      <c r="C23" s="3" t="s">
        <v>277</v>
      </c>
      <c r="D23" s="1" t="s">
        <v>278</v>
      </c>
      <c r="E23" s="7">
        <v>0.95</v>
      </c>
      <c r="F23" s="3">
        <v>1.1399999999999999</v>
      </c>
      <c r="G23" s="1" t="s">
        <v>11</v>
      </c>
      <c r="H23" s="1" t="s">
        <v>1177</v>
      </c>
      <c r="I23" s="2" t="s">
        <v>1154</v>
      </c>
    </row>
    <row r="24" spans="1:9">
      <c r="A24" s="6">
        <v>43450</v>
      </c>
      <c r="B24" s="3" t="s">
        <v>493</v>
      </c>
      <c r="C24" s="3" t="s">
        <v>675</v>
      </c>
      <c r="D24" s="1" t="s">
        <v>214</v>
      </c>
      <c r="E24" s="7">
        <v>0.95</v>
      </c>
      <c r="F24" s="3">
        <v>1.1399999999999999</v>
      </c>
      <c r="G24" s="1" t="s">
        <v>11</v>
      </c>
      <c r="H24" s="1" t="s">
        <v>1182</v>
      </c>
      <c r="I24" s="2" t="s">
        <v>1154</v>
      </c>
    </row>
    <row r="25" spans="1:9">
      <c r="A25" s="6">
        <v>43456</v>
      </c>
      <c r="B25" s="3" t="s">
        <v>18</v>
      </c>
      <c r="C25" s="3" t="s">
        <v>28</v>
      </c>
      <c r="D25" s="1" t="s">
        <v>193</v>
      </c>
      <c r="E25" s="7">
        <v>0.95</v>
      </c>
      <c r="F25" s="3">
        <v>1.1399999999999999</v>
      </c>
      <c r="G25" s="1" t="s">
        <v>11</v>
      </c>
      <c r="H25" s="1" t="s">
        <v>1199</v>
      </c>
      <c r="I25" s="2" t="s">
        <v>1153</v>
      </c>
    </row>
    <row r="26" spans="1:9">
      <c r="A26" s="6">
        <v>43435</v>
      </c>
      <c r="B26" s="3" t="s">
        <v>18</v>
      </c>
      <c r="C26" s="3" t="s">
        <v>583</v>
      </c>
      <c r="D26" s="1" t="s">
        <v>193</v>
      </c>
      <c r="E26" s="7">
        <v>0.95</v>
      </c>
      <c r="F26" s="3">
        <v>1.1200000000000001</v>
      </c>
      <c r="G26" s="1" t="s">
        <v>11</v>
      </c>
      <c r="H26" s="1" t="s">
        <v>1172</v>
      </c>
      <c r="I26" s="2" t="s">
        <v>1154</v>
      </c>
    </row>
    <row r="27" spans="1:9">
      <c r="A27" s="6">
        <v>43428</v>
      </c>
      <c r="B27" s="3" t="s">
        <v>263</v>
      </c>
      <c r="C27" s="3" t="s">
        <v>264</v>
      </c>
      <c r="D27" s="1" t="s">
        <v>265</v>
      </c>
      <c r="E27" s="7">
        <v>0.95</v>
      </c>
      <c r="F27" s="3">
        <v>1.1100000000000001</v>
      </c>
      <c r="G27" s="1" t="s">
        <v>22</v>
      </c>
      <c r="H27" s="1" t="s">
        <v>1183</v>
      </c>
      <c r="I27" s="2" t="s">
        <v>1154</v>
      </c>
    </row>
    <row r="28" spans="1:9">
      <c r="A28" s="6">
        <v>43429</v>
      </c>
      <c r="B28" s="3" t="s">
        <v>369</v>
      </c>
      <c r="C28" s="3" t="s">
        <v>370</v>
      </c>
      <c r="D28" s="1" t="s">
        <v>371</v>
      </c>
      <c r="E28" s="7">
        <v>0.95</v>
      </c>
      <c r="F28" s="3">
        <v>1.1000000000000001</v>
      </c>
      <c r="G28" s="1" t="s">
        <v>11</v>
      </c>
      <c r="H28" s="1" t="s">
        <v>1194</v>
      </c>
      <c r="I28" s="2" t="s">
        <v>1154</v>
      </c>
    </row>
    <row r="29" spans="1:9">
      <c r="A29" s="6">
        <v>43429</v>
      </c>
      <c r="B29" s="3" t="s">
        <v>375</v>
      </c>
      <c r="C29" s="3" t="s">
        <v>376</v>
      </c>
      <c r="D29" s="1" t="s">
        <v>371</v>
      </c>
      <c r="E29" s="7">
        <v>0.95</v>
      </c>
      <c r="F29" s="3">
        <v>1.1000000000000001</v>
      </c>
      <c r="G29" s="1" t="s">
        <v>11</v>
      </c>
      <c r="H29" s="1" t="s">
        <v>1181</v>
      </c>
      <c r="I29" s="2" t="s">
        <v>1153</v>
      </c>
    </row>
    <row r="30" spans="1:9">
      <c r="A30" s="6">
        <v>43456</v>
      </c>
      <c r="B30" s="3" t="s">
        <v>137</v>
      </c>
      <c r="C30" s="3" t="s">
        <v>195</v>
      </c>
      <c r="D30" s="1" t="s">
        <v>138</v>
      </c>
      <c r="E30" s="7">
        <v>0.95</v>
      </c>
      <c r="F30" s="3">
        <v>1.1000000000000001</v>
      </c>
      <c r="G30" s="1" t="s">
        <v>11</v>
      </c>
      <c r="H30" s="1" t="s">
        <v>1182</v>
      </c>
      <c r="I30" s="2" t="s">
        <v>1154</v>
      </c>
    </row>
    <row r="31" spans="1:9">
      <c r="A31" s="6">
        <v>43456</v>
      </c>
      <c r="B31" s="3" t="s">
        <v>137</v>
      </c>
      <c r="C31" s="3" t="s">
        <v>195</v>
      </c>
      <c r="D31" s="1" t="s">
        <v>138</v>
      </c>
      <c r="E31" s="7">
        <v>0.95</v>
      </c>
      <c r="F31" s="3">
        <v>1.1000000000000001</v>
      </c>
      <c r="G31" s="1" t="s">
        <v>11</v>
      </c>
      <c r="H31" s="1" t="s">
        <v>1182</v>
      </c>
      <c r="I31" s="2" t="s">
        <v>1154</v>
      </c>
    </row>
    <row r="32" spans="1:9">
      <c r="A32" s="6">
        <v>43470</v>
      </c>
      <c r="B32" s="3" t="s">
        <v>215</v>
      </c>
      <c r="C32" s="3" t="s">
        <v>440</v>
      </c>
      <c r="D32" s="1" t="s">
        <v>15</v>
      </c>
      <c r="E32" s="7">
        <v>0.95</v>
      </c>
      <c r="F32" s="3">
        <v>1.1000000000000001</v>
      </c>
      <c r="G32" s="1" t="s">
        <v>11</v>
      </c>
      <c r="H32" s="1" t="s">
        <v>1177</v>
      </c>
      <c r="I32" s="2" t="s">
        <v>1154</v>
      </c>
    </row>
    <row r="33" spans="1:9">
      <c r="A33" s="6">
        <v>43436</v>
      </c>
      <c r="B33" s="3" t="s">
        <v>109</v>
      </c>
      <c r="C33" s="3" t="s">
        <v>608</v>
      </c>
      <c r="D33" s="1" t="s">
        <v>110</v>
      </c>
      <c r="E33" s="7">
        <v>0.95</v>
      </c>
      <c r="F33" s="3">
        <v>1.0900000000000001</v>
      </c>
      <c r="G33" s="1" t="s">
        <v>11</v>
      </c>
      <c r="H33" s="1" t="s">
        <v>1179</v>
      </c>
      <c r="I33" s="2" t="s">
        <v>1152</v>
      </c>
    </row>
    <row r="34" spans="1:9">
      <c r="A34" s="6">
        <v>43474</v>
      </c>
      <c r="B34" s="3" t="s">
        <v>1223</v>
      </c>
      <c r="C34" s="3" t="s">
        <v>1224</v>
      </c>
      <c r="D34" s="1" t="s">
        <v>25</v>
      </c>
      <c r="E34" s="7">
        <v>0.95</v>
      </c>
      <c r="F34" s="3">
        <v>1.0900000000000001</v>
      </c>
      <c r="G34" s="1" t="s">
        <v>11</v>
      </c>
      <c r="H34" s="1" t="s">
        <v>1186</v>
      </c>
      <c r="I34" s="3" t="s">
        <v>1154</v>
      </c>
    </row>
    <row r="35" spans="1:9">
      <c r="A35" s="6">
        <v>43433</v>
      </c>
      <c r="B35" s="3" t="s">
        <v>496</v>
      </c>
      <c r="C35" s="3" t="s">
        <v>497</v>
      </c>
      <c r="D35" s="1" t="s">
        <v>491</v>
      </c>
      <c r="E35" s="7">
        <v>0.95</v>
      </c>
      <c r="F35" s="3">
        <v>1.08</v>
      </c>
      <c r="G35" s="1" t="s">
        <v>11</v>
      </c>
      <c r="H35" s="1" t="s">
        <v>1202</v>
      </c>
      <c r="I35" s="2" t="s">
        <v>1154</v>
      </c>
    </row>
    <row r="36" spans="1:9">
      <c r="A36" s="6">
        <v>43439</v>
      </c>
      <c r="B36" s="3" t="s">
        <v>619</v>
      </c>
      <c r="C36" s="3" t="s">
        <v>747</v>
      </c>
      <c r="D36" s="1" t="s">
        <v>705</v>
      </c>
      <c r="E36" s="7">
        <v>0.95</v>
      </c>
      <c r="F36" s="3">
        <v>1.08</v>
      </c>
      <c r="G36" s="1" t="s">
        <v>11</v>
      </c>
      <c r="H36" s="1" t="s">
        <v>1186</v>
      </c>
      <c r="I36" s="2" t="s">
        <v>1154</v>
      </c>
    </row>
    <row r="37" spans="1:9">
      <c r="A37" s="6">
        <v>43440</v>
      </c>
      <c r="B37" s="3" t="s">
        <v>91</v>
      </c>
      <c r="C37" s="3" t="s">
        <v>306</v>
      </c>
      <c r="D37" s="1" t="s">
        <v>476</v>
      </c>
      <c r="E37" s="7">
        <v>0.95</v>
      </c>
      <c r="F37" s="3">
        <v>1.08</v>
      </c>
      <c r="G37" s="1" t="s">
        <v>11</v>
      </c>
      <c r="H37" s="1" t="s">
        <v>1209</v>
      </c>
      <c r="I37" s="2" t="s">
        <v>1154</v>
      </c>
    </row>
    <row r="38" spans="1:9">
      <c r="A38" s="6">
        <v>43429</v>
      </c>
      <c r="B38" s="3" t="s">
        <v>383</v>
      </c>
      <c r="C38" s="3" t="s">
        <v>384</v>
      </c>
      <c r="D38" s="1" t="s">
        <v>326</v>
      </c>
      <c r="E38" s="7">
        <v>0.95</v>
      </c>
      <c r="F38" s="3">
        <v>1.07</v>
      </c>
      <c r="G38" s="1" t="s">
        <v>11</v>
      </c>
      <c r="H38" s="1" t="s">
        <v>1195</v>
      </c>
      <c r="I38" s="2" t="s">
        <v>1154</v>
      </c>
    </row>
    <row r="39" spans="1:9">
      <c r="A39" s="6">
        <v>43456</v>
      </c>
      <c r="B39" s="3" t="s">
        <v>910</v>
      </c>
      <c r="C39" s="3" t="s">
        <v>554</v>
      </c>
      <c r="D39" s="1" t="s">
        <v>156</v>
      </c>
      <c r="E39" s="7">
        <v>0.95</v>
      </c>
      <c r="F39" s="3">
        <v>1.07</v>
      </c>
      <c r="G39" s="1" t="s">
        <v>11</v>
      </c>
      <c r="H39" s="1" t="s">
        <v>1209</v>
      </c>
      <c r="I39" s="2" t="s">
        <v>1154</v>
      </c>
    </row>
    <row r="40" spans="1:9">
      <c r="A40" s="6">
        <v>43456</v>
      </c>
      <c r="B40" s="3" t="s">
        <v>910</v>
      </c>
      <c r="C40" s="3" t="s">
        <v>554</v>
      </c>
      <c r="D40" s="1" t="s">
        <v>156</v>
      </c>
      <c r="E40" s="7">
        <v>0.95</v>
      </c>
      <c r="F40" s="3">
        <v>1.07</v>
      </c>
      <c r="G40" s="1" t="s">
        <v>11</v>
      </c>
      <c r="H40" s="1" t="s">
        <v>1209</v>
      </c>
      <c r="I40" s="2" t="s">
        <v>1154</v>
      </c>
    </row>
    <row r="41" spans="1:9">
      <c r="A41" s="6">
        <v>43428</v>
      </c>
      <c r="B41" s="3" t="s">
        <v>132</v>
      </c>
      <c r="C41" s="3" t="s">
        <v>133</v>
      </c>
      <c r="D41" s="1" t="s">
        <v>131</v>
      </c>
      <c r="E41" s="7">
        <v>0.95</v>
      </c>
      <c r="F41" s="3">
        <v>1.06</v>
      </c>
      <c r="G41" s="1" t="s">
        <v>11</v>
      </c>
      <c r="H41" s="1" t="s">
        <v>1182</v>
      </c>
      <c r="I41" s="2" t="s">
        <v>1154</v>
      </c>
    </row>
    <row r="42" spans="1:9">
      <c r="A42" s="6">
        <v>43435</v>
      </c>
      <c r="B42" s="3" t="s">
        <v>553</v>
      </c>
      <c r="C42" s="3" t="s">
        <v>554</v>
      </c>
      <c r="D42" s="1" t="s">
        <v>156</v>
      </c>
      <c r="E42" s="7">
        <v>0.95</v>
      </c>
      <c r="F42" s="3">
        <v>1.04</v>
      </c>
      <c r="G42" s="1" t="s">
        <v>11</v>
      </c>
      <c r="H42" s="1" t="s">
        <v>1194</v>
      </c>
      <c r="I42" s="2" t="s">
        <v>1154</v>
      </c>
    </row>
    <row r="43" spans="1:9">
      <c r="A43" s="6">
        <v>43471</v>
      </c>
      <c r="B43" s="3" t="s">
        <v>1146</v>
      </c>
      <c r="C43" s="3" t="s">
        <v>405</v>
      </c>
      <c r="D43" s="1" t="s">
        <v>68</v>
      </c>
      <c r="E43" s="7">
        <v>0.94</v>
      </c>
      <c r="F43" s="3">
        <v>1.19</v>
      </c>
      <c r="G43" s="1" t="s">
        <v>11</v>
      </c>
      <c r="H43" s="1" t="s">
        <v>1183</v>
      </c>
      <c r="I43" s="2" t="s">
        <v>1153</v>
      </c>
    </row>
    <row r="44" spans="1:9">
      <c r="A44" s="6">
        <v>43449</v>
      </c>
      <c r="B44" s="3" t="s">
        <v>506</v>
      </c>
      <c r="C44" s="3" t="s">
        <v>586</v>
      </c>
      <c r="D44" s="1" t="s">
        <v>193</v>
      </c>
      <c r="E44" s="7">
        <v>0.94</v>
      </c>
      <c r="F44" s="3">
        <v>1.18</v>
      </c>
      <c r="G44" s="1" t="s">
        <v>11</v>
      </c>
      <c r="H44" s="1" t="s">
        <v>1180</v>
      </c>
      <c r="I44" s="2" t="s">
        <v>1154</v>
      </c>
    </row>
    <row r="45" spans="1:9">
      <c r="A45" s="6">
        <v>43432</v>
      </c>
      <c r="B45" s="3" t="s">
        <v>354</v>
      </c>
      <c r="C45" s="3" t="s">
        <v>505</v>
      </c>
      <c r="D45" s="1" t="s">
        <v>462</v>
      </c>
      <c r="E45" s="7">
        <v>0.94</v>
      </c>
      <c r="F45" s="3">
        <v>1.1599999999999999</v>
      </c>
      <c r="G45" s="1" t="s">
        <v>11</v>
      </c>
      <c r="H45" s="1" t="s">
        <v>1172</v>
      </c>
      <c r="I45" s="2" t="s">
        <v>1154</v>
      </c>
    </row>
    <row r="46" spans="1:9">
      <c r="A46" s="6">
        <v>43460</v>
      </c>
      <c r="B46" s="3" t="s">
        <v>198</v>
      </c>
      <c r="C46" s="3" t="s">
        <v>30</v>
      </c>
      <c r="D46" s="1" t="s">
        <v>193</v>
      </c>
      <c r="E46" s="7">
        <v>0.94</v>
      </c>
      <c r="F46" s="3">
        <v>1.1599999999999999</v>
      </c>
      <c r="G46" s="1" t="s">
        <v>11</v>
      </c>
      <c r="H46" s="1" t="s">
        <v>1200</v>
      </c>
      <c r="I46" s="2" t="s">
        <v>1154</v>
      </c>
    </row>
    <row r="47" spans="1:9">
      <c r="A47" s="6">
        <v>43442</v>
      </c>
      <c r="B47" s="3" t="s">
        <v>354</v>
      </c>
      <c r="C47" s="3" t="s">
        <v>286</v>
      </c>
      <c r="D47" s="1" t="s">
        <v>278</v>
      </c>
      <c r="E47" s="7">
        <v>0.94</v>
      </c>
      <c r="F47" s="3">
        <v>1.1499999999999999</v>
      </c>
      <c r="G47" s="1" t="s">
        <v>11</v>
      </c>
      <c r="H47" s="1" t="s">
        <v>1200</v>
      </c>
      <c r="I47" s="2" t="s">
        <v>1154</v>
      </c>
    </row>
    <row r="48" spans="1:9">
      <c r="A48" s="6">
        <v>43428</v>
      </c>
      <c r="B48" s="3" t="s">
        <v>136</v>
      </c>
      <c r="C48" s="3" t="s">
        <v>137</v>
      </c>
      <c r="D48" s="1" t="s">
        <v>138</v>
      </c>
      <c r="E48" s="7">
        <v>0.94</v>
      </c>
      <c r="F48" s="3">
        <v>1.1399999999999999</v>
      </c>
      <c r="G48" s="1" t="s">
        <v>22</v>
      </c>
      <c r="H48" s="1" t="s">
        <v>1183</v>
      </c>
      <c r="I48" s="2" t="s">
        <v>1154</v>
      </c>
    </row>
    <row r="49" spans="1:9">
      <c r="A49" s="6">
        <v>43429</v>
      </c>
      <c r="B49" s="3" t="s">
        <v>354</v>
      </c>
      <c r="C49" s="3" t="s">
        <v>355</v>
      </c>
      <c r="D49" s="1" t="s">
        <v>278</v>
      </c>
      <c r="E49" s="7">
        <v>0.94</v>
      </c>
      <c r="F49" s="3">
        <v>1.1399999999999999</v>
      </c>
      <c r="G49" s="1" t="s">
        <v>11</v>
      </c>
      <c r="H49" s="1" t="s">
        <v>1179</v>
      </c>
      <c r="I49" s="2" t="s">
        <v>1152</v>
      </c>
    </row>
    <row r="50" spans="1:9">
      <c r="A50" s="6">
        <v>43441</v>
      </c>
      <c r="B50" s="3" t="s">
        <v>324</v>
      </c>
      <c r="C50" s="3" t="s">
        <v>810</v>
      </c>
      <c r="D50" s="1" t="s">
        <v>594</v>
      </c>
      <c r="E50" s="7">
        <v>0.94</v>
      </c>
      <c r="F50" s="3">
        <v>1.1399999999999999</v>
      </c>
      <c r="G50" s="1" t="s">
        <v>11</v>
      </c>
      <c r="H50" s="1" t="s">
        <v>1190</v>
      </c>
      <c r="I50" s="2" t="s">
        <v>1154</v>
      </c>
    </row>
    <row r="51" spans="1:9">
      <c r="A51" s="6">
        <v>43470</v>
      </c>
      <c r="B51" s="2" t="s">
        <v>28</v>
      </c>
      <c r="C51" s="2" t="s">
        <v>29</v>
      </c>
      <c r="D51" s="1" t="s">
        <v>15</v>
      </c>
      <c r="E51" s="7">
        <v>0.94</v>
      </c>
      <c r="F51" s="2">
        <v>1.1399999999999999</v>
      </c>
      <c r="G51" s="1" t="s">
        <v>11</v>
      </c>
      <c r="H51" s="1" t="s">
        <v>1180</v>
      </c>
      <c r="I51" s="2" t="s">
        <v>1154</v>
      </c>
    </row>
    <row r="52" spans="1:9">
      <c r="A52" s="6">
        <v>43470</v>
      </c>
      <c r="B52" s="3" t="s">
        <v>28</v>
      </c>
      <c r="C52" s="3" t="s">
        <v>29</v>
      </c>
      <c r="D52" s="1" t="s">
        <v>15</v>
      </c>
      <c r="E52" s="7">
        <v>0.94</v>
      </c>
      <c r="F52" s="3">
        <v>1.1399999999999999</v>
      </c>
      <c r="G52" s="1" t="s">
        <v>11</v>
      </c>
      <c r="H52" s="1" t="s">
        <v>1180</v>
      </c>
      <c r="I52" s="2" t="s">
        <v>1154</v>
      </c>
    </row>
    <row r="53" spans="1:9">
      <c r="A53" s="6">
        <v>43428</v>
      </c>
      <c r="B53" s="3" t="s">
        <v>251</v>
      </c>
      <c r="C53" s="3" t="s">
        <v>252</v>
      </c>
      <c r="D53" s="1" t="s">
        <v>71</v>
      </c>
      <c r="E53" s="7">
        <v>0.94</v>
      </c>
      <c r="F53" s="3">
        <v>1.1299999999999999</v>
      </c>
      <c r="G53" s="1" t="s">
        <v>11</v>
      </c>
      <c r="H53" s="1" t="s">
        <v>1180</v>
      </c>
      <c r="I53" s="2" t="s">
        <v>1154</v>
      </c>
    </row>
    <row r="54" spans="1:9">
      <c r="A54" s="6">
        <v>43436</v>
      </c>
      <c r="B54" s="3" t="s">
        <v>466</v>
      </c>
      <c r="C54" s="3" t="s">
        <v>634</v>
      </c>
      <c r="D54" s="1" t="s">
        <v>403</v>
      </c>
      <c r="E54" s="7">
        <v>0.94</v>
      </c>
      <c r="F54" s="3">
        <v>1.1299999999999999</v>
      </c>
      <c r="G54" s="1" t="s">
        <v>11</v>
      </c>
      <c r="H54" s="1" t="s">
        <v>1185</v>
      </c>
      <c r="I54" s="2" t="s">
        <v>1152</v>
      </c>
    </row>
    <row r="55" spans="1:9">
      <c r="A55" s="6">
        <v>43438</v>
      </c>
      <c r="B55" s="3" t="s">
        <v>467</v>
      </c>
      <c r="C55" s="3" t="s">
        <v>707</v>
      </c>
      <c r="D55" s="1" t="s">
        <v>476</v>
      </c>
      <c r="E55" s="7">
        <v>0.94</v>
      </c>
      <c r="F55" s="3">
        <v>1.1299999999999999</v>
      </c>
      <c r="G55" s="1" t="s">
        <v>11</v>
      </c>
      <c r="H55" s="1" t="s">
        <v>1180</v>
      </c>
      <c r="I55" s="2" t="s">
        <v>1154</v>
      </c>
    </row>
    <row r="56" spans="1:9">
      <c r="A56" s="6">
        <v>43470</v>
      </c>
      <c r="B56" s="3" t="s">
        <v>216</v>
      </c>
      <c r="C56" s="3" t="s">
        <v>584</v>
      </c>
      <c r="D56" s="1" t="s">
        <v>15</v>
      </c>
      <c r="E56" s="7">
        <v>0.94</v>
      </c>
      <c r="F56" s="3">
        <v>1.1299999999999999</v>
      </c>
      <c r="G56" s="1" t="s">
        <v>11</v>
      </c>
      <c r="H56" s="1" t="s">
        <v>1173</v>
      </c>
      <c r="I56" s="2" t="s">
        <v>1154</v>
      </c>
    </row>
    <row r="57" spans="1:9">
      <c r="A57" s="6">
        <v>43472</v>
      </c>
      <c r="B57" s="3" t="s">
        <v>324</v>
      </c>
      <c r="C57" s="3" t="s">
        <v>1005</v>
      </c>
      <c r="D57" s="1" t="s">
        <v>594</v>
      </c>
      <c r="E57" s="7">
        <v>0.94</v>
      </c>
      <c r="F57" s="3">
        <v>1.1200000000000001</v>
      </c>
      <c r="G57" s="1" t="s">
        <v>11</v>
      </c>
      <c r="H57" s="1" t="s">
        <v>1172</v>
      </c>
      <c r="I57" s="2" t="s">
        <v>1154</v>
      </c>
    </row>
    <row r="58" spans="1:9">
      <c r="A58" s="6">
        <v>43441</v>
      </c>
      <c r="B58" s="3" t="s">
        <v>798</v>
      </c>
      <c r="C58" s="3" t="s">
        <v>466</v>
      </c>
      <c r="D58" s="1" t="s">
        <v>403</v>
      </c>
      <c r="E58" s="7">
        <v>0.94</v>
      </c>
      <c r="F58" s="3">
        <v>1.1100000000000001</v>
      </c>
      <c r="G58" s="1" t="s">
        <v>22</v>
      </c>
      <c r="H58" s="1" t="s">
        <v>1183</v>
      </c>
      <c r="I58" s="2" t="s">
        <v>1154</v>
      </c>
    </row>
    <row r="59" spans="1:9">
      <c r="A59" s="6">
        <v>43440</v>
      </c>
      <c r="B59" s="3" t="s">
        <v>750</v>
      </c>
      <c r="C59" s="3" t="s">
        <v>537</v>
      </c>
      <c r="D59" s="1" t="s">
        <v>110</v>
      </c>
      <c r="E59" s="7">
        <v>0.94</v>
      </c>
      <c r="F59" s="3">
        <v>1.1000000000000001</v>
      </c>
      <c r="G59" s="1" t="s">
        <v>22</v>
      </c>
      <c r="H59" s="1" t="s">
        <v>1178</v>
      </c>
      <c r="I59" s="2" t="s">
        <v>1154</v>
      </c>
    </row>
    <row r="60" spans="1:9">
      <c r="A60" s="6">
        <v>43428</v>
      </c>
      <c r="B60" s="3" t="s">
        <v>233</v>
      </c>
      <c r="C60" s="3" t="s">
        <v>234</v>
      </c>
      <c r="D60" s="1" t="s">
        <v>235</v>
      </c>
      <c r="E60" s="7">
        <v>0.94</v>
      </c>
      <c r="F60" s="3">
        <v>1.08</v>
      </c>
      <c r="G60" s="1" t="s">
        <v>11</v>
      </c>
      <c r="H60" s="1" t="s">
        <v>1182</v>
      </c>
      <c r="I60" s="2" t="s">
        <v>1154</v>
      </c>
    </row>
    <row r="61" spans="1:9">
      <c r="A61" s="6">
        <v>43436</v>
      </c>
      <c r="B61" s="3" t="s">
        <v>499</v>
      </c>
      <c r="C61" s="3" t="s">
        <v>631</v>
      </c>
      <c r="D61" s="1" t="s">
        <v>371</v>
      </c>
      <c r="E61" s="7">
        <v>0.94</v>
      </c>
      <c r="F61" s="3">
        <v>1.07</v>
      </c>
      <c r="G61" s="1" t="s">
        <v>11</v>
      </c>
      <c r="H61" s="1" t="s">
        <v>1182</v>
      </c>
      <c r="I61" s="2" t="s">
        <v>1154</v>
      </c>
    </row>
    <row r="62" spans="1:9">
      <c r="A62" s="6">
        <v>43439</v>
      </c>
      <c r="B62" s="3" t="s">
        <v>712</v>
      </c>
      <c r="C62" s="3" t="s">
        <v>713</v>
      </c>
      <c r="D62" s="1" t="s">
        <v>714</v>
      </c>
      <c r="E62" s="7">
        <v>0.94</v>
      </c>
      <c r="F62" s="3">
        <v>1.07</v>
      </c>
      <c r="G62" s="1" t="s">
        <v>22</v>
      </c>
      <c r="H62" s="1" t="s">
        <v>1206</v>
      </c>
      <c r="I62" s="2" t="s">
        <v>1154</v>
      </c>
    </row>
    <row r="63" spans="1:9">
      <c r="A63" s="6">
        <v>43476</v>
      </c>
      <c r="B63" s="3" t="s">
        <v>1665</v>
      </c>
      <c r="C63" s="3" t="s">
        <v>1666</v>
      </c>
      <c r="D63" s="1" t="s">
        <v>1576</v>
      </c>
      <c r="E63" s="7">
        <v>0.94</v>
      </c>
      <c r="F63" s="3">
        <v>1.05</v>
      </c>
      <c r="G63" s="1" t="s">
        <v>11</v>
      </c>
      <c r="H63" s="1" t="s">
        <v>12</v>
      </c>
      <c r="I63" s="3"/>
    </row>
    <row r="64" spans="1:9">
      <c r="A64" s="6">
        <v>43456</v>
      </c>
      <c r="B64" s="3" t="s">
        <v>33</v>
      </c>
      <c r="C64" s="3" t="s">
        <v>586</v>
      </c>
      <c r="D64" s="1" t="s">
        <v>193</v>
      </c>
      <c r="E64" s="7">
        <v>0.93</v>
      </c>
      <c r="F64" s="3">
        <v>1.21</v>
      </c>
      <c r="G64" s="1" t="s">
        <v>11</v>
      </c>
      <c r="H64" s="1" t="s">
        <v>1172</v>
      </c>
      <c r="I64" s="2" t="s">
        <v>1154</v>
      </c>
    </row>
    <row r="65" spans="1:9">
      <c r="A65" s="6">
        <v>43428</v>
      </c>
      <c r="B65" s="3" t="s">
        <v>261</v>
      </c>
      <c r="C65" s="3" t="s">
        <v>262</v>
      </c>
      <c r="D65" s="1" t="s">
        <v>214</v>
      </c>
      <c r="E65" s="7">
        <v>0.93</v>
      </c>
      <c r="F65" s="3">
        <v>1.19</v>
      </c>
      <c r="G65" s="1" t="s">
        <v>11</v>
      </c>
      <c r="H65" s="1" t="s">
        <v>1177</v>
      </c>
      <c r="I65" s="2" t="s">
        <v>1154</v>
      </c>
    </row>
    <row r="66" spans="1:9">
      <c r="A66" s="6">
        <v>43442</v>
      </c>
      <c r="B66" s="3" t="s">
        <v>271</v>
      </c>
      <c r="C66" s="3" t="s">
        <v>675</v>
      </c>
      <c r="D66" s="1" t="s">
        <v>214</v>
      </c>
      <c r="E66" s="7">
        <v>0.93</v>
      </c>
      <c r="F66" s="3">
        <v>1.19</v>
      </c>
      <c r="G66" s="1" t="s">
        <v>11</v>
      </c>
      <c r="H66" s="1" t="s">
        <v>1177</v>
      </c>
      <c r="I66" s="2" t="s">
        <v>1154</v>
      </c>
    </row>
    <row r="67" spans="1:9">
      <c r="A67" s="6">
        <v>43432</v>
      </c>
      <c r="B67" s="3" t="s">
        <v>478</v>
      </c>
      <c r="C67" s="3" t="s">
        <v>479</v>
      </c>
      <c r="D67" s="1" t="s">
        <v>462</v>
      </c>
      <c r="E67" s="7">
        <v>0.93</v>
      </c>
      <c r="F67" s="3">
        <v>1.18</v>
      </c>
      <c r="G67" s="1" t="s">
        <v>11</v>
      </c>
      <c r="H67" s="1" t="s">
        <v>1177</v>
      </c>
      <c r="I67" s="2" t="s">
        <v>1154</v>
      </c>
    </row>
    <row r="68" spans="1:9">
      <c r="A68" s="6">
        <v>43443</v>
      </c>
      <c r="B68" s="3" t="s">
        <v>261</v>
      </c>
      <c r="C68" s="3" t="s">
        <v>213</v>
      </c>
      <c r="D68" s="1" t="s">
        <v>214</v>
      </c>
      <c r="E68" s="7">
        <v>0.93</v>
      </c>
      <c r="F68" s="3">
        <v>1.18</v>
      </c>
      <c r="G68" s="1" t="s">
        <v>11</v>
      </c>
      <c r="H68" s="1" t="s">
        <v>1173</v>
      </c>
      <c r="I68" s="2" t="s">
        <v>1154</v>
      </c>
    </row>
    <row r="69" spans="1:9">
      <c r="A69" s="6">
        <v>43452</v>
      </c>
      <c r="B69" s="3" t="s">
        <v>324</v>
      </c>
      <c r="C69" s="3" t="s">
        <v>617</v>
      </c>
      <c r="D69" s="1" t="s">
        <v>326</v>
      </c>
      <c r="E69" s="7">
        <v>0.93</v>
      </c>
      <c r="F69" s="3">
        <v>1.17</v>
      </c>
      <c r="G69" s="1" t="s">
        <v>11</v>
      </c>
      <c r="H69" s="1" t="s">
        <v>1187</v>
      </c>
      <c r="I69" s="2" t="s">
        <v>1154</v>
      </c>
    </row>
    <row r="70" spans="1:9">
      <c r="A70" s="6">
        <v>43445</v>
      </c>
      <c r="B70" s="3" t="s">
        <v>505</v>
      </c>
      <c r="C70" s="3" t="s">
        <v>251</v>
      </c>
      <c r="D70" s="1" t="s">
        <v>462</v>
      </c>
      <c r="E70" s="7">
        <v>0.93</v>
      </c>
      <c r="F70" s="3">
        <v>1.1599999999999999</v>
      </c>
      <c r="G70" s="1" t="s">
        <v>22</v>
      </c>
      <c r="H70" s="1" t="s">
        <v>1193</v>
      </c>
      <c r="I70" s="2" t="s">
        <v>1154</v>
      </c>
    </row>
    <row r="71" spans="1:9">
      <c r="A71" s="6">
        <v>43428</v>
      </c>
      <c r="B71" s="3" t="s">
        <v>253</v>
      </c>
      <c r="C71" s="3" t="s">
        <v>254</v>
      </c>
      <c r="D71" s="1" t="s">
        <v>255</v>
      </c>
      <c r="E71" s="7">
        <v>0.93</v>
      </c>
      <c r="F71" s="3">
        <v>1.1499999999999999</v>
      </c>
      <c r="G71" s="1" t="s">
        <v>11</v>
      </c>
      <c r="H71" s="1" t="s">
        <v>1182</v>
      </c>
      <c r="I71" s="2" t="s">
        <v>1154</v>
      </c>
    </row>
    <row r="72" spans="1:9">
      <c r="A72" s="6">
        <v>43435</v>
      </c>
      <c r="B72" s="3" t="s">
        <v>464</v>
      </c>
      <c r="C72" s="3" t="s">
        <v>593</v>
      </c>
      <c r="D72" s="1" t="s">
        <v>594</v>
      </c>
      <c r="E72" s="7">
        <v>0.93</v>
      </c>
      <c r="F72" s="3">
        <v>1.1499999999999999</v>
      </c>
      <c r="G72" s="1" t="s">
        <v>11</v>
      </c>
      <c r="H72" s="1" t="s">
        <v>1200</v>
      </c>
      <c r="I72" s="2" t="s">
        <v>1154</v>
      </c>
    </row>
    <row r="73" spans="1:9">
      <c r="A73" s="6">
        <v>43437</v>
      </c>
      <c r="B73" s="3" t="s">
        <v>493</v>
      </c>
      <c r="C73" s="3" t="s">
        <v>270</v>
      </c>
      <c r="D73" s="1" t="s">
        <v>214</v>
      </c>
      <c r="E73" s="7">
        <v>0.93</v>
      </c>
      <c r="F73" s="3">
        <v>1.1499999999999999</v>
      </c>
      <c r="G73" s="1" t="s">
        <v>11</v>
      </c>
      <c r="H73" s="1" t="s">
        <v>1173</v>
      </c>
      <c r="I73" s="2" t="s">
        <v>1154</v>
      </c>
    </row>
    <row r="74" spans="1:9">
      <c r="A74" s="6">
        <v>43440</v>
      </c>
      <c r="B74" s="3" t="s">
        <v>790</v>
      </c>
      <c r="C74" s="3" t="s">
        <v>791</v>
      </c>
      <c r="D74" s="1" t="s">
        <v>679</v>
      </c>
      <c r="E74" s="7">
        <v>0.93</v>
      </c>
      <c r="F74" s="3">
        <v>1.1499999999999999</v>
      </c>
      <c r="G74" s="1" t="s">
        <v>11</v>
      </c>
      <c r="H74" s="1" t="s">
        <v>1177</v>
      </c>
      <c r="I74" s="2" t="s">
        <v>1154</v>
      </c>
    </row>
    <row r="75" spans="1:9">
      <c r="A75" s="6">
        <v>43449</v>
      </c>
      <c r="B75" s="3" t="s">
        <v>91</v>
      </c>
      <c r="C75" s="3" t="s">
        <v>968</v>
      </c>
      <c r="D75" s="1" t="s">
        <v>92</v>
      </c>
      <c r="E75" s="7">
        <v>0.93</v>
      </c>
      <c r="F75" s="3">
        <v>1.1499999999999999</v>
      </c>
      <c r="G75" s="1" t="s">
        <v>11</v>
      </c>
      <c r="H75" s="1" t="s">
        <v>1180</v>
      </c>
      <c r="I75" s="2" t="s">
        <v>1154</v>
      </c>
    </row>
    <row r="76" spans="1:9">
      <c r="A76" s="6">
        <v>43452</v>
      </c>
      <c r="B76" s="3" t="s">
        <v>1021</v>
      </c>
      <c r="C76" s="3" t="s">
        <v>251</v>
      </c>
      <c r="D76" s="1" t="s">
        <v>1022</v>
      </c>
      <c r="E76" s="7">
        <v>0.93</v>
      </c>
      <c r="F76" s="3">
        <v>1.1399999999999999</v>
      </c>
      <c r="G76" s="1" t="s">
        <v>22</v>
      </c>
      <c r="H76" s="1" t="s">
        <v>1178</v>
      </c>
      <c r="I76" s="2" t="s">
        <v>1154</v>
      </c>
    </row>
    <row r="77" spans="1:9">
      <c r="A77" s="6">
        <v>43469</v>
      </c>
      <c r="B77" s="3" t="s">
        <v>642</v>
      </c>
      <c r="C77" s="3" t="s">
        <v>506</v>
      </c>
      <c r="D77" s="1" t="s">
        <v>15</v>
      </c>
      <c r="E77" s="7">
        <v>0.93</v>
      </c>
      <c r="F77" s="3">
        <v>1.1399999999999999</v>
      </c>
      <c r="G77" s="1" t="s">
        <v>22</v>
      </c>
      <c r="H77" s="1" t="s">
        <v>1206</v>
      </c>
      <c r="I77" s="2" t="s">
        <v>1154</v>
      </c>
    </row>
    <row r="78" spans="1:9">
      <c r="A78" s="6">
        <v>43473</v>
      </c>
      <c r="B78" s="3" t="s">
        <v>329</v>
      </c>
      <c r="C78" s="3" t="s">
        <v>261</v>
      </c>
      <c r="D78" s="1" t="s">
        <v>1170</v>
      </c>
      <c r="E78" s="7">
        <v>0.93</v>
      </c>
      <c r="F78" s="3">
        <v>1.1299999999999999</v>
      </c>
      <c r="G78" s="1" t="s">
        <v>22</v>
      </c>
      <c r="H78" s="1" t="s">
        <v>1173</v>
      </c>
      <c r="I78" s="2" t="s">
        <v>1153</v>
      </c>
    </row>
    <row r="79" spans="1:9">
      <c r="A79" s="6">
        <v>43435</v>
      </c>
      <c r="B79" s="3" t="s">
        <v>537</v>
      </c>
      <c r="C79" s="3" t="s">
        <v>538</v>
      </c>
      <c r="D79" s="1" t="s">
        <v>110</v>
      </c>
      <c r="E79" s="7">
        <v>0.93</v>
      </c>
      <c r="F79" s="3">
        <v>1.1200000000000001</v>
      </c>
      <c r="G79" s="1" t="s">
        <v>11</v>
      </c>
      <c r="H79" s="1" t="s">
        <v>1174</v>
      </c>
      <c r="I79" s="2" t="s">
        <v>1154</v>
      </c>
    </row>
    <row r="80" spans="1:9">
      <c r="A80" s="6">
        <v>43440</v>
      </c>
      <c r="B80" s="3" t="s">
        <v>770</v>
      </c>
      <c r="C80" s="3" t="s">
        <v>771</v>
      </c>
      <c r="D80" s="1" t="s">
        <v>689</v>
      </c>
      <c r="E80" s="7">
        <v>0.93</v>
      </c>
      <c r="F80" s="3">
        <v>1.1200000000000001</v>
      </c>
      <c r="G80" s="1" t="s">
        <v>11</v>
      </c>
      <c r="H80" s="1" t="s">
        <v>1177</v>
      </c>
      <c r="I80" s="2" t="s">
        <v>1154</v>
      </c>
    </row>
    <row r="81" spans="1:9">
      <c r="A81" s="6">
        <v>43447</v>
      </c>
      <c r="B81" s="3" t="s">
        <v>932</v>
      </c>
      <c r="C81" s="3" t="s">
        <v>268</v>
      </c>
      <c r="D81" s="1" t="s">
        <v>491</v>
      </c>
      <c r="E81" s="7">
        <v>0.93</v>
      </c>
      <c r="F81" s="3">
        <v>1.1200000000000001</v>
      </c>
      <c r="G81" s="1" t="s">
        <v>11</v>
      </c>
      <c r="H81" s="1" t="s">
        <v>1175</v>
      </c>
      <c r="I81" s="2" t="s">
        <v>1152</v>
      </c>
    </row>
    <row r="82" spans="1:9">
      <c r="A82" s="6">
        <v>43452</v>
      </c>
      <c r="B82" s="3" t="s">
        <v>730</v>
      </c>
      <c r="C82" s="3" t="s">
        <v>729</v>
      </c>
      <c r="D82" s="1" t="s">
        <v>689</v>
      </c>
      <c r="E82" s="7">
        <v>0.93</v>
      </c>
      <c r="F82" s="3">
        <v>1.1200000000000001</v>
      </c>
      <c r="G82" s="1" t="s">
        <v>11</v>
      </c>
      <c r="H82" s="1" t="s">
        <v>1175</v>
      </c>
      <c r="I82" s="2" t="s">
        <v>1152</v>
      </c>
    </row>
    <row r="83" spans="1:9">
      <c r="A83" s="6">
        <v>43452</v>
      </c>
      <c r="B83" s="3" t="s">
        <v>694</v>
      </c>
      <c r="C83" s="3" t="s">
        <v>693</v>
      </c>
      <c r="D83" s="1" t="s">
        <v>689</v>
      </c>
      <c r="E83" s="7">
        <v>0.93</v>
      </c>
      <c r="F83" s="3">
        <v>1.1200000000000001</v>
      </c>
      <c r="G83" s="1" t="s">
        <v>11</v>
      </c>
      <c r="H83" s="1" t="s">
        <v>1173</v>
      </c>
      <c r="I83" s="2" t="s">
        <v>1154</v>
      </c>
    </row>
    <row r="84" spans="1:9">
      <c r="A84" s="6">
        <v>43456</v>
      </c>
      <c r="B84" s="3" t="s">
        <v>898</v>
      </c>
      <c r="C84" s="3" t="s">
        <v>1070</v>
      </c>
      <c r="D84" s="1" t="s">
        <v>235</v>
      </c>
      <c r="E84" s="7">
        <v>0.93</v>
      </c>
      <c r="F84" s="3">
        <v>1.1200000000000001</v>
      </c>
      <c r="G84" s="1" t="s">
        <v>11</v>
      </c>
      <c r="H84" s="1" t="s">
        <v>1177</v>
      </c>
      <c r="I84" s="2" t="s">
        <v>1154</v>
      </c>
    </row>
    <row r="85" spans="1:9">
      <c r="A85" s="6">
        <v>43476</v>
      </c>
      <c r="B85" s="3" t="s">
        <v>247</v>
      </c>
      <c r="C85" s="3" t="s">
        <v>1667</v>
      </c>
      <c r="D85" s="1" t="s">
        <v>1228</v>
      </c>
      <c r="E85" s="7">
        <v>0.93</v>
      </c>
      <c r="F85" s="3">
        <v>1.1200000000000001</v>
      </c>
      <c r="G85" s="1" t="s">
        <v>11</v>
      </c>
      <c r="H85" s="1" t="s">
        <v>1186</v>
      </c>
      <c r="I85" s="3" t="s">
        <v>1154</v>
      </c>
    </row>
    <row r="86" spans="1:9">
      <c r="A86" s="6">
        <v>43443</v>
      </c>
      <c r="B86" s="3" t="s">
        <v>370</v>
      </c>
      <c r="C86" s="3" t="s">
        <v>640</v>
      </c>
      <c r="D86" s="1" t="s">
        <v>371</v>
      </c>
      <c r="E86" s="7">
        <v>0.93</v>
      </c>
      <c r="F86" s="3">
        <v>1.1100000000000001</v>
      </c>
      <c r="G86" s="1" t="s">
        <v>22</v>
      </c>
      <c r="H86" s="1" t="s">
        <v>1176</v>
      </c>
      <c r="I86" s="2" t="s">
        <v>1154</v>
      </c>
    </row>
    <row r="87" spans="1:9">
      <c r="A87" s="6">
        <v>43441</v>
      </c>
      <c r="B87" s="3" t="s">
        <v>777</v>
      </c>
      <c r="C87" s="3" t="s">
        <v>778</v>
      </c>
      <c r="D87" s="1" t="s">
        <v>626</v>
      </c>
      <c r="E87" s="7">
        <v>0.93</v>
      </c>
      <c r="F87" s="3">
        <v>1.1000000000000001</v>
      </c>
      <c r="G87" s="1" t="s">
        <v>11</v>
      </c>
      <c r="H87" s="1" t="s">
        <v>1175</v>
      </c>
      <c r="I87" s="2" t="s">
        <v>1152</v>
      </c>
    </row>
    <row r="88" spans="1:9">
      <c r="A88" s="6">
        <v>43446</v>
      </c>
      <c r="B88" s="3" t="s">
        <v>920</v>
      </c>
      <c r="C88" s="3" t="s">
        <v>921</v>
      </c>
      <c r="D88" s="1" t="s">
        <v>449</v>
      </c>
      <c r="E88" s="7">
        <v>0.93</v>
      </c>
      <c r="F88" s="3">
        <v>1.1000000000000001</v>
      </c>
      <c r="G88" s="1" t="s">
        <v>11</v>
      </c>
      <c r="H88" s="1" t="s">
        <v>1173</v>
      </c>
      <c r="I88" s="2" t="s">
        <v>1154</v>
      </c>
    </row>
    <row r="89" spans="1:9">
      <c r="A89" s="6">
        <v>43453</v>
      </c>
      <c r="B89" s="3" t="s">
        <v>696</v>
      </c>
      <c r="C89" s="3" t="s">
        <v>695</v>
      </c>
      <c r="D89" s="1" t="s">
        <v>689</v>
      </c>
      <c r="E89" s="7">
        <v>0.93</v>
      </c>
      <c r="F89" s="3">
        <v>1.0900000000000001</v>
      </c>
      <c r="G89" s="1" t="s">
        <v>11</v>
      </c>
      <c r="H89" s="1" t="s">
        <v>1174</v>
      </c>
      <c r="I89" s="2" t="s">
        <v>1154</v>
      </c>
    </row>
    <row r="90" spans="1:9">
      <c r="A90" s="6">
        <v>43460</v>
      </c>
      <c r="B90" s="3" t="s">
        <v>215</v>
      </c>
      <c r="C90" s="3" t="s">
        <v>412</v>
      </c>
      <c r="D90" s="1" t="s">
        <v>193</v>
      </c>
      <c r="E90" s="7">
        <v>0.92</v>
      </c>
      <c r="F90" s="3">
        <v>1.24</v>
      </c>
      <c r="G90" s="1" t="s">
        <v>11</v>
      </c>
      <c r="H90" s="1" t="s">
        <v>1172</v>
      </c>
      <c r="I90" s="2" t="s">
        <v>1154</v>
      </c>
    </row>
    <row r="91" spans="1:9">
      <c r="A91" s="6">
        <v>43463</v>
      </c>
      <c r="B91" s="3" t="s">
        <v>276</v>
      </c>
      <c r="C91" s="3" t="s">
        <v>859</v>
      </c>
      <c r="D91" s="1" t="s">
        <v>278</v>
      </c>
      <c r="E91" s="7">
        <v>0.92</v>
      </c>
      <c r="F91" s="3">
        <v>1.22</v>
      </c>
      <c r="G91" s="1" t="s">
        <v>11</v>
      </c>
      <c r="H91" s="1" t="s">
        <v>1173</v>
      </c>
      <c r="I91" s="2" t="s">
        <v>1154</v>
      </c>
    </row>
    <row r="92" spans="1:9">
      <c r="A92" s="6">
        <v>43464</v>
      </c>
      <c r="B92" s="3" t="s">
        <v>1108</v>
      </c>
      <c r="C92" s="3" t="s">
        <v>26</v>
      </c>
      <c r="D92" s="1" t="s">
        <v>1049</v>
      </c>
      <c r="E92" s="7">
        <v>0.92</v>
      </c>
      <c r="F92" s="3">
        <v>1.22</v>
      </c>
      <c r="G92" s="1" t="s">
        <v>11</v>
      </c>
      <c r="H92" s="1" t="s">
        <v>1207</v>
      </c>
      <c r="I92" s="2" t="s">
        <v>1153</v>
      </c>
    </row>
    <row r="93" spans="1:9">
      <c r="A93" s="6">
        <v>43470</v>
      </c>
      <c r="B93" s="3" t="s">
        <v>511</v>
      </c>
      <c r="C93" s="3" t="s">
        <v>576</v>
      </c>
      <c r="D93" s="1" t="s">
        <v>15</v>
      </c>
      <c r="E93" s="7">
        <v>0.92</v>
      </c>
      <c r="F93" s="3">
        <v>1.22</v>
      </c>
      <c r="G93" s="1" t="s">
        <v>11</v>
      </c>
      <c r="H93" s="1" t="s">
        <v>1177</v>
      </c>
      <c r="I93" s="2" t="s">
        <v>1154</v>
      </c>
    </row>
    <row r="94" spans="1:9">
      <c r="A94" s="6">
        <v>43436</v>
      </c>
      <c r="B94" s="3" t="s">
        <v>511</v>
      </c>
      <c r="C94" s="3" t="s">
        <v>16</v>
      </c>
      <c r="D94" s="1" t="s">
        <v>193</v>
      </c>
      <c r="E94" s="7">
        <v>0.92</v>
      </c>
      <c r="F94" s="3">
        <v>1.2</v>
      </c>
      <c r="G94" s="1" t="s">
        <v>11</v>
      </c>
      <c r="H94" s="1" t="s">
        <v>1177</v>
      </c>
      <c r="I94" s="2" t="s">
        <v>1154</v>
      </c>
    </row>
    <row r="95" spans="1:9">
      <c r="A95" s="6">
        <v>43456</v>
      </c>
      <c r="B95" s="3" t="s">
        <v>354</v>
      </c>
      <c r="C95" s="3" t="s">
        <v>277</v>
      </c>
      <c r="D95" s="1" t="s">
        <v>278</v>
      </c>
      <c r="E95" s="7">
        <v>0.92</v>
      </c>
      <c r="F95" s="3">
        <v>1.2</v>
      </c>
      <c r="G95" s="1" t="s">
        <v>11</v>
      </c>
      <c r="H95" s="1" t="s">
        <v>1180</v>
      </c>
      <c r="I95" s="2" t="s">
        <v>1154</v>
      </c>
    </row>
    <row r="96" spans="1:9">
      <c r="A96" s="6">
        <v>43428</v>
      </c>
      <c r="B96" s="3" t="s">
        <v>324</v>
      </c>
      <c r="C96" s="3" t="s">
        <v>325</v>
      </c>
      <c r="D96" s="1" t="s">
        <v>326</v>
      </c>
      <c r="E96" s="7">
        <v>0.92</v>
      </c>
      <c r="F96" s="3">
        <v>1.19</v>
      </c>
      <c r="G96" s="1" t="s">
        <v>11</v>
      </c>
      <c r="H96" s="1" t="s">
        <v>1177</v>
      </c>
      <c r="I96" s="2" t="s">
        <v>1154</v>
      </c>
    </row>
    <row r="97" spans="1:9">
      <c r="A97" s="6">
        <v>43438</v>
      </c>
      <c r="B97" s="3" t="s">
        <v>589</v>
      </c>
      <c r="C97" s="3" t="s">
        <v>706</v>
      </c>
      <c r="D97" s="1" t="s">
        <v>590</v>
      </c>
      <c r="E97" s="7">
        <v>0.92</v>
      </c>
      <c r="F97" s="3">
        <v>1.19</v>
      </c>
      <c r="G97" s="1" t="s">
        <v>11</v>
      </c>
      <c r="H97" s="1" t="s">
        <v>1200</v>
      </c>
      <c r="I97" s="2" t="s">
        <v>1154</v>
      </c>
    </row>
    <row r="98" spans="1:9">
      <c r="A98" s="6">
        <v>43453</v>
      </c>
      <c r="B98" s="3" t="s">
        <v>137</v>
      </c>
      <c r="C98" s="3" t="s">
        <v>746</v>
      </c>
      <c r="D98" s="1" t="s">
        <v>138</v>
      </c>
      <c r="E98" s="7">
        <v>0.92</v>
      </c>
      <c r="F98" s="3">
        <v>1.19</v>
      </c>
      <c r="G98" s="1" t="s">
        <v>11</v>
      </c>
      <c r="H98" s="1" t="s">
        <v>1182</v>
      </c>
      <c r="I98" s="2" t="s">
        <v>1154</v>
      </c>
    </row>
    <row r="99" spans="1:9">
      <c r="A99" s="6">
        <v>43476</v>
      </c>
      <c r="B99" s="3" t="s">
        <v>901</v>
      </c>
      <c r="C99" s="3" t="s">
        <v>1075</v>
      </c>
      <c r="D99" s="1" t="s">
        <v>1569</v>
      </c>
      <c r="E99" s="7">
        <v>0.92</v>
      </c>
      <c r="F99" s="3">
        <v>1.19</v>
      </c>
      <c r="G99" s="1" t="s">
        <v>11</v>
      </c>
      <c r="H99" s="1" t="s">
        <v>1202</v>
      </c>
      <c r="I99" s="3" t="s">
        <v>1154</v>
      </c>
    </row>
    <row r="100" spans="1:9">
      <c r="A100" s="6">
        <v>43440</v>
      </c>
      <c r="B100" s="3" t="s">
        <v>365</v>
      </c>
      <c r="C100" s="3" t="s">
        <v>763</v>
      </c>
      <c r="D100" s="1" t="s">
        <v>265</v>
      </c>
      <c r="E100" s="7">
        <v>0.92</v>
      </c>
      <c r="F100" s="3">
        <v>1.18</v>
      </c>
      <c r="G100" s="1" t="s">
        <v>11</v>
      </c>
      <c r="H100" s="1" t="s">
        <v>1190</v>
      </c>
      <c r="I100" s="2" t="s">
        <v>1154</v>
      </c>
    </row>
    <row r="101" spans="1:9">
      <c r="A101" s="6">
        <v>43456</v>
      </c>
      <c r="B101" s="3" t="s">
        <v>91</v>
      </c>
      <c r="C101" s="3" t="s">
        <v>127</v>
      </c>
      <c r="D101" s="1" t="s">
        <v>1069</v>
      </c>
      <c r="E101" s="7">
        <v>0.92</v>
      </c>
      <c r="F101" s="3">
        <v>1.18</v>
      </c>
      <c r="G101" s="1" t="s">
        <v>11</v>
      </c>
      <c r="H101" s="1" t="s">
        <v>1190</v>
      </c>
      <c r="I101" s="2" t="s">
        <v>1154</v>
      </c>
    </row>
    <row r="102" spans="1:9">
      <c r="A102" s="6">
        <v>43428</v>
      </c>
      <c r="B102" s="3" t="s">
        <v>281</v>
      </c>
      <c r="C102" s="3" t="s">
        <v>282</v>
      </c>
      <c r="D102" s="1" t="s">
        <v>265</v>
      </c>
      <c r="E102" s="7">
        <v>0.92</v>
      </c>
      <c r="F102" s="3">
        <v>1.17</v>
      </c>
      <c r="G102" s="1" t="s">
        <v>11</v>
      </c>
      <c r="H102" s="1" t="s">
        <v>1182</v>
      </c>
      <c r="I102" s="2" t="s">
        <v>1154</v>
      </c>
    </row>
    <row r="103" spans="1:9">
      <c r="A103" s="6">
        <v>43428</v>
      </c>
      <c r="B103" s="3" t="s">
        <v>283</v>
      </c>
      <c r="C103" s="3" t="s">
        <v>284</v>
      </c>
      <c r="D103" s="1" t="s">
        <v>77</v>
      </c>
      <c r="E103" s="7">
        <v>0.92</v>
      </c>
      <c r="F103" s="3">
        <v>1.17</v>
      </c>
      <c r="G103" s="1" t="s">
        <v>11</v>
      </c>
      <c r="H103" s="1" t="s">
        <v>1178</v>
      </c>
      <c r="I103" s="2" t="s">
        <v>1153</v>
      </c>
    </row>
    <row r="104" spans="1:9">
      <c r="A104" s="6">
        <v>43450</v>
      </c>
      <c r="B104" s="3" t="s">
        <v>220</v>
      </c>
      <c r="C104" s="3" t="s">
        <v>136</v>
      </c>
      <c r="D104" s="1" t="s">
        <v>138</v>
      </c>
      <c r="E104" s="7">
        <v>0.92</v>
      </c>
      <c r="F104" s="3">
        <v>1.17</v>
      </c>
      <c r="G104" s="1" t="s">
        <v>11</v>
      </c>
      <c r="H104" s="1" t="s">
        <v>1180</v>
      </c>
      <c r="I104" s="2" t="s">
        <v>1154</v>
      </c>
    </row>
    <row r="105" spans="1:9">
      <c r="A105" s="6">
        <v>43457</v>
      </c>
      <c r="B105" s="3" t="s">
        <v>324</v>
      </c>
      <c r="C105" s="3" t="s">
        <v>383</v>
      </c>
      <c r="D105" s="1" t="s">
        <v>594</v>
      </c>
      <c r="E105" s="7">
        <v>0.92</v>
      </c>
      <c r="F105" s="3">
        <v>1.17</v>
      </c>
      <c r="G105" s="1" t="s">
        <v>11</v>
      </c>
      <c r="H105" s="1" t="s">
        <v>1173</v>
      </c>
      <c r="I105" s="2" t="s">
        <v>1154</v>
      </c>
    </row>
    <row r="106" spans="1:9">
      <c r="A106" s="6">
        <v>43437</v>
      </c>
      <c r="B106" s="3" t="s">
        <v>402</v>
      </c>
      <c r="C106" s="3" t="s">
        <v>676</v>
      </c>
      <c r="D106" s="1" t="s">
        <v>403</v>
      </c>
      <c r="E106" s="7">
        <v>0.92</v>
      </c>
      <c r="F106" s="3">
        <v>1.1599999999999999</v>
      </c>
      <c r="G106" s="1" t="s">
        <v>11</v>
      </c>
      <c r="H106" s="1" t="s">
        <v>1177</v>
      </c>
      <c r="I106" s="2" t="s">
        <v>1154</v>
      </c>
    </row>
    <row r="107" spans="1:9">
      <c r="A107" s="6">
        <v>43452</v>
      </c>
      <c r="B107" s="3" t="s">
        <v>754</v>
      </c>
      <c r="C107" s="3" t="s">
        <v>753</v>
      </c>
      <c r="D107" s="1" t="s">
        <v>689</v>
      </c>
      <c r="E107" s="7">
        <v>0.92</v>
      </c>
      <c r="F107" s="3">
        <v>1.1499999999999999</v>
      </c>
      <c r="G107" s="1" t="s">
        <v>11</v>
      </c>
      <c r="H107" s="1" t="s">
        <v>1186</v>
      </c>
      <c r="I107" s="2" t="s">
        <v>1154</v>
      </c>
    </row>
    <row r="108" spans="1:9">
      <c r="A108" s="6">
        <v>43453</v>
      </c>
      <c r="B108" s="3" t="s">
        <v>1034</v>
      </c>
      <c r="C108" s="3" t="s">
        <v>567</v>
      </c>
      <c r="D108" s="1" t="s">
        <v>714</v>
      </c>
      <c r="E108" s="7">
        <v>0.92</v>
      </c>
      <c r="F108" s="3">
        <v>1.1499999999999999</v>
      </c>
      <c r="G108" s="1" t="s">
        <v>22</v>
      </c>
      <c r="H108" s="1" t="s">
        <v>1188</v>
      </c>
      <c r="I108" s="2" t="s">
        <v>1154</v>
      </c>
    </row>
    <row r="109" spans="1:9">
      <c r="A109" s="6">
        <v>43438</v>
      </c>
      <c r="B109" s="3" t="s">
        <v>690</v>
      </c>
      <c r="C109" s="3" t="s">
        <v>691</v>
      </c>
      <c r="D109" s="1" t="s">
        <v>689</v>
      </c>
      <c r="E109" s="7">
        <v>0.92</v>
      </c>
      <c r="F109" s="3">
        <v>1.1399999999999999</v>
      </c>
      <c r="G109" s="1" t="s">
        <v>11</v>
      </c>
      <c r="H109" s="1" t="s">
        <v>1185</v>
      </c>
      <c r="I109" s="2" t="s">
        <v>1152</v>
      </c>
    </row>
    <row r="110" spans="1:9">
      <c r="A110" s="6">
        <v>43441</v>
      </c>
      <c r="B110" s="3" t="s">
        <v>796</v>
      </c>
      <c r="C110" s="3" t="s">
        <v>625</v>
      </c>
      <c r="D110" s="1" t="s">
        <v>626</v>
      </c>
      <c r="E110" s="7">
        <v>0.92</v>
      </c>
      <c r="F110" s="3">
        <v>1.1299999999999999</v>
      </c>
      <c r="G110" s="1" t="s">
        <v>22</v>
      </c>
      <c r="H110" s="1" t="s">
        <v>1193</v>
      </c>
      <c r="I110" s="2" t="s">
        <v>1154</v>
      </c>
    </row>
    <row r="111" spans="1:9">
      <c r="A111" s="6">
        <v>43449</v>
      </c>
      <c r="B111" s="3" t="s">
        <v>554</v>
      </c>
      <c r="C111" s="3" t="s">
        <v>945</v>
      </c>
      <c r="D111" s="1" t="s">
        <v>156</v>
      </c>
      <c r="E111" s="7">
        <v>0.92</v>
      </c>
      <c r="F111" s="3">
        <v>1.1299999999999999</v>
      </c>
      <c r="G111" s="1" t="s">
        <v>22</v>
      </c>
      <c r="H111" s="1" t="s">
        <v>1199</v>
      </c>
      <c r="I111" s="2" t="s">
        <v>1154</v>
      </c>
    </row>
    <row r="112" spans="1:9">
      <c r="A112" s="6">
        <v>43449</v>
      </c>
      <c r="B112" s="3" t="s">
        <v>554</v>
      </c>
      <c r="C112" s="3" t="s">
        <v>945</v>
      </c>
      <c r="D112" s="1" t="s">
        <v>156</v>
      </c>
      <c r="E112" s="7">
        <v>0.92</v>
      </c>
      <c r="F112" s="3">
        <v>1.1299999999999999</v>
      </c>
      <c r="G112" s="1" t="s">
        <v>22</v>
      </c>
      <c r="H112" s="1" t="s">
        <v>1199</v>
      </c>
      <c r="I112" s="2" t="s">
        <v>1154</v>
      </c>
    </row>
    <row r="113" spans="1:9">
      <c r="A113" s="6">
        <v>43467</v>
      </c>
      <c r="B113" s="3" t="s">
        <v>898</v>
      </c>
      <c r="C113" s="3" t="s">
        <v>884</v>
      </c>
      <c r="D113" s="1" t="s">
        <v>714</v>
      </c>
      <c r="E113" s="7">
        <v>0.92</v>
      </c>
      <c r="F113" s="3">
        <v>1.1200000000000001</v>
      </c>
      <c r="G113" s="1" t="s">
        <v>11</v>
      </c>
      <c r="H113" s="1" t="s">
        <v>1173</v>
      </c>
      <c r="I113" s="2" t="s">
        <v>1154</v>
      </c>
    </row>
    <row r="114" spans="1:9">
      <c r="A114" s="6">
        <v>43428</v>
      </c>
      <c r="B114" s="3" t="s">
        <v>192</v>
      </c>
      <c r="C114" s="3" t="s">
        <v>18</v>
      </c>
      <c r="D114" s="1" t="s">
        <v>193</v>
      </c>
      <c r="E114" s="7">
        <v>0.91</v>
      </c>
      <c r="F114" s="3">
        <v>1.25</v>
      </c>
      <c r="G114" s="1" t="s">
        <v>22</v>
      </c>
      <c r="H114" s="1" t="s">
        <v>1188</v>
      </c>
      <c r="I114" s="2" t="s">
        <v>1154</v>
      </c>
    </row>
    <row r="115" spans="1:9">
      <c r="A115" s="6">
        <v>43463</v>
      </c>
      <c r="B115" s="3" t="s">
        <v>354</v>
      </c>
      <c r="C115" s="3" t="s">
        <v>677</v>
      </c>
      <c r="D115" s="1" t="s">
        <v>278</v>
      </c>
      <c r="E115" s="7">
        <v>0.91</v>
      </c>
      <c r="F115" s="3">
        <v>1.24</v>
      </c>
      <c r="G115" s="1" t="s">
        <v>11</v>
      </c>
      <c r="H115" s="1" t="s">
        <v>1186</v>
      </c>
      <c r="I115" s="2" t="s">
        <v>1154</v>
      </c>
    </row>
    <row r="116" spans="1:9">
      <c r="A116" s="6">
        <v>43446</v>
      </c>
      <c r="B116" s="3" t="s">
        <v>91</v>
      </c>
      <c r="C116" s="3" t="s">
        <v>818</v>
      </c>
      <c r="D116" s="1" t="s">
        <v>462</v>
      </c>
      <c r="E116" s="7">
        <v>0.91</v>
      </c>
      <c r="F116" s="3">
        <v>1.23</v>
      </c>
      <c r="G116" s="1" t="s">
        <v>11</v>
      </c>
      <c r="H116" s="1" t="s">
        <v>1183</v>
      </c>
      <c r="I116" s="2" t="s">
        <v>1153</v>
      </c>
    </row>
    <row r="117" spans="1:9">
      <c r="A117" s="6">
        <v>43467</v>
      </c>
      <c r="B117" s="3" t="s">
        <v>616</v>
      </c>
      <c r="C117" s="3" t="s">
        <v>993</v>
      </c>
      <c r="D117" s="1" t="s">
        <v>594</v>
      </c>
      <c r="E117" s="7">
        <v>0.91</v>
      </c>
      <c r="F117" s="3">
        <v>1.23</v>
      </c>
      <c r="G117" s="1" t="s">
        <v>11</v>
      </c>
      <c r="H117" s="1" t="s">
        <v>1177</v>
      </c>
      <c r="I117" s="2" t="s">
        <v>1154</v>
      </c>
    </row>
    <row r="118" spans="1:9">
      <c r="A118" s="6">
        <v>43436</v>
      </c>
      <c r="B118" s="3" t="s">
        <v>473</v>
      </c>
      <c r="C118" s="3" t="s">
        <v>664</v>
      </c>
      <c r="D118" s="1" t="s">
        <v>92</v>
      </c>
      <c r="E118" s="7">
        <v>0.91</v>
      </c>
      <c r="F118" s="3">
        <v>1.22</v>
      </c>
      <c r="G118" s="1" t="s">
        <v>11</v>
      </c>
      <c r="H118" s="1" t="s">
        <v>1177</v>
      </c>
      <c r="I118" s="2" t="s">
        <v>1154</v>
      </c>
    </row>
    <row r="119" spans="1:9">
      <c r="A119" s="6">
        <v>43443</v>
      </c>
      <c r="B119" s="3" t="s">
        <v>911</v>
      </c>
      <c r="C119" s="3" t="s">
        <v>912</v>
      </c>
      <c r="D119" s="1" t="s">
        <v>594</v>
      </c>
      <c r="E119" s="7">
        <v>0.91</v>
      </c>
      <c r="F119" s="3">
        <v>1.22</v>
      </c>
      <c r="G119" s="1" t="s">
        <v>11</v>
      </c>
      <c r="H119" s="1" t="s">
        <v>1190</v>
      </c>
      <c r="I119" s="2" t="s">
        <v>1154</v>
      </c>
    </row>
    <row r="120" spans="1:9">
      <c r="A120" s="6">
        <v>43449</v>
      </c>
      <c r="B120" s="3" t="s">
        <v>18</v>
      </c>
      <c r="C120" s="3" t="s">
        <v>216</v>
      </c>
      <c r="D120" s="1" t="s">
        <v>193</v>
      </c>
      <c r="E120" s="7">
        <v>0.91</v>
      </c>
      <c r="F120" s="3">
        <v>1.22</v>
      </c>
      <c r="G120" s="1" t="s">
        <v>11</v>
      </c>
      <c r="H120" s="1" t="s">
        <v>1172</v>
      </c>
      <c r="I120" s="2" t="s">
        <v>1154</v>
      </c>
    </row>
    <row r="121" spans="1:9">
      <c r="A121" s="6">
        <v>43471</v>
      </c>
      <c r="B121" s="3" t="s">
        <v>13</v>
      </c>
      <c r="C121" s="3" t="s">
        <v>14</v>
      </c>
      <c r="D121" s="1" t="s">
        <v>15</v>
      </c>
      <c r="E121" s="7">
        <v>0.91</v>
      </c>
      <c r="F121" s="3">
        <v>1.22</v>
      </c>
      <c r="G121" s="1" t="s">
        <v>11</v>
      </c>
      <c r="H121" s="1" t="s">
        <v>1176</v>
      </c>
      <c r="I121" s="2" t="s">
        <v>1153</v>
      </c>
    </row>
    <row r="122" spans="1:9">
      <c r="A122" s="6">
        <v>43433</v>
      </c>
      <c r="B122" s="3" t="s">
        <v>361</v>
      </c>
      <c r="C122" s="3" t="s">
        <v>490</v>
      </c>
      <c r="D122" s="1" t="s">
        <v>491</v>
      </c>
      <c r="E122" s="7">
        <v>0.91</v>
      </c>
      <c r="F122" s="3">
        <v>1.21</v>
      </c>
      <c r="G122" s="1" t="s">
        <v>11</v>
      </c>
      <c r="H122" s="1" t="s">
        <v>1173</v>
      </c>
      <c r="I122" s="2" t="s">
        <v>1154</v>
      </c>
    </row>
    <row r="123" spans="1:9">
      <c r="A123" s="6">
        <v>43437</v>
      </c>
      <c r="B123" s="3" t="s">
        <v>230</v>
      </c>
      <c r="C123" s="3" t="s">
        <v>659</v>
      </c>
      <c r="D123" s="1" t="s">
        <v>232</v>
      </c>
      <c r="E123" s="7">
        <v>0.91</v>
      </c>
      <c r="F123" s="3">
        <v>1.21</v>
      </c>
      <c r="G123" s="1" t="s">
        <v>11</v>
      </c>
      <c r="H123" s="1" t="s">
        <v>1198</v>
      </c>
      <c r="I123" s="2" t="s">
        <v>1154</v>
      </c>
    </row>
    <row r="124" spans="1:9">
      <c r="A124" s="6">
        <v>43450</v>
      </c>
      <c r="B124" s="3" t="s">
        <v>283</v>
      </c>
      <c r="C124" s="3" t="s">
        <v>994</v>
      </c>
      <c r="D124" s="1" t="s">
        <v>77</v>
      </c>
      <c r="E124" s="7">
        <v>0.91</v>
      </c>
      <c r="F124" s="3">
        <v>1.21</v>
      </c>
      <c r="G124" s="1" t="s">
        <v>11</v>
      </c>
      <c r="H124" s="1" t="s">
        <v>1177</v>
      </c>
      <c r="I124" s="2" t="s">
        <v>1154</v>
      </c>
    </row>
    <row r="125" spans="1:9">
      <c r="A125" s="6">
        <v>43462</v>
      </c>
      <c r="B125" s="3" t="s">
        <v>766</v>
      </c>
      <c r="C125" s="3" t="s">
        <v>599</v>
      </c>
      <c r="D125" s="1" t="s">
        <v>446</v>
      </c>
      <c r="E125" s="7">
        <v>0.91</v>
      </c>
      <c r="F125" s="3">
        <v>1.21</v>
      </c>
      <c r="G125" s="1" t="s">
        <v>11</v>
      </c>
      <c r="H125" s="1" t="s">
        <v>1177</v>
      </c>
      <c r="I125" s="2" t="s">
        <v>1154</v>
      </c>
    </row>
    <row r="126" spans="1:9">
      <c r="A126" s="6">
        <v>43471</v>
      </c>
      <c r="B126" s="3" t="s">
        <v>616</v>
      </c>
      <c r="C126" s="3" t="s">
        <v>380</v>
      </c>
      <c r="D126" s="1" t="s">
        <v>594</v>
      </c>
      <c r="E126" s="7">
        <v>0.91</v>
      </c>
      <c r="F126" s="3">
        <v>1.21</v>
      </c>
      <c r="G126" s="1" t="s">
        <v>11</v>
      </c>
      <c r="H126" s="1" t="s">
        <v>1180</v>
      </c>
      <c r="I126" s="2" t="s">
        <v>1154</v>
      </c>
    </row>
    <row r="127" spans="1:9">
      <c r="A127" s="6">
        <v>43439</v>
      </c>
      <c r="B127" s="3" t="s">
        <v>735</v>
      </c>
      <c r="C127" s="3" t="s">
        <v>359</v>
      </c>
      <c r="D127" s="1" t="s">
        <v>685</v>
      </c>
      <c r="E127" s="7">
        <v>0.91</v>
      </c>
      <c r="F127" s="3">
        <v>1.2</v>
      </c>
      <c r="G127" s="1" t="s">
        <v>11</v>
      </c>
      <c r="H127" s="1" t="s">
        <v>1180</v>
      </c>
      <c r="I127" s="2" t="s">
        <v>1154</v>
      </c>
    </row>
    <row r="128" spans="1:9">
      <c r="A128" s="6">
        <v>43442</v>
      </c>
      <c r="B128" s="3" t="s">
        <v>816</v>
      </c>
      <c r="C128" s="3" t="s">
        <v>817</v>
      </c>
      <c r="D128" s="1" t="s">
        <v>403</v>
      </c>
      <c r="E128" s="7">
        <v>0.91</v>
      </c>
      <c r="F128" s="3">
        <v>1.2</v>
      </c>
      <c r="G128" s="1" t="s">
        <v>11</v>
      </c>
      <c r="H128" s="1" t="s">
        <v>1182</v>
      </c>
      <c r="I128" s="2" t="s">
        <v>1154</v>
      </c>
    </row>
    <row r="129" spans="1:9">
      <c r="A129" s="6">
        <v>43443</v>
      </c>
      <c r="B129" s="3" t="s">
        <v>499</v>
      </c>
      <c r="C129" s="3" t="s">
        <v>639</v>
      </c>
      <c r="D129" s="1" t="s">
        <v>371</v>
      </c>
      <c r="E129" s="7">
        <v>0.91</v>
      </c>
      <c r="F129" s="3">
        <v>1.19</v>
      </c>
      <c r="G129" s="1" t="s">
        <v>11</v>
      </c>
      <c r="H129" s="1" t="s">
        <v>1177</v>
      </c>
      <c r="I129" s="2" t="s">
        <v>1154</v>
      </c>
    </row>
    <row r="130" spans="1:9">
      <c r="A130" s="6">
        <v>43471</v>
      </c>
      <c r="B130" s="3" t="s">
        <v>20</v>
      </c>
      <c r="C130" s="3" t="s">
        <v>21</v>
      </c>
      <c r="D130" s="1" t="s">
        <v>15</v>
      </c>
      <c r="E130" s="7">
        <v>0.91</v>
      </c>
      <c r="F130" s="3">
        <v>1.19</v>
      </c>
      <c r="G130" s="1" t="s">
        <v>22</v>
      </c>
      <c r="H130" s="1" t="s">
        <v>1184</v>
      </c>
      <c r="I130" s="2" t="s">
        <v>1154</v>
      </c>
    </row>
    <row r="131" spans="1:9">
      <c r="A131" s="6">
        <v>43435</v>
      </c>
      <c r="B131" s="3" t="s">
        <v>352</v>
      </c>
      <c r="C131" s="3" t="s">
        <v>566</v>
      </c>
      <c r="D131" s="1" t="s">
        <v>95</v>
      </c>
      <c r="E131" s="7">
        <v>0.91</v>
      </c>
      <c r="F131" s="3">
        <v>1.18</v>
      </c>
      <c r="G131" s="1" t="s">
        <v>11</v>
      </c>
      <c r="H131" s="1" t="s">
        <v>1172</v>
      </c>
      <c r="I131" s="2" t="s">
        <v>1154</v>
      </c>
    </row>
    <row r="132" spans="1:9">
      <c r="A132" s="6">
        <v>43454</v>
      </c>
      <c r="B132" s="3" t="s">
        <v>1046</v>
      </c>
      <c r="C132" s="3" t="s">
        <v>595</v>
      </c>
      <c r="D132" s="1" t="s">
        <v>1007</v>
      </c>
      <c r="E132" s="7">
        <v>0.91</v>
      </c>
      <c r="F132" s="3">
        <v>1.17</v>
      </c>
      <c r="G132" s="1" t="s">
        <v>22</v>
      </c>
      <c r="H132" s="1" t="s">
        <v>1178</v>
      </c>
      <c r="I132" s="2" t="s">
        <v>1154</v>
      </c>
    </row>
    <row r="133" spans="1:9">
      <c r="A133" s="6">
        <v>43470</v>
      </c>
      <c r="B133" s="3" t="s">
        <v>884</v>
      </c>
      <c r="C133" s="3" t="s">
        <v>898</v>
      </c>
      <c r="D133" s="1" t="s">
        <v>235</v>
      </c>
      <c r="E133" s="7">
        <v>0.91</v>
      </c>
      <c r="F133" s="3">
        <v>1.17</v>
      </c>
      <c r="G133" s="1" t="s">
        <v>22</v>
      </c>
      <c r="H133" s="1" t="s">
        <v>1178</v>
      </c>
      <c r="I133" s="2" t="s">
        <v>1154</v>
      </c>
    </row>
    <row r="134" spans="1:9">
      <c r="A134" s="6">
        <v>43476</v>
      </c>
      <c r="B134" s="3" t="s">
        <v>862</v>
      </c>
      <c r="C134" s="3" t="s">
        <v>940</v>
      </c>
      <c r="D134" s="1" t="s">
        <v>1222</v>
      </c>
      <c r="E134" s="7">
        <v>0.91</v>
      </c>
      <c r="F134" s="3">
        <v>1.17</v>
      </c>
      <c r="G134" s="1" t="s">
        <v>11</v>
      </c>
      <c r="H134" s="1" t="s">
        <v>1177</v>
      </c>
      <c r="I134" s="3" t="s">
        <v>1154</v>
      </c>
    </row>
    <row r="135" spans="1:9">
      <c r="A135" s="6">
        <v>43442</v>
      </c>
      <c r="B135" s="3" t="s">
        <v>554</v>
      </c>
      <c r="C135" s="3" t="s">
        <v>823</v>
      </c>
      <c r="D135" s="1" t="s">
        <v>156</v>
      </c>
      <c r="E135" s="7">
        <v>0.91</v>
      </c>
      <c r="F135" s="3">
        <v>1.1499999999999999</v>
      </c>
      <c r="G135" s="1" t="s">
        <v>22</v>
      </c>
      <c r="H135" s="1" t="s">
        <v>1175</v>
      </c>
      <c r="I135" s="2" t="s">
        <v>1152</v>
      </c>
    </row>
    <row r="136" spans="1:9">
      <c r="A136" s="6">
        <v>43453</v>
      </c>
      <c r="B136" s="3" t="s">
        <v>795</v>
      </c>
      <c r="C136" s="3" t="s">
        <v>264</v>
      </c>
      <c r="D136" s="1" t="s">
        <v>1007</v>
      </c>
      <c r="E136" s="7">
        <v>0.91</v>
      </c>
      <c r="F136" s="3">
        <v>1.1499999999999999</v>
      </c>
      <c r="G136" s="1" t="s">
        <v>22</v>
      </c>
      <c r="H136" s="1" t="s">
        <v>1175</v>
      </c>
      <c r="I136" s="2" t="s">
        <v>1152</v>
      </c>
    </row>
    <row r="137" spans="1:9">
      <c r="A137" s="6">
        <v>43454</v>
      </c>
      <c r="B137" s="3" t="s">
        <v>1040</v>
      </c>
      <c r="C137" s="3" t="s">
        <v>675</v>
      </c>
      <c r="D137" s="1" t="s">
        <v>1013</v>
      </c>
      <c r="E137" s="7">
        <v>0.91</v>
      </c>
      <c r="F137" s="3">
        <v>1.1499999999999999</v>
      </c>
      <c r="G137" s="1" t="s">
        <v>22</v>
      </c>
      <c r="H137" s="1" t="s">
        <v>1206</v>
      </c>
      <c r="I137" s="2" t="s">
        <v>1154</v>
      </c>
    </row>
    <row r="138" spans="1:9">
      <c r="A138" s="6">
        <v>43435</v>
      </c>
      <c r="B138" s="3" t="s">
        <v>375</v>
      </c>
      <c r="C138" s="3" t="s">
        <v>573</v>
      </c>
      <c r="D138" s="1" t="s">
        <v>371</v>
      </c>
      <c r="E138" s="7">
        <v>0.91</v>
      </c>
      <c r="F138" s="3">
        <v>1.1299999999999999</v>
      </c>
      <c r="G138" s="1" t="s">
        <v>11</v>
      </c>
      <c r="H138" s="1" t="s">
        <v>1182</v>
      </c>
      <c r="I138" s="2" t="s">
        <v>1154</v>
      </c>
    </row>
    <row r="139" spans="1:9">
      <c r="A139" s="6">
        <v>43442</v>
      </c>
      <c r="B139" s="3" t="s">
        <v>33</v>
      </c>
      <c r="C139" s="3" t="s">
        <v>412</v>
      </c>
      <c r="D139" s="1" t="s">
        <v>193</v>
      </c>
      <c r="E139" s="7">
        <v>0.9</v>
      </c>
      <c r="F139" s="3">
        <v>1.29</v>
      </c>
      <c r="G139" s="1" t="s">
        <v>11</v>
      </c>
      <c r="H139" s="1" t="s">
        <v>1180</v>
      </c>
      <c r="I139" s="2" t="s">
        <v>1154</v>
      </c>
    </row>
    <row r="140" spans="1:9">
      <c r="A140" s="6">
        <v>43467</v>
      </c>
      <c r="B140" s="3" t="s">
        <v>511</v>
      </c>
      <c r="C140" s="3" t="s">
        <v>759</v>
      </c>
      <c r="D140" s="1" t="s">
        <v>193</v>
      </c>
      <c r="E140" s="7">
        <v>0.9</v>
      </c>
      <c r="F140" s="3">
        <v>1.28</v>
      </c>
      <c r="G140" s="1" t="s">
        <v>11</v>
      </c>
      <c r="H140" s="1" t="s">
        <v>1179</v>
      </c>
      <c r="I140" s="2" t="s">
        <v>1152</v>
      </c>
    </row>
    <row r="141" spans="1:9">
      <c r="A141" s="6">
        <v>43428</v>
      </c>
      <c r="B141" s="3" t="s">
        <v>285</v>
      </c>
      <c r="C141" s="3" t="s">
        <v>286</v>
      </c>
      <c r="D141" s="1" t="s">
        <v>278</v>
      </c>
      <c r="E141" s="7">
        <v>0.9</v>
      </c>
      <c r="F141" s="3">
        <v>1.27</v>
      </c>
      <c r="G141" s="1" t="s">
        <v>11</v>
      </c>
      <c r="H141" s="1" t="s">
        <v>1182</v>
      </c>
      <c r="I141" s="2" t="s">
        <v>1154</v>
      </c>
    </row>
    <row r="142" spans="1:9">
      <c r="A142" s="6">
        <v>43436</v>
      </c>
      <c r="B142" s="3" t="s">
        <v>380</v>
      </c>
      <c r="C142" s="3" t="s">
        <v>324</v>
      </c>
      <c r="D142" s="1" t="s">
        <v>594</v>
      </c>
      <c r="E142" s="7">
        <v>0.9</v>
      </c>
      <c r="F142" s="3">
        <v>1.27</v>
      </c>
      <c r="G142" s="1" t="s">
        <v>22</v>
      </c>
      <c r="H142" s="1" t="s">
        <v>1176</v>
      </c>
      <c r="I142" s="2" t="s">
        <v>1154</v>
      </c>
    </row>
    <row r="143" spans="1:9">
      <c r="A143" s="6">
        <v>43446</v>
      </c>
      <c r="B143" s="3" t="s">
        <v>18</v>
      </c>
      <c r="C143" s="3" t="s">
        <v>465</v>
      </c>
      <c r="D143" s="1" t="s">
        <v>462</v>
      </c>
      <c r="E143" s="7">
        <v>0.9</v>
      </c>
      <c r="F143" s="3">
        <v>1.26</v>
      </c>
      <c r="G143" s="1" t="s">
        <v>11</v>
      </c>
      <c r="H143" s="1" t="s">
        <v>1173</v>
      </c>
      <c r="I143" s="2" t="s">
        <v>1154</v>
      </c>
    </row>
    <row r="144" spans="1:9">
      <c r="A144" s="6">
        <v>43476</v>
      </c>
      <c r="B144" s="3" t="s">
        <v>1150</v>
      </c>
      <c r="C144" s="3" t="s">
        <v>26</v>
      </c>
      <c r="D144" s="1" t="s">
        <v>25</v>
      </c>
      <c r="E144" s="7">
        <v>0.9</v>
      </c>
      <c r="F144" s="3">
        <v>1.26</v>
      </c>
      <c r="G144" s="1" t="s">
        <v>22</v>
      </c>
      <c r="H144" s="1" t="s">
        <v>1183</v>
      </c>
      <c r="I144" s="3" t="s">
        <v>1154</v>
      </c>
    </row>
    <row r="145" spans="1:9">
      <c r="A145" s="6">
        <v>43447</v>
      </c>
      <c r="B145" s="3" t="s">
        <v>33</v>
      </c>
      <c r="C145" s="3" t="s">
        <v>230</v>
      </c>
      <c r="D145" s="1" t="s">
        <v>491</v>
      </c>
      <c r="E145" s="7">
        <v>0.9</v>
      </c>
      <c r="F145" s="3">
        <v>1.24</v>
      </c>
      <c r="G145" s="1" t="s">
        <v>11</v>
      </c>
      <c r="H145" s="1" t="s">
        <v>1180</v>
      </c>
      <c r="I145" s="2" t="s">
        <v>1154</v>
      </c>
    </row>
    <row r="146" spans="1:9">
      <c r="A146" s="6">
        <v>43463</v>
      </c>
      <c r="B146" s="3" t="s">
        <v>1095</v>
      </c>
      <c r="C146" s="3" t="s">
        <v>589</v>
      </c>
      <c r="D146" s="1" t="s">
        <v>590</v>
      </c>
      <c r="E146" s="7">
        <v>0.9</v>
      </c>
      <c r="F146" s="3">
        <v>1.24</v>
      </c>
      <c r="G146" s="1" t="s">
        <v>22</v>
      </c>
      <c r="H146" s="1" t="s">
        <v>1184</v>
      </c>
      <c r="I146" s="2" t="s">
        <v>1154</v>
      </c>
    </row>
    <row r="147" spans="1:9">
      <c r="A147" s="6">
        <v>43429</v>
      </c>
      <c r="B147" s="3" t="s">
        <v>363</v>
      </c>
      <c r="C147" s="3" t="s">
        <v>364</v>
      </c>
      <c r="D147" s="1" t="s">
        <v>265</v>
      </c>
      <c r="E147" s="7">
        <v>0.9</v>
      </c>
      <c r="F147" s="3">
        <v>1.23</v>
      </c>
      <c r="G147" s="1" t="s">
        <v>11</v>
      </c>
      <c r="H147" s="1" t="s">
        <v>1174</v>
      </c>
      <c r="I147" s="2" t="s">
        <v>1154</v>
      </c>
    </row>
    <row r="148" spans="1:9">
      <c r="A148" s="6">
        <v>43464</v>
      </c>
      <c r="B148" s="3" t="s">
        <v>325</v>
      </c>
      <c r="C148" s="3" t="s">
        <v>324</v>
      </c>
      <c r="D148" s="1" t="s">
        <v>1096</v>
      </c>
      <c r="E148" s="7">
        <v>0.9</v>
      </c>
      <c r="F148" s="3">
        <v>1.23</v>
      </c>
      <c r="G148" s="1" t="s">
        <v>22</v>
      </c>
      <c r="H148" s="1" t="s">
        <v>1178</v>
      </c>
      <c r="I148" s="2" t="s">
        <v>1154</v>
      </c>
    </row>
    <row r="149" spans="1:9">
      <c r="A149" s="6">
        <v>43471</v>
      </c>
      <c r="B149" s="3" t="s">
        <v>464</v>
      </c>
      <c r="C149" s="3" t="s">
        <v>383</v>
      </c>
      <c r="D149" s="1" t="s">
        <v>594</v>
      </c>
      <c r="E149" s="7">
        <v>0.9</v>
      </c>
      <c r="F149" s="3">
        <v>1.23</v>
      </c>
      <c r="G149" s="1" t="s">
        <v>11</v>
      </c>
      <c r="H149" s="1" t="s">
        <v>1189</v>
      </c>
      <c r="I149" s="2" t="s">
        <v>1154</v>
      </c>
    </row>
    <row r="150" spans="1:9">
      <c r="A150" s="6">
        <v>43442</v>
      </c>
      <c r="B150" s="3" t="s">
        <v>850</v>
      </c>
      <c r="C150" s="3" t="s">
        <v>851</v>
      </c>
      <c r="D150" s="1" t="s">
        <v>849</v>
      </c>
      <c r="E150" s="7">
        <v>0.9</v>
      </c>
      <c r="F150" s="3">
        <v>1.22</v>
      </c>
      <c r="G150" s="1" t="s">
        <v>11</v>
      </c>
      <c r="H150" s="1" t="s">
        <v>1186</v>
      </c>
      <c r="I150" s="2" t="s">
        <v>1154</v>
      </c>
    </row>
    <row r="151" spans="1:9">
      <c r="A151" s="6">
        <v>43450</v>
      </c>
      <c r="B151" s="3" t="s">
        <v>752</v>
      </c>
      <c r="C151" s="3" t="s">
        <v>473</v>
      </c>
      <c r="D151" s="1" t="s">
        <v>92</v>
      </c>
      <c r="E151" s="7">
        <v>0.9</v>
      </c>
      <c r="F151" s="3">
        <v>1.21</v>
      </c>
      <c r="G151" s="1" t="s">
        <v>22</v>
      </c>
      <c r="H151" s="1" t="s">
        <v>1207</v>
      </c>
      <c r="I151" s="2" t="s">
        <v>1154</v>
      </c>
    </row>
    <row r="152" spans="1:9">
      <c r="A152" s="6">
        <v>43450</v>
      </c>
      <c r="B152" s="3" t="s">
        <v>911</v>
      </c>
      <c r="C152" s="3" t="s">
        <v>1005</v>
      </c>
      <c r="D152" s="1" t="s">
        <v>594</v>
      </c>
      <c r="E152" s="7">
        <v>0.9</v>
      </c>
      <c r="F152" s="3">
        <v>1.21</v>
      </c>
      <c r="G152" s="1" t="s">
        <v>11</v>
      </c>
      <c r="H152" s="1" t="s">
        <v>1202</v>
      </c>
      <c r="I152" s="2" t="s">
        <v>1154</v>
      </c>
    </row>
    <row r="153" spans="1:9">
      <c r="A153" s="6">
        <v>43434</v>
      </c>
      <c r="B153" s="3" t="s">
        <v>508</v>
      </c>
      <c r="C153" s="3" t="s">
        <v>93</v>
      </c>
      <c r="D153" s="1" t="s">
        <v>95</v>
      </c>
      <c r="E153" s="7">
        <v>0.9</v>
      </c>
      <c r="F153" s="3">
        <v>1.2</v>
      </c>
      <c r="G153" s="1" t="s">
        <v>11</v>
      </c>
      <c r="H153" s="1" t="s">
        <v>1180</v>
      </c>
      <c r="I153" s="2" t="s">
        <v>1154</v>
      </c>
    </row>
    <row r="154" spans="1:9">
      <c r="A154" s="6">
        <v>43440</v>
      </c>
      <c r="B154" s="3" t="s">
        <v>753</v>
      </c>
      <c r="C154" s="3" t="s">
        <v>754</v>
      </c>
      <c r="D154" s="1" t="s">
        <v>689</v>
      </c>
      <c r="E154" s="7">
        <v>0.9</v>
      </c>
      <c r="F154" s="3">
        <v>1.2</v>
      </c>
      <c r="G154" s="1" t="s">
        <v>22</v>
      </c>
      <c r="H154" s="1" t="s">
        <v>1189</v>
      </c>
      <c r="I154" s="2" t="s">
        <v>1153</v>
      </c>
    </row>
    <row r="155" spans="1:9">
      <c r="A155" s="6">
        <v>43453</v>
      </c>
      <c r="B155" s="3" t="s">
        <v>775</v>
      </c>
      <c r="C155" s="3" t="s">
        <v>774</v>
      </c>
      <c r="D155" s="1" t="s">
        <v>689</v>
      </c>
      <c r="E155" s="7">
        <v>0.9</v>
      </c>
      <c r="F155" s="3">
        <v>1.2</v>
      </c>
      <c r="G155" s="1" t="s">
        <v>11</v>
      </c>
      <c r="H155" s="1" t="s">
        <v>1190</v>
      </c>
      <c r="I155" s="2" t="s">
        <v>1154</v>
      </c>
    </row>
    <row r="156" spans="1:9">
      <c r="A156" s="6">
        <v>43433</v>
      </c>
      <c r="B156" s="3" t="s">
        <v>127</v>
      </c>
      <c r="C156" s="3" t="s">
        <v>504</v>
      </c>
      <c r="D156" s="1" t="s">
        <v>128</v>
      </c>
      <c r="E156" s="7">
        <v>0.9</v>
      </c>
      <c r="F156" s="3">
        <v>1.19</v>
      </c>
      <c r="G156" s="1" t="s">
        <v>11</v>
      </c>
      <c r="H156" s="1" t="s">
        <v>1200</v>
      </c>
      <c r="I156" s="2" t="s">
        <v>1154</v>
      </c>
    </row>
    <row r="157" spans="1:9">
      <c r="A157" s="6">
        <v>43448</v>
      </c>
      <c r="B157" s="3" t="s">
        <v>301</v>
      </c>
      <c r="C157" s="3" t="s">
        <v>940</v>
      </c>
      <c r="D157" s="1" t="s">
        <v>303</v>
      </c>
      <c r="E157" s="7">
        <v>0.9</v>
      </c>
      <c r="F157" s="3">
        <v>1.19</v>
      </c>
      <c r="G157" s="1" t="s">
        <v>11</v>
      </c>
      <c r="H157" s="1" t="s">
        <v>1190</v>
      </c>
      <c r="I157" s="2" t="s">
        <v>1154</v>
      </c>
    </row>
    <row r="158" spans="1:9">
      <c r="A158" s="6">
        <v>43428</v>
      </c>
      <c r="B158" s="3" t="s">
        <v>139</v>
      </c>
      <c r="C158" s="3" t="s">
        <v>140</v>
      </c>
      <c r="D158" s="1" t="s">
        <v>141</v>
      </c>
      <c r="E158" s="7">
        <v>0.9</v>
      </c>
      <c r="F158" s="3">
        <v>1.1599999999999999</v>
      </c>
      <c r="G158" s="1" t="s">
        <v>22</v>
      </c>
      <c r="H158" s="1" t="s">
        <v>1183</v>
      </c>
      <c r="I158" s="2" t="s">
        <v>1154</v>
      </c>
    </row>
    <row r="159" spans="1:9">
      <c r="A159" s="6">
        <v>43437</v>
      </c>
      <c r="B159" s="3" t="s">
        <v>697</v>
      </c>
      <c r="C159" s="3" t="s">
        <v>698</v>
      </c>
      <c r="D159" s="1" t="s">
        <v>427</v>
      </c>
      <c r="E159" s="7">
        <v>0.89</v>
      </c>
      <c r="F159" s="3">
        <v>1.35</v>
      </c>
      <c r="G159" s="1" t="s">
        <v>11</v>
      </c>
      <c r="H159" s="1" t="s">
        <v>1177</v>
      </c>
      <c r="I159" s="2" t="s">
        <v>1154</v>
      </c>
    </row>
    <row r="160" spans="1:9">
      <c r="A160" s="6">
        <v>43456</v>
      </c>
      <c r="B160" s="3" t="s">
        <v>511</v>
      </c>
      <c r="C160" s="3" t="s">
        <v>1023</v>
      </c>
      <c r="D160" s="1" t="s">
        <v>193</v>
      </c>
      <c r="E160" s="7">
        <v>0.89</v>
      </c>
      <c r="F160" s="3">
        <v>1.33</v>
      </c>
      <c r="G160" s="1" t="s">
        <v>11</v>
      </c>
      <c r="H160" s="1" t="s">
        <v>1176</v>
      </c>
      <c r="I160" s="2" t="s">
        <v>1153</v>
      </c>
    </row>
    <row r="161" spans="1:9">
      <c r="A161" s="6">
        <v>43431</v>
      </c>
      <c r="B161" s="3" t="s">
        <v>215</v>
      </c>
      <c r="C161" s="3" t="s">
        <v>258</v>
      </c>
      <c r="D161" s="1" t="s">
        <v>462</v>
      </c>
      <c r="E161" s="7">
        <v>0.89</v>
      </c>
      <c r="F161" s="3">
        <v>1.32</v>
      </c>
      <c r="G161" s="1" t="s">
        <v>11</v>
      </c>
      <c r="H161" s="1" t="s">
        <v>1180</v>
      </c>
      <c r="I161" s="2" t="s">
        <v>1154</v>
      </c>
    </row>
    <row r="162" spans="1:9">
      <c r="A162" s="6">
        <v>43439</v>
      </c>
      <c r="B162" s="3" t="s">
        <v>586</v>
      </c>
      <c r="C162" s="3" t="s">
        <v>198</v>
      </c>
      <c r="D162" s="1" t="s">
        <v>193</v>
      </c>
      <c r="E162" s="7">
        <v>0.89</v>
      </c>
      <c r="F162" s="3">
        <v>1.32</v>
      </c>
      <c r="G162" s="1" t="s">
        <v>22</v>
      </c>
      <c r="H162" s="1" t="s">
        <v>1181</v>
      </c>
      <c r="I162" s="2" t="s">
        <v>1154</v>
      </c>
    </row>
    <row r="163" spans="1:9">
      <c r="A163" s="6">
        <v>43441</v>
      </c>
      <c r="B163" s="3" t="s">
        <v>782</v>
      </c>
      <c r="C163" s="3" t="s">
        <v>783</v>
      </c>
      <c r="D163" s="1" t="s">
        <v>311</v>
      </c>
      <c r="E163" s="7">
        <v>0.89</v>
      </c>
      <c r="F163" s="3">
        <v>1.32</v>
      </c>
      <c r="G163" s="1" t="s">
        <v>11</v>
      </c>
      <c r="H163" s="1" t="s">
        <v>1173</v>
      </c>
      <c r="I163" s="2" t="s">
        <v>1154</v>
      </c>
    </row>
    <row r="164" spans="1:9">
      <c r="A164" s="6">
        <v>43431</v>
      </c>
      <c r="B164" s="3" t="s">
        <v>463</v>
      </c>
      <c r="C164" s="3" t="s">
        <v>464</v>
      </c>
      <c r="D164" s="1" t="s">
        <v>462</v>
      </c>
      <c r="E164" s="7">
        <v>0.89</v>
      </c>
      <c r="F164" s="3">
        <v>1.3</v>
      </c>
      <c r="G164" s="1" t="s">
        <v>11</v>
      </c>
      <c r="H164" s="1" t="s">
        <v>1198</v>
      </c>
      <c r="I164" s="2" t="s">
        <v>1154</v>
      </c>
    </row>
    <row r="165" spans="1:9">
      <c r="A165" s="6">
        <v>43464</v>
      </c>
      <c r="B165" s="3" t="s">
        <v>759</v>
      </c>
      <c r="C165" s="3" t="s">
        <v>18</v>
      </c>
      <c r="D165" s="1" t="s">
        <v>193</v>
      </c>
      <c r="E165" s="7">
        <v>0.89</v>
      </c>
      <c r="F165" s="3">
        <v>1.3</v>
      </c>
      <c r="G165" s="1" t="s">
        <v>22</v>
      </c>
      <c r="H165" s="1" t="s">
        <v>1181</v>
      </c>
      <c r="I165" s="2" t="s">
        <v>1154</v>
      </c>
    </row>
    <row r="166" spans="1:9">
      <c r="A166" s="6">
        <v>43432</v>
      </c>
      <c r="B166" s="3" t="s">
        <v>472</v>
      </c>
      <c r="C166" s="3" t="s">
        <v>75</v>
      </c>
      <c r="D166" s="1" t="s">
        <v>462</v>
      </c>
      <c r="E166" s="7">
        <v>0.89</v>
      </c>
      <c r="F166" s="3">
        <v>1.29</v>
      </c>
      <c r="G166" s="1" t="s">
        <v>11</v>
      </c>
      <c r="H166" s="1" t="s">
        <v>1179</v>
      </c>
      <c r="I166" s="2" t="s">
        <v>1152</v>
      </c>
    </row>
    <row r="167" spans="1:9">
      <c r="A167" s="6">
        <v>43434</v>
      </c>
      <c r="B167" s="3" t="s">
        <v>240</v>
      </c>
      <c r="C167" s="3" t="s">
        <v>524</v>
      </c>
      <c r="D167" s="1" t="s">
        <v>241</v>
      </c>
      <c r="E167" s="7">
        <v>0.89</v>
      </c>
      <c r="F167" s="3">
        <v>1.29</v>
      </c>
      <c r="G167" s="1" t="s">
        <v>11</v>
      </c>
      <c r="H167" s="1" t="s">
        <v>1174</v>
      </c>
      <c r="I167" s="2" t="s">
        <v>1154</v>
      </c>
    </row>
    <row r="168" spans="1:9">
      <c r="A168" s="6">
        <v>43448</v>
      </c>
      <c r="B168" s="3" t="s">
        <v>616</v>
      </c>
      <c r="C168" s="3" t="s">
        <v>593</v>
      </c>
      <c r="D168" s="1" t="s">
        <v>594</v>
      </c>
      <c r="E168" s="7">
        <v>0.89</v>
      </c>
      <c r="F168" s="3">
        <v>1.29</v>
      </c>
      <c r="G168" s="1" t="s">
        <v>11</v>
      </c>
      <c r="H168" s="1" t="s">
        <v>1200</v>
      </c>
      <c r="I168" s="2" t="s">
        <v>1154</v>
      </c>
    </row>
    <row r="169" spans="1:9">
      <c r="A169" s="6">
        <v>43451</v>
      </c>
      <c r="B169" s="3" t="s">
        <v>444</v>
      </c>
      <c r="C169" s="3" t="s">
        <v>480</v>
      </c>
      <c r="D169" s="1" t="s">
        <v>446</v>
      </c>
      <c r="E169" s="7">
        <v>0.89</v>
      </c>
      <c r="F169" s="3">
        <v>1.29</v>
      </c>
      <c r="G169" s="1" t="s">
        <v>11</v>
      </c>
      <c r="H169" s="1" t="s">
        <v>1177</v>
      </c>
      <c r="I169" s="2" t="s">
        <v>1154</v>
      </c>
    </row>
    <row r="170" spans="1:9">
      <c r="A170" s="6">
        <v>43428</v>
      </c>
      <c r="B170" s="3" t="s">
        <v>230</v>
      </c>
      <c r="C170" s="3" t="s">
        <v>231</v>
      </c>
      <c r="D170" s="1" t="s">
        <v>232</v>
      </c>
      <c r="E170" s="7">
        <v>0.89</v>
      </c>
      <c r="F170" s="3">
        <v>1.28</v>
      </c>
      <c r="G170" s="1" t="s">
        <v>11</v>
      </c>
      <c r="H170" s="1" t="s">
        <v>1175</v>
      </c>
      <c r="I170" s="2" t="s">
        <v>1152</v>
      </c>
    </row>
    <row r="171" spans="1:9">
      <c r="A171" s="6">
        <v>43428</v>
      </c>
      <c r="B171" s="3" t="s">
        <v>287</v>
      </c>
      <c r="C171" s="3" t="s">
        <v>288</v>
      </c>
      <c r="D171" s="1" t="s">
        <v>289</v>
      </c>
      <c r="E171" s="7">
        <v>0.89</v>
      </c>
      <c r="F171" s="3">
        <v>1.26</v>
      </c>
      <c r="G171" s="1" t="s">
        <v>11</v>
      </c>
      <c r="H171" s="1" t="s">
        <v>1190</v>
      </c>
      <c r="I171" s="2" t="s">
        <v>1154</v>
      </c>
    </row>
    <row r="172" spans="1:9">
      <c r="A172" s="6">
        <v>43439</v>
      </c>
      <c r="B172" s="3" t="s">
        <v>746</v>
      </c>
      <c r="C172" s="3" t="s">
        <v>137</v>
      </c>
      <c r="D172" s="1" t="s">
        <v>138</v>
      </c>
      <c r="E172" s="7">
        <v>0.89</v>
      </c>
      <c r="F172" s="3">
        <v>1.26</v>
      </c>
      <c r="G172" s="1" t="s">
        <v>22</v>
      </c>
      <c r="H172" s="1" t="s">
        <v>1175</v>
      </c>
      <c r="I172" s="2" t="s">
        <v>1152</v>
      </c>
    </row>
    <row r="173" spans="1:9">
      <c r="A173" s="6">
        <v>43470</v>
      </c>
      <c r="B173" s="2" t="s">
        <v>32</v>
      </c>
      <c r="C173" s="2" t="s">
        <v>33</v>
      </c>
      <c r="D173" s="1" t="s">
        <v>15</v>
      </c>
      <c r="E173" s="7">
        <v>0.89</v>
      </c>
      <c r="F173" s="2">
        <v>1.26</v>
      </c>
      <c r="G173" s="1" t="s">
        <v>22</v>
      </c>
      <c r="H173" s="1" t="s">
        <v>1183</v>
      </c>
      <c r="I173" s="2" t="s">
        <v>1154</v>
      </c>
    </row>
    <row r="174" spans="1:9">
      <c r="A174" s="6">
        <v>43470</v>
      </c>
      <c r="B174" s="3" t="s">
        <v>32</v>
      </c>
      <c r="C174" s="3" t="s">
        <v>33</v>
      </c>
      <c r="D174" s="1" t="s">
        <v>15</v>
      </c>
      <c r="E174" s="7">
        <v>0.89</v>
      </c>
      <c r="F174" s="3">
        <v>1.26</v>
      </c>
      <c r="G174" s="1" t="s">
        <v>22</v>
      </c>
      <c r="H174" s="1" t="s">
        <v>1183</v>
      </c>
      <c r="I174" s="2" t="s">
        <v>1154</v>
      </c>
    </row>
    <row r="175" spans="1:9">
      <c r="A175" s="6">
        <v>43469</v>
      </c>
      <c r="B175" s="3" t="s">
        <v>540</v>
      </c>
      <c r="C175" s="3" t="s">
        <v>313</v>
      </c>
      <c r="D175" s="1" t="s">
        <v>314</v>
      </c>
      <c r="E175" s="7">
        <v>0.89</v>
      </c>
      <c r="F175" s="3">
        <v>1.25</v>
      </c>
      <c r="G175" s="1" t="s">
        <v>11</v>
      </c>
      <c r="H175" s="1" t="s">
        <v>1202</v>
      </c>
      <c r="I175" s="2" t="s">
        <v>1154</v>
      </c>
    </row>
    <row r="176" spans="1:9">
      <c r="A176" s="6">
        <v>43441</v>
      </c>
      <c r="B176" s="3" t="s">
        <v>784</v>
      </c>
      <c r="C176" s="3" t="s">
        <v>785</v>
      </c>
      <c r="D176" s="1" t="s">
        <v>110</v>
      </c>
      <c r="E176" s="7">
        <v>0.89</v>
      </c>
      <c r="F176" s="3">
        <v>1.24</v>
      </c>
      <c r="G176" s="1" t="s">
        <v>11</v>
      </c>
      <c r="H176" s="1" t="s">
        <v>1210</v>
      </c>
      <c r="I176" s="2" t="s">
        <v>1153</v>
      </c>
    </row>
    <row r="177" spans="1:9">
      <c r="A177" s="6">
        <v>43450</v>
      </c>
      <c r="B177" s="3" t="s">
        <v>365</v>
      </c>
      <c r="C177" s="3" t="s">
        <v>983</v>
      </c>
      <c r="D177" s="1" t="s">
        <v>265</v>
      </c>
      <c r="E177" s="7">
        <v>0.89</v>
      </c>
      <c r="F177" s="3">
        <v>1.24</v>
      </c>
      <c r="G177" s="1" t="s">
        <v>11</v>
      </c>
      <c r="H177" s="1" t="s">
        <v>1184</v>
      </c>
      <c r="I177" s="2" t="s">
        <v>1153</v>
      </c>
    </row>
    <row r="178" spans="1:9">
      <c r="A178" s="6">
        <v>43435</v>
      </c>
      <c r="B178" s="3" t="s">
        <v>572</v>
      </c>
      <c r="C178" s="3" t="s">
        <v>168</v>
      </c>
      <c r="D178" s="1" t="s">
        <v>571</v>
      </c>
      <c r="E178" s="7">
        <v>0.89</v>
      </c>
      <c r="F178" s="3">
        <v>1.23</v>
      </c>
      <c r="G178" s="1" t="s">
        <v>11</v>
      </c>
      <c r="H178" s="1" t="s">
        <v>1192</v>
      </c>
      <c r="I178" s="2" t="s">
        <v>1152</v>
      </c>
    </row>
    <row r="179" spans="1:9">
      <c r="A179" s="6">
        <v>43450</v>
      </c>
      <c r="B179" s="3" t="s">
        <v>230</v>
      </c>
      <c r="C179" s="3" t="s">
        <v>659</v>
      </c>
      <c r="D179" s="1" t="s">
        <v>757</v>
      </c>
      <c r="E179" s="7">
        <v>0.89</v>
      </c>
      <c r="F179" s="3">
        <v>1.23</v>
      </c>
      <c r="G179" s="1" t="s">
        <v>11</v>
      </c>
      <c r="H179" s="1" t="s">
        <v>1180</v>
      </c>
      <c r="I179" s="2" t="s">
        <v>1154</v>
      </c>
    </row>
    <row r="180" spans="1:9">
      <c r="A180" s="6">
        <v>43474</v>
      </c>
      <c r="B180" s="3" t="s">
        <v>630</v>
      </c>
      <c r="C180" s="3" t="s">
        <v>271</v>
      </c>
      <c r="D180" s="1" t="s">
        <v>1170</v>
      </c>
      <c r="E180" s="7">
        <v>0.89</v>
      </c>
      <c r="F180" s="3">
        <v>1.23</v>
      </c>
      <c r="G180" s="1" t="s">
        <v>22</v>
      </c>
      <c r="H180" s="1" t="s">
        <v>1175</v>
      </c>
      <c r="I180" s="3" t="s">
        <v>1152</v>
      </c>
    </row>
    <row r="181" spans="1:9">
      <c r="A181" s="6">
        <v>43463</v>
      </c>
      <c r="B181" s="3" t="s">
        <v>168</v>
      </c>
      <c r="C181" s="3" t="s">
        <v>387</v>
      </c>
      <c r="D181" s="1" t="s">
        <v>571</v>
      </c>
      <c r="E181" s="7">
        <v>0.89</v>
      </c>
      <c r="F181" s="3">
        <v>1.22</v>
      </c>
      <c r="G181" s="1" t="s">
        <v>22</v>
      </c>
      <c r="H181" s="1" t="s">
        <v>1185</v>
      </c>
      <c r="I181" s="2" t="s">
        <v>1152</v>
      </c>
    </row>
    <row r="182" spans="1:9">
      <c r="A182" s="6">
        <v>43436</v>
      </c>
      <c r="B182" s="3" t="s">
        <v>301</v>
      </c>
      <c r="C182" s="3" t="s">
        <v>641</v>
      </c>
      <c r="D182" s="1" t="s">
        <v>303</v>
      </c>
      <c r="E182" s="7">
        <v>0.89</v>
      </c>
      <c r="F182" s="3">
        <v>1.21</v>
      </c>
      <c r="G182" s="1" t="s">
        <v>11</v>
      </c>
      <c r="H182" s="1" t="s">
        <v>1198</v>
      </c>
      <c r="I182" s="2" t="s">
        <v>1154</v>
      </c>
    </row>
    <row r="183" spans="1:9">
      <c r="A183" s="6">
        <v>43436</v>
      </c>
      <c r="B183" s="3" t="s">
        <v>301</v>
      </c>
      <c r="C183" s="3" t="s">
        <v>641</v>
      </c>
      <c r="D183" s="1" t="s">
        <v>303</v>
      </c>
      <c r="E183" s="7">
        <v>0.89</v>
      </c>
      <c r="F183" s="3">
        <v>1.21</v>
      </c>
      <c r="G183" s="1" t="s">
        <v>11</v>
      </c>
      <c r="H183" s="1" t="s">
        <v>1198</v>
      </c>
      <c r="I183" s="2" t="s">
        <v>1154</v>
      </c>
    </row>
    <row r="184" spans="1:9">
      <c r="A184" s="6">
        <v>43461</v>
      </c>
      <c r="B184" s="3" t="s">
        <v>373</v>
      </c>
      <c r="C184" s="3" t="s">
        <v>892</v>
      </c>
      <c r="D184" s="1" t="s">
        <v>374</v>
      </c>
      <c r="E184" s="7">
        <v>0.89</v>
      </c>
      <c r="F184" s="3">
        <v>1.19</v>
      </c>
      <c r="G184" s="1" t="s">
        <v>11</v>
      </c>
      <c r="H184" s="1" t="s">
        <v>12</v>
      </c>
    </row>
    <row r="185" spans="1:9">
      <c r="A185" s="6">
        <v>43442</v>
      </c>
      <c r="B185" s="3" t="s">
        <v>478</v>
      </c>
      <c r="C185" s="3" t="s">
        <v>814</v>
      </c>
      <c r="D185" s="1" t="s">
        <v>92</v>
      </c>
      <c r="E185" s="7">
        <v>0.88</v>
      </c>
      <c r="F185" s="3">
        <v>1.38</v>
      </c>
      <c r="G185" s="1" t="s">
        <v>11</v>
      </c>
      <c r="H185" s="1" t="s">
        <v>1182</v>
      </c>
      <c r="I185" s="2" t="s">
        <v>1154</v>
      </c>
    </row>
    <row r="186" spans="1:9">
      <c r="A186" s="6">
        <v>43442</v>
      </c>
      <c r="B186" s="3" t="s">
        <v>818</v>
      </c>
      <c r="C186" s="3" t="s">
        <v>107</v>
      </c>
      <c r="D186" s="1" t="s">
        <v>56</v>
      </c>
      <c r="E186" s="7">
        <v>0.88</v>
      </c>
      <c r="F186" s="3">
        <v>1.34</v>
      </c>
      <c r="G186" s="1" t="s">
        <v>11</v>
      </c>
      <c r="H186" s="1" t="s">
        <v>1173</v>
      </c>
      <c r="I186" s="2" t="s">
        <v>1154</v>
      </c>
    </row>
    <row r="187" spans="1:9">
      <c r="A187" s="6">
        <v>43439</v>
      </c>
      <c r="B187" s="3" t="s">
        <v>506</v>
      </c>
      <c r="C187" s="3" t="s">
        <v>759</v>
      </c>
      <c r="D187" s="1" t="s">
        <v>193</v>
      </c>
      <c r="E187" s="7">
        <v>0.88</v>
      </c>
      <c r="F187" s="3">
        <v>1.32</v>
      </c>
      <c r="G187" s="1" t="s">
        <v>11</v>
      </c>
      <c r="H187" s="1" t="s">
        <v>1172</v>
      </c>
      <c r="I187" s="2" t="s">
        <v>1154</v>
      </c>
    </row>
    <row r="188" spans="1:9">
      <c r="A188" s="6">
        <v>43429</v>
      </c>
      <c r="B188" s="3" t="s">
        <v>365</v>
      </c>
      <c r="C188" s="3" t="s">
        <v>366</v>
      </c>
      <c r="D188" s="1" t="s">
        <v>265</v>
      </c>
      <c r="E188" s="7">
        <v>0.88</v>
      </c>
      <c r="F188" s="3">
        <v>1.3</v>
      </c>
      <c r="G188" s="1" t="s">
        <v>11</v>
      </c>
      <c r="H188" s="1" t="s">
        <v>1180</v>
      </c>
      <c r="I188" s="2" t="s">
        <v>1154</v>
      </c>
    </row>
    <row r="189" spans="1:9">
      <c r="A189" s="6">
        <v>43433</v>
      </c>
      <c r="B189" s="3" t="s">
        <v>511</v>
      </c>
      <c r="C189" s="3" t="s">
        <v>261</v>
      </c>
      <c r="D189" s="1" t="s">
        <v>491</v>
      </c>
      <c r="E189" s="7">
        <v>0.88</v>
      </c>
      <c r="F189" s="3">
        <v>1.3</v>
      </c>
      <c r="G189" s="1" t="s">
        <v>11</v>
      </c>
      <c r="H189" s="1" t="s">
        <v>1200</v>
      </c>
      <c r="I189" s="2" t="s">
        <v>1154</v>
      </c>
    </row>
    <row r="190" spans="1:9">
      <c r="A190" s="6">
        <v>43436</v>
      </c>
      <c r="B190" s="3" t="s">
        <v>271</v>
      </c>
      <c r="C190" s="3" t="s">
        <v>262</v>
      </c>
      <c r="D190" s="1" t="s">
        <v>214</v>
      </c>
      <c r="E190" s="7">
        <v>0.88</v>
      </c>
      <c r="F190" s="3">
        <v>1.29</v>
      </c>
      <c r="G190" s="1" t="s">
        <v>11</v>
      </c>
      <c r="H190" s="1" t="s">
        <v>1177</v>
      </c>
      <c r="I190" s="2" t="s">
        <v>1154</v>
      </c>
    </row>
    <row r="191" spans="1:9">
      <c r="A191" s="6">
        <v>43442</v>
      </c>
      <c r="B191" s="3" t="s">
        <v>375</v>
      </c>
      <c r="C191" s="3" t="s">
        <v>531</v>
      </c>
      <c r="D191" s="1" t="s">
        <v>371</v>
      </c>
      <c r="E191" s="7">
        <v>0.88</v>
      </c>
      <c r="F191" s="3">
        <v>1.29</v>
      </c>
      <c r="G191" s="1" t="s">
        <v>11</v>
      </c>
      <c r="H191" s="1" t="s">
        <v>1173</v>
      </c>
      <c r="I191" s="2" t="s">
        <v>1154</v>
      </c>
    </row>
    <row r="192" spans="1:9">
      <c r="A192" s="6">
        <v>43443</v>
      </c>
      <c r="B192" s="3" t="s">
        <v>475</v>
      </c>
      <c r="C192" s="3" t="s">
        <v>91</v>
      </c>
      <c r="D192" s="1" t="s">
        <v>92</v>
      </c>
      <c r="E192" s="7">
        <v>0.88</v>
      </c>
      <c r="F192" s="3">
        <v>1.29</v>
      </c>
      <c r="G192" s="1" t="s">
        <v>22</v>
      </c>
      <c r="H192" s="1" t="s">
        <v>1176</v>
      </c>
      <c r="I192" s="2" t="s">
        <v>1154</v>
      </c>
    </row>
    <row r="193" spans="1:9">
      <c r="A193" s="6">
        <v>43447</v>
      </c>
      <c r="B193" s="3" t="s">
        <v>911</v>
      </c>
      <c r="C193" s="3" t="s">
        <v>516</v>
      </c>
      <c r="D193" s="1" t="s">
        <v>491</v>
      </c>
      <c r="E193" s="7">
        <v>0.88</v>
      </c>
      <c r="F193" s="3">
        <v>1.29</v>
      </c>
      <c r="G193" s="1" t="s">
        <v>11</v>
      </c>
      <c r="H193" s="1" t="s">
        <v>1182</v>
      </c>
      <c r="I193" s="2" t="s">
        <v>1154</v>
      </c>
    </row>
    <row r="194" spans="1:9">
      <c r="A194" s="6">
        <v>43471</v>
      </c>
      <c r="B194" s="12" t="s">
        <v>16</v>
      </c>
      <c r="C194" s="12" t="s">
        <v>17</v>
      </c>
      <c r="D194" s="1" t="s">
        <v>15</v>
      </c>
      <c r="E194" s="7">
        <v>0.88</v>
      </c>
      <c r="F194" s="3">
        <v>1.29</v>
      </c>
      <c r="G194" s="1" t="s">
        <v>11</v>
      </c>
      <c r="H194" s="1" t="s">
        <v>1178</v>
      </c>
      <c r="I194" s="2" t="s">
        <v>1153</v>
      </c>
    </row>
    <row r="195" spans="1:9">
      <c r="A195" s="6">
        <v>43436</v>
      </c>
      <c r="B195" s="3" t="s">
        <v>662</v>
      </c>
      <c r="C195" s="3" t="s">
        <v>251</v>
      </c>
      <c r="D195" s="1" t="s">
        <v>71</v>
      </c>
      <c r="E195" s="7">
        <v>0.88</v>
      </c>
      <c r="F195" s="3">
        <v>1.28</v>
      </c>
      <c r="G195" s="1" t="s">
        <v>22</v>
      </c>
      <c r="H195" s="1" t="s">
        <v>1185</v>
      </c>
      <c r="I195" s="2" t="s">
        <v>1152</v>
      </c>
    </row>
    <row r="196" spans="1:9">
      <c r="A196" s="6">
        <v>43464</v>
      </c>
      <c r="B196" s="3" t="s">
        <v>917</v>
      </c>
      <c r="C196" s="3" t="s">
        <v>288</v>
      </c>
      <c r="D196" s="1" t="s">
        <v>289</v>
      </c>
      <c r="E196" s="7">
        <v>0.88</v>
      </c>
      <c r="F196" s="3">
        <v>1.28</v>
      </c>
      <c r="G196" s="1" t="s">
        <v>11</v>
      </c>
      <c r="H196" s="1" t="s">
        <v>1178</v>
      </c>
      <c r="I196" s="2" t="s">
        <v>1153</v>
      </c>
    </row>
    <row r="197" spans="1:9">
      <c r="A197" s="6">
        <v>43468</v>
      </c>
      <c r="B197" s="3" t="s">
        <v>912</v>
      </c>
      <c r="C197" s="3" t="s">
        <v>324</v>
      </c>
      <c r="D197" s="1" t="s">
        <v>594</v>
      </c>
      <c r="E197" s="7">
        <v>0.88</v>
      </c>
      <c r="F197" s="3">
        <v>1.28</v>
      </c>
      <c r="G197" s="1" t="s">
        <v>22</v>
      </c>
      <c r="H197" s="1" t="s">
        <v>1176</v>
      </c>
      <c r="I197" s="2" t="s">
        <v>1154</v>
      </c>
    </row>
    <row r="198" spans="1:9">
      <c r="A198" s="6">
        <v>43471</v>
      </c>
      <c r="B198" s="12" t="s">
        <v>1102</v>
      </c>
      <c r="C198" s="12" t="s">
        <v>1023</v>
      </c>
      <c r="D198" s="1" t="s">
        <v>15</v>
      </c>
      <c r="E198" s="7">
        <v>0.88</v>
      </c>
      <c r="F198" s="3">
        <v>1.28</v>
      </c>
      <c r="G198" s="1" t="s">
        <v>22</v>
      </c>
      <c r="H198" s="1" t="s">
        <v>1173</v>
      </c>
      <c r="I198" s="2" t="s">
        <v>1153</v>
      </c>
    </row>
    <row r="199" spans="1:9">
      <c r="A199" s="6">
        <v>43435</v>
      </c>
      <c r="B199" s="3" t="s">
        <v>600</v>
      </c>
      <c r="C199" s="3" t="s">
        <v>601</v>
      </c>
      <c r="D199" s="1" t="s">
        <v>590</v>
      </c>
      <c r="E199" s="7">
        <v>0.88</v>
      </c>
      <c r="F199" s="3">
        <v>1.27</v>
      </c>
      <c r="G199" s="1" t="s">
        <v>11</v>
      </c>
      <c r="H199" s="1" t="s">
        <v>1185</v>
      </c>
      <c r="I199" s="2" t="s">
        <v>1152</v>
      </c>
    </row>
    <row r="200" spans="1:9">
      <c r="A200" s="6">
        <v>43429</v>
      </c>
      <c r="B200" s="3" t="s">
        <v>352</v>
      </c>
      <c r="C200" s="3" t="s">
        <v>353</v>
      </c>
      <c r="D200" s="1" t="s">
        <v>95</v>
      </c>
      <c r="E200" s="7">
        <v>0.88</v>
      </c>
      <c r="F200" s="3">
        <v>1.26</v>
      </c>
      <c r="G200" s="1" t="s">
        <v>11</v>
      </c>
      <c r="H200" s="1" t="s">
        <v>1172</v>
      </c>
      <c r="I200" s="2" t="s">
        <v>1154</v>
      </c>
    </row>
    <row r="201" spans="1:9">
      <c r="A201" s="6">
        <v>43432</v>
      </c>
      <c r="B201" s="3" t="s">
        <v>484</v>
      </c>
      <c r="C201" s="3" t="s">
        <v>485</v>
      </c>
      <c r="D201" s="1" t="s">
        <v>449</v>
      </c>
      <c r="E201" s="7">
        <v>0.88</v>
      </c>
      <c r="F201" s="3">
        <v>1.26</v>
      </c>
      <c r="G201" s="1" t="s">
        <v>11</v>
      </c>
      <c r="H201" s="1" t="s">
        <v>1182</v>
      </c>
      <c r="I201" s="2" t="s">
        <v>1154</v>
      </c>
    </row>
    <row r="202" spans="1:9">
      <c r="A202" s="6">
        <v>43442</v>
      </c>
      <c r="B202" s="3" t="s">
        <v>119</v>
      </c>
      <c r="C202" s="3" t="s">
        <v>122</v>
      </c>
      <c r="D202" s="1" t="s">
        <v>120</v>
      </c>
      <c r="E202" s="7">
        <v>0.88</v>
      </c>
      <c r="F202" s="3">
        <v>1.26</v>
      </c>
      <c r="G202" s="1" t="s">
        <v>11</v>
      </c>
      <c r="H202" s="1" t="s">
        <v>1172</v>
      </c>
      <c r="I202" s="2" t="s">
        <v>1154</v>
      </c>
    </row>
    <row r="203" spans="1:9">
      <c r="A203" s="6">
        <v>43442</v>
      </c>
      <c r="B203" s="3" t="s">
        <v>837</v>
      </c>
      <c r="C203" s="3" t="s">
        <v>190</v>
      </c>
      <c r="D203" s="1" t="s">
        <v>191</v>
      </c>
      <c r="E203" s="7">
        <v>0.88</v>
      </c>
      <c r="F203" s="3">
        <v>1.26</v>
      </c>
      <c r="G203" s="1" t="s">
        <v>11</v>
      </c>
      <c r="H203" s="1" t="s">
        <v>1200</v>
      </c>
      <c r="I203" s="2" t="s">
        <v>1154</v>
      </c>
    </row>
    <row r="204" spans="1:9">
      <c r="A204" s="6">
        <v>43442</v>
      </c>
      <c r="B204" s="3" t="s">
        <v>837</v>
      </c>
      <c r="C204" s="3" t="s">
        <v>190</v>
      </c>
      <c r="D204" s="1" t="s">
        <v>191</v>
      </c>
      <c r="E204" s="7">
        <v>0.88</v>
      </c>
      <c r="F204" s="3">
        <v>1.26</v>
      </c>
      <c r="G204" s="1" t="s">
        <v>11</v>
      </c>
      <c r="H204" s="1" t="s">
        <v>1200</v>
      </c>
      <c r="I204" s="2" t="s">
        <v>1154</v>
      </c>
    </row>
    <row r="205" spans="1:9">
      <c r="A205" s="6">
        <v>43442</v>
      </c>
      <c r="B205" s="3" t="s">
        <v>283</v>
      </c>
      <c r="C205" s="3" t="s">
        <v>863</v>
      </c>
      <c r="D205" s="1" t="s">
        <v>77</v>
      </c>
      <c r="E205" s="7">
        <v>0.88</v>
      </c>
      <c r="F205" s="3">
        <v>1.26</v>
      </c>
      <c r="G205" s="1" t="s">
        <v>11</v>
      </c>
      <c r="H205" s="1" t="s">
        <v>1175</v>
      </c>
      <c r="I205" s="2" t="s">
        <v>1152</v>
      </c>
    </row>
    <row r="206" spans="1:9">
      <c r="A206" s="6">
        <v>43448</v>
      </c>
      <c r="B206" s="3" t="s">
        <v>85</v>
      </c>
      <c r="C206" s="3" t="s">
        <v>455</v>
      </c>
      <c r="D206" s="1" t="s">
        <v>36</v>
      </c>
      <c r="E206" s="7">
        <v>0.88</v>
      </c>
      <c r="F206" s="3">
        <v>1.26</v>
      </c>
      <c r="G206" s="1" t="s">
        <v>11</v>
      </c>
      <c r="H206" s="1" t="s">
        <v>1174</v>
      </c>
      <c r="I206" s="2" t="s">
        <v>1154</v>
      </c>
    </row>
    <row r="207" spans="1:9">
      <c r="A207" s="6">
        <v>43427</v>
      </c>
      <c r="B207" s="3" t="s">
        <v>52</v>
      </c>
      <c r="C207" s="3" t="s">
        <v>53</v>
      </c>
      <c r="D207" s="1" t="s">
        <v>51</v>
      </c>
      <c r="E207" s="7">
        <v>0.88</v>
      </c>
      <c r="F207" s="3">
        <v>1.24</v>
      </c>
      <c r="G207" s="1" t="s">
        <v>11</v>
      </c>
      <c r="H207" s="1" t="s">
        <v>1175</v>
      </c>
      <c r="I207" s="2" t="s">
        <v>1152</v>
      </c>
    </row>
    <row r="208" spans="1:9">
      <c r="A208" s="6">
        <v>43438</v>
      </c>
      <c r="B208" s="3" t="s">
        <v>683</v>
      </c>
      <c r="C208" s="3" t="s">
        <v>684</v>
      </c>
      <c r="D208" s="1" t="s">
        <v>685</v>
      </c>
      <c r="E208" s="7">
        <v>0.88</v>
      </c>
      <c r="F208" s="3">
        <v>1.24</v>
      </c>
      <c r="G208" s="1" t="s">
        <v>11</v>
      </c>
      <c r="H208" s="1" t="s">
        <v>1182</v>
      </c>
      <c r="I208" s="2" t="s">
        <v>1154</v>
      </c>
    </row>
    <row r="209" spans="1:9">
      <c r="A209" s="6">
        <v>43440</v>
      </c>
      <c r="B209" s="3" t="s">
        <v>764</v>
      </c>
      <c r="C209" s="3" t="s">
        <v>765</v>
      </c>
      <c r="D209" s="1" t="s">
        <v>689</v>
      </c>
      <c r="E209" s="7">
        <v>0.88</v>
      </c>
      <c r="F209" s="3">
        <v>1.24</v>
      </c>
      <c r="G209" s="1" t="s">
        <v>11</v>
      </c>
      <c r="H209" s="1" t="s">
        <v>1180</v>
      </c>
      <c r="I209" s="2" t="s">
        <v>1154</v>
      </c>
    </row>
    <row r="210" spans="1:9">
      <c r="A210" s="6">
        <v>43442</v>
      </c>
      <c r="B210" s="3" t="s">
        <v>854</v>
      </c>
      <c r="C210" s="3" t="s">
        <v>256</v>
      </c>
      <c r="D210" s="1" t="s">
        <v>162</v>
      </c>
      <c r="E210" s="7">
        <v>0.88</v>
      </c>
      <c r="F210" s="3">
        <v>1.2</v>
      </c>
      <c r="G210" s="1" t="s">
        <v>22</v>
      </c>
      <c r="H210" s="1" t="s">
        <v>1206</v>
      </c>
      <c r="I210" s="2" t="s">
        <v>1154</v>
      </c>
    </row>
    <row r="211" spans="1:9">
      <c r="A211" s="6">
        <v>43428</v>
      </c>
      <c r="B211" s="3" t="s">
        <v>145</v>
      </c>
      <c r="C211" s="3" t="s">
        <v>146</v>
      </c>
      <c r="D211" s="1" t="s">
        <v>147</v>
      </c>
      <c r="E211" s="7">
        <v>0.88</v>
      </c>
      <c r="F211" s="3">
        <v>1.1599999999999999</v>
      </c>
      <c r="G211" s="1" t="s">
        <v>22</v>
      </c>
      <c r="H211" s="1" t="s">
        <v>1185</v>
      </c>
      <c r="I211" s="2" t="s">
        <v>1152</v>
      </c>
    </row>
    <row r="212" spans="1:9">
      <c r="A212" s="6">
        <v>43456</v>
      </c>
      <c r="B212" s="3" t="s">
        <v>478</v>
      </c>
      <c r="C212" s="3" t="s">
        <v>399</v>
      </c>
      <c r="D212" s="1" t="s">
        <v>92</v>
      </c>
      <c r="E212" s="7">
        <v>0.87</v>
      </c>
      <c r="F212" s="3">
        <v>1.42</v>
      </c>
      <c r="G212" s="1" t="s">
        <v>11</v>
      </c>
      <c r="H212" s="1" t="s">
        <v>1180</v>
      </c>
      <c r="I212" s="2" t="s">
        <v>1154</v>
      </c>
    </row>
    <row r="213" spans="1:9">
      <c r="A213" s="6">
        <v>43442</v>
      </c>
      <c r="B213" s="3" t="s">
        <v>575</v>
      </c>
      <c r="C213" s="3" t="s">
        <v>210</v>
      </c>
      <c r="D213" s="1" t="s">
        <v>211</v>
      </c>
      <c r="E213" s="7">
        <v>0.87</v>
      </c>
      <c r="F213" s="3">
        <v>1.37</v>
      </c>
      <c r="G213" s="1" t="s">
        <v>11</v>
      </c>
      <c r="H213" s="1" t="s">
        <v>1186</v>
      </c>
      <c r="I213" s="2" t="s">
        <v>1154</v>
      </c>
    </row>
    <row r="214" spans="1:9">
      <c r="A214" s="6">
        <v>43442</v>
      </c>
      <c r="B214" s="3" t="s">
        <v>575</v>
      </c>
      <c r="C214" s="3" t="s">
        <v>210</v>
      </c>
      <c r="D214" s="1" t="s">
        <v>211</v>
      </c>
      <c r="E214" s="7">
        <v>0.87</v>
      </c>
      <c r="F214" s="3">
        <v>1.37</v>
      </c>
      <c r="G214" s="1" t="s">
        <v>11</v>
      </c>
      <c r="H214" s="1" t="s">
        <v>1186</v>
      </c>
      <c r="I214" s="2" t="s">
        <v>1154</v>
      </c>
    </row>
    <row r="215" spans="1:9">
      <c r="A215" s="6">
        <v>43438</v>
      </c>
      <c r="B215" s="3" t="s">
        <v>21</v>
      </c>
      <c r="C215" s="3" t="s">
        <v>18</v>
      </c>
      <c r="D215" s="1" t="s">
        <v>193</v>
      </c>
      <c r="E215" s="7">
        <v>0.87</v>
      </c>
      <c r="F215" s="3">
        <v>1.36</v>
      </c>
      <c r="G215" s="1" t="s">
        <v>22</v>
      </c>
      <c r="H215" s="1" t="s">
        <v>1178</v>
      </c>
      <c r="I215" s="2" t="s">
        <v>1154</v>
      </c>
    </row>
    <row r="216" spans="1:9">
      <c r="A216" s="6">
        <v>43443</v>
      </c>
      <c r="B216" s="3" t="s">
        <v>870</v>
      </c>
      <c r="C216" s="3" t="s">
        <v>405</v>
      </c>
      <c r="D216" s="1" t="s">
        <v>68</v>
      </c>
      <c r="E216" s="7">
        <v>0.87</v>
      </c>
      <c r="F216" s="3">
        <v>1.36</v>
      </c>
      <c r="G216" s="1" t="s">
        <v>11</v>
      </c>
      <c r="H216" s="1" t="s">
        <v>1176</v>
      </c>
      <c r="I216" s="2" t="s">
        <v>1153</v>
      </c>
    </row>
    <row r="217" spans="1:9">
      <c r="A217" s="6">
        <v>43475</v>
      </c>
      <c r="B217" s="3" t="s">
        <v>24</v>
      </c>
      <c r="C217" s="3" t="s">
        <v>1097</v>
      </c>
      <c r="D217" s="1" t="s">
        <v>25</v>
      </c>
      <c r="E217" s="7">
        <v>0.87</v>
      </c>
      <c r="F217" s="3">
        <v>1.36</v>
      </c>
      <c r="G217" s="1" t="s">
        <v>22</v>
      </c>
      <c r="H217" s="1" t="s">
        <v>1184</v>
      </c>
      <c r="I217" s="3" t="s">
        <v>1154</v>
      </c>
    </row>
    <row r="218" spans="1:9">
      <c r="A218" s="6">
        <v>43456</v>
      </c>
      <c r="B218" s="3" t="s">
        <v>514</v>
      </c>
      <c r="C218" s="3" t="s">
        <v>995</v>
      </c>
      <c r="D218" s="1" t="s">
        <v>278</v>
      </c>
      <c r="E218" s="7">
        <v>0.87</v>
      </c>
      <c r="F218" s="3">
        <v>1.35</v>
      </c>
      <c r="G218" s="1" t="s">
        <v>11</v>
      </c>
      <c r="H218" s="1" t="s">
        <v>1172</v>
      </c>
      <c r="I218" s="2" t="s">
        <v>1154</v>
      </c>
    </row>
    <row r="219" spans="1:9">
      <c r="A219" s="6">
        <v>43460</v>
      </c>
      <c r="B219" s="3" t="s">
        <v>1023</v>
      </c>
      <c r="C219" s="3" t="s">
        <v>18</v>
      </c>
      <c r="D219" s="1" t="s">
        <v>193</v>
      </c>
      <c r="E219" s="7">
        <v>0.87</v>
      </c>
      <c r="F219" s="3">
        <v>1.35</v>
      </c>
      <c r="G219" s="1" t="s">
        <v>22</v>
      </c>
      <c r="H219" s="1" t="s">
        <v>1173</v>
      </c>
      <c r="I219" s="2" t="s">
        <v>1153</v>
      </c>
    </row>
    <row r="220" spans="1:9">
      <c r="A220" s="6">
        <v>43471</v>
      </c>
      <c r="B220" s="3" t="s">
        <v>26</v>
      </c>
      <c r="C220" s="3" t="s">
        <v>27</v>
      </c>
      <c r="D220" s="1" t="s">
        <v>25</v>
      </c>
      <c r="E220" s="7">
        <v>0.87</v>
      </c>
      <c r="F220" s="3">
        <v>1.35</v>
      </c>
      <c r="G220" s="1" t="s">
        <v>11</v>
      </c>
      <c r="H220" s="1" t="s">
        <v>1176</v>
      </c>
      <c r="I220" s="2" t="s">
        <v>1153</v>
      </c>
    </row>
    <row r="221" spans="1:9">
      <c r="A221" s="6">
        <v>43428</v>
      </c>
      <c r="B221" s="3" t="s">
        <v>293</v>
      </c>
      <c r="C221" s="3" t="s">
        <v>294</v>
      </c>
      <c r="D221" s="1" t="s">
        <v>292</v>
      </c>
      <c r="E221" s="7">
        <v>0.87</v>
      </c>
      <c r="F221" s="3">
        <v>1.33</v>
      </c>
      <c r="G221" s="1" t="s">
        <v>11</v>
      </c>
      <c r="H221" s="1" t="s">
        <v>1177</v>
      </c>
      <c r="I221" s="2" t="s">
        <v>1154</v>
      </c>
    </row>
    <row r="222" spans="1:9">
      <c r="A222" s="6">
        <v>43466</v>
      </c>
      <c r="B222" s="3" t="s">
        <v>33</v>
      </c>
      <c r="C222" s="3" t="s">
        <v>16</v>
      </c>
      <c r="D222" s="1" t="s">
        <v>193</v>
      </c>
      <c r="E222" s="7">
        <v>0.87</v>
      </c>
      <c r="F222" s="3">
        <v>1.33</v>
      </c>
      <c r="G222" s="1" t="s">
        <v>11</v>
      </c>
      <c r="H222" s="1" t="s">
        <v>1190</v>
      </c>
      <c r="I222" s="2" t="s">
        <v>1154</v>
      </c>
    </row>
    <row r="223" spans="1:9">
      <c r="A223" s="6">
        <v>43438</v>
      </c>
      <c r="B223" s="3" t="s">
        <v>680</v>
      </c>
      <c r="C223" s="3" t="s">
        <v>681</v>
      </c>
      <c r="D223" s="1" t="s">
        <v>682</v>
      </c>
      <c r="E223" s="7">
        <v>0.87</v>
      </c>
      <c r="F223" s="3">
        <v>1.32</v>
      </c>
      <c r="G223" s="1" t="s">
        <v>11</v>
      </c>
      <c r="H223" s="1" t="s">
        <v>1172</v>
      </c>
      <c r="I223" s="2" t="s">
        <v>1154</v>
      </c>
    </row>
    <row r="224" spans="1:9">
      <c r="A224" s="6">
        <v>43428</v>
      </c>
      <c r="B224" s="3" t="s">
        <v>220</v>
      </c>
      <c r="C224" s="3" t="s">
        <v>221</v>
      </c>
      <c r="D224" s="1" t="s">
        <v>138</v>
      </c>
      <c r="E224" s="7">
        <v>0.87</v>
      </c>
      <c r="F224" s="3">
        <v>1.31</v>
      </c>
      <c r="G224" s="1" t="s">
        <v>11</v>
      </c>
      <c r="H224" s="1" t="s">
        <v>1182</v>
      </c>
      <c r="I224" s="2" t="s">
        <v>1154</v>
      </c>
    </row>
    <row r="225" spans="1:9">
      <c r="A225" s="6">
        <v>43429</v>
      </c>
      <c r="B225" s="3" t="s">
        <v>318</v>
      </c>
      <c r="C225" s="3" t="s">
        <v>319</v>
      </c>
      <c r="D225" s="1" t="s">
        <v>317</v>
      </c>
      <c r="E225" s="7">
        <v>0.87</v>
      </c>
      <c r="F225" s="3">
        <v>1.3</v>
      </c>
      <c r="G225" s="1" t="s">
        <v>11</v>
      </c>
      <c r="H225" s="1" t="s">
        <v>1190</v>
      </c>
      <c r="I225" s="2" t="s">
        <v>1154</v>
      </c>
    </row>
    <row r="226" spans="1:9">
      <c r="A226" s="6">
        <v>43442</v>
      </c>
      <c r="B226" s="3" t="s">
        <v>805</v>
      </c>
      <c r="C226" s="3" t="s">
        <v>806</v>
      </c>
      <c r="D226" s="1" t="s">
        <v>807</v>
      </c>
      <c r="E226" s="7">
        <v>0.87</v>
      </c>
      <c r="F226" s="3">
        <v>1.3</v>
      </c>
      <c r="G226" s="1" t="s">
        <v>11</v>
      </c>
      <c r="H226" s="1" t="s">
        <v>1175</v>
      </c>
      <c r="I226" s="2" t="s">
        <v>1152</v>
      </c>
    </row>
    <row r="227" spans="1:9">
      <c r="A227" s="6">
        <v>43443</v>
      </c>
      <c r="B227" s="3" t="s">
        <v>195</v>
      </c>
      <c r="C227" s="3" t="s">
        <v>220</v>
      </c>
      <c r="D227" s="1" t="s">
        <v>138</v>
      </c>
      <c r="E227" s="7">
        <v>0.87</v>
      </c>
      <c r="F227" s="3">
        <v>1.3</v>
      </c>
      <c r="G227" s="1" t="s">
        <v>22</v>
      </c>
      <c r="H227" s="1" t="s">
        <v>1175</v>
      </c>
      <c r="I227" s="2" t="s">
        <v>1152</v>
      </c>
    </row>
    <row r="228" spans="1:9">
      <c r="A228" s="6">
        <v>43443</v>
      </c>
      <c r="B228" s="3" t="s">
        <v>898</v>
      </c>
      <c r="C228" s="3" t="s">
        <v>567</v>
      </c>
      <c r="D228" s="1" t="s">
        <v>235</v>
      </c>
      <c r="E228" s="7">
        <v>0.87</v>
      </c>
      <c r="F228" s="3">
        <v>1.3</v>
      </c>
      <c r="G228" s="1" t="s">
        <v>11</v>
      </c>
      <c r="H228" s="1" t="s">
        <v>1200</v>
      </c>
      <c r="I228" s="2" t="s">
        <v>1154</v>
      </c>
    </row>
    <row r="229" spans="1:9">
      <c r="A229" s="6">
        <v>43453</v>
      </c>
      <c r="B229" s="3" t="s">
        <v>511</v>
      </c>
      <c r="C229" s="3" t="s">
        <v>583</v>
      </c>
      <c r="D229" s="1" t="s">
        <v>1024</v>
      </c>
      <c r="E229" s="7">
        <v>0.87</v>
      </c>
      <c r="F229" s="3">
        <v>1.3</v>
      </c>
      <c r="G229" s="1" t="s">
        <v>11</v>
      </c>
      <c r="H229" s="1" t="s">
        <v>1180</v>
      </c>
      <c r="I229" s="2" t="s">
        <v>1154</v>
      </c>
    </row>
    <row r="230" spans="1:9">
      <c r="A230" s="6">
        <v>43428</v>
      </c>
      <c r="B230" s="3" t="s">
        <v>258</v>
      </c>
      <c r="C230" s="3" t="s">
        <v>259</v>
      </c>
      <c r="D230" s="1" t="s">
        <v>260</v>
      </c>
      <c r="E230" s="7">
        <v>0.87</v>
      </c>
      <c r="F230" s="3">
        <v>1.29</v>
      </c>
      <c r="G230" s="1" t="s">
        <v>11</v>
      </c>
      <c r="H230" s="1" t="s">
        <v>1180</v>
      </c>
      <c r="I230" s="2" t="s">
        <v>1154</v>
      </c>
    </row>
    <row r="231" spans="1:9">
      <c r="A231" s="6">
        <v>43464</v>
      </c>
      <c r="B231" s="3" t="s">
        <v>655</v>
      </c>
      <c r="C231" s="3" t="s">
        <v>1077</v>
      </c>
      <c r="D231" s="1" t="s">
        <v>289</v>
      </c>
      <c r="E231" s="7">
        <v>0.87</v>
      </c>
      <c r="F231" s="3">
        <v>1.29</v>
      </c>
      <c r="G231" s="1" t="s">
        <v>11</v>
      </c>
      <c r="H231" s="1" t="s">
        <v>1180</v>
      </c>
      <c r="I231" s="2" t="s">
        <v>1154</v>
      </c>
    </row>
    <row r="232" spans="1:9">
      <c r="A232" s="6">
        <v>43464</v>
      </c>
      <c r="B232" s="3" t="s">
        <v>885</v>
      </c>
      <c r="C232" s="3" t="s">
        <v>878</v>
      </c>
      <c r="D232" s="1" t="s">
        <v>374</v>
      </c>
      <c r="E232" s="7">
        <v>0.87</v>
      </c>
      <c r="F232" s="3">
        <v>1.29</v>
      </c>
      <c r="G232" s="1" t="s">
        <v>11</v>
      </c>
      <c r="H232" s="1" t="s">
        <v>1177</v>
      </c>
      <c r="I232" s="2" t="s">
        <v>1154</v>
      </c>
    </row>
    <row r="233" spans="1:9">
      <c r="A233" s="6">
        <v>43427</v>
      </c>
      <c r="B233" s="3" t="s">
        <v>46</v>
      </c>
      <c r="C233" s="3" t="s">
        <v>47</v>
      </c>
      <c r="D233" s="1" t="s">
        <v>48</v>
      </c>
      <c r="E233" s="7">
        <v>0.87</v>
      </c>
      <c r="F233" s="3">
        <v>1.28</v>
      </c>
      <c r="G233" s="1" t="s">
        <v>11</v>
      </c>
      <c r="H233" s="1" t="s">
        <v>1175</v>
      </c>
      <c r="I233" s="2" t="s">
        <v>1152</v>
      </c>
    </row>
    <row r="234" spans="1:9">
      <c r="A234" s="6">
        <v>43428</v>
      </c>
      <c r="B234" s="3" t="s">
        <v>244</v>
      </c>
      <c r="C234" s="3" t="s">
        <v>245</v>
      </c>
      <c r="D234" s="1" t="s">
        <v>246</v>
      </c>
      <c r="E234" s="7">
        <v>0.87</v>
      </c>
      <c r="F234" s="3">
        <v>1.28</v>
      </c>
      <c r="G234" s="1" t="s">
        <v>22</v>
      </c>
      <c r="H234" s="1" t="s">
        <v>1188</v>
      </c>
      <c r="I234" s="2" t="s">
        <v>1154</v>
      </c>
    </row>
    <row r="235" spans="1:9">
      <c r="A235" s="6">
        <v>43429</v>
      </c>
      <c r="B235" s="3" t="s">
        <v>23</v>
      </c>
      <c r="C235" s="3" t="s">
        <v>346</v>
      </c>
      <c r="D235" s="1" t="s">
        <v>131</v>
      </c>
      <c r="E235" s="7">
        <v>0.87</v>
      </c>
      <c r="F235" s="3">
        <v>1.28</v>
      </c>
      <c r="G235" s="1" t="s">
        <v>11</v>
      </c>
      <c r="H235" s="1" t="s">
        <v>1177</v>
      </c>
      <c r="I235" s="2" t="s">
        <v>1154</v>
      </c>
    </row>
    <row r="236" spans="1:9">
      <c r="A236" s="6">
        <v>43438</v>
      </c>
      <c r="B236" s="3" t="s">
        <v>519</v>
      </c>
      <c r="C236" s="3" t="s">
        <v>517</v>
      </c>
      <c r="D236" s="1" t="s">
        <v>705</v>
      </c>
      <c r="E236" s="7">
        <v>0.87</v>
      </c>
      <c r="F236" s="3">
        <v>1.28</v>
      </c>
      <c r="G236" s="1" t="s">
        <v>11</v>
      </c>
      <c r="H236" s="1" t="s">
        <v>1182</v>
      </c>
      <c r="I236" s="2" t="s">
        <v>1154</v>
      </c>
    </row>
    <row r="237" spans="1:9">
      <c r="A237" s="6">
        <v>43427</v>
      </c>
      <c r="B237" s="3" t="s">
        <v>81</v>
      </c>
      <c r="C237" s="3" t="s">
        <v>82</v>
      </c>
      <c r="D237" s="1" t="s">
        <v>36</v>
      </c>
      <c r="E237" s="7">
        <v>0.87</v>
      </c>
      <c r="F237" s="3">
        <v>1.27</v>
      </c>
      <c r="G237" s="1" t="s">
        <v>11</v>
      </c>
      <c r="H237" s="1" t="s">
        <v>1177</v>
      </c>
      <c r="I237" s="2" t="s">
        <v>1154</v>
      </c>
    </row>
    <row r="238" spans="1:9">
      <c r="A238" s="6">
        <v>43445</v>
      </c>
      <c r="B238" s="3" t="s">
        <v>905</v>
      </c>
      <c r="C238" s="3" t="s">
        <v>486</v>
      </c>
      <c r="D238" s="1" t="s">
        <v>449</v>
      </c>
      <c r="E238" s="7">
        <v>0.87</v>
      </c>
      <c r="F238" s="3">
        <v>1.24</v>
      </c>
      <c r="G238" s="1" t="s">
        <v>11</v>
      </c>
      <c r="H238" s="1" t="s">
        <v>1174</v>
      </c>
      <c r="I238" s="2" t="s">
        <v>1154</v>
      </c>
    </row>
    <row r="239" spans="1:9">
      <c r="A239" s="6">
        <v>43428</v>
      </c>
      <c r="B239" s="3" t="s">
        <v>202</v>
      </c>
      <c r="C239" s="3" t="s">
        <v>203</v>
      </c>
      <c r="D239" s="1" t="s">
        <v>141</v>
      </c>
      <c r="E239" s="7">
        <v>0.87</v>
      </c>
      <c r="F239" s="3">
        <v>1.22</v>
      </c>
      <c r="G239" s="1" t="s">
        <v>11</v>
      </c>
      <c r="H239" s="1" t="s">
        <v>1177</v>
      </c>
      <c r="I239" s="2" t="s">
        <v>1154</v>
      </c>
    </row>
    <row r="240" spans="1:9">
      <c r="A240" s="6">
        <v>43469</v>
      </c>
      <c r="B240" s="3" t="s">
        <v>1082</v>
      </c>
      <c r="C240" s="3" t="s">
        <v>673</v>
      </c>
      <c r="D240" s="1" t="s">
        <v>674</v>
      </c>
      <c r="E240" s="7">
        <v>0.87</v>
      </c>
      <c r="F240" s="3">
        <v>1.22</v>
      </c>
      <c r="G240" s="1" t="s">
        <v>11</v>
      </c>
      <c r="H240" s="1" t="s">
        <v>1178</v>
      </c>
      <c r="I240" s="2" t="s">
        <v>1153</v>
      </c>
    </row>
    <row r="241" spans="1:9">
      <c r="A241" s="6">
        <v>43467</v>
      </c>
      <c r="B241" s="3" t="s">
        <v>846</v>
      </c>
      <c r="C241" s="3" t="s">
        <v>744</v>
      </c>
      <c r="D241" s="1" t="s">
        <v>235</v>
      </c>
      <c r="E241" s="7">
        <v>0.87</v>
      </c>
      <c r="F241" s="3">
        <v>1.21</v>
      </c>
      <c r="G241" s="1" t="s">
        <v>11</v>
      </c>
      <c r="H241" s="1" t="s">
        <v>1175</v>
      </c>
      <c r="I241" s="2" t="s">
        <v>1152</v>
      </c>
    </row>
    <row r="242" spans="1:9">
      <c r="A242" s="6">
        <v>43446</v>
      </c>
      <c r="B242" s="3" t="s">
        <v>464</v>
      </c>
      <c r="C242" s="3" t="s">
        <v>271</v>
      </c>
      <c r="D242" s="1" t="s">
        <v>462</v>
      </c>
      <c r="E242" s="7">
        <v>0.86</v>
      </c>
      <c r="F242" s="3">
        <v>1.44</v>
      </c>
      <c r="G242" s="1" t="s">
        <v>11</v>
      </c>
      <c r="H242" s="1" t="s">
        <v>1180</v>
      </c>
      <c r="I242" s="2" t="s">
        <v>1154</v>
      </c>
    </row>
    <row r="243" spans="1:9">
      <c r="A243" s="6">
        <v>43428</v>
      </c>
      <c r="B243" s="3" t="s">
        <v>216</v>
      </c>
      <c r="C243" s="3" t="s">
        <v>217</v>
      </c>
      <c r="D243" s="1" t="s">
        <v>193</v>
      </c>
      <c r="E243" s="7">
        <v>0.86</v>
      </c>
      <c r="F243" s="3">
        <v>1.41</v>
      </c>
      <c r="G243" s="1" t="s">
        <v>11</v>
      </c>
      <c r="H243" s="1" t="s">
        <v>1180</v>
      </c>
      <c r="I243" s="2" t="s">
        <v>1154</v>
      </c>
    </row>
    <row r="244" spans="1:9">
      <c r="A244" s="6">
        <v>43463</v>
      </c>
      <c r="B244" s="3" t="s">
        <v>506</v>
      </c>
      <c r="C244" s="3" t="s">
        <v>411</v>
      </c>
      <c r="D244" s="1" t="s">
        <v>193</v>
      </c>
      <c r="E244" s="7">
        <v>0.86</v>
      </c>
      <c r="F244" s="3">
        <v>1.41</v>
      </c>
      <c r="G244" s="1" t="s">
        <v>11</v>
      </c>
      <c r="H244" s="1" t="s">
        <v>1181</v>
      </c>
      <c r="I244" s="2" t="s">
        <v>1153</v>
      </c>
    </row>
    <row r="245" spans="1:9">
      <c r="A245" s="6">
        <v>43431</v>
      </c>
      <c r="B245" s="3" t="s">
        <v>276</v>
      </c>
      <c r="C245" s="3" t="s">
        <v>467</v>
      </c>
      <c r="D245" s="1" t="s">
        <v>462</v>
      </c>
      <c r="E245" s="7">
        <v>0.86</v>
      </c>
      <c r="F245" s="3">
        <v>1.4</v>
      </c>
      <c r="G245" s="1" t="s">
        <v>11</v>
      </c>
      <c r="H245" s="1" t="s">
        <v>1180</v>
      </c>
      <c r="I245" s="2" t="s">
        <v>1154</v>
      </c>
    </row>
    <row r="246" spans="1:9">
      <c r="A246" s="6">
        <v>43446</v>
      </c>
      <c r="B246" s="3" t="s">
        <v>258</v>
      </c>
      <c r="C246" s="3" t="s">
        <v>276</v>
      </c>
      <c r="D246" s="1" t="s">
        <v>462</v>
      </c>
      <c r="E246" s="7">
        <v>0.86</v>
      </c>
      <c r="F246" s="3">
        <v>1.39</v>
      </c>
      <c r="G246" s="1" t="s">
        <v>22</v>
      </c>
      <c r="H246" s="1" t="s">
        <v>1173</v>
      </c>
      <c r="I246" s="2" t="s">
        <v>1153</v>
      </c>
    </row>
    <row r="247" spans="1:9">
      <c r="A247" s="6">
        <v>43471</v>
      </c>
      <c r="B247" s="3" t="s">
        <v>815</v>
      </c>
      <c r="C247" s="3" t="s">
        <v>638</v>
      </c>
      <c r="D247" s="1" t="s">
        <v>68</v>
      </c>
      <c r="E247" s="7">
        <v>0.86</v>
      </c>
      <c r="F247" s="3">
        <v>1.39</v>
      </c>
      <c r="G247" s="1" t="s">
        <v>11</v>
      </c>
      <c r="H247" s="1" t="s">
        <v>1179</v>
      </c>
      <c r="I247" s="2" t="s">
        <v>1152</v>
      </c>
    </row>
    <row r="248" spans="1:9">
      <c r="A248" s="6">
        <v>43442</v>
      </c>
      <c r="B248" s="3" t="s">
        <v>215</v>
      </c>
      <c r="C248" s="3" t="s">
        <v>16</v>
      </c>
      <c r="D248" s="1" t="s">
        <v>193</v>
      </c>
      <c r="E248" s="7">
        <v>0.86</v>
      </c>
      <c r="F248" s="3">
        <v>1.38</v>
      </c>
      <c r="G248" s="1" t="s">
        <v>11</v>
      </c>
      <c r="H248" s="1" t="s">
        <v>1190</v>
      </c>
      <c r="I248" s="2" t="s">
        <v>1154</v>
      </c>
    </row>
    <row r="249" spans="1:9">
      <c r="A249" s="6">
        <v>43472</v>
      </c>
      <c r="B249" s="3" t="s">
        <v>1164</v>
      </c>
      <c r="C249" s="3" t="s">
        <v>1165</v>
      </c>
      <c r="D249" s="1" t="s">
        <v>25</v>
      </c>
      <c r="E249" s="7">
        <v>0.86</v>
      </c>
      <c r="F249" s="3">
        <v>1.38</v>
      </c>
      <c r="G249" s="1" t="s">
        <v>11</v>
      </c>
      <c r="H249" s="1" t="s">
        <v>1173</v>
      </c>
      <c r="I249" s="2" t="s">
        <v>1154</v>
      </c>
    </row>
    <row r="250" spans="1:9">
      <c r="A250" s="6">
        <v>43431</v>
      </c>
      <c r="B250" s="3" t="s">
        <v>439</v>
      </c>
      <c r="C250" s="3" t="s">
        <v>440</v>
      </c>
      <c r="D250" s="1" t="s">
        <v>211</v>
      </c>
      <c r="E250" s="7">
        <v>0.86</v>
      </c>
      <c r="F250" s="3">
        <v>1.37</v>
      </c>
      <c r="G250" s="1" t="s">
        <v>11</v>
      </c>
      <c r="H250" s="1" t="s">
        <v>1180</v>
      </c>
      <c r="I250" s="2" t="s">
        <v>1154</v>
      </c>
    </row>
    <row r="251" spans="1:9">
      <c r="A251" s="6">
        <v>43442</v>
      </c>
      <c r="B251" s="3" t="s">
        <v>309</v>
      </c>
      <c r="C251" s="3" t="s">
        <v>820</v>
      </c>
      <c r="D251" s="1" t="s">
        <v>311</v>
      </c>
      <c r="E251" s="7">
        <v>0.86</v>
      </c>
      <c r="F251" s="3">
        <v>1.37</v>
      </c>
      <c r="G251" s="1" t="s">
        <v>11</v>
      </c>
      <c r="H251" s="1" t="s">
        <v>1185</v>
      </c>
      <c r="I251" s="2" t="s">
        <v>1152</v>
      </c>
    </row>
    <row r="252" spans="1:9">
      <c r="A252" s="6">
        <v>43443</v>
      </c>
      <c r="B252" s="3" t="s">
        <v>444</v>
      </c>
      <c r="C252" s="3" t="s">
        <v>893</v>
      </c>
      <c r="D252" s="1" t="s">
        <v>446</v>
      </c>
      <c r="E252" s="7">
        <v>0.86</v>
      </c>
      <c r="F252" s="3">
        <v>1.37</v>
      </c>
      <c r="G252" s="1" t="s">
        <v>11</v>
      </c>
      <c r="H252" s="1" t="s">
        <v>1177</v>
      </c>
      <c r="I252" s="2" t="s">
        <v>1154</v>
      </c>
    </row>
    <row r="253" spans="1:9">
      <c r="A253" s="6">
        <v>43452</v>
      </c>
      <c r="B253" s="3" t="s">
        <v>1009</v>
      </c>
      <c r="C253" s="3" t="s">
        <v>1010</v>
      </c>
      <c r="D253" s="1" t="s">
        <v>1011</v>
      </c>
      <c r="E253" s="7">
        <v>0.86</v>
      </c>
      <c r="F253" s="3">
        <v>1.37</v>
      </c>
      <c r="G253" s="1" t="s">
        <v>11</v>
      </c>
      <c r="H253" s="1" t="s">
        <v>1177</v>
      </c>
      <c r="I253" s="2" t="s">
        <v>1154</v>
      </c>
    </row>
    <row r="254" spans="1:9">
      <c r="A254" s="6">
        <v>43460</v>
      </c>
      <c r="B254" s="3" t="s">
        <v>506</v>
      </c>
      <c r="C254" s="3" t="s">
        <v>583</v>
      </c>
      <c r="D254" s="1" t="s">
        <v>193</v>
      </c>
      <c r="E254" s="7">
        <v>0.86</v>
      </c>
      <c r="F254" s="3">
        <v>1.37</v>
      </c>
      <c r="G254" s="1" t="s">
        <v>11</v>
      </c>
      <c r="H254" s="1" t="s">
        <v>1174</v>
      </c>
      <c r="I254" s="2" t="s">
        <v>1154</v>
      </c>
    </row>
    <row r="255" spans="1:9">
      <c r="A255" s="6">
        <v>43464</v>
      </c>
      <c r="B255" s="3" t="s">
        <v>215</v>
      </c>
      <c r="C255" s="3" t="s">
        <v>583</v>
      </c>
      <c r="D255" s="1" t="s">
        <v>193</v>
      </c>
      <c r="E255" s="7">
        <v>0.86</v>
      </c>
      <c r="F255" s="3">
        <v>1.37</v>
      </c>
      <c r="G255" s="1" t="s">
        <v>11</v>
      </c>
      <c r="H255" s="1" t="s">
        <v>1190</v>
      </c>
      <c r="I255" s="2" t="s">
        <v>1154</v>
      </c>
    </row>
    <row r="256" spans="1:9">
      <c r="A256" s="6">
        <v>43439</v>
      </c>
      <c r="B256" s="3" t="s">
        <v>444</v>
      </c>
      <c r="C256" s="3" t="s">
        <v>738</v>
      </c>
      <c r="D256" s="1" t="s">
        <v>446</v>
      </c>
      <c r="E256" s="7">
        <v>0.86</v>
      </c>
      <c r="F256" s="3">
        <v>1.36</v>
      </c>
      <c r="G256" s="1" t="s">
        <v>11</v>
      </c>
      <c r="H256" s="1" t="s">
        <v>1173</v>
      </c>
      <c r="I256" s="2" t="s">
        <v>1154</v>
      </c>
    </row>
    <row r="257" spans="1:9">
      <c r="A257" s="6">
        <v>43443</v>
      </c>
      <c r="B257" s="3" t="s">
        <v>361</v>
      </c>
      <c r="C257" s="3" t="s">
        <v>889</v>
      </c>
      <c r="D257" s="1" t="s">
        <v>56</v>
      </c>
      <c r="E257" s="7">
        <v>0.86</v>
      </c>
      <c r="F257" s="3">
        <v>1.36</v>
      </c>
      <c r="G257" s="1" t="s">
        <v>11</v>
      </c>
      <c r="H257" s="1" t="s">
        <v>1175</v>
      </c>
      <c r="I257" s="2" t="s">
        <v>1152</v>
      </c>
    </row>
    <row r="258" spans="1:9">
      <c r="A258" s="6">
        <v>43429</v>
      </c>
      <c r="B258" s="3" t="s">
        <v>389</v>
      </c>
      <c r="C258" s="3" t="s">
        <v>390</v>
      </c>
      <c r="D258" s="1" t="s">
        <v>326</v>
      </c>
      <c r="E258" s="7">
        <v>0.86</v>
      </c>
      <c r="F258" s="3">
        <v>1.35</v>
      </c>
      <c r="G258" s="1" t="s">
        <v>11</v>
      </c>
      <c r="H258" s="1" t="s">
        <v>1172</v>
      </c>
      <c r="I258" s="2" t="s">
        <v>1154</v>
      </c>
    </row>
    <row r="259" spans="1:9">
      <c r="A259" s="6">
        <v>43439</v>
      </c>
      <c r="B259" s="3" t="s">
        <v>664</v>
      </c>
      <c r="C259" s="3" t="s">
        <v>748</v>
      </c>
      <c r="D259" s="1" t="s">
        <v>476</v>
      </c>
      <c r="E259" s="7">
        <v>0.86</v>
      </c>
      <c r="F259" s="3">
        <v>1.35</v>
      </c>
      <c r="G259" s="1" t="s">
        <v>11</v>
      </c>
      <c r="H259" s="1" t="s">
        <v>1208</v>
      </c>
      <c r="I259" s="2" t="s">
        <v>1154</v>
      </c>
    </row>
    <row r="260" spans="1:9">
      <c r="A260" s="6">
        <v>43440</v>
      </c>
      <c r="B260" s="3" t="s">
        <v>774</v>
      </c>
      <c r="C260" s="3" t="s">
        <v>775</v>
      </c>
      <c r="D260" s="1" t="s">
        <v>689</v>
      </c>
      <c r="E260" s="7">
        <v>0.86</v>
      </c>
      <c r="F260" s="3">
        <v>1.35</v>
      </c>
      <c r="G260" s="1" t="s">
        <v>22</v>
      </c>
      <c r="H260" s="1" t="s">
        <v>1178</v>
      </c>
      <c r="I260" s="2" t="s">
        <v>1154</v>
      </c>
    </row>
    <row r="261" spans="1:9">
      <c r="A261" s="6">
        <v>43442</v>
      </c>
      <c r="B261" s="3" t="s">
        <v>152</v>
      </c>
      <c r="C261" s="3" t="s">
        <v>828</v>
      </c>
      <c r="D261" s="1" t="s">
        <v>153</v>
      </c>
      <c r="E261" s="7">
        <v>0.86</v>
      </c>
      <c r="F261" s="3">
        <v>1.35</v>
      </c>
      <c r="G261" s="1" t="s">
        <v>11</v>
      </c>
      <c r="H261" s="1" t="s">
        <v>1172</v>
      </c>
      <c r="I261" s="2" t="s">
        <v>1154</v>
      </c>
    </row>
    <row r="262" spans="1:9">
      <c r="A262" s="6">
        <v>43442</v>
      </c>
      <c r="B262" s="3" t="s">
        <v>152</v>
      </c>
      <c r="C262" s="3" t="s">
        <v>828</v>
      </c>
      <c r="D262" s="1" t="s">
        <v>153</v>
      </c>
      <c r="E262" s="7">
        <v>0.86</v>
      </c>
      <c r="F262" s="3">
        <v>1.35</v>
      </c>
      <c r="G262" s="1" t="s">
        <v>11</v>
      </c>
      <c r="H262" s="1" t="s">
        <v>1172</v>
      </c>
      <c r="I262" s="2" t="s">
        <v>1154</v>
      </c>
    </row>
    <row r="263" spans="1:9">
      <c r="A263" s="6">
        <v>43446</v>
      </c>
      <c r="B263" s="3" t="s">
        <v>657</v>
      </c>
      <c r="C263" s="3" t="s">
        <v>878</v>
      </c>
      <c r="D263" s="1" t="s">
        <v>374</v>
      </c>
      <c r="E263" s="7">
        <v>0.86</v>
      </c>
      <c r="F263" s="3">
        <v>1.35</v>
      </c>
      <c r="G263" s="1" t="s">
        <v>11</v>
      </c>
      <c r="H263" s="1" t="s">
        <v>1177</v>
      </c>
      <c r="I263" s="2" t="s">
        <v>1154</v>
      </c>
    </row>
    <row r="264" spans="1:9">
      <c r="A264" s="6">
        <v>43468</v>
      </c>
      <c r="B264" s="3" t="s">
        <v>911</v>
      </c>
      <c r="C264" s="3" t="s">
        <v>325</v>
      </c>
      <c r="D264" s="1" t="s">
        <v>594</v>
      </c>
      <c r="E264" s="7">
        <v>0.86</v>
      </c>
      <c r="F264" s="3">
        <v>1.35</v>
      </c>
      <c r="G264" s="1" t="s">
        <v>11</v>
      </c>
      <c r="H264" s="1" t="s">
        <v>1173</v>
      </c>
      <c r="I264" s="2" t="s">
        <v>1154</v>
      </c>
    </row>
    <row r="265" spans="1:9">
      <c r="A265" s="6">
        <v>43429</v>
      </c>
      <c r="B265" s="3" t="s">
        <v>8</v>
      </c>
      <c r="C265" s="3" t="s">
        <v>351</v>
      </c>
      <c r="D265" s="1" t="s">
        <v>326</v>
      </c>
      <c r="E265" s="7">
        <v>0.86</v>
      </c>
      <c r="F265" s="3">
        <v>1.33</v>
      </c>
      <c r="G265" s="1" t="s">
        <v>11</v>
      </c>
      <c r="H265" s="1" t="s">
        <v>1180</v>
      </c>
      <c r="I265" s="2" t="s">
        <v>1154</v>
      </c>
    </row>
    <row r="266" spans="1:9">
      <c r="A266" s="6">
        <v>43431</v>
      </c>
      <c r="B266" s="3" t="s">
        <v>435</v>
      </c>
      <c r="C266" s="3" t="s">
        <v>436</v>
      </c>
      <c r="D266" s="1" t="s">
        <v>219</v>
      </c>
      <c r="E266" s="7">
        <v>0.86</v>
      </c>
      <c r="F266" s="3">
        <v>1.33</v>
      </c>
      <c r="G266" s="1" t="s">
        <v>11</v>
      </c>
      <c r="H266" s="1" t="s">
        <v>1177</v>
      </c>
      <c r="I266" s="2" t="s">
        <v>1154</v>
      </c>
    </row>
    <row r="267" spans="1:9">
      <c r="A267" s="6">
        <v>43440</v>
      </c>
      <c r="B267" s="3" t="s">
        <v>492</v>
      </c>
      <c r="C267" s="3" t="s">
        <v>789</v>
      </c>
      <c r="D267" s="1" t="s">
        <v>476</v>
      </c>
      <c r="E267" s="7">
        <v>0.86</v>
      </c>
      <c r="F267" s="3">
        <v>1.33</v>
      </c>
      <c r="G267" s="1" t="s">
        <v>11</v>
      </c>
      <c r="H267" s="1" t="s">
        <v>1200</v>
      </c>
      <c r="I267" s="2" t="s">
        <v>1154</v>
      </c>
    </row>
    <row r="268" spans="1:9">
      <c r="A268" s="6">
        <v>43441</v>
      </c>
      <c r="B268" s="3" t="s">
        <v>781</v>
      </c>
      <c r="C268" s="3" t="s">
        <v>109</v>
      </c>
      <c r="D268" s="1" t="s">
        <v>110</v>
      </c>
      <c r="E268" s="7">
        <v>0.86</v>
      </c>
      <c r="F268" s="3">
        <v>1.33</v>
      </c>
      <c r="G268" s="1" t="s">
        <v>22</v>
      </c>
      <c r="H268" s="1" t="s">
        <v>1193</v>
      </c>
      <c r="I268" s="2" t="s">
        <v>1154</v>
      </c>
    </row>
    <row r="269" spans="1:9">
      <c r="A269" s="6">
        <v>43450</v>
      </c>
      <c r="B269" s="3" t="s">
        <v>69</v>
      </c>
      <c r="C269" s="3" t="s">
        <v>479</v>
      </c>
      <c r="D269" s="1" t="s">
        <v>71</v>
      </c>
      <c r="E269" s="7">
        <v>0.86</v>
      </c>
      <c r="F269" s="3">
        <v>1.33</v>
      </c>
      <c r="G269" s="1" t="s">
        <v>11</v>
      </c>
      <c r="H269" s="1" t="s">
        <v>1182</v>
      </c>
      <c r="I269" s="2" t="s">
        <v>1154</v>
      </c>
    </row>
    <row r="270" spans="1:9">
      <c r="A270" s="6">
        <v>43452</v>
      </c>
      <c r="B270" s="3" t="s">
        <v>1023</v>
      </c>
      <c r="C270" s="3" t="s">
        <v>18</v>
      </c>
      <c r="D270" s="1" t="s">
        <v>1024</v>
      </c>
      <c r="E270" s="7">
        <v>0.86</v>
      </c>
      <c r="F270" s="3">
        <v>1.33</v>
      </c>
      <c r="G270" s="1" t="s">
        <v>22</v>
      </c>
      <c r="H270" s="1" t="s">
        <v>1175</v>
      </c>
      <c r="I270" s="2" t="s">
        <v>1152</v>
      </c>
    </row>
    <row r="271" spans="1:9">
      <c r="A271" s="6">
        <v>43470</v>
      </c>
      <c r="B271" s="3" t="s">
        <v>1133</v>
      </c>
      <c r="C271" s="3" t="s">
        <v>1134</v>
      </c>
      <c r="D271" s="1" t="s">
        <v>1135</v>
      </c>
      <c r="E271" s="7">
        <v>0.86</v>
      </c>
      <c r="F271" s="3">
        <v>1.33</v>
      </c>
      <c r="G271" s="1" t="s">
        <v>11</v>
      </c>
      <c r="H271" s="1" t="s">
        <v>1176</v>
      </c>
      <c r="I271" s="2" t="s">
        <v>1153</v>
      </c>
    </row>
    <row r="272" spans="1:9">
      <c r="A272" s="6">
        <v>43435</v>
      </c>
      <c r="B272" s="3" t="s">
        <v>226</v>
      </c>
      <c r="C272" s="3" t="s">
        <v>178</v>
      </c>
      <c r="D272" s="1" t="s">
        <v>569</v>
      </c>
      <c r="E272" s="7">
        <v>0.86</v>
      </c>
      <c r="F272" s="3">
        <v>1.32</v>
      </c>
      <c r="G272" s="1" t="s">
        <v>11</v>
      </c>
      <c r="H272" s="1" t="s">
        <v>1202</v>
      </c>
      <c r="I272" s="2" t="s">
        <v>1154</v>
      </c>
    </row>
    <row r="273" spans="1:9">
      <c r="A273" s="6">
        <v>43439</v>
      </c>
      <c r="B273" s="3" t="s">
        <v>23</v>
      </c>
      <c r="C273" s="3" t="s">
        <v>129</v>
      </c>
      <c r="D273" s="1" t="s">
        <v>724</v>
      </c>
      <c r="E273" s="7">
        <v>0.86</v>
      </c>
      <c r="F273" s="3">
        <v>1.32</v>
      </c>
      <c r="G273" s="1" t="s">
        <v>11</v>
      </c>
      <c r="H273" s="1" t="s">
        <v>1185</v>
      </c>
      <c r="I273" s="2" t="s">
        <v>1152</v>
      </c>
    </row>
    <row r="274" spans="1:9">
      <c r="A274" s="6">
        <v>43440</v>
      </c>
      <c r="B274" s="3" t="s">
        <v>768</v>
      </c>
      <c r="C274" s="3" t="s">
        <v>769</v>
      </c>
      <c r="D274" s="1" t="s">
        <v>679</v>
      </c>
      <c r="E274" s="7">
        <v>0.86</v>
      </c>
      <c r="F274" s="3">
        <v>1.32</v>
      </c>
      <c r="G274" s="1" t="s">
        <v>11</v>
      </c>
      <c r="H274" s="1" t="s">
        <v>1185</v>
      </c>
      <c r="I274" s="2" t="s">
        <v>1152</v>
      </c>
    </row>
    <row r="275" spans="1:9">
      <c r="A275" s="6">
        <v>43435</v>
      </c>
      <c r="B275" s="3" t="s">
        <v>539</v>
      </c>
      <c r="C275" s="3" t="s">
        <v>105</v>
      </c>
      <c r="D275" s="1" t="s">
        <v>62</v>
      </c>
      <c r="E275" s="7">
        <v>0.86</v>
      </c>
      <c r="F275" s="3">
        <v>1.31</v>
      </c>
      <c r="G275" s="1" t="s">
        <v>11</v>
      </c>
      <c r="H275" s="1" t="s">
        <v>1177</v>
      </c>
      <c r="I275" s="2" t="s">
        <v>1154</v>
      </c>
    </row>
    <row r="276" spans="1:9">
      <c r="A276" s="6">
        <v>43438</v>
      </c>
      <c r="B276" s="3" t="s">
        <v>528</v>
      </c>
      <c r="C276" s="3" t="s">
        <v>688</v>
      </c>
      <c r="D276" s="1" t="s">
        <v>689</v>
      </c>
      <c r="E276" s="7">
        <v>0.86</v>
      </c>
      <c r="F276" s="3">
        <v>1.31</v>
      </c>
      <c r="G276" s="1" t="s">
        <v>11</v>
      </c>
      <c r="H276" s="1" t="s">
        <v>1205</v>
      </c>
      <c r="I276" s="2" t="s">
        <v>1154</v>
      </c>
    </row>
    <row r="277" spans="1:9">
      <c r="A277" s="6">
        <v>43438</v>
      </c>
      <c r="B277" s="3" t="s">
        <v>693</v>
      </c>
      <c r="C277" s="3" t="s">
        <v>694</v>
      </c>
      <c r="D277" s="1" t="s">
        <v>689</v>
      </c>
      <c r="E277" s="7">
        <v>0.86</v>
      </c>
      <c r="F277" s="3">
        <v>1.31</v>
      </c>
      <c r="G277" s="1" t="s">
        <v>22</v>
      </c>
      <c r="H277" s="1" t="s">
        <v>1183</v>
      </c>
      <c r="I277" s="2" t="s">
        <v>1154</v>
      </c>
    </row>
    <row r="278" spans="1:9">
      <c r="A278" s="6">
        <v>43439</v>
      </c>
      <c r="B278" s="3" t="s">
        <v>722</v>
      </c>
      <c r="C278" s="3" t="s">
        <v>723</v>
      </c>
      <c r="D278" s="1" t="s">
        <v>682</v>
      </c>
      <c r="E278" s="7">
        <v>0.86</v>
      </c>
      <c r="F278" s="3">
        <v>1.31</v>
      </c>
      <c r="G278" s="1" t="s">
        <v>11</v>
      </c>
      <c r="H278" s="1" t="s">
        <v>1180</v>
      </c>
      <c r="I278" s="2" t="s">
        <v>1154</v>
      </c>
    </row>
    <row r="279" spans="1:9">
      <c r="A279" s="6">
        <v>43463</v>
      </c>
      <c r="B279" s="3" t="s">
        <v>600</v>
      </c>
      <c r="C279" s="3" t="s">
        <v>706</v>
      </c>
      <c r="D279" s="1" t="s">
        <v>590</v>
      </c>
      <c r="E279" s="7">
        <v>0.86</v>
      </c>
      <c r="F279" s="3">
        <v>1.31</v>
      </c>
      <c r="G279" s="1" t="s">
        <v>11</v>
      </c>
      <c r="H279" s="1" t="s">
        <v>1180</v>
      </c>
      <c r="I279" s="2" t="s">
        <v>1154</v>
      </c>
    </row>
    <row r="280" spans="1:9">
      <c r="A280" s="6">
        <v>43441</v>
      </c>
      <c r="B280" s="3" t="s">
        <v>39</v>
      </c>
      <c r="C280" s="3" t="s">
        <v>42</v>
      </c>
      <c r="D280" s="1" t="s">
        <v>36</v>
      </c>
      <c r="E280" s="7">
        <v>0.86</v>
      </c>
      <c r="F280" s="3">
        <v>1.3</v>
      </c>
      <c r="G280" s="1" t="s">
        <v>11</v>
      </c>
      <c r="H280" s="1" t="s">
        <v>1180</v>
      </c>
      <c r="I280" s="2" t="s">
        <v>1154</v>
      </c>
    </row>
    <row r="281" spans="1:9">
      <c r="A281" s="6">
        <v>43447</v>
      </c>
      <c r="B281" s="3" t="s">
        <v>283</v>
      </c>
      <c r="C281" s="3" t="s">
        <v>935</v>
      </c>
      <c r="D281" s="1" t="s">
        <v>491</v>
      </c>
      <c r="E281" s="7">
        <v>0.86</v>
      </c>
      <c r="F281" s="3">
        <v>1.3</v>
      </c>
      <c r="G281" s="1" t="s">
        <v>11</v>
      </c>
      <c r="H281" s="1" t="s">
        <v>1200</v>
      </c>
      <c r="I281" s="2" t="s">
        <v>1154</v>
      </c>
    </row>
    <row r="282" spans="1:9">
      <c r="A282" s="6">
        <v>43470</v>
      </c>
      <c r="B282" s="3" t="s">
        <v>226</v>
      </c>
      <c r="C282" s="3" t="s">
        <v>223</v>
      </c>
      <c r="D282" s="1" t="s">
        <v>569</v>
      </c>
      <c r="E282" s="7">
        <v>0.86</v>
      </c>
      <c r="F282" s="3">
        <v>1.3</v>
      </c>
      <c r="G282" s="1" t="s">
        <v>11</v>
      </c>
      <c r="H282" s="1" t="s">
        <v>1180</v>
      </c>
      <c r="I282" s="2" t="s">
        <v>1154</v>
      </c>
    </row>
    <row r="283" spans="1:9">
      <c r="A283" s="6">
        <v>43470</v>
      </c>
      <c r="B283" s="3" t="s">
        <v>713</v>
      </c>
      <c r="C283" s="3" t="s">
        <v>234</v>
      </c>
      <c r="D283" s="1" t="s">
        <v>235</v>
      </c>
      <c r="E283" s="7">
        <v>0.86</v>
      </c>
      <c r="F283" s="3">
        <v>1.3</v>
      </c>
      <c r="G283" s="1" t="s">
        <v>11</v>
      </c>
      <c r="H283" s="1" t="s">
        <v>1179</v>
      </c>
      <c r="I283" s="2" t="s">
        <v>1152</v>
      </c>
    </row>
    <row r="284" spans="1:9">
      <c r="A284" s="6">
        <v>43428</v>
      </c>
      <c r="B284" s="3" t="s">
        <v>226</v>
      </c>
      <c r="C284" s="3" t="s">
        <v>227</v>
      </c>
      <c r="D284" s="1" t="s">
        <v>141</v>
      </c>
      <c r="E284" s="7">
        <v>0.86</v>
      </c>
      <c r="F284" s="3">
        <v>1.29</v>
      </c>
      <c r="G284" s="1" t="s">
        <v>11</v>
      </c>
      <c r="H284" s="1" t="s">
        <v>1176</v>
      </c>
      <c r="I284" s="2" t="s">
        <v>1153</v>
      </c>
    </row>
    <row r="285" spans="1:9">
      <c r="A285" s="6">
        <v>43439</v>
      </c>
      <c r="B285" s="3" t="s">
        <v>155</v>
      </c>
      <c r="C285" s="3" t="s">
        <v>728</v>
      </c>
      <c r="D285" s="1" t="s">
        <v>689</v>
      </c>
      <c r="E285" s="7">
        <v>0.86</v>
      </c>
      <c r="F285" s="3">
        <v>1.29</v>
      </c>
      <c r="G285" s="1" t="s">
        <v>11</v>
      </c>
      <c r="H285" s="1" t="s">
        <v>1190</v>
      </c>
      <c r="I285" s="2" t="s">
        <v>1154</v>
      </c>
    </row>
    <row r="286" spans="1:9">
      <c r="A286" s="6">
        <v>43449</v>
      </c>
      <c r="B286" s="3" t="s">
        <v>181</v>
      </c>
      <c r="C286" s="3" t="s">
        <v>196</v>
      </c>
      <c r="D286" s="1" t="s">
        <v>571</v>
      </c>
      <c r="E286" s="7">
        <v>0.86</v>
      </c>
      <c r="F286" s="3">
        <v>1.29</v>
      </c>
      <c r="G286" s="1" t="s">
        <v>11</v>
      </c>
      <c r="H286" s="1" t="s">
        <v>12</v>
      </c>
    </row>
    <row r="287" spans="1:9">
      <c r="A287" s="6">
        <v>43449</v>
      </c>
      <c r="B287" s="3" t="s">
        <v>181</v>
      </c>
      <c r="C287" s="3" t="s">
        <v>196</v>
      </c>
      <c r="D287" s="1" t="s">
        <v>571</v>
      </c>
      <c r="E287" s="7">
        <v>0.86</v>
      </c>
      <c r="F287" s="3">
        <v>1.29</v>
      </c>
      <c r="G287" s="1" t="s">
        <v>11</v>
      </c>
      <c r="H287" s="1" t="s">
        <v>12</v>
      </c>
    </row>
    <row r="288" spans="1:9">
      <c r="A288" s="6">
        <v>43456</v>
      </c>
      <c r="B288" s="3" t="s">
        <v>966</v>
      </c>
      <c r="C288" s="3" t="s">
        <v>572</v>
      </c>
      <c r="D288" s="1" t="s">
        <v>571</v>
      </c>
      <c r="E288" s="7">
        <v>0.86</v>
      </c>
      <c r="F288" s="3">
        <v>1.29</v>
      </c>
      <c r="G288" s="1" t="s">
        <v>22</v>
      </c>
      <c r="H288" s="1" t="s">
        <v>1183</v>
      </c>
      <c r="I288" s="2" t="s">
        <v>1154</v>
      </c>
    </row>
    <row r="289" spans="1:9">
      <c r="A289" s="6">
        <v>43456</v>
      </c>
      <c r="B289" s="3" t="s">
        <v>966</v>
      </c>
      <c r="C289" s="3" t="s">
        <v>572</v>
      </c>
      <c r="D289" s="1" t="s">
        <v>571</v>
      </c>
      <c r="E289" s="7">
        <v>0.86</v>
      </c>
      <c r="F289" s="3">
        <v>1.29</v>
      </c>
      <c r="G289" s="1" t="s">
        <v>22</v>
      </c>
      <c r="H289" s="1" t="s">
        <v>1183</v>
      </c>
      <c r="I289" s="2" t="s">
        <v>1154</v>
      </c>
    </row>
    <row r="290" spans="1:9">
      <c r="A290" s="6">
        <v>43443</v>
      </c>
      <c r="B290" s="3" t="s">
        <v>880</v>
      </c>
      <c r="C290" s="3" t="s">
        <v>160</v>
      </c>
      <c r="D290" s="1" t="s">
        <v>162</v>
      </c>
      <c r="E290" s="7">
        <v>0.86</v>
      </c>
      <c r="F290" s="3">
        <v>1.27</v>
      </c>
      <c r="G290" s="1" t="s">
        <v>11</v>
      </c>
      <c r="H290" s="1" t="s">
        <v>1192</v>
      </c>
      <c r="I290" s="2" t="s">
        <v>1152</v>
      </c>
    </row>
    <row r="291" spans="1:9">
      <c r="A291" s="6">
        <v>43443</v>
      </c>
      <c r="B291" s="3" t="s">
        <v>546</v>
      </c>
      <c r="C291" s="3" t="s">
        <v>872</v>
      </c>
      <c r="D291" s="1" t="s">
        <v>323</v>
      </c>
      <c r="E291" s="7">
        <v>0.86</v>
      </c>
      <c r="F291" s="3">
        <v>1.26</v>
      </c>
      <c r="G291" s="1" t="s">
        <v>11</v>
      </c>
      <c r="H291" s="1" t="s">
        <v>1179</v>
      </c>
      <c r="I291" s="2" t="s">
        <v>1152</v>
      </c>
    </row>
    <row r="292" spans="1:9">
      <c r="A292" s="6">
        <v>43447</v>
      </c>
      <c r="B292" s="3" t="s">
        <v>928</v>
      </c>
      <c r="C292" s="3" t="s">
        <v>510</v>
      </c>
      <c r="D292" s="1" t="s">
        <v>128</v>
      </c>
      <c r="E292" s="7">
        <v>0.86</v>
      </c>
      <c r="F292" s="3">
        <v>1.26</v>
      </c>
      <c r="G292" s="1" t="s">
        <v>11</v>
      </c>
      <c r="H292" s="1" t="s">
        <v>1200</v>
      </c>
      <c r="I292" s="2" t="s">
        <v>1154</v>
      </c>
    </row>
    <row r="293" spans="1:9">
      <c r="A293" s="6">
        <v>43476</v>
      </c>
      <c r="B293" s="3" t="s">
        <v>498</v>
      </c>
      <c r="C293" s="3" t="s">
        <v>1006</v>
      </c>
      <c r="D293" s="1" t="s">
        <v>1222</v>
      </c>
      <c r="E293" s="7">
        <v>0.86</v>
      </c>
      <c r="F293" s="3">
        <v>1.26</v>
      </c>
      <c r="G293" s="1" t="s">
        <v>11</v>
      </c>
      <c r="H293" s="1" t="s">
        <v>1172</v>
      </c>
      <c r="I293" s="3" t="s">
        <v>1154</v>
      </c>
    </row>
    <row r="294" spans="1:9">
      <c r="A294" s="6">
        <v>43463</v>
      </c>
      <c r="B294" s="3" t="s">
        <v>496</v>
      </c>
      <c r="C294" s="3" t="s">
        <v>277</v>
      </c>
      <c r="D294" s="1" t="s">
        <v>278</v>
      </c>
      <c r="E294" s="7">
        <v>0.85</v>
      </c>
      <c r="F294" s="3">
        <v>1.46</v>
      </c>
      <c r="G294" s="1" t="s">
        <v>11</v>
      </c>
      <c r="H294" s="1" t="s">
        <v>1173</v>
      </c>
      <c r="I294" s="2" t="s">
        <v>1154</v>
      </c>
    </row>
    <row r="295" spans="1:9">
      <c r="A295" s="6">
        <v>43431</v>
      </c>
      <c r="B295" s="3" t="s">
        <v>468</v>
      </c>
      <c r="C295" s="3" t="s">
        <v>469</v>
      </c>
      <c r="D295" s="1" t="s">
        <v>219</v>
      </c>
      <c r="E295" s="7">
        <v>0.85</v>
      </c>
      <c r="F295" s="3">
        <v>1.44</v>
      </c>
      <c r="G295" s="1" t="s">
        <v>11</v>
      </c>
      <c r="H295" s="1" t="s">
        <v>12</v>
      </c>
    </row>
    <row r="296" spans="1:9">
      <c r="A296" s="6">
        <v>43442</v>
      </c>
      <c r="B296" s="3" t="s">
        <v>845</v>
      </c>
      <c r="C296" s="3" t="s">
        <v>577</v>
      </c>
      <c r="D296" s="1" t="s">
        <v>211</v>
      </c>
      <c r="E296" s="7">
        <v>0.85</v>
      </c>
      <c r="F296" s="3">
        <v>1.44</v>
      </c>
      <c r="G296" s="1" t="s">
        <v>11</v>
      </c>
      <c r="H296" s="1" t="s">
        <v>1177</v>
      </c>
      <c r="I296" s="2" t="s">
        <v>1154</v>
      </c>
    </row>
    <row r="297" spans="1:9">
      <c r="A297" s="6">
        <v>43457</v>
      </c>
      <c r="B297" s="3" t="s">
        <v>467</v>
      </c>
      <c r="C297" s="3" t="s">
        <v>475</v>
      </c>
      <c r="D297" s="1" t="s">
        <v>92</v>
      </c>
      <c r="E297" s="7">
        <v>0.85</v>
      </c>
      <c r="F297" s="3">
        <v>1.44</v>
      </c>
      <c r="G297" s="1" t="s">
        <v>11</v>
      </c>
      <c r="H297" s="1" t="s">
        <v>1173</v>
      </c>
      <c r="I297" s="2" t="s">
        <v>1154</v>
      </c>
    </row>
    <row r="298" spans="1:9">
      <c r="A298" s="6">
        <v>43431</v>
      </c>
      <c r="B298" s="3" t="s">
        <v>444</v>
      </c>
      <c r="C298" s="3" t="s">
        <v>445</v>
      </c>
      <c r="D298" s="1" t="s">
        <v>446</v>
      </c>
      <c r="E298" s="7">
        <v>0.85</v>
      </c>
      <c r="F298" s="3">
        <v>1.4</v>
      </c>
      <c r="G298" s="1" t="s">
        <v>11</v>
      </c>
      <c r="H298" s="1" t="s">
        <v>1176</v>
      </c>
      <c r="I298" s="2" t="s">
        <v>1153</v>
      </c>
    </row>
    <row r="299" spans="1:9">
      <c r="A299" s="6">
        <v>43429</v>
      </c>
      <c r="B299" s="3" t="s">
        <v>377</v>
      </c>
      <c r="C299" s="3" t="s">
        <v>378</v>
      </c>
      <c r="D299" s="1" t="s">
        <v>92</v>
      </c>
      <c r="E299" s="7">
        <v>0.85</v>
      </c>
      <c r="F299" s="3">
        <v>1.39</v>
      </c>
      <c r="G299" s="1" t="s">
        <v>11</v>
      </c>
      <c r="H299" s="1" t="s">
        <v>1180</v>
      </c>
      <c r="I299" s="2" t="s">
        <v>1154</v>
      </c>
    </row>
    <row r="300" spans="1:9">
      <c r="A300" s="6">
        <v>43449</v>
      </c>
      <c r="B300" s="3" t="s">
        <v>955</v>
      </c>
      <c r="C300" s="3" t="s">
        <v>956</v>
      </c>
      <c r="D300" s="1" t="s">
        <v>813</v>
      </c>
      <c r="E300" s="7">
        <v>0.85</v>
      </c>
      <c r="F300" s="3">
        <v>1.39</v>
      </c>
      <c r="G300" s="1" t="s">
        <v>11</v>
      </c>
      <c r="H300" s="1" t="s">
        <v>1175</v>
      </c>
      <c r="I300" s="2" t="s">
        <v>1152</v>
      </c>
    </row>
    <row r="301" spans="1:9">
      <c r="A301" s="6">
        <v>43450</v>
      </c>
      <c r="B301" s="3" t="s">
        <v>995</v>
      </c>
      <c r="C301" s="3" t="s">
        <v>354</v>
      </c>
      <c r="D301" s="1" t="s">
        <v>278</v>
      </c>
      <c r="E301" s="7">
        <v>0.85</v>
      </c>
      <c r="F301" s="3">
        <v>1.39</v>
      </c>
      <c r="G301" s="1" t="s">
        <v>22</v>
      </c>
      <c r="H301" s="1" t="s">
        <v>1176</v>
      </c>
      <c r="I301" s="2" t="s">
        <v>1154</v>
      </c>
    </row>
    <row r="302" spans="1:9">
      <c r="A302" s="6">
        <v>43471</v>
      </c>
      <c r="B302" s="3" t="s">
        <v>91</v>
      </c>
      <c r="C302" s="3" t="s">
        <v>890</v>
      </c>
      <c r="D302" s="1" t="s">
        <v>92</v>
      </c>
      <c r="E302" s="7">
        <v>0.85</v>
      </c>
      <c r="F302" s="3">
        <v>1.39</v>
      </c>
      <c r="G302" s="1" t="s">
        <v>11</v>
      </c>
      <c r="H302" s="1" t="s">
        <v>1184</v>
      </c>
      <c r="I302" s="2" t="s">
        <v>1153</v>
      </c>
    </row>
    <row r="303" spans="1:9">
      <c r="A303" s="6">
        <v>43428</v>
      </c>
      <c r="B303" s="3" t="s">
        <v>87</v>
      </c>
      <c r="C303" s="3" t="s">
        <v>88</v>
      </c>
      <c r="D303" s="1" t="s">
        <v>89</v>
      </c>
      <c r="E303" s="7">
        <v>0.85</v>
      </c>
      <c r="F303" s="3">
        <v>1.38</v>
      </c>
      <c r="G303" s="1" t="s">
        <v>11</v>
      </c>
      <c r="H303" s="1" t="s">
        <v>1173</v>
      </c>
      <c r="I303" s="2" t="s">
        <v>1154</v>
      </c>
    </row>
    <row r="304" spans="1:9">
      <c r="A304" s="6">
        <v>43471</v>
      </c>
      <c r="B304" s="3" t="s">
        <v>708</v>
      </c>
      <c r="C304" s="3" t="s">
        <v>473</v>
      </c>
      <c r="D304" s="1" t="s">
        <v>92</v>
      </c>
      <c r="E304" s="7">
        <v>0.85</v>
      </c>
      <c r="F304" s="3">
        <v>1.38</v>
      </c>
      <c r="G304" s="1" t="s">
        <v>22</v>
      </c>
      <c r="H304" s="1" t="s">
        <v>1178</v>
      </c>
      <c r="I304" s="2" t="s">
        <v>1154</v>
      </c>
    </row>
    <row r="305" spans="1:9">
      <c r="A305" s="6">
        <v>43428</v>
      </c>
      <c r="B305" s="3" t="s">
        <v>165</v>
      </c>
      <c r="C305" s="3" t="s">
        <v>166</v>
      </c>
      <c r="D305" s="1" t="s">
        <v>167</v>
      </c>
      <c r="E305" s="7">
        <v>0.85</v>
      </c>
      <c r="F305" s="3">
        <v>1.37</v>
      </c>
      <c r="G305" s="1" t="s">
        <v>22</v>
      </c>
      <c r="H305" s="1" t="s">
        <v>1181</v>
      </c>
      <c r="I305" s="2" t="s">
        <v>1154</v>
      </c>
    </row>
    <row r="306" spans="1:9">
      <c r="A306" s="6">
        <v>43428</v>
      </c>
      <c r="B306" s="3" t="s">
        <v>228</v>
      </c>
      <c r="C306" s="3" t="s">
        <v>229</v>
      </c>
      <c r="D306" s="1" t="s">
        <v>208</v>
      </c>
      <c r="E306" s="7">
        <v>0.85</v>
      </c>
      <c r="F306" s="3">
        <v>1.37</v>
      </c>
      <c r="G306" s="1" t="s">
        <v>11</v>
      </c>
      <c r="H306" s="1" t="s">
        <v>1172</v>
      </c>
      <c r="I306" s="2" t="s">
        <v>1154</v>
      </c>
    </row>
    <row r="307" spans="1:9">
      <c r="A307" s="6">
        <v>43435</v>
      </c>
      <c r="B307" s="3" t="s">
        <v>616</v>
      </c>
      <c r="C307" s="3" t="s">
        <v>617</v>
      </c>
      <c r="D307" s="1" t="s">
        <v>594</v>
      </c>
      <c r="E307" s="7">
        <v>0.85</v>
      </c>
      <c r="F307" s="3">
        <v>1.37</v>
      </c>
      <c r="G307" s="1" t="s">
        <v>11</v>
      </c>
      <c r="H307" s="1" t="s">
        <v>1177</v>
      </c>
      <c r="I307" s="2" t="s">
        <v>1154</v>
      </c>
    </row>
    <row r="308" spans="1:9">
      <c r="A308" s="6">
        <v>43436</v>
      </c>
      <c r="B308" s="3" t="s">
        <v>657</v>
      </c>
      <c r="C308" s="3" t="s">
        <v>658</v>
      </c>
      <c r="D308" s="1" t="s">
        <v>374</v>
      </c>
      <c r="E308" s="7">
        <v>0.85</v>
      </c>
      <c r="F308" s="3">
        <v>1.37</v>
      </c>
      <c r="G308" s="1" t="s">
        <v>11</v>
      </c>
      <c r="H308" s="1" t="s">
        <v>1175</v>
      </c>
      <c r="I308" s="2" t="s">
        <v>1152</v>
      </c>
    </row>
    <row r="309" spans="1:9">
      <c r="A309" s="6">
        <v>43452</v>
      </c>
      <c r="B309" s="3" t="s">
        <v>1025</v>
      </c>
      <c r="C309" s="3" t="s">
        <v>1026</v>
      </c>
      <c r="D309" s="1" t="s">
        <v>1024</v>
      </c>
      <c r="E309" s="7">
        <v>0.85</v>
      </c>
      <c r="F309" s="3">
        <v>1.37</v>
      </c>
      <c r="G309" s="1" t="s">
        <v>11</v>
      </c>
      <c r="H309" s="1" t="s">
        <v>1176</v>
      </c>
      <c r="I309" s="2" t="s">
        <v>1153</v>
      </c>
    </row>
    <row r="310" spans="1:9">
      <c r="A310" s="6">
        <v>43429</v>
      </c>
      <c r="B310" s="3" t="s">
        <v>329</v>
      </c>
      <c r="C310" s="3" t="s">
        <v>330</v>
      </c>
      <c r="D310" s="1" t="s">
        <v>331</v>
      </c>
      <c r="E310" s="7">
        <v>0.85</v>
      </c>
      <c r="F310" s="3">
        <v>1.36</v>
      </c>
      <c r="G310" s="1" t="s">
        <v>11</v>
      </c>
      <c r="H310" s="1" t="s">
        <v>1179</v>
      </c>
      <c r="I310" s="2" t="s">
        <v>1152</v>
      </c>
    </row>
    <row r="311" spans="1:9">
      <c r="A311" s="6">
        <v>43438</v>
      </c>
      <c r="B311" s="3" t="s">
        <v>699</v>
      </c>
      <c r="C311" s="3" t="s">
        <v>700</v>
      </c>
      <c r="D311" s="1" t="s">
        <v>454</v>
      </c>
      <c r="E311" s="7">
        <v>0.85</v>
      </c>
      <c r="F311" s="3">
        <v>1.36</v>
      </c>
      <c r="G311" s="1" t="s">
        <v>11</v>
      </c>
      <c r="H311" s="1" t="s">
        <v>12</v>
      </c>
    </row>
    <row r="312" spans="1:9">
      <c r="A312" s="6">
        <v>43439</v>
      </c>
      <c r="B312" s="3" t="s">
        <v>739</v>
      </c>
      <c r="C312" s="3" t="s">
        <v>327</v>
      </c>
      <c r="D312" s="1" t="s">
        <v>679</v>
      </c>
      <c r="E312" s="7">
        <v>0.85</v>
      </c>
      <c r="F312" s="3">
        <v>1.36</v>
      </c>
      <c r="G312" s="1" t="s">
        <v>11</v>
      </c>
      <c r="H312" s="1" t="s">
        <v>1173</v>
      </c>
      <c r="I312" s="2" t="s">
        <v>1154</v>
      </c>
    </row>
    <row r="313" spans="1:9">
      <c r="A313" s="6">
        <v>43446</v>
      </c>
      <c r="B313" s="3" t="s">
        <v>769</v>
      </c>
      <c r="C313" s="3" t="s">
        <v>924</v>
      </c>
      <c r="D313" s="1" t="s">
        <v>374</v>
      </c>
      <c r="E313" s="7">
        <v>0.85</v>
      </c>
      <c r="F313" s="3">
        <v>1.36</v>
      </c>
      <c r="G313" s="1" t="s">
        <v>11</v>
      </c>
      <c r="H313" s="1" t="s">
        <v>1176</v>
      </c>
      <c r="I313" s="2" t="s">
        <v>1153</v>
      </c>
    </row>
    <row r="314" spans="1:9">
      <c r="A314" s="6">
        <v>43429</v>
      </c>
      <c r="B314" s="3" t="s">
        <v>381</v>
      </c>
      <c r="C314" s="3" t="s">
        <v>382</v>
      </c>
      <c r="D314" s="1" t="s">
        <v>326</v>
      </c>
      <c r="E314" s="7">
        <v>0.85</v>
      </c>
      <c r="F314" s="3">
        <v>1.35</v>
      </c>
      <c r="G314" s="1" t="s">
        <v>22</v>
      </c>
      <c r="H314" s="1" t="s">
        <v>1184</v>
      </c>
      <c r="I314" s="2" t="s">
        <v>1154</v>
      </c>
    </row>
    <row r="315" spans="1:9">
      <c r="A315" s="6">
        <v>43437</v>
      </c>
      <c r="B315" s="3" t="s">
        <v>250</v>
      </c>
      <c r="C315" s="3" t="s">
        <v>166</v>
      </c>
      <c r="D315" s="1" t="s">
        <v>167</v>
      </c>
      <c r="E315" s="7">
        <v>0.85</v>
      </c>
      <c r="F315" s="3">
        <v>1.35</v>
      </c>
      <c r="G315" s="1" t="s">
        <v>22</v>
      </c>
      <c r="H315" s="1" t="s">
        <v>1199</v>
      </c>
      <c r="I315" s="2" t="s">
        <v>1154</v>
      </c>
    </row>
    <row r="316" spans="1:9">
      <c r="A316" s="6">
        <v>43428</v>
      </c>
      <c r="B316" s="3" t="s">
        <v>160</v>
      </c>
      <c r="C316" s="3" t="s">
        <v>161</v>
      </c>
      <c r="D316" s="1" t="s">
        <v>162</v>
      </c>
      <c r="E316" s="7">
        <v>0.85</v>
      </c>
      <c r="F316" s="3">
        <v>1.34</v>
      </c>
      <c r="G316" s="1" t="s">
        <v>22</v>
      </c>
      <c r="H316" s="1" t="s">
        <v>1183</v>
      </c>
      <c r="I316" s="2" t="s">
        <v>1154</v>
      </c>
    </row>
    <row r="317" spans="1:9">
      <c r="A317" s="6">
        <v>43428</v>
      </c>
      <c r="B317" s="3" t="s">
        <v>256</v>
      </c>
      <c r="C317" s="3" t="s">
        <v>257</v>
      </c>
      <c r="D317" s="1" t="s">
        <v>162</v>
      </c>
      <c r="E317" s="7">
        <v>0.85</v>
      </c>
      <c r="F317" s="3">
        <v>1.33</v>
      </c>
      <c r="G317" s="1" t="s">
        <v>11</v>
      </c>
      <c r="H317" s="1" t="s">
        <v>1180</v>
      </c>
      <c r="I317" s="2" t="s">
        <v>1154</v>
      </c>
    </row>
    <row r="318" spans="1:9">
      <c r="A318" s="6">
        <v>43447</v>
      </c>
      <c r="B318" s="3" t="s">
        <v>497</v>
      </c>
      <c r="C318" s="3" t="s">
        <v>492</v>
      </c>
      <c r="D318" s="1" t="s">
        <v>491</v>
      </c>
      <c r="E318" s="7">
        <v>0.85</v>
      </c>
      <c r="F318" s="3">
        <v>1.33</v>
      </c>
      <c r="G318" s="1" t="s">
        <v>22</v>
      </c>
      <c r="H318" s="1" t="s">
        <v>1179</v>
      </c>
      <c r="I318" s="2" t="s">
        <v>1152</v>
      </c>
    </row>
    <row r="319" spans="1:9">
      <c r="A319" s="6">
        <v>43457</v>
      </c>
      <c r="B319" s="3" t="s">
        <v>363</v>
      </c>
      <c r="C319" s="3" t="s">
        <v>264</v>
      </c>
      <c r="D319" s="1" t="s">
        <v>265</v>
      </c>
      <c r="E319" s="7">
        <v>0.85</v>
      </c>
      <c r="F319" s="3">
        <v>1.33</v>
      </c>
      <c r="G319" s="1" t="s">
        <v>22</v>
      </c>
      <c r="H319" s="1" t="s">
        <v>1181</v>
      </c>
      <c r="I319" s="2" t="s">
        <v>1154</v>
      </c>
    </row>
    <row r="320" spans="1:9">
      <c r="A320" s="6">
        <v>43464</v>
      </c>
      <c r="B320" s="3" t="s">
        <v>1113</v>
      </c>
      <c r="C320" s="3" t="s">
        <v>1018</v>
      </c>
      <c r="D320" s="1" t="s">
        <v>1019</v>
      </c>
      <c r="E320" s="7">
        <v>0.85</v>
      </c>
      <c r="F320" s="3">
        <v>1.33</v>
      </c>
      <c r="G320" s="1" t="s">
        <v>22</v>
      </c>
      <c r="H320" s="1" t="s">
        <v>1184</v>
      </c>
      <c r="I320" s="2" t="s">
        <v>1154</v>
      </c>
    </row>
    <row r="321" spans="1:9">
      <c r="A321" s="6">
        <v>43452</v>
      </c>
      <c r="B321" s="3" t="s">
        <v>555</v>
      </c>
      <c r="C321" s="3" t="s">
        <v>1014</v>
      </c>
      <c r="D321" s="1" t="s">
        <v>689</v>
      </c>
      <c r="E321" s="7">
        <v>0.85</v>
      </c>
      <c r="F321" s="3">
        <v>1.32</v>
      </c>
      <c r="G321" s="1" t="s">
        <v>11</v>
      </c>
      <c r="H321" s="1" t="s">
        <v>1177</v>
      </c>
      <c r="I321" s="2" t="s">
        <v>1154</v>
      </c>
    </row>
    <row r="322" spans="1:9">
      <c r="A322" s="6">
        <v>43467</v>
      </c>
      <c r="B322" s="3" t="s">
        <v>233</v>
      </c>
      <c r="C322" s="3" t="s">
        <v>715</v>
      </c>
      <c r="D322" s="1" t="s">
        <v>714</v>
      </c>
      <c r="E322" s="7">
        <v>0.85</v>
      </c>
      <c r="F322" s="3">
        <v>1.32</v>
      </c>
      <c r="G322" s="1" t="s">
        <v>11</v>
      </c>
      <c r="H322" s="1" t="s">
        <v>1180</v>
      </c>
      <c r="I322" s="2" t="s">
        <v>1154</v>
      </c>
    </row>
    <row r="323" spans="1:9">
      <c r="A323" s="6">
        <v>43473</v>
      </c>
      <c r="B323" s="3" t="s">
        <v>702</v>
      </c>
      <c r="C323" s="3" t="s">
        <v>1167</v>
      </c>
      <c r="D323" s="1" t="s">
        <v>704</v>
      </c>
      <c r="E323" s="7">
        <v>0.85</v>
      </c>
      <c r="F323" s="3">
        <v>1.32</v>
      </c>
      <c r="G323" s="1" t="s">
        <v>11</v>
      </c>
      <c r="H323" s="1" t="s">
        <v>1200</v>
      </c>
      <c r="I323" s="2" t="s">
        <v>1154</v>
      </c>
    </row>
    <row r="324" spans="1:9">
      <c r="A324" s="6">
        <v>43429</v>
      </c>
      <c r="B324" s="3" t="s">
        <v>387</v>
      </c>
      <c r="C324" s="3" t="s">
        <v>388</v>
      </c>
      <c r="D324" s="1" t="s">
        <v>141</v>
      </c>
      <c r="E324" s="7">
        <v>0.85</v>
      </c>
      <c r="F324" s="3">
        <v>1.3</v>
      </c>
      <c r="G324" s="1" t="s">
        <v>22</v>
      </c>
      <c r="H324" s="1" t="s">
        <v>1175</v>
      </c>
      <c r="I324" s="2" t="s">
        <v>1152</v>
      </c>
    </row>
    <row r="325" spans="1:9">
      <c r="A325" s="6">
        <v>43474</v>
      </c>
      <c r="B325" s="3" t="s">
        <v>259</v>
      </c>
      <c r="C325" s="3" t="s">
        <v>641</v>
      </c>
      <c r="D325" s="1" t="s">
        <v>1222</v>
      </c>
      <c r="E325" s="7">
        <v>0.85</v>
      </c>
      <c r="F325" s="3">
        <v>1.3</v>
      </c>
      <c r="G325" s="1" t="s">
        <v>11</v>
      </c>
      <c r="H325" s="1" t="s">
        <v>1182</v>
      </c>
      <c r="I325" s="3" t="s">
        <v>1154</v>
      </c>
    </row>
    <row r="326" spans="1:9">
      <c r="A326" s="6">
        <v>43434</v>
      </c>
      <c r="B326" s="3" t="s">
        <v>509</v>
      </c>
      <c r="C326" s="3" t="s">
        <v>510</v>
      </c>
      <c r="D326" s="1" t="s">
        <v>128</v>
      </c>
      <c r="E326" s="7">
        <v>0.85</v>
      </c>
      <c r="F326" s="3">
        <v>1.29</v>
      </c>
      <c r="G326" s="1" t="s">
        <v>11</v>
      </c>
      <c r="H326" s="1" t="s">
        <v>1194</v>
      </c>
      <c r="I326" s="2" t="s">
        <v>1154</v>
      </c>
    </row>
    <row r="327" spans="1:9">
      <c r="A327" s="6">
        <v>43470</v>
      </c>
      <c r="B327" s="3" t="s">
        <v>1142</v>
      </c>
      <c r="C327" s="3" t="s">
        <v>1017</v>
      </c>
      <c r="D327" s="1" t="s">
        <v>1135</v>
      </c>
      <c r="E327" s="7">
        <v>0.85</v>
      </c>
      <c r="F327" s="3">
        <v>1.26</v>
      </c>
      <c r="G327" s="1" t="s">
        <v>11</v>
      </c>
      <c r="H327" s="1" t="s">
        <v>1172</v>
      </c>
      <c r="I327" s="2" t="s">
        <v>1154</v>
      </c>
    </row>
    <row r="328" spans="1:9">
      <c r="A328" s="6">
        <v>43474</v>
      </c>
      <c r="B328" s="3" t="s">
        <v>409</v>
      </c>
      <c r="C328" s="3" t="s">
        <v>1225</v>
      </c>
      <c r="D328" s="1" t="s">
        <v>1222</v>
      </c>
      <c r="E328" s="7">
        <v>0.85</v>
      </c>
      <c r="F328" s="3">
        <v>1.26</v>
      </c>
      <c r="G328" s="1" t="s">
        <v>11</v>
      </c>
      <c r="H328" s="1" t="s">
        <v>1172</v>
      </c>
      <c r="I328" s="3" t="s">
        <v>1154</v>
      </c>
    </row>
    <row r="329" spans="1:9">
      <c r="A329" s="6">
        <v>43450</v>
      </c>
      <c r="B329" s="3" t="s">
        <v>872</v>
      </c>
      <c r="C329" s="3" t="s">
        <v>612</v>
      </c>
      <c r="D329" s="1" t="s">
        <v>323</v>
      </c>
      <c r="E329" s="7">
        <v>0.85</v>
      </c>
      <c r="F329" s="3">
        <v>1.24</v>
      </c>
      <c r="G329" s="1" t="s">
        <v>22</v>
      </c>
      <c r="H329" s="1" t="s">
        <v>1181</v>
      </c>
      <c r="I329" s="2" t="s">
        <v>1154</v>
      </c>
    </row>
    <row r="330" spans="1:9">
      <c r="A330" s="6">
        <v>43430</v>
      </c>
      <c r="B330" s="3" t="s">
        <v>423</v>
      </c>
      <c r="C330" s="3" t="s">
        <v>424</v>
      </c>
      <c r="D330" s="1" t="s">
        <v>422</v>
      </c>
      <c r="E330" s="7">
        <v>0.85</v>
      </c>
      <c r="F330" s="3">
        <v>1.21</v>
      </c>
      <c r="G330" s="1" t="s">
        <v>11</v>
      </c>
      <c r="H330" s="1" t="s">
        <v>1197</v>
      </c>
      <c r="I330" s="2" t="s">
        <v>1154</v>
      </c>
    </row>
    <row r="331" spans="1:9">
      <c r="A331" s="6">
        <v>43429</v>
      </c>
      <c r="B331" s="3" t="s">
        <v>393</v>
      </c>
      <c r="C331" s="3" t="s">
        <v>394</v>
      </c>
      <c r="D331" s="1" t="s">
        <v>395</v>
      </c>
      <c r="E331" s="7">
        <v>0.84</v>
      </c>
      <c r="F331" s="3">
        <v>1.48</v>
      </c>
      <c r="G331" s="1" t="s">
        <v>11</v>
      </c>
      <c r="H331" s="1" t="s">
        <v>1182</v>
      </c>
      <c r="I331" s="2" t="s">
        <v>1154</v>
      </c>
    </row>
    <row r="332" spans="1:9">
      <c r="A332" s="6">
        <v>43429</v>
      </c>
      <c r="B332" s="3" t="s">
        <v>393</v>
      </c>
      <c r="C332" s="3" t="s">
        <v>394</v>
      </c>
      <c r="D332" s="1" t="s">
        <v>395</v>
      </c>
      <c r="E332" s="7">
        <v>0.84</v>
      </c>
      <c r="F332" s="3">
        <v>1.48</v>
      </c>
      <c r="G332" s="1" t="s">
        <v>11</v>
      </c>
      <c r="H332" s="1" t="s">
        <v>1182</v>
      </c>
      <c r="I332" s="2" t="s">
        <v>1154</v>
      </c>
    </row>
    <row r="333" spans="1:9">
      <c r="A333" s="6">
        <v>43439</v>
      </c>
      <c r="B333" s="3" t="s">
        <v>216</v>
      </c>
      <c r="C333" s="3" t="s">
        <v>30</v>
      </c>
      <c r="D333" s="1" t="s">
        <v>193</v>
      </c>
      <c r="E333" s="7">
        <v>0.84</v>
      </c>
      <c r="F333" s="3">
        <v>1.48</v>
      </c>
      <c r="G333" s="1" t="s">
        <v>11</v>
      </c>
      <c r="H333" s="1" t="s">
        <v>1175</v>
      </c>
      <c r="I333" s="2" t="s">
        <v>1152</v>
      </c>
    </row>
    <row r="334" spans="1:9">
      <c r="A334" s="6">
        <v>43428</v>
      </c>
      <c r="B334" s="3" t="s">
        <v>212</v>
      </c>
      <c r="C334" s="3" t="s">
        <v>213</v>
      </c>
      <c r="D334" s="1" t="s">
        <v>214</v>
      </c>
      <c r="E334" s="7">
        <v>0.84</v>
      </c>
      <c r="F334" s="3">
        <v>1.47</v>
      </c>
      <c r="G334" s="1" t="s">
        <v>11</v>
      </c>
      <c r="H334" s="1" t="s">
        <v>1177</v>
      </c>
      <c r="I334" s="2" t="s">
        <v>1154</v>
      </c>
    </row>
    <row r="335" spans="1:9">
      <c r="A335" s="6">
        <v>43451</v>
      </c>
      <c r="B335" s="3" t="s">
        <v>1002</v>
      </c>
      <c r="C335" s="3" t="s">
        <v>261</v>
      </c>
      <c r="D335" s="1" t="s">
        <v>214</v>
      </c>
      <c r="E335" s="7">
        <v>0.84</v>
      </c>
      <c r="F335" s="3">
        <v>1.47</v>
      </c>
      <c r="G335" s="1" t="s">
        <v>22</v>
      </c>
      <c r="H335" s="1" t="s">
        <v>1178</v>
      </c>
      <c r="I335" s="2" t="s">
        <v>1154</v>
      </c>
    </row>
    <row r="336" spans="1:9">
      <c r="A336" s="6">
        <v>43463</v>
      </c>
      <c r="B336" s="3" t="s">
        <v>1025</v>
      </c>
      <c r="C336" s="3" t="s">
        <v>577</v>
      </c>
      <c r="D336" s="1" t="s">
        <v>211</v>
      </c>
      <c r="E336" s="7">
        <v>0.84</v>
      </c>
      <c r="F336" s="3">
        <v>1.47</v>
      </c>
      <c r="G336" s="1" t="s">
        <v>11</v>
      </c>
      <c r="H336" s="1" t="s">
        <v>1177</v>
      </c>
      <c r="I336" s="2" t="s">
        <v>1154</v>
      </c>
    </row>
    <row r="337" spans="1:9">
      <c r="A337" s="6">
        <v>43436</v>
      </c>
      <c r="B337" s="3" t="s">
        <v>198</v>
      </c>
      <c r="C337" s="3" t="s">
        <v>216</v>
      </c>
      <c r="D337" s="1" t="s">
        <v>193</v>
      </c>
      <c r="E337" s="7">
        <v>0.84</v>
      </c>
      <c r="F337" s="3">
        <v>1.46</v>
      </c>
      <c r="G337" s="1" t="s">
        <v>11</v>
      </c>
      <c r="H337" s="1" t="s">
        <v>1180</v>
      </c>
      <c r="I337" s="2" t="s">
        <v>1154</v>
      </c>
    </row>
    <row r="338" spans="1:9">
      <c r="A338" s="6">
        <v>43466</v>
      </c>
      <c r="B338" s="3" t="s">
        <v>217</v>
      </c>
      <c r="C338" s="3" t="s">
        <v>506</v>
      </c>
      <c r="D338" s="1" t="s">
        <v>193</v>
      </c>
      <c r="E338" s="7">
        <v>0.84</v>
      </c>
      <c r="F338" s="3">
        <v>1.46</v>
      </c>
      <c r="G338" s="1" t="s">
        <v>22</v>
      </c>
      <c r="H338" s="1" t="s">
        <v>1183</v>
      </c>
      <c r="I338" s="2" t="s">
        <v>1154</v>
      </c>
    </row>
    <row r="339" spans="1:9">
      <c r="A339" s="6">
        <v>43428</v>
      </c>
      <c r="B339" s="3" t="s">
        <v>215</v>
      </c>
      <c r="C339" s="3" t="s">
        <v>28</v>
      </c>
      <c r="D339" s="1" t="s">
        <v>193</v>
      </c>
      <c r="E339" s="7">
        <v>0.84</v>
      </c>
      <c r="F339" s="3">
        <v>1.44</v>
      </c>
      <c r="G339" s="1" t="s">
        <v>11</v>
      </c>
      <c r="H339" s="1" t="s">
        <v>1179</v>
      </c>
      <c r="I339" s="2" t="s">
        <v>1152</v>
      </c>
    </row>
    <row r="340" spans="1:9">
      <c r="A340" s="6">
        <v>43445</v>
      </c>
      <c r="B340" s="3" t="s">
        <v>285</v>
      </c>
      <c r="C340" s="3" t="s">
        <v>281</v>
      </c>
      <c r="D340" s="1" t="s">
        <v>462</v>
      </c>
      <c r="E340" s="7">
        <v>0.84</v>
      </c>
      <c r="F340" s="3">
        <v>1.44</v>
      </c>
      <c r="G340" s="1" t="s">
        <v>11</v>
      </c>
      <c r="H340" s="1" t="s">
        <v>1175</v>
      </c>
      <c r="I340" s="2" t="s">
        <v>1152</v>
      </c>
    </row>
    <row r="341" spans="1:9">
      <c r="A341" s="6">
        <v>43438</v>
      </c>
      <c r="B341" s="3" t="s">
        <v>708</v>
      </c>
      <c r="C341" s="3" t="s">
        <v>709</v>
      </c>
      <c r="D341" s="1" t="s">
        <v>476</v>
      </c>
      <c r="E341" s="7">
        <v>0.84</v>
      </c>
      <c r="F341" s="3">
        <v>1.43</v>
      </c>
      <c r="G341" s="1" t="s">
        <v>11</v>
      </c>
      <c r="H341" s="1" t="s">
        <v>1198</v>
      </c>
      <c r="I341" s="2" t="s">
        <v>1154</v>
      </c>
    </row>
    <row r="342" spans="1:9">
      <c r="A342" s="6">
        <v>43446</v>
      </c>
      <c r="B342" s="3" t="s">
        <v>919</v>
      </c>
      <c r="C342" s="3" t="s">
        <v>658</v>
      </c>
      <c r="D342" s="1" t="s">
        <v>374</v>
      </c>
      <c r="E342" s="7">
        <v>0.84</v>
      </c>
      <c r="F342" s="3">
        <v>1.43</v>
      </c>
      <c r="G342" s="1" t="s">
        <v>11</v>
      </c>
      <c r="H342" s="1" t="s">
        <v>1190</v>
      </c>
      <c r="I342" s="2" t="s">
        <v>1154</v>
      </c>
    </row>
    <row r="343" spans="1:9">
      <c r="A343" s="6">
        <v>43450</v>
      </c>
      <c r="B343" s="3" t="s">
        <v>993</v>
      </c>
      <c r="C343" s="3" t="s">
        <v>464</v>
      </c>
      <c r="D343" s="1" t="s">
        <v>594</v>
      </c>
      <c r="E343" s="7">
        <v>0.84</v>
      </c>
      <c r="F343" s="3">
        <v>1.43</v>
      </c>
      <c r="G343" s="1" t="s">
        <v>22</v>
      </c>
      <c r="H343" s="1" t="s">
        <v>1176</v>
      </c>
      <c r="I343" s="2" t="s">
        <v>1154</v>
      </c>
    </row>
    <row r="344" spans="1:9">
      <c r="A344" s="6">
        <v>43476</v>
      </c>
      <c r="B344" s="3" t="s">
        <v>69</v>
      </c>
      <c r="C344" s="3" t="s">
        <v>1567</v>
      </c>
      <c r="D344" s="1" t="s">
        <v>71</v>
      </c>
      <c r="E344" s="7">
        <v>0.84</v>
      </c>
      <c r="F344" s="3">
        <v>1.43</v>
      </c>
      <c r="G344" s="1" t="s">
        <v>11</v>
      </c>
      <c r="H344" s="1" t="s">
        <v>1175</v>
      </c>
      <c r="I344" s="3" t="s">
        <v>1152</v>
      </c>
    </row>
    <row r="345" spans="1:9">
      <c r="A345" s="6">
        <v>43449</v>
      </c>
      <c r="B345" s="3" t="s">
        <v>618</v>
      </c>
      <c r="C345" s="3" t="s">
        <v>663</v>
      </c>
      <c r="D345" s="1" t="s">
        <v>77</v>
      </c>
      <c r="E345" s="7">
        <v>0.84</v>
      </c>
      <c r="F345" s="3">
        <v>1.42</v>
      </c>
      <c r="G345" s="1" t="s">
        <v>11</v>
      </c>
      <c r="H345" s="1" t="s">
        <v>1184</v>
      </c>
      <c r="I345" s="2" t="s">
        <v>1153</v>
      </c>
    </row>
    <row r="346" spans="1:9">
      <c r="A346" s="6">
        <v>43435</v>
      </c>
      <c r="B346" s="3" t="s">
        <v>575</v>
      </c>
      <c r="C346" s="3" t="s">
        <v>19</v>
      </c>
      <c r="D346" s="1" t="s">
        <v>211</v>
      </c>
      <c r="E346" s="7">
        <v>0.84</v>
      </c>
      <c r="F346" s="3">
        <v>1.41</v>
      </c>
      <c r="G346" s="1" t="s">
        <v>11</v>
      </c>
      <c r="H346" s="1" t="s">
        <v>1172</v>
      </c>
      <c r="I346" s="2" t="s">
        <v>1154</v>
      </c>
    </row>
    <row r="347" spans="1:9">
      <c r="A347" s="6">
        <v>43442</v>
      </c>
      <c r="B347" s="3" t="s">
        <v>540</v>
      </c>
      <c r="C347" s="3" t="s">
        <v>801</v>
      </c>
      <c r="D347" s="1" t="s">
        <v>314</v>
      </c>
      <c r="E347" s="7">
        <v>0.84</v>
      </c>
      <c r="F347" s="3">
        <v>1.41</v>
      </c>
      <c r="G347" s="1" t="s">
        <v>11</v>
      </c>
      <c r="H347" s="1" t="s">
        <v>1181</v>
      </c>
      <c r="I347" s="2" t="s">
        <v>1153</v>
      </c>
    </row>
    <row r="348" spans="1:9">
      <c r="A348" s="6">
        <v>43428</v>
      </c>
      <c r="B348" s="3" t="s">
        <v>151</v>
      </c>
      <c r="C348" s="3" t="s">
        <v>152</v>
      </c>
      <c r="D348" s="1" t="s">
        <v>153</v>
      </c>
      <c r="E348" s="7">
        <v>0.84</v>
      </c>
      <c r="F348" s="3">
        <v>1.4</v>
      </c>
      <c r="G348" s="1" t="s">
        <v>11</v>
      </c>
      <c r="H348" s="1" t="s">
        <v>1175</v>
      </c>
      <c r="I348" s="2" t="s">
        <v>1152</v>
      </c>
    </row>
    <row r="349" spans="1:9">
      <c r="A349" s="6">
        <v>43436</v>
      </c>
      <c r="B349" s="3" t="s">
        <v>629</v>
      </c>
      <c r="C349" s="3" t="s">
        <v>630</v>
      </c>
      <c r="D349" s="1" t="s">
        <v>331</v>
      </c>
      <c r="E349" s="7">
        <v>0.84</v>
      </c>
      <c r="F349" s="3">
        <v>1.4</v>
      </c>
      <c r="G349" s="1" t="s">
        <v>11</v>
      </c>
      <c r="H349" s="1" t="s">
        <v>1180</v>
      </c>
      <c r="I349" s="2" t="s">
        <v>1154</v>
      </c>
    </row>
    <row r="350" spans="1:9">
      <c r="A350" s="6">
        <v>43439</v>
      </c>
      <c r="B350" s="3" t="s">
        <v>194</v>
      </c>
      <c r="C350" s="3" t="s">
        <v>170</v>
      </c>
      <c r="D350" s="1" t="s">
        <v>138</v>
      </c>
      <c r="E350" s="7">
        <v>0.84</v>
      </c>
      <c r="F350" s="3">
        <v>1.39</v>
      </c>
      <c r="G350" s="1" t="s">
        <v>11</v>
      </c>
      <c r="H350" s="1" t="s">
        <v>1185</v>
      </c>
      <c r="I350" s="2" t="s">
        <v>1152</v>
      </c>
    </row>
    <row r="351" spans="1:9">
      <c r="A351" s="6">
        <v>43442</v>
      </c>
      <c r="B351" s="3" t="s">
        <v>821</v>
      </c>
      <c r="C351" s="3" t="s">
        <v>9</v>
      </c>
      <c r="D351" s="1" t="s">
        <v>10</v>
      </c>
      <c r="E351" s="7">
        <v>0.84</v>
      </c>
      <c r="F351" s="3">
        <v>1.39</v>
      </c>
      <c r="G351" s="1" t="s">
        <v>11</v>
      </c>
      <c r="H351" s="1" t="s">
        <v>1180</v>
      </c>
      <c r="I351" s="2" t="s">
        <v>1154</v>
      </c>
    </row>
    <row r="352" spans="1:9">
      <c r="A352" s="6">
        <v>43429</v>
      </c>
      <c r="B352" s="3" t="s">
        <v>312</v>
      </c>
      <c r="C352" s="3" t="s">
        <v>313</v>
      </c>
      <c r="D352" s="1" t="s">
        <v>314</v>
      </c>
      <c r="E352" s="7">
        <v>0.84</v>
      </c>
      <c r="F352" s="3">
        <v>1.38</v>
      </c>
      <c r="G352" s="1" t="s">
        <v>11</v>
      </c>
      <c r="H352" s="1" t="s">
        <v>1186</v>
      </c>
      <c r="I352" s="2" t="s">
        <v>1154</v>
      </c>
    </row>
    <row r="353" spans="1:9">
      <c r="A353" s="6">
        <v>43436</v>
      </c>
      <c r="B353" s="3" t="s">
        <v>642</v>
      </c>
      <c r="C353" s="3" t="s">
        <v>643</v>
      </c>
      <c r="D353" s="1" t="s">
        <v>15</v>
      </c>
      <c r="E353" s="7">
        <v>0.84</v>
      </c>
      <c r="F353" s="3">
        <v>1.38</v>
      </c>
      <c r="G353" s="1" t="s">
        <v>11</v>
      </c>
      <c r="H353" s="1" t="s">
        <v>1175</v>
      </c>
      <c r="I353" s="2" t="s">
        <v>1152</v>
      </c>
    </row>
    <row r="354" spans="1:9">
      <c r="A354" s="6">
        <v>43436</v>
      </c>
      <c r="B354" s="3" t="s">
        <v>642</v>
      </c>
      <c r="C354" s="3" t="s">
        <v>643</v>
      </c>
      <c r="D354" s="1" t="s">
        <v>15</v>
      </c>
      <c r="E354" s="7">
        <v>0.84</v>
      </c>
      <c r="F354" s="3">
        <v>1.38</v>
      </c>
      <c r="G354" s="1" t="s">
        <v>11</v>
      </c>
      <c r="H354" s="1" t="s">
        <v>1175</v>
      </c>
      <c r="I354" s="2" t="s">
        <v>1152</v>
      </c>
    </row>
    <row r="355" spans="1:9">
      <c r="A355" s="6">
        <v>43443</v>
      </c>
      <c r="B355" s="3" t="s">
        <v>306</v>
      </c>
      <c r="C355" s="3" t="s">
        <v>749</v>
      </c>
      <c r="D355" s="1" t="s">
        <v>308</v>
      </c>
      <c r="E355" s="7">
        <v>0.84</v>
      </c>
      <c r="F355" s="3">
        <v>1.38</v>
      </c>
      <c r="G355" s="1" t="s">
        <v>11</v>
      </c>
      <c r="H355" s="1" t="s">
        <v>1179</v>
      </c>
      <c r="I355" s="2" t="s">
        <v>1152</v>
      </c>
    </row>
    <row r="356" spans="1:9">
      <c r="A356" s="6">
        <v>43457</v>
      </c>
      <c r="B356" s="3" t="s">
        <v>655</v>
      </c>
      <c r="C356" s="3" t="s">
        <v>1081</v>
      </c>
      <c r="D356" s="1" t="s">
        <v>289</v>
      </c>
      <c r="E356" s="7">
        <v>0.84</v>
      </c>
      <c r="F356" s="3">
        <v>1.38</v>
      </c>
      <c r="G356" s="1" t="s">
        <v>11</v>
      </c>
      <c r="H356" s="1" t="s">
        <v>1200</v>
      </c>
      <c r="I356" s="2" t="s">
        <v>1154</v>
      </c>
    </row>
    <row r="357" spans="1:9">
      <c r="A357" s="6">
        <v>43470</v>
      </c>
      <c r="B357" s="3" t="s">
        <v>140</v>
      </c>
      <c r="C357" s="3" t="s">
        <v>179</v>
      </c>
      <c r="D357" s="1" t="s">
        <v>564</v>
      </c>
      <c r="E357" s="7">
        <v>0.84</v>
      </c>
      <c r="F357" s="3">
        <v>1.38</v>
      </c>
      <c r="G357" s="1" t="s">
        <v>11</v>
      </c>
      <c r="H357" s="1" t="s">
        <v>1176</v>
      </c>
      <c r="I357" s="2" t="s">
        <v>1153</v>
      </c>
    </row>
    <row r="358" spans="1:9">
      <c r="A358" s="6">
        <v>43476</v>
      </c>
      <c r="B358" s="3" t="s">
        <v>772</v>
      </c>
      <c r="C358" s="3" t="s">
        <v>533</v>
      </c>
      <c r="D358" s="1" t="s">
        <v>184</v>
      </c>
      <c r="E358" s="7">
        <v>0.84</v>
      </c>
      <c r="F358" s="3">
        <v>1.38</v>
      </c>
      <c r="G358" s="1" t="s">
        <v>11</v>
      </c>
      <c r="H358" s="1" t="s">
        <v>1190</v>
      </c>
      <c r="I358" s="3" t="s">
        <v>1154</v>
      </c>
    </row>
    <row r="359" spans="1:9">
      <c r="A359" s="6">
        <v>43435</v>
      </c>
      <c r="B359" s="3" t="s">
        <v>595</v>
      </c>
      <c r="C359" s="3" t="s">
        <v>596</v>
      </c>
      <c r="D359" s="1" t="s">
        <v>265</v>
      </c>
      <c r="E359" s="7">
        <v>0.84</v>
      </c>
      <c r="F359" s="3">
        <v>1.37</v>
      </c>
      <c r="G359" s="1" t="s">
        <v>11</v>
      </c>
      <c r="H359" s="1" t="s">
        <v>1175</v>
      </c>
      <c r="I359" s="2" t="s">
        <v>1152</v>
      </c>
    </row>
    <row r="360" spans="1:9">
      <c r="A360" s="6">
        <v>43443</v>
      </c>
      <c r="B360" s="3" t="s">
        <v>413</v>
      </c>
      <c r="C360" s="3" t="s">
        <v>397</v>
      </c>
      <c r="D360" s="1" t="s">
        <v>398</v>
      </c>
      <c r="E360" s="7">
        <v>0.84</v>
      </c>
      <c r="F360" s="3">
        <v>1.37</v>
      </c>
      <c r="G360" s="1" t="s">
        <v>11</v>
      </c>
      <c r="H360" s="1" t="s">
        <v>1180</v>
      </c>
      <c r="I360" s="2" t="s">
        <v>1154</v>
      </c>
    </row>
    <row r="361" spans="1:9">
      <c r="A361" s="6">
        <v>43428</v>
      </c>
      <c r="B361" s="3" t="s">
        <v>63</v>
      </c>
      <c r="C361" s="3" t="s">
        <v>64</v>
      </c>
      <c r="D361" s="1" t="s">
        <v>65</v>
      </c>
      <c r="E361" s="7">
        <v>0.84</v>
      </c>
      <c r="F361" s="3">
        <v>1.36</v>
      </c>
      <c r="G361" s="1" t="s">
        <v>11</v>
      </c>
      <c r="H361" s="1" t="s">
        <v>1180</v>
      </c>
      <c r="I361" s="2" t="s">
        <v>1154</v>
      </c>
    </row>
    <row r="362" spans="1:9">
      <c r="A362" s="6">
        <v>43441</v>
      </c>
      <c r="B362" s="3" t="s">
        <v>663</v>
      </c>
      <c r="C362" s="3" t="s">
        <v>75</v>
      </c>
      <c r="D362" s="1" t="s">
        <v>77</v>
      </c>
      <c r="E362" s="7">
        <v>0.84</v>
      </c>
      <c r="F362" s="3">
        <v>1.36</v>
      </c>
      <c r="G362" s="1" t="s">
        <v>22</v>
      </c>
      <c r="H362" s="1" t="s">
        <v>1173</v>
      </c>
      <c r="I362" s="2" t="s">
        <v>1153</v>
      </c>
    </row>
    <row r="363" spans="1:9">
      <c r="A363" s="6">
        <v>43447</v>
      </c>
      <c r="B363" s="3" t="s">
        <v>377</v>
      </c>
      <c r="C363" s="3" t="s">
        <v>361</v>
      </c>
      <c r="D363" s="1" t="s">
        <v>491</v>
      </c>
      <c r="E363" s="7">
        <v>0.84</v>
      </c>
      <c r="F363" s="3">
        <v>1.36</v>
      </c>
      <c r="G363" s="1" t="s">
        <v>11</v>
      </c>
      <c r="H363" s="1" t="s">
        <v>1182</v>
      </c>
      <c r="I363" s="2" t="s">
        <v>1154</v>
      </c>
    </row>
    <row r="364" spans="1:9">
      <c r="A364" s="6">
        <v>43455</v>
      </c>
      <c r="B364" s="3" t="s">
        <v>519</v>
      </c>
      <c r="C364" s="3" t="s">
        <v>284</v>
      </c>
      <c r="D364" s="1" t="s">
        <v>77</v>
      </c>
      <c r="E364" s="7">
        <v>0.84</v>
      </c>
      <c r="F364" s="3">
        <v>1.36</v>
      </c>
      <c r="G364" s="1" t="s">
        <v>11</v>
      </c>
      <c r="H364" s="1" t="s">
        <v>1190</v>
      </c>
      <c r="I364" s="2" t="s">
        <v>1154</v>
      </c>
    </row>
    <row r="365" spans="1:9">
      <c r="A365" s="6">
        <v>43462</v>
      </c>
      <c r="B365" s="3" t="s">
        <v>912</v>
      </c>
      <c r="C365" s="3" t="s">
        <v>464</v>
      </c>
      <c r="D365" s="1" t="s">
        <v>1096</v>
      </c>
      <c r="E365" s="7">
        <v>0.84</v>
      </c>
      <c r="F365" s="3">
        <v>1.36</v>
      </c>
      <c r="G365" s="1" t="s">
        <v>22</v>
      </c>
      <c r="H365" s="1" t="s">
        <v>1175</v>
      </c>
      <c r="I365" s="2" t="s">
        <v>1152</v>
      </c>
    </row>
    <row r="366" spans="1:9">
      <c r="A366" s="6">
        <v>43466</v>
      </c>
      <c r="B366" s="3" t="s">
        <v>841</v>
      </c>
      <c r="C366" s="3" t="s">
        <v>915</v>
      </c>
      <c r="D366" s="1" t="s">
        <v>580</v>
      </c>
      <c r="E366" s="7">
        <v>0.84</v>
      </c>
      <c r="F366" s="3">
        <v>1.36</v>
      </c>
      <c r="G366" s="1" t="s">
        <v>11</v>
      </c>
      <c r="H366" s="1" t="s">
        <v>1175</v>
      </c>
      <c r="I366" s="2" t="s">
        <v>1152</v>
      </c>
    </row>
    <row r="367" spans="1:9">
      <c r="A367" s="6">
        <v>43427</v>
      </c>
      <c r="B367" s="3" t="s">
        <v>75</v>
      </c>
      <c r="C367" s="3" t="s">
        <v>76</v>
      </c>
      <c r="D367" s="1" t="s">
        <v>77</v>
      </c>
      <c r="E367" s="7">
        <v>0.84</v>
      </c>
      <c r="F367" s="3">
        <v>1.35</v>
      </c>
      <c r="G367" s="1" t="s">
        <v>11</v>
      </c>
      <c r="H367" s="1" t="s">
        <v>1181</v>
      </c>
      <c r="I367" s="2" t="s">
        <v>1153</v>
      </c>
    </row>
    <row r="368" spans="1:9">
      <c r="A368" s="6">
        <v>43428</v>
      </c>
      <c r="B368" s="3" t="s">
        <v>224</v>
      </c>
      <c r="C368" s="3" t="s">
        <v>225</v>
      </c>
      <c r="D368" s="1" t="s">
        <v>141</v>
      </c>
      <c r="E368" s="7">
        <v>0.84</v>
      </c>
      <c r="F368" s="3">
        <v>1.35</v>
      </c>
      <c r="G368" s="1" t="s">
        <v>11</v>
      </c>
      <c r="H368" s="1" t="s">
        <v>1180</v>
      </c>
      <c r="I368" s="2" t="s">
        <v>1154</v>
      </c>
    </row>
    <row r="369" spans="1:9">
      <c r="A369" s="6">
        <v>43438</v>
      </c>
      <c r="B369" s="3" t="s">
        <v>695</v>
      </c>
      <c r="C369" s="3" t="s">
        <v>696</v>
      </c>
      <c r="D369" s="1" t="s">
        <v>689</v>
      </c>
      <c r="E369" s="7">
        <v>0.84</v>
      </c>
      <c r="F369" s="3">
        <v>1.35</v>
      </c>
      <c r="G369" s="1" t="s">
        <v>22</v>
      </c>
      <c r="H369" s="1" t="s">
        <v>1185</v>
      </c>
      <c r="I369" s="2" t="s">
        <v>1152</v>
      </c>
    </row>
    <row r="370" spans="1:9">
      <c r="A370" s="6">
        <v>43438</v>
      </c>
      <c r="B370" s="3" t="s">
        <v>702</v>
      </c>
      <c r="C370" s="3" t="s">
        <v>703</v>
      </c>
      <c r="D370" s="1" t="s">
        <v>704</v>
      </c>
      <c r="E370" s="7">
        <v>0.84</v>
      </c>
      <c r="F370" s="3">
        <v>1.35</v>
      </c>
      <c r="G370" s="1" t="s">
        <v>11</v>
      </c>
      <c r="H370" s="1" t="s">
        <v>1177</v>
      </c>
      <c r="I370" s="2" t="s">
        <v>1154</v>
      </c>
    </row>
    <row r="371" spans="1:9">
      <c r="A371" s="6">
        <v>43446</v>
      </c>
      <c r="B371" s="3" t="s">
        <v>930</v>
      </c>
      <c r="C371" s="3" t="s">
        <v>844</v>
      </c>
      <c r="D371" s="1" t="s">
        <v>201</v>
      </c>
      <c r="E371" s="7">
        <v>0.84</v>
      </c>
      <c r="F371" s="3">
        <v>1.35</v>
      </c>
      <c r="G371" s="1" t="s">
        <v>11</v>
      </c>
      <c r="H371" s="1" t="s">
        <v>1174</v>
      </c>
      <c r="I371" s="2" t="s">
        <v>1154</v>
      </c>
    </row>
    <row r="372" spans="1:9">
      <c r="A372" s="6">
        <v>43455</v>
      </c>
      <c r="B372" s="3" t="s">
        <v>772</v>
      </c>
      <c r="C372" s="3" t="s">
        <v>1045</v>
      </c>
      <c r="D372" s="1" t="s">
        <v>184</v>
      </c>
      <c r="E372" s="7">
        <v>0.84</v>
      </c>
      <c r="F372" s="3">
        <v>1.35</v>
      </c>
      <c r="G372" s="1" t="s">
        <v>11</v>
      </c>
      <c r="H372" s="1" t="s">
        <v>1200</v>
      </c>
      <c r="I372" s="2" t="s">
        <v>1154</v>
      </c>
    </row>
    <row r="373" spans="1:9">
      <c r="A373" s="6">
        <v>43456</v>
      </c>
      <c r="B373" s="3" t="s">
        <v>744</v>
      </c>
      <c r="C373" s="3" t="s">
        <v>233</v>
      </c>
      <c r="D373" s="1" t="s">
        <v>235</v>
      </c>
      <c r="E373" s="7">
        <v>0.84</v>
      </c>
      <c r="F373" s="3">
        <v>1.35</v>
      </c>
      <c r="G373" s="1" t="s">
        <v>22</v>
      </c>
      <c r="H373" s="1" t="s">
        <v>1175</v>
      </c>
      <c r="I373" s="2" t="s">
        <v>1152</v>
      </c>
    </row>
    <row r="374" spans="1:9">
      <c r="A374" s="6">
        <v>43456</v>
      </c>
      <c r="B374" s="3" t="s">
        <v>744</v>
      </c>
      <c r="C374" s="3" t="s">
        <v>233</v>
      </c>
      <c r="D374" s="1" t="s">
        <v>235</v>
      </c>
      <c r="E374" s="7">
        <v>0.84</v>
      </c>
      <c r="F374" s="3">
        <v>1.35</v>
      </c>
      <c r="G374" s="1" t="s">
        <v>22</v>
      </c>
      <c r="H374" s="1" t="s">
        <v>1175</v>
      </c>
      <c r="I374" s="2" t="s">
        <v>1152</v>
      </c>
    </row>
    <row r="375" spans="1:9">
      <c r="A375" s="6">
        <v>43446</v>
      </c>
      <c r="B375" s="3" t="s">
        <v>773</v>
      </c>
      <c r="C375" s="3" t="s">
        <v>183</v>
      </c>
      <c r="D375" s="1" t="s">
        <v>184</v>
      </c>
      <c r="E375" s="7">
        <v>0.84</v>
      </c>
      <c r="F375" s="3">
        <v>1.34</v>
      </c>
      <c r="G375" s="1" t="s">
        <v>22</v>
      </c>
      <c r="H375" s="1" t="s">
        <v>1176</v>
      </c>
      <c r="I375" s="2" t="s">
        <v>1154</v>
      </c>
    </row>
    <row r="376" spans="1:9">
      <c r="A376" s="6">
        <v>43428</v>
      </c>
      <c r="B376" s="3" t="s">
        <v>126</v>
      </c>
      <c r="C376" s="3" t="s">
        <v>127</v>
      </c>
      <c r="D376" s="1" t="s">
        <v>128</v>
      </c>
      <c r="E376" s="7">
        <v>0.84</v>
      </c>
      <c r="F376" s="3">
        <v>1.33</v>
      </c>
      <c r="G376" s="1" t="s">
        <v>22</v>
      </c>
      <c r="H376" s="1" t="s">
        <v>1178</v>
      </c>
      <c r="I376" s="2" t="s">
        <v>1154</v>
      </c>
    </row>
    <row r="377" spans="1:9">
      <c r="A377" s="6">
        <v>43428</v>
      </c>
      <c r="B377" s="3" t="s">
        <v>104</v>
      </c>
      <c r="C377" s="3" t="s">
        <v>105</v>
      </c>
      <c r="D377" s="1" t="s">
        <v>62</v>
      </c>
      <c r="E377" s="7">
        <v>0.84</v>
      </c>
      <c r="F377" s="3">
        <v>1.32</v>
      </c>
      <c r="G377" s="1" t="s">
        <v>11</v>
      </c>
      <c r="H377" s="1" t="s">
        <v>1177</v>
      </c>
      <c r="I377" s="2" t="s">
        <v>1154</v>
      </c>
    </row>
    <row r="378" spans="1:9">
      <c r="A378" s="6">
        <v>43440</v>
      </c>
      <c r="B378" s="3" t="s">
        <v>755</v>
      </c>
      <c r="C378" s="3" t="s">
        <v>756</v>
      </c>
      <c r="D378" s="1" t="s">
        <v>757</v>
      </c>
      <c r="E378" s="7">
        <v>0.84</v>
      </c>
      <c r="F378" s="3">
        <v>1.31</v>
      </c>
      <c r="G378" s="1" t="s">
        <v>22</v>
      </c>
      <c r="H378" s="1" t="s">
        <v>1188</v>
      </c>
      <c r="I378" s="2" t="s">
        <v>1154</v>
      </c>
    </row>
    <row r="379" spans="1:9">
      <c r="A379" s="6">
        <v>43432</v>
      </c>
      <c r="B379" s="3" t="s">
        <v>480</v>
      </c>
      <c r="C379" s="3" t="s">
        <v>481</v>
      </c>
      <c r="D379" s="1" t="s">
        <v>446</v>
      </c>
      <c r="E379" s="7">
        <v>0.83</v>
      </c>
      <c r="F379" s="3">
        <v>1.47</v>
      </c>
      <c r="G379" s="1" t="s">
        <v>22</v>
      </c>
      <c r="H379" s="1" t="s">
        <v>1184</v>
      </c>
      <c r="I379" s="2" t="s">
        <v>1154</v>
      </c>
    </row>
    <row r="380" spans="1:9">
      <c r="A380" s="6">
        <v>43436</v>
      </c>
      <c r="B380" s="3" t="s">
        <v>496</v>
      </c>
      <c r="C380" s="3" t="s">
        <v>632</v>
      </c>
      <c r="D380" s="1" t="s">
        <v>278</v>
      </c>
      <c r="E380" s="7">
        <v>0.83</v>
      </c>
      <c r="F380" s="3">
        <v>1.47</v>
      </c>
      <c r="G380" s="1" t="s">
        <v>11</v>
      </c>
      <c r="H380" s="1" t="s">
        <v>1173</v>
      </c>
      <c r="I380" s="2" t="s">
        <v>1154</v>
      </c>
    </row>
    <row r="381" spans="1:9">
      <c r="A381" s="6">
        <v>43443</v>
      </c>
      <c r="B381" s="3" t="s">
        <v>262</v>
      </c>
      <c r="C381" s="3" t="s">
        <v>493</v>
      </c>
      <c r="D381" s="1" t="s">
        <v>214</v>
      </c>
      <c r="E381" s="7">
        <v>0.83</v>
      </c>
      <c r="F381" s="3">
        <v>1.47</v>
      </c>
      <c r="G381" s="1" t="s">
        <v>22</v>
      </c>
      <c r="H381" s="1" t="s">
        <v>1175</v>
      </c>
      <c r="I381" s="2" t="s">
        <v>1152</v>
      </c>
    </row>
    <row r="382" spans="1:9">
      <c r="A382" s="6">
        <v>43450</v>
      </c>
      <c r="B382" s="3" t="s">
        <v>977</v>
      </c>
      <c r="C382" s="3" t="s">
        <v>511</v>
      </c>
      <c r="D382" s="1" t="s">
        <v>193</v>
      </c>
      <c r="E382" s="7">
        <v>0.83</v>
      </c>
      <c r="F382" s="3">
        <v>1.47</v>
      </c>
      <c r="G382" s="1" t="s">
        <v>22</v>
      </c>
      <c r="H382" s="1" t="s">
        <v>1178</v>
      </c>
      <c r="I382" s="2" t="s">
        <v>1154</v>
      </c>
    </row>
    <row r="383" spans="1:9">
      <c r="A383" s="6">
        <v>43463</v>
      </c>
      <c r="B383" s="3" t="s">
        <v>963</v>
      </c>
      <c r="C383" s="3" t="s">
        <v>170</v>
      </c>
      <c r="D383" s="1" t="s">
        <v>138</v>
      </c>
      <c r="E383" s="7">
        <v>0.83</v>
      </c>
      <c r="F383" s="3">
        <v>1.47</v>
      </c>
      <c r="G383" s="1" t="s">
        <v>11</v>
      </c>
      <c r="H383" s="1" t="s">
        <v>1173</v>
      </c>
      <c r="I383" s="2" t="s">
        <v>1154</v>
      </c>
    </row>
    <row r="384" spans="1:9">
      <c r="A384" s="6">
        <v>43428</v>
      </c>
      <c r="B384" s="3" t="s">
        <v>290</v>
      </c>
      <c r="C384" s="3" t="s">
        <v>291</v>
      </c>
      <c r="D384" s="1" t="s">
        <v>292</v>
      </c>
      <c r="E384" s="7">
        <v>0.83</v>
      </c>
      <c r="F384" s="3">
        <v>1.46</v>
      </c>
      <c r="G384" s="1" t="s">
        <v>11</v>
      </c>
      <c r="H384" s="1" t="s">
        <v>1176</v>
      </c>
      <c r="I384" s="2" t="s">
        <v>1153</v>
      </c>
    </row>
    <row r="385" spans="1:9">
      <c r="A385" s="6">
        <v>43440</v>
      </c>
      <c r="B385" s="3" t="s">
        <v>752</v>
      </c>
      <c r="C385" s="3" t="s">
        <v>638</v>
      </c>
      <c r="D385" s="1" t="s">
        <v>476</v>
      </c>
      <c r="E385" s="7">
        <v>0.83</v>
      </c>
      <c r="F385" s="3">
        <v>1.46</v>
      </c>
      <c r="G385" s="1" t="s">
        <v>11</v>
      </c>
      <c r="H385" s="1" t="s">
        <v>1177</v>
      </c>
      <c r="I385" s="2" t="s">
        <v>1154</v>
      </c>
    </row>
    <row r="386" spans="1:9">
      <c r="A386" s="6">
        <v>43463</v>
      </c>
      <c r="B386" s="3" t="s">
        <v>198</v>
      </c>
      <c r="C386" s="3" t="s">
        <v>33</v>
      </c>
      <c r="D386" s="1" t="s">
        <v>193</v>
      </c>
      <c r="E386" s="7">
        <v>0.83</v>
      </c>
      <c r="F386" s="3">
        <v>1.46</v>
      </c>
      <c r="G386" s="1" t="s">
        <v>11</v>
      </c>
      <c r="H386" s="1" t="s">
        <v>1198</v>
      </c>
      <c r="I386" s="2" t="s">
        <v>1154</v>
      </c>
    </row>
    <row r="387" spans="1:9">
      <c r="A387" s="6">
        <v>43467</v>
      </c>
      <c r="B387" s="3" t="s">
        <v>389</v>
      </c>
      <c r="C387" s="3" t="s">
        <v>1126</v>
      </c>
      <c r="D387" s="1" t="s">
        <v>10</v>
      </c>
      <c r="E387" s="7">
        <v>0.83</v>
      </c>
      <c r="F387" s="3">
        <v>1.46</v>
      </c>
      <c r="G387" s="1" t="s">
        <v>11</v>
      </c>
      <c r="H387" s="1" t="s">
        <v>1180</v>
      </c>
      <c r="I387" s="2" t="s">
        <v>1154</v>
      </c>
    </row>
    <row r="388" spans="1:9">
      <c r="A388" s="6">
        <v>43429</v>
      </c>
      <c r="B388" s="3" t="s">
        <v>361</v>
      </c>
      <c r="C388" s="3" t="s">
        <v>362</v>
      </c>
      <c r="D388" s="1" t="s">
        <v>56</v>
      </c>
      <c r="E388" s="7">
        <v>0.83</v>
      </c>
      <c r="F388" s="3">
        <v>1.44</v>
      </c>
      <c r="G388" s="1" t="s">
        <v>11</v>
      </c>
      <c r="H388" s="1" t="s">
        <v>1182</v>
      </c>
      <c r="I388" s="2" t="s">
        <v>1154</v>
      </c>
    </row>
    <row r="389" spans="1:9">
      <c r="A389" s="6">
        <v>43433</v>
      </c>
      <c r="B389" s="3" t="s">
        <v>492</v>
      </c>
      <c r="C389" s="3" t="s">
        <v>493</v>
      </c>
      <c r="D389" s="1" t="s">
        <v>491</v>
      </c>
      <c r="E389" s="7">
        <v>0.83</v>
      </c>
      <c r="F389" s="3">
        <v>1.44</v>
      </c>
      <c r="G389" s="1" t="s">
        <v>11</v>
      </c>
      <c r="H389" s="1" t="s">
        <v>1180</v>
      </c>
      <c r="I389" s="2" t="s">
        <v>1154</v>
      </c>
    </row>
    <row r="390" spans="1:9">
      <c r="A390" s="6">
        <v>43435</v>
      </c>
      <c r="B390" s="3" t="s">
        <v>91</v>
      </c>
      <c r="C390" s="3" t="s">
        <v>467</v>
      </c>
      <c r="D390" s="1" t="s">
        <v>92</v>
      </c>
      <c r="E390" s="7">
        <v>0.83</v>
      </c>
      <c r="F390" s="3">
        <v>1.44</v>
      </c>
      <c r="G390" s="1" t="s">
        <v>11</v>
      </c>
      <c r="H390" s="1" t="s">
        <v>1177</v>
      </c>
      <c r="I390" s="2" t="s">
        <v>1154</v>
      </c>
    </row>
    <row r="391" spans="1:9">
      <c r="A391" s="6">
        <v>43436</v>
      </c>
      <c r="B391" s="3" t="s">
        <v>653</v>
      </c>
      <c r="C391" s="3" t="s">
        <v>654</v>
      </c>
      <c r="D391" s="1" t="s">
        <v>167</v>
      </c>
      <c r="E391" s="7">
        <v>0.83</v>
      </c>
      <c r="F391" s="3">
        <v>1.44</v>
      </c>
      <c r="G391" s="1" t="s">
        <v>11</v>
      </c>
      <c r="H391" s="1" t="s">
        <v>1177</v>
      </c>
      <c r="I391" s="2" t="s">
        <v>1154</v>
      </c>
    </row>
    <row r="392" spans="1:9">
      <c r="A392" s="6">
        <v>43439</v>
      </c>
      <c r="B392" s="3" t="s">
        <v>220</v>
      </c>
      <c r="C392" s="3" t="s">
        <v>745</v>
      </c>
      <c r="D392" s="1" t="s">
        <v>138</v>
      </c>
      <c r="E392" s="7">
        <v>0.83</v>
      </c>
      <c r="F392" s="3">
        <v>1.44</v>
      </c>
      <c r="G392" s="1" t="s">
        <v>11</v>
      </c>
      <c r="H392" s="1" t="s">
        <v>1176</v>
      </c>
      <c r="I392" s="2" t="s">
        <v>1153</v>
      </c>
    </row>
    <row r="393" spans="1:9">
      <c r="A393" s="6">
        <v>43442</v>
      </c>
      <c r="B393" s="3" t="s">
        <v>730</v>
      </c>
      <c r="C393" s="3" t="s">
        <v>710</v>
      </c>
      <c r="D393" s="1" t="s">
        <v>529</v>
      </c>
      <c r="E393" s="7">
        <v>0.83</v>
      </c>
      <c r="F393" s="3">
        <v>1.44</v>
      </c>
      <c r="G393" s="1" t="s">
        <v>11</v>
      </c>
      <c r="H393" s="1" t="s">
        <v>1185</v>
      </c>
      <c r="I393" s="2" t="s">
        <v>1152</v>
      </c>
    </row>
    <row r="394" spans="1:9">
      <c r="A394" s="6">
        <v>43449</v>
      </c>
      <c r="B394" s="3" t="s">
        <v>389</v>
      </c>
      <c r="C394" s="3" t="s">
        <v>948</v>
      </c>
      <c r="D394" s="1" t="s">
        <v>10</v>
      </c>
      <c r="E394" s="7">
        <v>0.83</v>
      </c>
      <c r="F394" s="3">
        <v>1.44</v>
      </c>
      <c r="G394" s="1" t="s">
        <v>11</v>
      </c>
      <c r="H394" s="1" t="s">
        <v>1176</v>
      </c>
      <c r="I394" s="2" t="s">
        <v>1153</v>
      </c>
    </row>
    <row r="395" spans="1:9">
      <c r="A395" s="6">
        <v>43450</v>
      </c>
      <c r="B395" s="3" t="s">
        <v>377</v>
      </c>
      <c r="C395" s="3" t="s">
        <v>400</v>
      </c>
      <c r="D395" s="1" t="s">
        <v>92</v>
      </c>
      <c r="E395" s="7">
        <v>0.83</v>
      </c>
      <c r="F395" s="3">
        <v>1.44</v>
      </c>
      <c r="G395" s="1" t="s">
        <v>11</v>
      </c>
      <c r="H395" s="1" t="s">
        <v>1177</v>
      </c>
      <c r="I395" s="2" t="s">
        <v>1154</v>
      </c>
    </row>
    <row r="396" spans="1:9">
      <c r="A396" s="6">
        <v>43463</v>
      </c>
      <c r="B396" s="3" t="s">
        <v>1110</v>
      </c>
      <c r="C396" s="3" t="s">
        <v>444</v>
      </c>
      <c r="D396" s="1" t="s">
        <v>446</v>
      </c>
      <c r="E396" s="7">
        <v>0.83</v>
      </c>
      <c r="F396" s="3">
        <v>1.44</v>
      </c>
      <c r="G396" s="1" t="s">
        <v>22</v>
      </c>
      <c r="H396" s="1" t="s">
        <v>1185</v>
      </c>
      <c r="I396" s="2" t="s">
        <v>1152</v>
      </c>
    </row>
    <row r="397" spans="1:9">
      <c r="A397" s="6">
        <v>43440</v>
      </c>
      <c r="B397" s="3" t="s">
        <v>90</v>
      </c>
      <c r="C397" s="3" t="s">
        <v>67</v>
      </c>
      <c r="D397" s="1" t="s">
        <v>476</v>
      </c>
      <c r="E397" s="7">
        <v>0.83</v>
      </c>
      <c r="F397" s="3">
        <v>1.43</v>
      </c>
      <c r="G397" s="1" t="s">
        <v>11</v>
      </c>
      <c r="H397" s="1" t="s">
        <v>1185</v>
      </c>
      <c r="I397" s="2" t="s">
        <v>1152</v>
      </c>
    </row>
    <row r="398" spans="1:9">
      <c r="A398" s="6">
        <v>43440</v>
      </c>
      <c r="B398" s="3" t="s">
        <v>132</v>
      </c>
      <c r="C398" s="3" t="s">
        <v>776</v>
      </c>
      <c r="D398" s="1" t="s">
        <v>724</v>
      </c>
      <c r="E398" s="7">
        <v>0.83</v>
      </c>
      <c r="F398" s="3">
        <v>1.43</v>
      </c>
      <c r="G398" s="1" t="s">
        <v>11</v>
      </c>
      <c r="H398" s="1" t="s">
        <v>1173</v>
      </c>
      <c r="I398" s="2" t="s">
        <v>1154</v>
      </c>
    </row>
    <row r="399" spans="1:9">
      <c r="A399" s="6">
        <v>43452</v>
      </c>
      <c r="B399" s="3" t="s">
        <v>32</v>
      </c>
      <c r="C399" s="3" t="s">
        <v>1029</v>
      </c>
      <c r="D399" s="1" t="s">
        <v>15</v>
      </c>
      <c r="E399" s="7">
        <v>0.83</v>
      </c>
      <c r="F399" s="3">
        <v>1.43</v>
      </c>
      <c r="G399" s="1" t="s">
        <v>11</v>
      </c>
      <c r="H399" s="1" t="s">
        <v>1185</v>
      </c>
      <c r="I399" s="2" t="s">
        <v>1152</v>
      </c>
    </row>
    <row r="400" spans="1:9">
      <c r="A400" s="6">
        <v>43436</v>
      </c>
      <c r="B400" s="3" t="s">
        <v>620</v>
      </c>
      <c r="C400" s="3" t="s">
        <v>20</v>
      </c>
      <c r="D400" s="1" t="s">
        <v>15</v>
      </c>
      <c r="E400" s="7">
        <v>0.83</v>
      </c>
      <c r="F400" s="3">
        <v>1.42</v>
      </c>
      <c r="G400" s="1" t="s">
        <v>11</v>
      </c>
      <c r="H400" s="1" t="s">
        <v>1176</v>
      </c>
      <c r="I400" s="2" t="s">
        <v>1153</v>
      </c>
    </row>
    <row r="401" spans="1:9">
      <c r="A401" s="6">
        <v>43436</v>
      </c>
      <c r="B401" s="3" t="s">
        <v>620</v>
      </c>
      <c r="C401" s="3" t="s">
        <v>20</v>
      </c>
      <c r="D401" s="1" t="s">
        <v>15</v>
      </c>
      <c r="E401" s="7">
        <v>0.83</v>
      </c>
      <c r="F401" s="3">
        <v>1.42</v>
      </c>
      <c r="G401" s="1" t="s">
        <v>11</v>
      </c>
      <c r="H401" s="1" t="s">
        <v>1176</v>
      </c>
      <c r="I401" s="2" t="s">
        <v>1153</v>
      </c>
    </row>
    <row r="402" spans="1:9">
      <c r="A402" s="6">
        <v>43442</v>
      </c>
      <c r="B402" s="3" t="s">
        <v>514</v>
      </c>
      <c r="C402" s="3" t="s">
        <v>859</v>
      </c>
      <c r="D402" s="1" t="s">
        <v>278</v>
      </c>
      <c r="E402" s="7">
        <v>0.83</v>
      </c>
      <c r="F402" s="3">
        <v>1.42</v>
      </c>
      <c r="G402" s="1" t="s">
        <v>11</v>
      </c>
      <c r="H402" s="1" t="s">
        <v>1185</v>
      </c>
      <c r="I402" s="2" t="s">
        <v>1152</v>
      </c>
    </row>
    <row r="403" spans="1:9">
      <c r="A403" s="6">
        <v>43449</v>
      </c>
      <c r="B403" s="3" t="s">
        <v>584</v>
      </c>
      <c r="C403" s="3" t="s">
        <v>436</v>
      </c>
      <c r="D403" s="1" t="s">
        <v>219</v>
      </c>
      <c r="E403" s="7">
        <v>0.83</v>
      </c>
      <c r="F403" s="3">
        <v>1.42</v>
      </c>
      <c r="G403" s="1" t="s">
        <v>11</v>
      </c>
      <c r="H403" s="1" t="s">
        <v>1172</v>
      </c>
      <c r="I403" s="2" t="s">
        <v>1154</v>
      </c>
    </row>
    <row r="404" spans="1:9">
      <c r="A404" s="6">
        <v>43474</v>
      </c>
      <c r="B404" s="3" t="s">
        <v>91</v>
      </c>
      <c r="C404" s="3" t="s">
        <v>1219</v>
      </c>
      <c r="D404" s="1" t="s">
        <v>476</v>
      </c>
      <c r="E404" s="7">
        <v>0.83</v>
      </c>
      <c r="F404" s="3">
        <v>1.42</v>
      </c>
      <c r="G404" s="1" t="s">
        <v>11</v>
      </c>
      <c r="H404" s="1" t="s">
        <v>1182</v>
      </c>
      <c r="I404" s="3" t="s">
        <v>1154</v>
      </c>
    </row>
    <row r="405" spans="1:9">
      <c r="A405" s="6">
        <v>43428</v>
      </c>
      <c r="B405" s="3" t="s">
        <v>194</v>
      </c>
      <c r="C405" s="3" t="s">
        <v>195</v>
      </c>
      <c r="D405" s="1" t="s">
        <v>138</v>
      </c>
      <c r="E405" s="7">
        <v>0.83</v>
      </c>
      <c r="F405" s="3">
        <v>1.4</v>
      </c>
      <c r="G405" s="1" t="s">
        <v>11</v>
      </c>
      <c r="H405" s="1" t="s">
        <v>1185</v>
      </c>
      <c r="I405" s="2" t="s">
        <v>1152</v>
      </c>
    </row>
    <row r="406" spans="1:9">
      <c r="A406" s="6">
        <v>43435</v>
      </c>
      <c r="B406" s="3" t="s">
        <v>591</v>
      </c>
      <c r="C406" s="3" t="s">
        <v>592</v>
      </c>
      <c r="D406" s="1" t="s">
        <v>265</v>
      </c>
      <c r="E406" s="7">
        <v>0.83</v>
      </c>
      <c r="F406" s="3">
        <v>1.4</v>
      </c>
      <c r="G406" s="1" t="s">
        <v>11</v>
      </c>
      <c r="H406" s="1" t="s">
        <v>1184</v>
      </c>
      <c r="I406" s="2" t="s">
        <v>1153</v>
      </c>
    </row>
    <row r="407" spans="1:9">
      <c r="A407" s="6">
        <v>43428</v>
      </c>
      <c r="B407" s="3" t="s">
        <v>142</v>
      </c>
      <c r="C407" s="3" t="s">
        <v>143</v>
      </c>
      <c r="D407" s="1" t="s">
        <v>144</v>
      </c>
      <c r="E407" s="7">
        <v>0.83</v>
      </c>
      <c r="F407" s="3">
        <v>1.39</v>
      </c>
      <c r="G407" s="1" t="s">
        <v>11</v>
      </c>
      <c r="H407" s="1" t="s">
        <v>1180</v>
      </c>
      <c r="I407" s="2" t="s">
        <v>1154</v>
      </c>
    </row>
    <row r="408" spans="1:9">
      <c r="A408" s="6">
        <v>43443</v>
      </c>
      <c r="B408" s="3" t="s">
        <v>596</v>
      </c>
      <c r="C408" s="3" t="s">
        <v>365</v>
      </c>
      <c r="D408" s="1" t="s">
        <v>265</v>
      </c>
      <c r="E408" s="7">
        <v>0.83</v>
      </c>
      <c r="F408" s="3">
        <v>1.39</v>
      </c>
      <c r="G408" s="1" t="s">
        <v>22</v>
      </c>
      <c r="H408" s="1" t="s">
        <v>1193</v>
      </c>
      <c r="I408" s="2" t="s">
        <v>1154</v>
      </c>
    </row>
    <row r="409" spans="1:9">
      <c r="A409" s="6">
        <v>43465</v>
      </c>
      <c r="B409" s="3" t="s">
        <v>673</v>
      </c>
      <c r="C409" s="3" t="s">
        <v>780</v>
      </c>
      <c r="D409" s="1" t="s">
        <v>674</v>
      </c>
      <c r="E409" s="7">
        <v>0.83</v>
      </c>
      <c r="F409" s="3">
        <v>1.39</v>
      </c>
      <c r="G409" s="1" t="s">
        <v>22</v>
      </c>
      <c r="H409" s="1" t="s">
        <v>1188</v>
      </c>
      <c r="I409" s="2" t="s">
        <v>1154</v>
      </c>
    </row>
    <row r="410" spans="1:9">
      <c r="A410" s="6">
        <v>43465</v>
      </c>
      <c r="B410" s="3" t="s">
        <v>1116</v>
      </c>
      <c r="C410" s="3" t="s">
        <v>1117</v>
      </c>
      <c r="D410" s="1" t="s">
        <v>1019</v>
      </c>
      <c r="E410" s="7">
        <v>0.83</v>
      </c>
      <c r="F410" s="3">
        <v>1.39</v>
      </c>
      <c r="G410" s="1" t="s">
        <v>11</v>
      </c>
      <c r="H410" s="1" t="s">
        <v>1175</v>
      </c>
      <c r="I410" s="2" t="s">
        <v>1152</v>
      </c>
    </row>
    <row r="411" spans="1:9">
      <c r="A411" s="6">
        <v>43467</v>
      </c>
      <c r="B411" s="3" t="s">
        <v>1070</v>
      </c>
      <c r="C411" s="3" t="s">
        <v>1127</v>
      </c>
      <c r="D411" s="1" t="s">
        <v>714</v>
      </c>
      <c r="E411" s="7">
        <v>0.83</v>
      </c>
      <c r="F411" s="3">
        <v>1.39</v>
      </c>
      <c r="G411" s="1" t="s">
        <v>11</v>
      </c>
      <c r="H411" s="1" t="s">
        <v>1182</v>
      </c>
      <c r="I411" s="2" t="s">
        <v>1154</v>
      </c>
    </row>
    <row r="412" spans="1:9">
      <c r="A412" s="6">
        <v>43430</v>
      </c>
      <c r="B412" s="3" t="s">
        <v>417</v>
      </c>
      <c r="C412" s="3" t="s">
        <v>418</v>
      </c>
      <c r="D412" s="1" t="s">
        <v>419</v>
      </c>
      <c r="E412" s="7">
        <v>0.83</v>
      </c>
      <c r="F412" s="3">
        <v>1.38</v>
      </c>
      <c r="G412" s="1" t="s">
        <v>11</v>
      </c>
      <c r="H412" s="1" t="s">
        <v>1180</v>
      </c>
      <c r="I412" s="2" t="s">
        <v>1154</v>
      </c>
    </row>
    <row r="413" spans="1:9">
      <c r="A413" s="6">
        <v>43442</v>
      </c>
      <c r="B413" s="3" t="s">
        <v>829</v>
      </c>
      <c r="C413" s="3" t="s">
        <v>830</v>
      </c>
      <c r="D413" s="1" t="s">
        <v>559</v>
      </c>
      <c r="E413" s="7">
        <v>0.83</v>
      </c>
      <c r="F413" s="3">
        <v>1.38</v>
      </c>
      <c r="G413" s="1" t="s">
        <v>11</v>
      </c>
      <c r="H413" s="1" t="s">
        <v>1180</v>
      </c>
      <c r="I413" s="2" t="s">
        <v>1154</v>
      </c>
    </row>
    <row r="414" spans="1:9">
      <c r="A414" s="6">
        <v>43476</v>
      </c>
      <c r="B414" s="3" t="s">
        <v>183</v>
      </c>
      <c r="C414" s="3" t="s">
        <v>842</v>
      </c>
      <c r="D414" s="1" t="s">
        <v>184</v>
      </c>
      <c r="E414" s="7">
        <v>0.83</v>
      </c>
      <c r="F414" s="3">
        <v>1.38</v>
      </c>
      <c r="G414" s="1" t="s">
        <v>11</v>
      </c>
      <c r="H414" s="1" t="s">
        <v>1175</v>
      </c>
      <c r="I414" s="3" t="s">
        <v>1152</v>
      </c>
    </row>
    <row r="415" spans="1:9">
      <c r="A415" s="6">
        <v>43428</v>
      </c>
      <c r="B415" s="3" t="s">
        <v>176</v>
      </c>
      <c r="C415" s="3" t="s">
        <v>177</v>
      </c>
      <c r="D415" s="1" t="s">
        <v>141</v>
      </c>
      <c r="E415" s="7">
        <v>0.83</v>
      </c>
      <c r="F415" s="3">
        <v>1.37</v>
      </c>
      <c r="G415" s="1" t="s">
        <v>22</v>
      </c>
      <c r="H415" s="1" t="s">
        <v>1188</v>
      </c>
      <c r="I415" s="2" t="s">
        <v>1154</v>
      </c>
    </row>
    <row r="416" spans="1:9">
      <c r="A416" s="6">
        <v>43428</v>
      </c>
      <c r="B416" s="3" t="s">
        <v>168</v>
      </c>
      <c r="C416" s="3" t="s">
        <v>169</v>
      </c>
      <c r="D416" s="1" t="s">
        <v>141</v>
      </c>
      <c r="E416" s="7">
        <v>0.83</v>
      </c>
      <c r="F416" s="3">
        <v>1.36</v>
      </c>
      <c r="G416" s="1" t="s">
        <v>22</v>
      </c>
      <c r="H416" s="1" t="s">
        <v>1178</v>
      </c>
      <c r="I416" s="2" t="s">
        <v>1154</v>
      </c>
    </row>
    <row r="417" spans="1:9">
      <c r="A417" s="6">
        <v>43429</v>
      </c>
      <c r="B417" s="3" t="s">
        <v>339</v>
      </c>
      <c r="C417" s="3" t="s">
        <v>340</v>
      </c>
      <c r="D417" s="1" t="s">
        <v>95</v>
      </c>
      <c r="E417" s="7">
        <v>0.83</v>
      </c>
      <c r="F417" s="3">
        <v>1.36</v>
      </c>
      <c r="G417" s="1" t="s">
        <v>11</v>
      </c>
      <c r="H417" s="1" t="s">
        <v>1175</v>
      </c>
      <c r="I417" s="2" t="s">
        <v>1152</v>
      </c>
    </row>
    <row r="418" spans="1:9">
      <c r="A418" s="6">
        <v>43434</v>
      </c>
      <c r="B418" s="3" t="s">
        <v>417</v>
      </c>
      <c r="C418" s="3" t="s">
        <v>507</v>
      </c>
      <c r="D418" s="1" t="s">
        <v>419</v>
      </c>
      <c r="E418" s="7">
        <v>0.83</v>
      </c>
      <c r="F418" s="3">
        <v>1.36</v>
      </c>
      <c r="G418" s="1" t="s">
        <v>11</v>
      </c>
      <c r="H418" s="1" t="s">
        <v>1173</v>
      </c>
      <c r="I418" s="2" t="s">
        <v>1154</v>
      </c>
    </row>
    <row r="419" spans="1:9">
      <c r="A419" s="6">
        <v>43441</v>
      </c>
      <c r="B419" s="3" t="s">
        <v>41</v>
      </c>
      <c r="C419" s="3" t="s">
        <v>82</v>
      </c>
      <c r="D419" s="1" t="s">
        <v>36</v>
      </c>
      <c r="E419" s="7">
        <v>0.83</v>
      </c>
      <c r="F419" s="3">
        <v>1.36</v>
      </c>
      <c r="G419" s="1" t="s">
        <v>11</v>
      </c>
      <c r="H419" s="1" t="s">
        <v>1179</v>
      </c>
      <c r="I419" s="2" t="s">
        <v>1152</v>
      </c>
    </row>
    <row r="420" spans="1:9">
      <c r="A420" s="6">
        <v>43443</v>
      </c>
      <c r="B420" s="3" t="s">
        <v>630</v>
      </c>
      <c r="C420" s="3" t="s">
        <v>332</v>
      </c>
      <c r="D420" s="1" t="s">
        <v>331</v>
      </c>
      <c r="E420" s="7">
        <v>0.83</v>
      </c>
      <c r="F420" s="3">
        <v>1.36</v>
      </c>
      <c r="G420" s="1" t="s">
        <v>11</v>
      </c>
      <c r="H420" s="1" t="s">
        <v>1199</v>
      </c>
      <c r="I420" s="2" t="s">
        <v>1153</v>
      </c>
    </row>
    <row r="421" spans="1:9">
      <c r="A421" s="6">
        <v>43452</v>
      </c>
      <c r="B421" s="3" t="s">
        <v>1020</v>
      </c>
      <c r="C421" s="3" t="s">
        <v>270</v>
      </c>
      <c r="D421" s="1" t="s">
        <v>1013</v>
      </c>
      <c r="E421" s="7">
        <v>0.83</v>
      </c>
      <c r="F421" s="3">
        <v>1.36</v>
      </c>
      <c r="G421" s="1" t="s">
        <v>22</v>
      </c>
      <c r="H421" s="1" t="s">
        <v>1179</v>
      </c>
      <c r="I421" s="2" t="s">
        <v>1152</v>
      </c>
    </row>
    <row r="422" spans="1:9">
      <c r="A422" s="6">
        <v>43455</v>
      </c>
      <c r="B422" s="3" t="s">
        <v>411</v>
      </c>
      <c r="C422" s="3" t="s">
        <v>198</v>
      </c>
      <c r="D422" s="1" t="s">
        <v>193</v>
      </c>
      <c r="E422" s="7">
        <v>0.82</v>
      </c>
      <c r="F422" s="3">
        <v>1.54</v>
      </c>
      <c r="G422" s="1" t="s">
        <v>22</v>
      </c>
      <c r="H422" s="1" t="s">
        <v>1184</v>
      </c>
      <c r="I422" s="2" t="s">
        <v>1154</v>
      </c>
    </row>
    <row r="423" spans="1:9">
      <c r="A423" s="6">
        <v>43463</v>
      </c>
      <c r="B423" s="3" t="s">
        <v>1023</v>
      </c>
      <c r="C423" s="3" t="s">
        <v>217</v>
      </c>
      <c r="D423" s="1" t="s">
        <v>193</v>
      </c>
      <c r="E423" s="7">
        <v>0.82</v>
      </c>
      <c r="F423" s="3">
        <v>1.53</v>
      </c>
      <c r="G423" s="1" t="s">
        <v>11</v>
      </c>
      <c r="H423" s="1" t="s">
        <v>1176</v>
      </c>
      <c r="I423" s="2" t="s">
        <v>1153</v>
      </c>
    </row>
    <row r="424" spans="1:9">
      <c r="A424" s="6">
        <v>43429</v>
      </c>
      <c r="B424" s="3" t="s">
        <v>379</v>
      </c>
      <c r="C424" s="3" t="s">
        <v>380</v>
      </c>
      <c r="D424" s="1" t="s">
        <v>326</v>
      </c>
      <c r="E424" s="7">
        <v>0.82</v>
      </c>
      <c r="F424" s="3">
        <v>1.51</v>
      </c>
      <c r="G424" s="1" t="s">
        <v>22</v>
      </c>
      <c r="H424" s="1" t="s">
        <v>1188</v>
      </c>
      <c r="I424" s="2" t="s">
        <v>1154</v>
      </c>
    </row>
    <row r="425" spans="1:9">
      <c r="A425" s="6">
        <v>43442</v>
      </c>
      <c r="B425" s="3" t="s">
        <v>855</v>
      </c>
      <c r="C425" s="3" t="s">
        <v>64</v>
      </c>
      <c r="D425" s="1" t="s">
        <v>65</v>
      </c>
      <c r="E425" s="7">
        <v>0.82</v>
      </c>
      <c r="F425" s="3">
        <v>1.51</v>
      </c>
      <c r="G425" s="1" t="s">
        <v>11</v>
      </c>
      <c r="H425" s="1" t="s">
        <v>1176</v>
      </c>
      <c r="I425" s="2" t="s">
        <v>1153</v>
      </c>
    </row>
    <row r="426" spans="1:9">
      <c r="A426" s="6">
        <v>43445</v>
      </c>
      <c r="B426" s="3" t="s">
        <v>479</v>
      </c>
      <c r="C426" s="3" t="s">
        <v>472</v>
      </c>
      <c r="D426" s="1" t="s">
        <v>462</v>
      </c>
      <c r="E426" s="7">
        <v>0.82</v>
      </c>
      <c r="F426" s="3">
        <v>1.51</v>
      </c>
      <c r="G426" s="1" t="s">
        <v>22</v>
      </c>
      <c r="H426" s="1" t="s">
        <v>1184</v>
      </c>
      <c r="I426" s="2" t="s">
        <v>1154</v>
      </c>
    </row>
    <row r="427" spans="1:9">
      <c r="A427" s="6">
        <v>43438</v>
      </c>
      <c r="B427" s="3" t="s">
        <v>399</v>
      </c>
      <c r="C427" s="3" t="s">
        <v>701</v>
      </c>
      <c r="D427" s="1" t="s">
        <v>476</v>
      </c>
      <c r="E427" s="7">
        <v>0.82</v>
      </c>
      <c r="F427" s="3">
        <v>1.5</v>
      </c>
      <c r="G427" s="1" t="s">
        <v>11</v>
      </c>
      <c r="H427" s="1" t="s">
        <v>1180</v>
      </c>
      <c r="I427" s="2" t="s">
        <v>1154</v>
      </c>
    </row>
    <row r="428" spans="1:9">
      <c r="A428" s="6">
        <v>43442</v>
      </c>
      <c r="B428" s="3" t="s">
        <v>212</v>
      </c>
      <c r="C428" s="3" t="s">
        <v>853</v>
      </c>
      <c r="D428" s="1" t="s">
        <v>214</v>
      </c>
      <c r="E428" s="7">
        <v>0.82</v>
      </c>
      <c r="F428" s="3">
        <v>1.5</v>
      </c>
      <c r="G428" s="1" t="s">
        <v>11</v>
      </c>
      <c r="H428" s="1" t="s">
        <v>1180</v>
      </c>
      <c r="I428" s="2" t="s">
        <v>1154</v>
      </c>
    </row>
    <row r="429" spans="1:9">
      <c r="A429" s="6">
        <v>43443</v>
      </c>
      <c r="B429" s="3" t="s">
        <v>701</v>
      </c>
      <c r="C429" s="3" t="s">
        <v>883</v>
      </c>
      <c r="D429" s="1" t="s">
        <v>68</v>
      </c>
      <c r="E429" s="7">
        <v>0.82</v>
      </c>
      <c r="F429" s="3">
        <v>1.5</v>
      </c>
      <c r="G429" s="1" t="s">
        <v>11</v>
      </c>
      <c r="H429" s="1" t="s">
        <v>1180</v>
      </c>
      <c r="I429" s="2" t="s">
        <v>1154</v>
      </c>
    </row>
    <row r="430" spans="1:9">
      <c r="A430" s="6">
        <v>43471</v>
      </c>
      <c r="B430" s="3" t="s">
        <v>23</v>
      </c>
      <c r="C430" s="3" t="s">
        <v>24</v>
      </c>
      <c r="D430" s="1" t="s">
        <v>25</v>
      </c>
      <c r="E430" s="7">
        <v>0.82</v>
      </c>
      <c r="F430" s="3">
        <v>1.5</v>
      </c>
      <c r="G430" s="1" t="s">
        <v>11</v>
      </c>
      <c r="H430" s="1" t="s">
        <v>1193</v>
      </c>
      <c r="I430" s="2" t="s">
        <v>1153</v>
      </c>
    </row>
    <row r="431" spans="1:9">
      <c r="A431" s="6">
        <v>43473</v>
      </c>
      <c r="B431" s="3" t="s">
        <v>1171</v>
      </c>
      <c r="C431" s="3" t="s">
        <v>132</v>
      </c>
      <c r="D431" s="1" t="s">
        <v>25</v>
      </c>
      <c r="E431" s="7">
        <v>0.82</v>
      </c>
      <c r="F431" s="3">
        <v>1.5</v>
      </c>
      <c r="G431" s="1" t="s">
        <v>11</v>
      </c>
      <c r="H431" s="1" t="s">
        <v>1186</v>
      </c>
      <c r="I431" s="2" t="s">
        <v>1154</v>
      </c>
    </row>
    <row r="432" spans="1:9">
      <c r="A432" s="6">
        <v>43436</v>
      </c>
      <c r="B432" s="3" t="s">
        <v>637</v>
      </c>
      <c r="C432" s="3" t="s">
        <v>638</v>
      </c>
      <c r="D432" s="1" t="s">
        <v>68</v>
      </c>
      <c r="E432" s="7">
        <v>0.82</v>
      </c>
      <c r="F432" s="3">
        <v>1.49</v>
      </c>
      <c r="G432" s="1" t="s">
        <v>11</v>
      </c>
      <c r="H432" s="1" t="s">
        <v>1180</v>
      </c>
      <c r="I432" s="2" t="s">
        <v>1154</v>
      </c>
    </row>
    <row r="433" spans="1:9">
      <c r="A433" s="6">
        <v>43442</v>
      </c>
      <c r="B433" s="3" t="s">
        <v>799</v>
      </c>
      <c r="C433" s="3" t="s">
        <v>800</v>
      </c>
      <c r="D433" s="1" t="s">
        <v>311</v>
      </c>
      <c r="E433" s="7">
        <v>0.82</v>
      </c>
      <c r="F433" s="3">
        <v>1.49</v>
      </c>
      <c r="G433" s="1" t="s">
        <v>11</v>
      </c>
      <c r="H433" s="1" t="s">
        <v>1176</v>
      </c>
      <c r="I433" s="2" t="s">
        <v>1153</v>
      </c>
    </row>
    <row r="434" spans="1:9">
      <c r="A434" s="6">
        <v>43442</v>
      </c>
      <c r="B434" s="3" t="s">
        <v>815</v>
      </c>
      <c r="C434" s="3" t="s">
        <v>665</v>
      </c>
      <c r="D434" s="1" t="s">
        <v>68</v>
      </c>
      <c r="E434" s="7">
        <v>0.82</v>
      </c>
      <c r="F434" s="3">
        <v>1.49</v>
      </c>
      <c r="G434" s="1" t="s">
        <v>11</v>
      </c>
      <c r="H434" s="1" t="s">
        <v>1185</v>
      </c>
      <c r="I434" s="2" t="s">
        <v>1152</v>
      </c>
    </row>
    <row r="435" spans="1:9">
      <c r="A435" s="6">
        <v>43450</v>
      </c>
      <c r="B435" s="3" t="s">
        <v>815</v>
      </c>
      <c r="C435" s="3" t="s">
        <v>992</v>
      </c>
      <c r="D435" s="1" t="s">
        <v>68</v>
      </c>
      <c r="E435" s="7">
        <v>0.82</v>
      </c>
      <c r="F435" s="3">
        <v>1.49</v>
      </c>
      <c r="G435" s="1" t="s">
        <v>11</v>
      </c>
      <c r="H435" s="1" t="s">
        <v>1172</v>
      </c>
      <c r="I435" s="2" t="s">
        <v>1154</v>
      </c>
    </row>
    <row r="436" spans="1:9">
      <c r="A436" s="6">
        <v>43453</v>
      </c>
      <c r="B436" s="3" t="s">
        <v>393</v>
      </c>
      <c r="C436" s="3" t="s">
        <v>1042</v>
      </c>
      <c r="D436" s="1" t="s">
        <v>502</v>
      </c>
      <c r="E436" s="7">
        <v>0.82</v>
      </c>
      <c r="F436" s="3">
        <v>1.49</v>
      </c>
      <c r="G436" s="1" t="s">
        <v>11</v>
      </c>
      <c r="H436" s="1" t="s">
        <v>1186</v>
      </c>
      <c r="I436" s="2" t="s">
        <v>1154</v>
      </c>
    </row>
    <row r="437" spans="1:9">
      <c r="A437" s="6">
        <v>43463</v>
      </c>
      <c r="B437" s="3" t="s">
        <v>206</v>
      </c>
      <c r="C437" s="3" t="s">
        <v>471</v>
      </c>
      <c r="D437" s="1" t="s">
        <v>208</v>
      </c>
      <c r="E437" s="7">
        <v>0.82</v>
      </c>
      <c r="F437" s="3">
        <v>1.49</v>
      </c>
      <c r="G437" s="1" t="s">
        <v>11</v>
      </c>
      <c r="H437" s="1" t="s">
        <v>1173</v>
      </c>
      <c r="I437" s="2" t="s">
        <v>1154</v>
      </c>
    </row>
    <row r="438" spans="1:9">
      <c r="A438" s="6">
        <v>43429</v>
      </c>
      <c r="B438" s="3" t="s">
        <v>309</v>
      </c>
      <c r="C438" s="3" t="s">
        <v>310</v>
      </c>
      <c r="D438" s="1" t="s">
        <v>311</v>
      </c>
      <c r="E438" s="7">
        <v>0.82</v>
      </c>
      <c r="F438" s="3">
        <v>1.48</v>
      </c>
      <c r="G438" s="1" t="s">
        <v>11</v>
      </c>
      <c r="H438" s="1" t="s">
        <v>1174</v>
      </c>
      <c r="I438" s="2" t="s">
        <v>1154</v>
      </c>
    </row>
    <row r="439" spans="1:9">
      <c r="A439" s="6">
        <v>43431</v>
      </c>
      <c r="B439" s="3" t="s">
        <v>470</v>
      </c>
      <c r="C439" s="3" t="s">
        <v>471</v>
      </c>
      <c r="D439" s="1" t="s">
        <v>208</v>
      </c>
      <c r="E439" s="7">
        <v>0.82</v>
      </c>
      <c r="F439" s="3">
        <v>1.48</v>
      </c>
      <c r="G439" s="1" t="s">
        <v>11</v>
      </c>
      <c r="H439" s="1" t="s">
        <v>1179</v>
      </c>
      <c r="I439" s="2" t="s">
        <v>1152</v>
      </c>
    </row>
    <row r="440" spans="1:9">
      <c r="A440" s="6">
        <v>43442</v>
      </c>
      <c r="B440" s="3" t="s">
        <v>819</v>
      </c>
      <c r="C440" s="3" t="s">
        <v>402</v>
      </c>
      <c r="D440" s="1" t="s">
        <v>403</v>
      </c>
      <c r="E440" s="7">
        <v>0.82</v>
      </c>
      <c r="F440" s="3">
        <v>1.48</v>
      </c>
      <c r="G440" s="1" t="s">
        <v>22</v>
      </c>
      <c r="H440" s="1" t="s">
        <v>1188</v>
      </c>
      <c r="I440" s="2" t="s">
        <v>1154</v>
      </c>
    </row>
    <row r="441" spans="1:9">
      <c r="A441" s="6">
        <v>43442</v>
      </c>
      <c r="B441" s="3" t="s">
        <v>819</v>
      </c>
      <c r="C441" s="3" t="s">
        <v>402</v>
      </c>
      <c r="D441" s="1" t="s">
        <v>403</v>
      </c>
      <c r="E441" s="7">
        <v>0.82</v>
      </c>
      <c r="F441" s="3">
        <v>1.48</v>
      </c>
      <c r="G441" s="1" t="s">
        <v>22</v>
      </c>
      <c r="H441" s="1" t="s">
        <v>1188</v>
      </c>
      <c r="I441" s="2" t="s">
        <v>1154</v>
      </c>
    </row>
    <row r="442" spans="1:9">
      <c r="A442" s="6">
        <v>43449</v>
      </c>
      <c r="B442" s="3" t="s">
        <v>973</v>
      </c>
      <c r="C442" s="3" t="s">
        <v>974</v>
      </c>
      <c r="D442" s="1" t="s">
        <v>975</v>
      </c>
      <c r="E442" s="7">
        <v>0.82</v>
      </c>
      <c r="F442" s="3">
        <v>1.48</v>
      </c>
      <c r="G442" s="1" t="s">
        <v>11</v>
      </c>
      <c r="H442" s="1" t="s">
        <v>1180</v>
      </c>
      <c r="I442" s="2" t="s">
        <v>1154</v>
      </c>
    </row>
    <row r="443" spans="1:9">
      <c r="A443" s="6">
        <v>43451</v>
      </c>
      <c r="B443" s="3" t="s">
        <v>764</v>
      </c>
      <c r="C443" s="3" t="s">
        <v>1003</v>
      </c>
      <c r="D443" s="1" t="s">
        <v>529</v>
      </c>
      <c r="E443" s="7">
        <v>0.82</v>
      </c>
      <c r="F443" s="3">
        <v>1.48</v>
      </c>
      <c r="G443" s="1" t="s">
        <v>11</v>
      </c>
      <c r="H443" s="1" t="s">
        <v>1185</v>
      </c>
      <c r="I443" s="2" t="s">
        <v>1152</v>
      </c>
    </row>
    <row r="444" spans="1:9">
      <c r="A444" s="6">
        <v>43456</v>
      </c>
      <c r="B444" s="3" t="s">
        <v>1059</v>
      </c>
      <c r="C444" s="3" t="s">
        <v>179</v>
      </c>
      <c r="D444" s="1" t="s">
        <v>564</v>
      </c>
      <c r="E444" s="7">
        <v>0.82</v>
      </c>
      <c r="F444" s="3">
        <v>1.48</v>
      </c>
      <c r="G444" s="1" t="s">
        <v>11</v>
      </c>
      <c r="H444" s="1" t="s">
        <v>1173</v>
      </c>
      <c r="I444" s="2" t="s">
        <v>1154</v>
      </c>
    </row>
    <row r="445" spans="1:9">
      <c r="A445" s="6">
        <v>43456</v>
      </c>
      <c r="B445" s="3" t="s">
        <v>1059</v>
      </c>
      <c r="C445" s="3" t="s">
        <v>179</v>
      </c>
      <c r="D445" s="1" t="s">
        <v>564</v>
      </c>
      <c r="E445" s="7">
        <v>0.82</v>
      </c>
      <c r="F445" s="3">
        <v>1.48</v>
      </c>
      <c r="G445" s="1" t="s">
        <v>11</v>
      </c>
      <c r="H445" s="1" t="s">
        <v>1173</v>
      </c>
      <c r="I445" s="2" t="s">
        <v>1154</v>
      </c>
    </row>
    <row r="446" spans="1:9">
      <c r="A446" s="6">
        <v>43428</v>
      </c>
      <c r="B446" s="3" t="s">
        <v>206</v>
      </c>
      <c r="C446" s="3" t="s">
        <v>207</v>
      </c>
      <c r="D446" s="1" t="s">
        <v>208</v>
      </c>
      <c r="E446" s="7">
        <v>0.82</v>
      </c>
      <c r="F446" s="3">
        <v>1.47</v>
      </c>
      <c r="G446" s="1" t="s">
        <v>11</v>
      </c>
      <c r="H446" s="1" t="s">
        <v>1176</v>
      </c>
      <c r="I446" s="2" t="s">
        <v>1153</v>
      </c>
    </row>
    <row r="447" spans="1:9">
      <c r="A447" s="6">
        <v>43431</v>
      </c>
      <c r="B447" s="3" t="s">
        <v>437</v>
      </c>
      <c r="C447" s="3" t="s">
        <v>438</v>
      </c>
      <c r="D447" s="1" t="s">
        <v>219</v>
      </c>
      <c r="E447" s="7">
        <v>0.82</v>
      </c>
      <c r="F447" s="3">
        <v>1.47</v>
      </c>
      <c r="G447" s="1" t="s">
        <v>11</v>
      </c>
      <c r="H447" s="1" t="s">
        <v>1190</v>
      </c>
      <c r="I447" s="2" t="s">
        <v>1154</v>
      </c>
    </row>
    <row r="448" spans="1:9">
      <c r="A448" s="6">
        <v>43431</v>
      </c>
      <c r="B448" s="3" t="s">
        <v>69</v>
      </c>
      <c r="C448" s="3" t="s">
        <v>18</v>
      </c>
      <c r="D448" s="1" t="s">
        <v>462</v>
      </c>
      <c r="E448" s="7">
        <v>0.82</v>
      </c>
      <c r="F448" s="3">
        <v>1.47</v>
      </c>
      <c r="G448" s="1" t="s">
        <v>22</v>
      </c>
      <c r="H448" s="1" t="s">
        <v>1185</v>
      </c>
      <c r="I448" s="2" t="s">
        <v>1152</v>
      </c>
    </row>
    <row r="449" spans="1:9">
      <c r="A449" s="6">
        <v>43432</v>
      </c>
      <c r="B449" s="3" t="s">
        <v>281</v>
      </c>
      <c r="C449" s="3" t="s">
        <v>473</v>
      </c>
      <c r="D449" s="1" t="s">
        <v>462</v>
      </c>
      <c r="E449" s="7">
        <v>0.82</v>
      </c>
      <c r="F449" s="3">
        <v>1.47</v>
      </c>
      <c r="G449" s="1" t="s">
        <v>22</v>
      </c>
      <c r="H449" s="1" t="s">
        <v>1178</v>
      </c>
      <c r="I449" s="2" t="s">
        <v>1154</v>
      </c>
    </row>
    <row r="450" spans="1:9">
      <c r="A450" s="6">
        <v>43428</v>
      </c>
      <c r="B450" s="3" t="s">
        <v>297</v>
      </c>
      <c r="C450" s="3" t="s">
        <v>298</v>
      </c>
      <c r="D450" s="1" t="s">
        <v>292</v>
      </c>
      <c r="E450" s="7">
        <v>0.82</v>
      </c>
      <c r="F450" s="3">
        <v>1.46</v>
      </c>
      <c r="G450" s="1" t="s">
        <v>22</v>
      </c>
      <c r="H450" s="1" t="s">
        <v>1179</v>
      </c>
      <c r="I450" s="2" t="s">
        <v>1152</v>
      </c>
    </row>
    <row r="451" spans="1:9">
      <c r="A451" s="6">
        <v>43429</v>
      </c>
      <c r="B451" s="3" t="s">
        <v>306</v>
      </c>
      <c r="C451" s="3" t="s">
        <v>307</v>
      </c>
      <c r="D451" s="1" t="s">
        <v>308</v>
      </c>
      <c r="E451" s="7">
        <v>0.82</v>
      </c>
      <c r="F451" s="3">
        <v>1.46</v>
      </c>
      <c r="G451" s="1" t="s">
        <v>11</v>
      </c>
      <c r="H451" s="1" t="s">
        <v>1173</v>
      </c>
      <c r="I451" s="2" t="s">
        <v>1154</v>
      </c>
    </row>
    <row r="452" spans="1:9">
      <c r="A452" s="6">
        <v>43435</v>
      </c>
      <c r="B452" s="3" t="s">
        <v>181</v>
      </c>
      <c r="C452" s="3" t="s">
        <v>175</v>
      </c>
      <c r="D452" s="1" t="s">
        <v>571</v>
      </c>
      <c r="E452" s="7">
        <v>0.82</v>
      </c>
      <c r="F452" s="3">
        <v>1.46</v>
      </c>
      <c r="G452" s="1" t="s">
        <v>11</v>
      </c>
      <c r="H452" s="1" t="s">
        <v>1173</v>
      </c>
      <c r="I452" s="2" t="s">
        <v>1154</v>
      </c>
    </row>
    <row r="453" spans="1:9">
      <c r="A453" s="6">
        <v>43442</v>
      </c>
      <c r="B453" s="3" t="s">
        <v>468</v>
      </c>
      <c r="C453" s="3" t="s">
        <v>703</v>
      </c>
      <c r="D453" s="1" t="s">
        <v>219</v>
      </c>
      <c r="E453" s="7">
        <v>0.82</v>
      </c>
      <c r="F453" s="3">
        <v>1.46</v>
      </c>
      <c r="G453" s="1" t="s">
        <v>11</v>
      </c>
      <c r="H453" s="1" t="s">
        <v>1177</v>
      </c>
      <c r="I453" s="2" t="s">
        <v>1154</v>
      </c>
    </row>
    <row r="454" spans="1:9">
      <c r="A454" s="6">
        <v>43442</v>
      </c>
      <c r="B454" s="3" t="s">
        <v>468</v>
      </c>
      <c r="C454" s="3" t="s">
        <v>703</v>
      </c>
      <c r="D454" s="1" t="s">
        <v>219</v>
      </c>
      <c r="E454" s="7">
        <v>0.82</v>
      </c>
      <c r="F454" s="3">
        <v>1.46</v>
      </c>
      <c r="G454" s="1" t="s">
        <v>11</v>
      </c>
      <c r="H454" s="1" t="s">
        <v>1177</v>
      </c>
      <c r="I454" s="2" t="s">
        <v>1154</v>
      </c>
    </row>
    <row r="455" spans="1:9">
      <c r="A455" s="6">
        <v>43453</v>
      </c>
      <c r="B455" s="3" t="s">
        <v>513</v>
      </c>
      <c r="C455" s="3" t="s">
        <v>760</v>
      </c>
      <c r="D455" s="1" t="s">
        <v>1022</v>
      </c>
      <c r="E455" s="7">
        <v>0.82</v>
      </c>
      <c r="F455" s="3">
        <v>1.46</v>
      </c>
      <c r="G455" s="1" t="s">
        <v>11</v>
      </c>
      <c r="H455" s="1" t="s">
        <v>1175</v>
      </c>
      <c r="I455" s="2" t="s">
        <v>1152</v>
      </c>
    </row>
    <row r="456" spans="1:9">
      <c r="A456" s="6">
        <v>43428</v>
      </c>
      <c r="B456" s="3" t="s">
        <v>266</v>
      </c>
      <c r="C456" s="3" t="s">
        <v>267</v>
      </c>
      <c r="D456" s="1" t="s">
        <v>77</v>
      </c>
      <c r="E456" s="7">
        <v>0.82</v>
      </c>
      <c r="F456" s="3">
        <v>1.44</v>
      </c>
      <c r="G456" s="1" t="s">
        <v>11</v>
      </c>
      <c r="H456" s="1" t="s">
        <v>1182</v>
      </c>
      <c r="I456" s="2" t="s">
        <v>1154</v>
      </c>
    </row>
    <row r="457" spans="1:9">
      <c r="A457" s="6">
        <v>43435</v>
      </c>
      <c r="B457" s="3" t="s">
        <v>234</v>
      </c>
      <c r="C457" s="3" t="s">
        <v>567</v>
      </c>
      <c r="D457" s="1" t="s">
        <v>235</v>
      </c>
      <c r="E457" s="7">
        <v>0.82</v>
      </c>
      <c r="F457" s="3">
        <v>1.44</v>
      </c>
      <c r="G457" s="1" t="s">
        <v>22</v>
      </c>
      <c r="H457" s="1" t="s">
        <v>1177</v>
      </c>
      <c r="I457" s="2" t="s">
        <v>1153</v>
      </c>
    </row>
    <row r="458" spans="1:9">
      <c r="A458" s="6">
        <v>43435</v>
      </c>
      <c r="B458" s="3" t="s">
        <v>588</v>
      </c>
      <c r="C458" s="3" t="s">
        <v>589</v>
      </c>
      <c r="D458" s="1" t="s">
        <v>590</v>
      </c>
      <c r="E458" s="7">
        <v>0.82</v>
      </c>
      <c r="F458" s="3">
        <v>1.44</v>
      </c>
      <c r="G458" s="1" t="s">
        <v>22</v>
      </c>
      <c r="H458" s="1" t="s">
        <v>1175</v>
      </c>
      <c r="I458" s="2" t="s">
        <v>1152</v>
      </c>
    </row>
    <row r="459" spans="1:9">
      <c r="A459" s="6">
        <v>43436</v>
      </c>
      <c r="B459" s="3" t="s">
        <v>361</v>
      </c>
      <c r="C459" s="3" t="s">
        <v>55</v>
      </c>
      <c r="D459" s="1" t="s">
        <v>56</v>
      </c>
      <c r="E459" s="7">
        <v>0.82</v>
      </c>
      <c r="F459" s="3">
        <v>1.44</v>
      </c>
      <c r="G459" s="1" t="s">
        <v>11</v>
      </c>
      <c r="H459" s="1" t="s">
        <v>1177</v>
      </c>
      <c r="I459" s="2" t="s">
        <v>1154</v>
      </c>
    </row>
    <row r="460" spans="1:9">
      <c r="A460" s="6">
        <v>43436</v>
      </c>
      <c r="B460" s="3" t="s">
        <v>655</v>
      </c>
      <c r="C460" s="3" t="s">
        <v>656</v>
      </c>
      <c r="D460" s="1" t="s">
        <v>289</v>
      </c>
      <c r="E460" s="7">
        <v>0.82</v>
      </c>
      <c r="F460" s="3">
        <v>1.44</v>
      </c>
      <c r="G460" s="1" t="s">
        <v>11</v>
      </c>
      <c r="H460" s="1" t="s">
        <v>1177</v>
      </c>
      <c r="I460" s="2" t="s">
        <v>1154</v>
      </c>
    </row>
    <row r="461" spans="1:9">
      <c r="A461" s="6">
        <v>43445</v>
      </c>
      <c r="B461" s="3" t="s">
        <v>906</v>
      </c>
      <c r="C461" s="3" t="s">
        <v>907</v>
      </c>
      <c r="D461" s="1" t="s">
        <v>103</v>
      </c>
      <c r="E461" s="7">
        <v>0.82</v>
      </c>
      <c r="F461" s="3">
        <v>1.44</v>
      </c>
      <c r="G461" s="1" t="s">
        <v>11</v>
      </c>
      <c r="H461" s="1" t="s">
        <v>1209</v>
      </c>
      <c r="I461" s="2" t="s">
        <v>1154</v>
      </c>
    </row>
    <row r="462" spans="1:9">
      <c r="A462" s="6">
        <v>43450</v>
      </c>
      <c r="B462" s="3" t="s">
        <v>194</v>
      </c>
      <c r="C462" s="3" t="s">
        <v>137</v>
      </c>
      <c r="D462" s="1" t="s">
        <v>138</v>
      </c>
      <c r="E462" s="7">
        <v>0.82</v>
      </c>
      <c r="F462" s="3">
        <v>1.44</v>
      </c>
      <c r="G462" s="1" t="s">
        <v>22</v>
      </c>
      <c r="H462" s="1" t="s">
        <v>1177</v>
      </c>
      <c r="I462" s="2" t="s">
        <v>1153</v>
      </c>
    </row>
    <row r="463" spans="1:9">
      <c r="A463" s="6">
        <v>43460</v>
      </c>
      <c r="B463" s="3" t="s">
        <v>228</v>
      </c>
      <c r="C463" s="3" t="s">
        <v>562</v>
      </c>
      <c r="D463" s="1" t="s">
        <v>208</v>
      </c>
      <c r="E463" s="7">
        <v>0.82</v>
      </c>
      <c r="F463" s="3">
        <v>1.44</v>
      </c>
      <c r="G463" s="1" t="s">
        <v>11</v>
      </c>
      <c r="H463" s="1" t="s">
        <v>1178</v>
      </c>
      <c r="I463" s="2" t="s">
        <v>1153</v>
      </c>
    </row>
    <row r="464" spans="1:9">
      <c r="A464" s="6">
        <v>43470</v>
      </c>
      <c r="B464" s="3" t="s">
        <v>568</v>
      </c>
      <c r="C464" s="3" t="s">
        <v>222</v>
      </c>
      <c r="D464" s="1" t="s">
        <v>564</v>
      </c>
      <c r="E464" s="7">
        <v>0.82</v>
      </c>
      <c r="F464" s="3">
        <v>1.44</v>
      </c>
      <c r="G464" s="1" t="s">
        <v>11</v>
      </c>
      <c r="H464" s="1" t="s">
        <v>1185</v>
      </c>
      <c r="I464" s="2" t="s">
        <v>1152</v>
      </c>
    </row>
    <row r="465" spans="1:9">
      <c r="A465" s="6">
        <v>43473</v>
      </c>
      <c r="B465" s="3" t="s">
        <v>69</v>
      </c>
      <c r="C465" s="3" t="s">
        <v>760</v>
      </c>
      <c r="D465" s="1" t="s">
        <v>1022</v>
      </c>
      <c r="E465" s="7">
        <v>0.82</v>
      </c>
      <c r="F465" s="3">
        <v>1.44</v>
      </c>
      <c r="G465" s="1" t="s">
        <v>11</v>
      </c>
      <c r="H465" s="1" t="s">
        <v>1178</v>
      </c>
      <c r="I465" s="2" t="s">
        <v>1153</v>
      </c>
    </row>
    <row r="466" spans="1:9">
      <c r="A466" s="6">
        <v>43443</v>
      </c>
      <c r="B466" s="3" t="s">
        <v>519</v>
      </c>
      <c r="C466" s="3" t="s">
        <v>267</v>
      </c>
      <c r="D466" s="1" t="s">
        <v>77</v>
      </c>
      <c r="E466" s="7">
        <v>0.82</v>
      </c>
      <c r="F466" s="3">
        <v>1.43</v>
      </c>
      <c r="G466" s="1" t="s">
        <v>11</v>
      </c>
      <c r="H466" s="1" t="s">
        <v>1177</v>
      </c>
      <c r="I466" s="2" t="s">
        <v>1154</v>
      </c>
    </row>
    <row r="467" spans="1:9">
      <c r="A467" s="6">
        <v>43435</v>
      </c>
      <c r="B467" s="3" t="s">
        <v>581</v>
      </c>
      <c r="C467" s="3" t="s">
        <v>582</v>
      </c>
      <c r="D467" s="1" t="s">
        <v>580</v>
      </c>
      <c r="E467" s="7">
        <v>0.82</v>
      </c>
      <c r="F467" s="3">
        <v>1.42</v>
      </c>
      <c r="G467" s="1" t="s">
        <v>11</v>
      </c>
      <c r="H467" s="1" t="s">
        <v>1172</v>
      </c>
      <c r="I467" s="2" t="s">
        <v>1154</v>
      </c>
    </row>
    <row r="468" spans="1:9">
      <c r="A468" s="6">
        <v>43446</v>
      </c>
      <c r="B468" s="3" t="s">
        <v>327</v>
      </c>
      <c r="C468" s="3" t="s">
        <v>931</v>
      </c>
      <c r="D468" s="1" t="s">
        <v>289</v>
      </c>
      <c r="E468" s="7">
        <v>0.82</v>
      </c>
      <c r="F468" s="3">
        <v>1.41</v>
      </c>
      <c r="G468" s="1" t="s">
        <v>11</v>
      </c>
      <c r="H468" s="1" t="s">
        <v>1180</v>
      </c>
      <c r="I468" s="2" t="s">
        <v>1154</v>
      </c>
    </row>
    <row r="469" spans="1:9">
      <c r="A469" s="6">
        <v>43470</v>
      </c>
      <c r="B469" s="3" t="s">
        <v>581</v>
      </c>
      <c r="C469" s="3" t="s">
        <v>1139</v>
      </c>
      <c r="D469" s="1" t="s">
        <v>580</v>
      </c>
      <c r="E469" s="7">
        <v>0.82</v>
      </c>
      <c r="F469" s="3">
        <v>1.41</v>
      </c>
      <c r="G469" s="1" t="s">
        <v>11</v>
      </c>
      <c r="H469" s="1" t="s">
        <v>1201</v>
      </c>
      <c r="I469" s="2" t="s">
        <v>1154</v>
      </c>
    </row>
    <row r="470" spans="1:9">
      <c r="A470" s="6">
        <v>43451</v>
      </c>
      <c r="B470" s="3" t="s">
        <v>256</v>
      </c>
      <c r="C470" s="3" t="s">
        <v>1000</v>
      </c>
      <c r="D470" s="1" t="s">
        <v>162</v>
      </c>
      <c r="E470" s="7">
        <v>0.82</v>
      </c>
      <c r="F470" s="3">
        <v>1.4</v>
      </c>
      <c r="G470" s="1" t="s">
        <v>11</v>
      </c>
      <c r="H470" s="1" t="s">
        <v>1176</v>
      </c>
      <c r="I470" s="2" t="s">
        <v>1153</v>
      </c>
    </row>
    <row r="471" spans="1:9">
      <c r="A471" s="6">
        <v>43456</v>
      </c>
      <c r="B471" s="3" t="s">
        <v>1064</v>
      </c>
      <c r="C471" s="3" t="s">
        <v>582</v>
      </c>
      <c r="D471" s="1" t="s">
        <v>580</v>
      </c>
      <c r="E471" s="7">
        <v>0.82</v>
      </c>
      <c r="F471" s="3">
        <v>1.4</v>
      </c>
      <c r="G471" s="1" t="s">
        <v>11</v>
      </c>
      <c r="H471" s="1" t="s">
        <v>1173</v>
      </c>
      <c r="I471" s="2" t="s">
        <v>1154</v>
      </c>
    </row>
    <row r="472" spans="1:9">
      <c r="A472" s="6">
        <v>43428</v>
      </c>
      <c r="B472" s="3" t="s">
        <v>182</v>
      </c>
      <c r="C472" s="3" t="s">
        <v>183</v>
      </c>
      <c r="D472" s="1" t="s">
        <v>184</v>
      </c>
      <c r="E472" s="7">
        <v>0.82</v>
      </c>
      <c r="F472" s="3">
        <v>1.39</v>
      </c>
      <c r="G472" s="1" t="s">
        <v>22</v>
      </c>
      <c r="H472" s="1" t="s">
        <v>1175</v>
      </c>
      <c r="I472" s="2" t="s">
        <v>1152</v>
      </c>
    </row>
    <row r="473" spans="1:9">
      <c r="A473" s="6">
        <v>43434</v>
      </c>
      <c r="B473" s="3" t="s">
        <v>532</v>
      </c>
      <c r="C473" s="3" t="s">
        <v>533</v>
      </c>
      <c r="D473" s="1" t="s">
        <v>184</v>
      </c>
      <c r="E473" s="7">
        <v>0.82</v>
      </c>
      <c r="F473" s="3">
        <v>1.39</v>
      </c>
      <c r="G473" s="1" t="s">
        <v>11</v>
      </c>
      <c r="H473" s="1" t="s">
        <v>1175</v>
      </c>
      <c r="I473" s="2" t="s">
        <v>1152</v>
      </c>
    </row>
    <row r="474" spans="1:9">
      <c r="A474" s="6">
        <v>43442</v>
      </c>
      <c r="B474" s="3" t="s">
        <v>258</v>
      </c>
      <c r="C474" s="3" t="s">
        <v>862</v>
      </c>
      <c r="D474" s="1" t="s">
        <v>260</v>
      </c>
      <c r="E474" s="7">
        <v>0.82</v>
      </c>
      <c r="F474" s="3">
        <v>1.39</v>
      </c>
      <c r="G474" s="1" t="s">
        <v>11</v>
      </c>
      <c r="H474" s="1" t="s">
        <v>1186</v>
      </c>
      <c r="I474" s="2" t="s">
        <v>1154</v>
      </c>
    </row>
    <row r="475" spans="1:9">
      <c r="A475" s="6">
        <v>43456</v>
      </c>
      <c r="B475" s="3" t="s">
        <v>481</v>
      </c>
      <c r="C475" s="3" t="s">
        <v>1067</v>
      </c>
      <c r="D475" s="1" t="s">
        <v>446</v>
      </c>
      <c r="E475" s="7">
        <v>0.82</v>
      </c>
      <c r="F475" s="3">
        <v>1.39</v>
      </c>
      <c r="G475" s="1" t="s">
        <v>11</v>
      </c>
      <c r="H475" s="1" t="s">
        <v>1175</v>
      </c>
      <c r="I475" s="2" t="s">
        <v>1152</v>
      </c>
    </row>
    <row r="476" spans="1:9">
      <c r="A476" s="6">
        <v>43476</v>
      </c>
      <c r="B476" s="3" t="s">
        <v>532</v>
      </c>
      <c r="C476" s="3" t="s">
        <v>773</v>
      </c>
      <c r="D476" s="1" t="s">
        <v>184</v>
      </c>
      <c r="E476" s="7">
        <v>0.82</v>
      </c>
      <c r="F476" s="3">
        <v>1.39</v>
      </c>
      <c r="G476" s="1" t="s">
        <v>11</v>
      </c>
      <c r="H476" s="1" t="s">
        <v>1198</v>
      </c>
      <c r="I476" s="3" t="s">
        <v>1154</v>
      </c>
    </row>
    <row r="477" spans="1:9">
      <c r="A477" s="6">
        <v>43456</v>
      </c>
      <c r="B477" s="3" t="s">
        <v>175</v>
      </c>
      <c r="C477" s="3" t="s">
        <v>168</v>
      </c>
      <c r="D477" s="1" t="s">
        <v>571</v>
      </c>
      <c r="E477" s="7">
        <v>0.82</v>
      </c>
      <c r="F477" s="3">
        <v>1.37</v>
      </c>
      <c r="G477" s="1" t="s">
        <v>11</v>
      </c>
      <c r="H477" s="1" t="s">
        <v>1200</v>
      </c>
      <c r="I477" s="2" t="s">
        <v>1154</v>
      </c>
    </row>
    <row r="478" spans="1:9">
      <c r="A478" s="6">
        <v>43456</v>
      </c>
      <c r="B478" s="3" t="s">
        <v>175</v>
      </c>
      <c r="C478" s="3" t="s">
        <v>168</v>
      </c>
      <c r="D478" s="1" t="s">
        <v>571</v>
      </c>
      <c r="E478" s="7">
        <v>0.82</v>
      </c>
      <c r="F478" s="3">
        <v>1.37</v>
      </c>
      <c r="G478" s="1" t="s">
        <v>11</v>
      </c>
      <c r="H478" s="1" t="s">
        <v>1200</v>
      </c>
      <c r="I478" s="2" t="s">
        <v>1154</v>
      </c>
    </row>
    <row r="479" spans="1:9">
      <c r="A479" s="6">
        <v>43439</v>
      </c>
      <c r="B479" s="3" t="s">
        <v>717</v>
      </c>
      <c r="C479" s="3" t="s">
        <v>718</v>
      </c>
      <c r="D479" s="1" t="s">
        <v>689</v>
      </c>
      <c r="E479" s="7">
        <v>0.82</v>
      </c>
      <c r="F479" s="3">
        <v>1.33</v>
      </c>
      <c r="G479" s="1" t="s">
        <v>11</v>
      </c>
      <c r="H479" s="1" t="s">
        <v>1198</v>
      </c>
      <c r="I479" s="2" t="s">
        <v>1154</v>
      </c>
    </row>
    <row r="480" spans="1:9">
      <c r="A480" s="6">
        <v>43439</v>
      </c>
      <c r="B480" s="3" t="s">
        <v>729</v>
      </c>
      <c r="C480" s="3" t="s">
        <v>730</v>
      </c>
      <c r="D480" s="1" t="s">
        <v>689</v>
      </c>
      <c r="E480" s="7">
        <v>0.82</v>
      </c>
      <c r="F480" s="3">
        <v>1.33</v>
      </c>
      <c r="G480" s="1" t="s">
        <v>22</v>
      </c>
      <c r="H480" s="1" t="s">
        <v>1178</v>
      </c>
      <c r="I480" s="2" t="s">
        <v>1154</v>
      </c>
    </row>
    <row r="481" spans="1:13">
      <c r="A481" s="6">
        <v>43436</v>
      </c>
      <c r="B481" s="3" t="s">
        <v>136</v>
      </c>
      <c r="C481" s="3" t="s">
        <v>612</v>
      </c>
      <c r="D481" s="1" t="s">
        <v>323</v>
      </c>
      <c r="E481" s="7">
        <v>0.82</v>
      </c>
      <c r="F481" s="3">
        <v>1.32</v>
      </c>
      <c r="G481" s="1" t="s">
        <v>22</v>
      </c>
      <c r="H481" s="1" t="s">
        <v>1176</v>
      </c>
      <c r="I481" s="2" t="s">
        <v>1154</v>
      </c>
    </row>
    <row r="482" spans="1:13">
      <c r="A482" s="6">
        <v>43430</v>
      </c>
      <c r="B482" s="3" t="s">
        <v>420</v>
      </c>
      <c r="C482" s="3" t="s">
        <v>421</v>
      </c>
      <c r="D482" s="1" t="s">
        <v>422</v>
      </c>
      <c r="E482" s="7">
        <v>0.82</v>
      </c>
      <c r="F482" s="3">
        <v>1.29</v>
      </c>
      <c r="G482" s="1" t="s">
        <v>22</v>
      </c>
      <c r="H482" s="1" t="s">
        <v>1196</v>
      </c>
      <c r="I482" s="2" t="s">
        <v>1154</v>
      </c>
    </row>
    <row r="483" spans="1:13">
      <c r="A483" s="6">
        <v>43437</v>
      </c>
      <c r="B483" s="3" t="s">
        <v>675</v>
      </c>
      <c r="C483" s="3" t="s">
        <v>261</v>
      </c>
      <c r="D483" s="1" t="s">
        <v>214</v>
      </c>
      <c r="E483" s="7">
        <v>0.81</v>
      </c>
      <c r="F483" s="3">
        <v>1.61</v>
      </c>
      <c r="G483" s="1" t="s">
        <v>22</v>
      </c>
      <c r="H483" s="1" t="s">
        <v>1176</v>
      </c>
      <c r="I483" s="2" t="s">
        <v>1154</v>
      </c>
    </row>
    <row r="484" spans="1:13">
      <c r="A484" s="6">
        <v>43429</v>
      </c>
      <c r="B484" s="3" t="s">
        <v>411</v>
      </c>
      <c r="C484" s="3" t="s">
        <v>412</v>
      </c>
      <c r="D484" s="1" t="s">
        <v>193</v>
      </c>
      <c r="E484" s="7">
        <v>0.81</v>
      </c>
      <c r="F484" s="3">
        <v>1.59</v>
      </c>
      <c r="G484" s="1" t="s">
        <v>11</v>
      </c>
      <c r="H484" s="1" t="s">
        <v>1184</v>
      </c>
      <c r="I484" s="2" t="s">
        <v>1153</v>
      </c>
    </row>
    <row r="485" spans="1:13">
      <c r="A485" s="6">
        <v>43429</v>
      </c>
      <c r="B485" s="3" t="s">
        <v>404</v>
      </c>
      <c r="C485" s="3" t="s">
        <v>405</v>
      </c>
      <c r="D485" s="1" t="s">
        <v>68</v>
      </c>
      <c r="E485" s="7">
        <v>0.81</v>
      </c>
      <c r="F485" s="3">
        <v>1.57</v>
      </c>
      <c r="G485" s="1" t="s">
        <v>11</v>
      </c>
      <c r="H485" s="1" t="s">
        <v>1182</v>
      </c>
      <c r="I485" s="2" t="s">
        <v>1154</v>
      </c>
    </row>
    <row r="486" spans="1:13">
      <c r="A486" s="6">
        <v>43430</v>
      </c>
      <c r="B486" s="3" t="s">
        <v>425</v>
      </c>
      <c r="C486" s="3" t="s">
        <v>426</v>
      </c>
      <c r="D486" s="1" t="s">
        <v>427</v>
      </c>
      <c r="E486" s="7">
        <v>0.81</v>
      </c>
      <c r="F486" s="3">
        <v>1.56</v>
      </c>
      <c r="G486" s="1" t="s">
        <v>11</v>
      </c>
      <c r="H486" s="1" t="s">
        <v>1179</v>
      </c>
      <c r="I486" s="2" t="s">
        <v>1152</v>
      </c>
    </row>
    <row r="487" spans="1:13">
      <c r="A487" s="6">
        <v>43443</v>
      </c>
      <c r="B487" s="3" t="s">
        <v>903</v>
      </c>
      <c r="C487" s="3" t="s">
        <v>904</v>
      </c>
      <c r="D487" s="1" t="s">
        <v>56</v>
      </c>
      <c r="E487" s="7">
        <v>0.81</v>
      </c>
      <c r="F487" s="3">
        <v>1.56</v>
      </c>
      <c r="G487" s="1" t="s">
        <v>11</v>
      </c>
      <c r="H487" s="1" t="s">
        <v>1178</v>
      </c>
      <c r="I487" s="2" t="s">
        <v>1153</v>
      </c>
    </row>
    <row r="488" spans="1:13">
      <c r="A488" s="6">
        <v>43449</v>
      </c>
      <c r="B488" s="3" t="s">
        <v>971</v>
      </c>
      <c r="C488" s="3" t="s">
        <v>972</v>
      </c>
      <c r="D488" s="1" t="s">
        <v>970</v>
      </c>
      <c r="E488" s="7">
        <v>0.81</v>
      </c>
      <c r="F488" s="3">
        <v>1.56</v>
      </c>
      <c r="G488" s="1" t="s">
        <v>11</v>
      </c>
      <c r="H488" s="1" t="s">
        <v>1182</v>
      </c>
      <c r="I488" s="2" t="s">
        <v>1154</v>
      </c>
    </row>
    <row r="489" spans="1:13">
      <c r="A489" s="6">
        <v>43456</v>
      </c>
      <c r="B489" s="3" t="s">
        <v>217</v>
      </c>
      <c r="C489" s="3" t="s">
        <v>215</v>
      </c>
      <c r="D489" s="1" t="s">
        <v>193</v>
      </c>
      <c r="E489" s="7">
        <v>0.81</v>
      </c>
      <c r="F489" s="3">
        <v>1.54</v>
      </c>
      <c r="G489" s="1" t="s">
        <v>22</v>
      </c>
      <c r="H489" s="1" t="s">
        <v>1204</v>
      </c>
      <c r="I489" s="2" t="s">
        <v>1154</v>
      </c>
    </row>
    <row r="490" spans="1:13">
      <c r="A490" s="6">
        <v>43476</v>
      </c>
      <c r="B490" s="3" t="s">
        <v>1585</v>
      </c>
      <c r="C490" s="3" t="s">
        <v>1586</v>
      </c>
      <c r="D490" s="1" t="s">
        <v>1049</v>
      </c>
      <c r="E490" s="7">
        <v>0.81</v>
      </c>
      <c r="F490" s="3">
        <v>1.54</v>
      </c>
      <c r="G490" s="1" t="s">
        <v>11</v>
      </c>
      <c r="H490" s="1" t="s">
        <v>1178</v>
      </c>
      <c r="I490" s="3" t="s">
        <v>1153</v>
      </c>
    </row>
    <row r="491" spans="1:13">
      <c r="A491" s="6">
        <v>43450</v>
      </c>
      <c r="B491" s="3" t="s">
        <v>198</v>
      </c>
      <c r="C491" s="3" t="s">
        <v>215</v>
      </c>
      <c r="D491" s="1" t="s">
        <v>193</v>
      </c>
      <c r="E491" s="7">
        <v>0.81</v>
      </c>
      <c r="F491" s="3">
        <v>1.53</v>
      </c>
      <c r="G491" s="1" t="s">
        <v>11</v>
      </c>
      <c r="H491" s="1" t="s">
        <v>1172</v>
      </c>
      <c r="I491" s="2" t="s">
        <v>1154</v>
      </c>
    </row>
    <row r="492" spans="1:13">
      <c r="A492" s="6">
        <v>43476</v>
      </c>
      <c r="B492" s="3" t="s">
        <v>1570</v>
      </c>
      <c r="C492" s="3" t="s">
        <v>1571</v>
      </c>
      <c r="D492" s="1" t="s">
        <v>1572</v>
      </c>
      <c r="E492" s="7">
        <v>0.81</v>
      </c>
      <c r="F492" s="3">
        <v>1.53</v>
      </c>
      <c r="G492" s="1" t="s">
        <v>11</v>
      </c>
      <c r="H492" s="1" t="s">
        <v>1186</v>
      </c>
      <c r="I492" s="3" t="s">
        <v>1154</v>
      </c>
    </row>
    <row r="493" spans="1:13">
      <c r="A493" s="6">
        <v>43428</v>
      </c>
      <c r="B493" s="3" t="s">
        <v>270</v>
      </c>
      <c r="C493" s="3" t="s">
        <v>271</v>
      </c>
      <c r="D493" s="1" t="s">
        <v>214</v>
      </c>
      <c r="E493" s="7">
        <v>0.81</v>
      </c>
      <c r="F493" s="3">
        <v>1.51</v>
      </c>
      <c r="G493" s="1" t="s">
        <v>22</v>
      </c>
      <c r="H493" s="1" t="s">
        <v>1173</v>
      </c>
      <c r="I493" s="2" t="s">
        <v>1153</v>
      </c>
    </row>
    <row r="494" spans="1:13">
      <c r="A494" s="6">
        <v>43452</v>
      </c>
      <c r="B494" s="3" t="s">
        <v>745</v>
      </c>
      <c r="C494" s="3" t="s">
        <v>195</v>
      </c>
      <c r="D494" s="1" t="s">
        <v>138</v>
      </c>
      <c r="E494" s="7">
        <v>0.81</v>
      </c>
      <c r="F494" s="3">
        <v>1.51</v>
      </c>
      <c r="G494" s="1" t="s">
        <v>11</v>
      </c>
      <c r="H494" s="1" t="s">
        <v>1198</v>
      </c>
      <c r="I494" s="2" t="s">
        <v>1154</v>
      </c>
      <c r="M494" s="2">
        <v>400</v>
      </c>
    </row>
    <row r="495" spans="1:13">
      <c r="A495" s="6">
        <v>43471</v>
      </c>
      <c r="B495" s="3" t="s">
        <v>8</v>
      </c>
      <c r="C495" s="3" t="s">
        <v>9</v>
      </c>
      <c r="D495" s="1" t="s">
        <v>10</v>
      </c>
      <c r="E495" s="7">
        <v>0.81</v>
      </c>
      <c r="F495" s="3">
        <v>1.51</v>
      </c>
      <c r="G495" s="1" t="s">
        <v>11</v>
      </c>
      <c r="H495" s="1" t="s">
        <v>1180</v>
      </c>
      <c r="I495" s="2" t="s">
        <v>1154</v>
      </c>
    </row>
    <row r="496" spans="1:13">
      <c r="A496" s="6">
        <v>43431</v>
      </c>
      <c r="B496" s="3" t="s">
        <v>441</v>
      </c>
      <c r="C496" s="3" t="s">
        <v>442</v>
      </c>
      <c r="D496" s="1" t="s">
        <v>443</v>
      </c>
      <c r="E496" s="7">
        <v>0.81</v>
      </c>
      <c r="F496" s="3">
        <v>1.5</v>
      </c>
      <c r="G496" s="1" t="s">
        <v>11</v>
      </c>
      <c r="H496" s="1" t="s">
        <v>1177</v>
      </c>
      <c r="I496" s="2" t="s">
        <v>1154</v>
      </c>
    </row>
    <row r="497" spans="1:9">
      <c r="A497" s="6">
        <v>43435</v>
      </c>
      <c r="B497" s="3" t="s">
        <v>555</v>
      </c>
      <c r="C497" s="3" t="s">
        <v>556</v>
      </c>
      <c r="D497" s="1" t="s">
        <v>529</v>
      </c>
      <c r="E497" s="7">
        <v>0.81</v>
      </c>
      <c r="F497" s="3">
        <v>1.5</v>
      </c>
      <c r="G497" s="1" t="s">
        <v>11</v>
      </c>
      <c r="H497" s="1" t="s">
        <v>1176</v>
      </c>
      <c r="I497" s="2" t="s">
        <v>1153</v>
      </c>
    </row>
    <row r="498" spans="1:9">
      <c r="A498" s="6">
        <v>43435</v>
      </c>
      <c r="B498" s="3" t="s">
        <v>388</v>
      </c>
      <c r="C498" s="3" t="s">
        <v>179</v>
      </c>
      <c r="D498" s="1" t="s">
        <v>564</v>
      </c>
      <c r="E498" s="7">
        <v>0.81</v>
      </c>
      <c r="F498" s="3">
        <v>1.5</v>
      </c>
      <c r="G498" s="1" t="s">
        <v>11</v>
      </c>
      <c r="H498" s="1" t="s">
        <v>1199</v>
      </c>
      <c r="I498" s="2" t="s">
        <v>1153</v>
      </c>
    </row>
    <row r="499" spans="1:9">
      <c r="A499" s="6">
        <v>43443</v>
      </c>
      <c r="B499" s="3" t="s">
        <v>881</v>
      </c>
      <c r="C499" s="3" t="s">
        <v>151</v>
      </c>
      <c r="D499" s="1" t="s">
        <v>153</v>
      </c>
      <c r="E499" s="7">
        <v>0.81</v>
      </c>
      <c r="F499" s="3">
        <v>1.5</v>
      </c>
      <c r="G499" s="1" t="s">
        <v>22</v>
      </c>
      <c r="H499" s="1" t="s">
        <v>1172</v>
      </c>
      <c r="I499" s="2" t="s">
        <v>1153</v>
      </c>
    </row>
    <row r="500" spans="1:9">
      <c r="A500" s="6">
        <v>43453</v>
      </c>
      <c r="B500" s="3" t="s">
        <v>630</v>
      </c>
      <c r="C500" s="3" t="s">
        <v>1038</v>
      </c>
      <c r="D500" s="1" t="s">
        <v>1013</v>
      </c>
      <c r="E500" s="7">
        <v>0.81</v>
      </c>
      <c r="F500" s="3">
        <v>1.5</v>
      </c>
      <c r="G500" s="1" t="s">
        <v>22</v>
      </c>
      <c r="H500" s="1" t="s">
        <v>1178</v>
      </c>
      <c r="I500" s="2" t="s">
        <v>1154</v>
      </c>
    </row>
    <row r="501" spans="1:9">
      <c r="A501" s="6">
        <v>43470</v>
      </c>
      <c r="B501" s="3" t="s">
        <v>192</v>
      </c>
      <c r="C501" s="3" t="s">
        <v>1136</v>
      </c>
      <c r="D501" s="1" t="s">
        <v>15</v>
      </c>
      <c r="E501" s="7">
        <v>0.81</v>
      </c>
      <c r="F501" s="3">
        <v>1.5</v>
      </c>
      <c r="G501" s="1" t="s">
        <v>11</v>
      </c>
      <c r="H501" s="1" t="s">
        <v>1177</v>
      </c>
      <c r="I501" s="2" t="s">
        <v>1154</v>
      </c>
    </row>
    <row r="502" spans="1:9">
      <c r="A502" s="6">
        <v>43450</v>
      </c>
      <c r="B502" s="3" t="s">
        <v>991</v>
      </c>
      <c r="C502" s="3" t="s">
        <v>768</v>
      </c>
      <c r="D502" s="1" t="s">
        <v>278</v>
      </c>
      <c r="E502" s="7">
        <v>0.81</v>
      </c>
      <c r="F502" s="3">
        <v>1.49</v>
      </c>
      <c r="G502" s="1" t="s">
        <v>11</v>
      </c>
      <c r="H502" s="1" t="s">
        <v>1186</v>
      </c>
      <c r="I502" s="2" t="s">
        <v>1154</v>
      </c>
    </row>
    <row r="503" spans="1:9">
      <c r="A503" s="6">
        <v>43429</v>
      </c>
      <c r="B503" s="3" t="s">
        <v>358</v>
      </c>
      <c r="C503" s="3" t="s">
        <v>359</v>
      </c>
      <c r="D503" s="1" t="s">
        <v>360</v>
      </c>
      <c r="E503" s="7">
        <v>0.81</v>
      </c>
      <c r="F503" s="3">
        <v>1.48</v>
      </c>
      <c r="G503" s="1" t="s">
        <v>11</v>
      </c>
      <c r="H503" s="1" t="s">
        <v>1185</v>
      </c>
      <c r="I503" s="2" t="s">
        <v>1152</v>
      </c>
    </row>
    <row r="504" spans="1:9">
      <c r="A504" s="6">
        <v>43439</v>
      </c>
      <c r="B504" s="3" t="s">
        <v>760</v>
      </c>
      <c r="C504" s="3" t="s">
        <v>251</v>
      </c>
      <c r="D504" s="1" t="s">
        <v>71</v>
      </c>
      <c r="E504" s="7">
        <v>0.81</v>
      </c>
      <c r="F504" s="3">
        <v>1.48</v>
      </c>
      <c r="G504" s="1" t="s">
        <v>22</v>
      </c>
      <c r="H504" s="1" t="s">
        <v>1175</v>
      </c>
      <c r="I504" s="2" t="s">
        <v>1152</v>
      </c>
    </row>
    <row r="505" spans="1:9">
      <c r="A505" s="6">
        <v>43463</v>
      </c>
      <c r="B505" s="3" t="s">
        <v>1091</v>
      </c>
      <c r="C505" s="3" t="s">
        <v>962</v>
      </c>
      <c r="D505" s="1" t="s">
        <v>211</v>
      </c>
      <c r="E505" s="7">
        <v>0.81</v>
      </c>
      <c r="F505" s="3">
        <v>1.48</v>
      </c>
      <c r="G505" s="1" t="s">
        <v>11</v>
      </c>
      <c r="H505" s="1" t="s">
        <v>1175</v>
      </c>
      <c r="I505" s="2" t="s">
        <v>1152</v>
      </c>
    </row>
    <row r="506" spans="1:9">
      <c r="A506" s="6">
        <v>43428</v>
      </c>
      <c r="B506" s="3" t="s">
        <v>295</v>
      </c>
      <c r="C506" s="3" t="s">
        <v>296</v>
      </c>
      <c r="D506" s="1" t="s">
        <v>292</v>
      </c>
      <c r="E506" s="7">
        <v>0.81</v>
      </c>
      <c r="F506" s="3">
        <v>1.47</v>
      </c>
      <c r="G506" s="1" t="s">
        <v>11</v>
      </c>
      <c r="H506" s="1" t="s">
        <v>1191</v>
      </c>
      <c r="I506" s="2" t="s">
        <v>1153</v>
      </c>
    </row>
    <row r="507" spans="1:9">
      <c r="A507" s="6">
        <v>43435</v>
      </c>
      <c r="B507" s="3" t="s">
        <v>565</v>
      </c>
      <c r="C507" s="3" t="s">
        <v>438</v>
      </c>
      <c r="D507" s="1" t="s">
        <v>15</v>
      </c>
      <c r="E507" s="7">
        <v>0.81</v>
      </c>
      <c r="F507" s="3">
        <v>1.47</v>
      </c>
      <c r="G507" s="1" t="s">
        <v>11</v>
      </c>
      <c r="H507" s="1" t="s">
        <v>1172</v>
      </c>
      <c r="I507" s="2" t="s">
        <v>1154</v>
      </c>
    </row>
    <row r="508" spans="1:9">
      <c r="A508" s="6">
        <v>43460</v>
      </c>
      <c r="B508" s="3" t="s">
        <v>171</v>
      </c>
      <c r="C508" s="3" t="s">
        <v>136</v>
      </c>
      <c r="D508" s="1" t="s">
        <v>138</v>
      </c>
      <c r="E508" s="7">
        <v>0.81</v>
      </c>
      <c r="F508" s="3">
        <v>1.47</v>
      </c>
      <c r="G508" s="1" t="s">
        <v>11</v>
      </c>
      <c r="H508" s="1" t="s">
        <v>1177</v>
      </c>
      <c r="I508" s="2" t="s">
        <v>1154</v>
      </c>
    </row>
    <row r="509" spans="1:9">
      <c r="A509" s="6">
        <v>43437</v>
      </c>
      <c r="B509" s="3" t="s">
        <v>667</v>
      </c>
      <c r="C509" s="3" t="s">
        <v>668</v>
      </c>
      <c r="D509" s="1" t="s">
        <v>15</v>
      </c>
      <c r="E509" s="7">
        <v>0.81</v>
      </c>
      <c r="F509" s="3">
        <v>1.46</v>
      </c>
      <c r="G509" s="1" t="s">
        <v>22</v>
      </c>
      <c r="H509" s="1" t="s">
        <v>1178</v>
      </c>
      <c r="I509" s="2" t="s">
        <v>1154</v>
      </c>
    </row>
    <row r="510" spans="1:9">
      <c r="A510" s="6">
        <v>43471</v>
      </c>
      <c r="B510" s="3" t="s">
        <v>1151</v>
      </c>
      <c r="C510" s="3" t="s">
        <v>897</v>
      </c>
      <c r="D510" s="1" t="s">
        <v>398</v>
      </c>
      <c r="E510" s="7">
        <v>0.81</v>
      </c>
      <c r="F510" s="3">
        <v>1.46</v>
      </c>
      <c r="G510" s="1" t="s">
        <v>11</v>
      </c>
      <c r="H510" s="1" t="s">
        <v>1173</v>
      </c>
      <c r="I510" s="2" t="s">
        <v>1154</v>
      </c>
    </row>
    <row r="511" spans="1:9">
      <c r="A511" s="6">
        <v>43435</v>
      </c>
      <c r="B511" s="3" t="s">
        <v>370</v>
      </c>
      <c r="C511" s="3" t="s">
        <v>536</v>
      </c>
      <c r="D511" s="1" t="s">
        <v>371</v>
      </c>
      <c r="E511" s="7">
        <v>0.81</v>
      </c>
      <c r="F511" s="3">
        <v>1.44</v>
      </c>
      <c r="G511" s="1" t="s">
        <v>22</v>
      </c>
      <c r="H511" s="1" t="s">
        <v>1185</v>
      </c>
      <c r="I511" s="2" t="s">
        <v>1152</v>
      </c>
    </row>
    <row r="512" spans="1:9">
      <c r="A512" s="6">
        <v>43436</v>
      </c>
      <c r="B512" s="3" t="s">
        <v>609</v>
      </c>
      <c r="C512" s="3" t="s">
        <v>610</v>
      </c>
      <c r="D512" s="1" t="s">
        <v>611</v>
      </c>
      <c r="E512" s="7">
        <v>0.81</v>
      </c>
      <c r="F512" s="3">
        <v>1.44</v>
      </c>
      <c r="G512" s="1" t="s">
        <v>11</v>
      </c>
      <c r="H512" s="1" t="s">
        <v>1175</v>
      </c>
      <c r="I512" s="2" t="s">
        <v>1152</v>
      </c>
    </row>
    <row r="513" spans="1:9">
      <c r="A513" s="6">
        <v>43450</v>
      </c>
      <c r="B513" s="3" t="s">
        <v>984</v>
      </c>
      <c r="C513" s="3" t="s">
        <v>258</v>
      </c>
      <c r="D513" s="1" t="s">
        <v>260</v>
      </c>
      <c r="E513" s="7">
        <v>0.81</v>
      </c>
      <c r="F513" s="3">
        <v>1.44</v>
      </c>
      <c r="G513" s="1" t="s">
        <v>22</v>
      </c>
      <c r="H513" s="1" t="s">
        <v>1193</v>
      </c>
      <c r="I513" s="2" t="s">
        <v>1154</v>
      </c>
    </row>
    <row r="514" spans="1:9">
      <c r="A514" s="6">
        <v>43452</v>
      </c>
      <c r="B514" s="3" t="s">
        <v>591</v>
      </c>
      <c r="C514" s="3" t="s">
        <v>1006</v>
      </c>
      <c r="D514" s="1" t="s">
        <v>1007</v>
      </c>
      <c r="E514" s="7">
        <v>0.81</v>
      </c>
      <c r="F514" s="3">
        <v>1.44</v>
      </c>
      <c r="G514" s="1" t="s">
        <v>11</v>
      </c>
      <c r="H514" s="1" t="s">
        <v>1174</v>
      </c>
      <c r="I514" s="2" t="s">
        <v>1154</v>
      </c>
    </row>
    <row r="515" spans="1:9">
      <c r="A515" s="6">
        <v>43470</v>
      </c>
      <c r="B515" s="3" t="s">
        <v>173</v>
      </c>
      <c r="C515" s="3" t="s">
        <v>178</v>
      </c>
      <c r="D515" s="1" t="s">
        <v>569</v>
      </c>
      <c r="E515" s="7">
        <v>0.81</v>
      </c>
      <c r="F515" s="3">
        <v>1.44</v>
      </c>
      <c r="G515" s="1" t="s">
        <v>11</v>
      </c>
      <c r="H515" s="1" t="s">
        <v>1198</v>
      </c>
      <c r="I515" s="2" t="s">
        <v>1154</v>
      </c>
    </row>
    <row r="516" spans="1:9">
      <c r="A516" s="6">
        <v>43470</v>
      </c>
      <c r="B516" s="3" t="s">
        <v>643</v>
      </c>
      <c r="C516" s="3" t="s">
        <v>834</v>
      </c>
      <c r="D516" s="1" t="s">
        <v>835</v>
      </c>
      <c r="E516" s="7">
        <v>0.81</v>
      </c>
      <c r="F516" s="3">
        <v>1.44</v>
      </c>
      <c r="G516" s="1" t="s">
        <v>11</v>
      </c>
      <c r="H516" s="1" t="s">
        <v>1175</v>
      </c>
      <c r="I516" s="2" t="s">
        <v>1152</v>
      </c>
    </row>
    <row r="517" spans="1:9">
      <c r="A517" s="6">
        <v>43439</v>
      </c>
      <c r="B517" s="3" t="s">
        <v>719</v>
      </c>
      <c r="C517" s="3" t="s">
        <v>720</v>
      </c>
      <c r="D517" s="1" t="s">
        <v>721</v>
      </c>
      <c r="E517" s="7">
        <v>0.81</v>
      </c>
      <c r="F517" s="3">
        <v>1.43</v>
      </c>
      <c r="G517" s="1" t="s">
        <v>22</v>
      </c>
      <c r="H517" s="1" t="s">
        <v>1185</v>
      </c>
      <c r="I517" s="2" t="s">
        <v>1152</v>
      </c>
    </row>
    <row r="518" spans="1:9">
      <c r="A518" s="6">
        <v>43457</v>
      </c>
      <c r="B518" s="3" t="s">
        <v>267</v>
      </c>
      <c r="C518" s="3" t="s">
        <v>283</v>
      </c>
      <c r="D518" s="1" t="s">
        <v>77</v>
      </c>
      <c r="E518" s="7">
        <v>0.81</v>
      </c>
      <c r="F518" s="3">
        <v>1.43</v>
      </c>
      <c r="G518" s="1" t="s">
        <v>22</v>
      </c>
      <c r="H518" s="1" t="s">
        <v>1184</v>
      </c>
      <c r="I518" s="2" t="s">
        <v>1154</v>
      </c>
    </row>
    <row r="519" spans="1:9">
      <c r="A519" s="6">
        <v>43447</v>
      </c>
      <c r="B519" s="3" t="s">
        <v>513</v>
      </c>
      <c r="C519" s="3" t="s">
        <v>233</v>
      </c>
      <c r="D519" s="1" t="s">
        <v>491</v>
      </c>
      <c r="E519" s="7">
        <v>0.81</v>
      </c>
      <c r="F519" s="3">
        <v>1.42</v>
      </c>
      <c r="G519" s="1" t="s">
        <v>11</v>
      </c>
      <c r="H519" s="1" t="s">
        <v>1181</v>
      </c>
      <c r="I519" s="2" t="s">
        <v>1153</v>
      </c>
    </row>
    <row r="520" spans="1:9">
      <c r="A520" s="6">
        <v>43457</v>
      </c>
      <c r="B520" s="3" t="s">
        <v>633</v>
      </c>
      <c r="C520" s="3" t="s">
        <v>365</v>
      </c>
      <c r="D520" s="1" t="s">
        <v>265</v>
      </c>
      <c r="E520" s="7">
        <v>0.81</v>
      </c>
      <c r="F520" s="3">
        <v>1.42</v>
      </c>
      <c r="G520" s="1" t="s">
        <v>22</v>
      </c>
      <c r="H520" s="1" t="s">
        <v>1185</v>
      </c>
      <c r="I520" s="2" t="s">
        <v>1152</v>
      </c>
    </row>
    <row r="521" spans="1:9">
      <c r="A521" s="6">
        <v>43427</v>
      </c>
      <c r="B521" s="3" t="s">
        <v>85</v>
      </c>
      <c r="C521" s="3" t="s">
        <v>86</v>
      </c>
      <c r="D521" s="1" t="s">
        <v>36</v>
      </c>
      <c r="E521" s="7">
        <v>0.81</v>
      </c>
      <c r="F521" s="3">
        <v>1.39</v>
      </c>
      <c r="G521" s="1" t="s">
        <v>11</v>
      </c>
      <c r="H521" s="1" t="s">
        <v>1179</v>
      </c>
      <c r="I521" s="2" t="s">
        <v>1152</v>
      </c>
    </row>
    <row r="522" spans="1:9">
      <c r="A522" s="6">
        <v>43428</v>
      </c>
      <c r="B522" s="3" t="s">
        <v>163</v>
      </c>
      <c r="C522" s="3" t="s">
        <v>164</v>
      </c>
      <c r="D522" s="1" t="s">
        <v>159</v>
      </c>
      <c r="E522" s="7">
        <v>0.81</v>
      </c>
      <c r="F522" s="3">
        <v>1.39</v>
      </c>
      <c r="G522" s="1" t="s">
        <v>11</v>
      </c>
      <c r="H522" s="1" t="s">
        <v>1187</v>
      </c>
      <c r="I522" s="2" t="s">
        <v>1154</v>
      </c>
    </row>
    <row r="523" spans="1:9">
      <c r="A523" s="6">
        <v>43470</v>
      </c>
      <c r="B523" s="3" t="s">
        <v>1137</v>
      </c>
      <c r="C523" s="3" t="s">
        <v>1138</v>
      </c>
      <c r="D523" s="1" t="s">
        <v>804</v>
      </c>
      <c r="E523" s="7">
        <v>0.81</v>
      </c>
      <c r="F523" s="3">
        <v>1.34</v>
      </c>
      <c r="G523" s="1" t="s">
        <v>11</v>
      </c>
      <c r="H523" s="1" t="s">
        <v>1183</v>
      </c>
      <c r="I523" s="2" t="s">
        <v>1153</v>
      </c>
    </row>
    <row r="524" spans="1:9">
      <c r="A524" s="6">
        <v>43460</v>
      </c>
      <c r="B524" s="3" t="s">
        <v>1025</v>
      </c>
      <c r="C524" s="3" t="s">
        <v>962</v>
      </c>
      <c r="D524" s="1" t="s">
        <v>211</v>
      </c>
      <c r="E524" s="7">
        <v>0.8</v>
      </c>
      <c r="F524" s="3">
        <v>1.57</v>
      </c>
      <c r="G524" s="1" t="s">
        <v>11</v>
      </c>
      <c r="H524" s="1" t="s">
        <v>1176</v>
      </c>
      <c r="I524" s="2" t="s">
        <v>1153</v>
      </c>
    </row>
    <row r="525" spans="1:9">
      <c r="A525" s="6">
        <v>43474</v>
      </c>
      <c r="B525" s="3" t="s">
        <v>389</v>
      </c>
      <c r="C525" s="3" t="s">
        <v>8</v>
      </c>
      <c r="D525" s="1" t="s">
        <v>10</v>
      </c>
      <c r="E525" s="7">
        <v>0.8</v>
      </c>
      <c r="F525" s="3">
        <v>1.57</v>
      </c>
      <c r="G525" s="1" t="s">
        <v>11</v>
      </c>
      <c r="H525" s="1" t="s">
        <v>1180</v>
      </c>
      <c r="I525" s="3" t="s">
        <v>1154</v>
      </c>
    </row>
    <row r="526" spans="1:9">
      <c r="A526" s="6">
        <v>43441</v>
      </c>
      <c r="B526" s="3" t="s">
        <v>276</v>
      </c>
      <c r="C526" s="3" t="s">
        <v>285</v>
      </c>
      <c r="D526" s="1" t="s">
        <v>278</v>
      </c>
      <c r="E526" s="7">
        <v>0.8</v>
      </c>
      <c r="F526" s="3">
        <v>1.56</v>
      </c>
      <c r="G526" s="1" t="s">
        <v>11</v>
      </c>
      <c r="H526" s="1" t="s">
        <v>1180</v>
      </c>
      <c r="I526" s="2" t="s">
        <v>1154</v>
      </c>
    </row>
    <row r="527" spans="1:9">
      <c r="A527" s="6">
        <v>43460</v>
      </c>
      <c r="B527" s="3" t="s">
        <v>598</v>
      </c>
      <c r="C527" s="3" t="s">
        <v>632</v>
      </c>
      <c r="D527" s="1" t="s">
        <v>278</v>
      </c>
      <c r="E527" s="7">
        <v>0.8</v>
      </c>
      <c r="F527" s="3">
        <v>1.56</v>
      </c>
      <c r="G527" s="1" t="s">
        <v>11</v>
      </c>
      <c r="H527" s="1" t="s">
        <v>1176</v>
      </c>
      <c r="I527" s="2" t="s">
        <v>1153</v>
      </c>
    </row>
    <row r="528" spans="1:9">
      <c r="A528" s="6">
        <v>43429</v>
      </c>
      <c r="B528" s="3" t="s">
        <v>304</v>
      </c>
      <c r="C528" s="3" t="s">
        <v>305</v>
      </c>
      <c r="D528" s="1" t="s">
        <v>56</v>
      </c>
      <c r="E528" s="7">
        <v>0.8</v>
      </c>
      <c r="F528" s="3">
        <v>1.54</v>
      </c>
      <c r="G528" s="1" t="s">
        <v>11</v>
      </c>
      <c r="H528" s="1" t="s">
        <v>1172</v>
      </c>
      <c r="I528" s="2" t="s">
        <v>1154</v>
      </c>
    </row>
    <row r="529" spans="1:9">
      <c r="A529" s="6">
        <v>43430</v>
      </c>
      <c r="B529" s="3" t="s">
        <v>450</v>
      </c>
      <c r="C529" s="3" t="s">
        <v>451</v>
      </c>
      <c r="D529" s="1" t="s">
        <v>427</v>
      </c>
      <c r="E529" s="7">
        <v>0.8</v>
      </c>
      <c r="F529" s="3">
        <v>1.54</v>
      </c>
      <c r="G529" s="1" t="s">
        <v>11</v>
      </c>
      <c r="H529" s="1" t="s">
        <v>1173</v>
      </c>
      <c r="I529" s="2" t="s">
        <v>1154</v>
      </c>
    </row>
    <row r="530" spans="1:9">
      <c r="A530" s="6">
        <v>43436</v>
      </c>
      <c r="B530" s="3" t="s">
        <v>355</v>
      </c>
      <c r="C530" s="3" t="s">
        <v>514</v>
      </c>
      <c r="D530" s="1" t="s">
        <v>278</v>
      </c>
      <c r="E530" s="7">
        <v>0.8</v>
      </c>
      <c r="F530" s="3">
        <v>1.54</v>
      </c>
      <c r="G530" s="1" t="s">
        <v>22</v>
      </c>
      <c r="H530" s="1" t="s">
        <v>1175</v>
      </c>
      <c r="I530" s="2" t="s">
        <v>1152</v>
      </c>
    </row>
    <row r="531" spans="1:9">
      <c r="A531" s="6">
        <v>43442</v>
      </c>
      <c r="B531" s="3" t="s">
        <v>737</v>
      </c>
      <c r="C531" s="3" t="s">
        <v>860</v>
      </c>
      <c r="D531" s="1" t="s">
        <v>71</v>
      </c>
      <c r="E531" s="7">
        <v>0.8</v>
      </c>
      <c r="F531" s="3">
        <v>1.54</v>
      </c>
      <c r="G531" s="1" t="s">
        <v>11</v>
      </c>
      <c r="H531" s="1" t="s">
        <v>1177</v>
      </c>
      <c r="I531" s="2" t="s">
        <v>1154</v>
      </c>
    </row>
    <row r="532" spans="1:9">
      <c r="A532" s="6">
        <v>43428</v>
      </c>
      <c r="B532" s="3" t="s">
        <v>299</v>
      </c>
      <c r="C532" s="3" t="s">
        <v>300</v>
      </c>
      <c r="D532" s="1" t="s">
        <v>292</v>
      </c>
      <c r="E532" s="7">
        <v>0.8</v>
      </c>
      <c r="F532" s="3">
        <v>1.53</v>
      </c>
      <c r="G532" s="1" t="s">
        <v>22</v>
      </c>
      <c r="H532" s="1" t="s">
        <v>1188</v>
      </c>
      <c r="I532" s="2" t="s">
        <v>1154</v>
      </c>
    </row>
    <row r="533" spans="1:9">
      <c r="A533" s="6">
        <v>43429</v>
      </c>
      <c r="B533" s="3" t="s">
        <v>431</v>
      </c>
      <c r="C533" s="3" t="s">
        <v>432</v>
      </c>
      <c r="D533" s="1" t="s">
        <v>430</v>
      </c>
      <c r="E533" s="7">
        <v>0.8</v>
      </c>
      <c r="F533" s="3">
        <v>1.53</v>
      </c>
      <c r="G533" s="1" t="s">
        <v>11</v>
      </c>
      <c r="H533" s="1" t="s">
        <v>1175</v>
      </c>
      <c r="I533" s="2" t="s">
        <v>1152</v>
      </c>
    </row>
    <row r="534" spans="1:9">
      <c r="A534" s="6">
        <v>43432</v>
      </c>
      <c r="B534" s="3" t="s">
        <v>474</v>
      </c>
      <c r="C534" s="3" t="s">
        <v>475</v>
      </c>
      <c r="D534" s="1" t="s">
        <v>476</v>
      </c>
      <c r="E534" s="7">
        <v>0.8</v>
      </c>
      <c r="F534" s="3">
        <v>1.53</v>
      </c>
      <c r="G534" s="1" t="s">
        <v>11</v>
      </c>
      <c r="H534" s="1" t="s">
        <v>1200</v>
      </c>
      <c r="I534" s="2" t="s">
        <v>1154</v>
      </c>
    </row>
    <row r="535" spans="1:9">
      <c r="A535" s="6">
        <v>43442</v>
      </c>
      <c r="B535" s="3" t="s">
        <v>240</v>
      </c>
      <c r="C535" s="3" t="s">
        <v>861</v>
      </c>
      <c r="D535" s="1" t="s">
        <v>241</v>
      </c>
      <c r="E535" s="7">
        <v>0.8</v>
      </c>
      <c r="F535" s="3">
        <v>1.53</v>
      </c>
      <c r="G535" s="1" t="s">
        <v>11</v>
      </c>
      <c r="H535" s="1" t="s">
        <v>1185</v>
      </c>
      <c r="I535" s="2" t="s">
        <v>1152</v>
      </c>
    </row>
    <row r="536" spans="1:9">
      <c r="A536" s="6">
        <v>43447</v>
      </c>
      <c r="B536" s="3" t="s">
        <v>925</v>
      </c>
      <c r="C536" s="3" t="s">
        <v>511</v>
      </c>
      <c r="D536" s="1" t="s">
        <v>491</v>
      </c>
      <c r="E536" s="7">
        <v>0.8</v>
      </c>
      <c r="F536" s="3">
        <v>1.53</v>
      </c>
      <c r="G536" s="1" t="s">
        <v>22</v>
      </c>
      <c r="H536" s="1" t="s">
        <v>1185</v>
      </c>
      <c r="I536" s="2" t="s">
        <v>1152</v>
      </c>
    </row>
    <row r="537" spans="1:9">
      <c r="A537" s="6">
        <v>43456</v>
      </c>
      <c r="B537" s="3" t="s">
        <v>1062</v>
      </c>
      <c r="C537" s="3" t="s">
        <v>210</v>
      </c>
      <c r="D537" s="1" t="s">
        <v>211</v>
      </c>
      <c r="E537" s="7">
        <v>0.8</v>
      </c>
      <c r="F537" s="3">
        <v>1.53</v>
      </c>
      <c r="G537" s="1" t="s">
        <v>11</v>
      </c>
      <c r="H537" s="1" t="s">
        <v>1180</v>
      </c>
      <c r="I537" s="2" t="s">
        <v>1154</v>
      </c>
    </row>
    <row r="538" spans="1:9">
      <c r="A538" s="6">
        <v>43463</v>
      </c>
      <c r="B538" s="3" t="s">
        <v>356</v>
      </c>
      <c r="C538" s="3" t="s">
        <v>285</v>
      </c>
      <c r="D538" s="1" t="s">
        <v>278</v>
      </c>
      <c r="E538" s="7">
        <v>0.8</v>
      </c>
      <c r="F538" s="3">
        <v>1.53</v>
      </c>
      <c r="G538" s="1" t="s">
        <v>22</v>
      </c>
      <c r="H538" s="1" t="s">
        <v>1176</v>
      </c>
      <c r="I538" s="2" t="s">
        <v>1154</v>
      </c>
    </row>
    <row r="539" spans="1:9">
      <c r="A539" s="6">
        <v>43463</v>
      </c>
      <c r="B539" s="3" t="s">
        <v>439</v>
      </c>
      <c r="C539" s="3" t="s">
        <v>1106</v>
      </c>
      <c r="D539" s="1" t="s">
        <v>211</v>
      </c>
      <c r="E539" s="7">
        <v>0.8</v>
      </c>
      <c r="F539" s="3">
        <v>1.53</v>
      </c>
      <c r="G539" s="1" t="s">
        <v>11</v>
      </c>
      <c r="H539" s="1" t="s">
        <v>1184</v>
      </c>
      <c r="I539" s="2" t="s">
        <v>1153</v>
      </c>
    </row>
    <row r="540" spans="1:9">
      <c r="A540" s="6">
        <v>43464</v>
      </c>
      <c r="B540" s="3" t="s">
        <v>1112</v>
      </c>
      <c r="C540" s="3" t="s">
        <v>500</v>
      </c>
      <c r="D540" s="1" t="s">
        <v>502</v>
      </c>
      <c r="E540" s="7">
        <v>0.8</v>
      </c>
      <c r="F540" s="3">
        <v>1.53</v>
      </c>
      <c r="G540" s="1" t="s">
        <v>11</v>
      </c>
      <c r="H540" s="1" t="s">
        <v>1179</v>
      </c>
      <c r="I540" s="2" t="s">
        <v>1152</v>
      </c>
    </row>
    <row r="541" spans="1:9">
      <c r="A541" s="6">
        <v>43476</v>
      </c>
      <c r="B541" s="3" t="s">
        <v>776</v>
      </c>
      <c r="C541" s="3" t="s">
        <v>1164</v>
      </c>
      <c r="D541" s="1" t="s">
        <v>25</v>
      </c>
      <c r="E541" s="7">
        <v>0.8</v>
      </c>
      <c r="F541" s="3">
        <v>1.53</v>
      </c>
      <c r="G541" s="1" t="s">
        <v>22</v>
      </c>
      <c r="H541" s="1" t="s">
        <v>1183</v>
      </c>
      <c r="I541" s="3" t="s">
        <v>1154</v>
      </c>
    </row>
    <row r="542" spans="1:9">
      <c r="A542" s="6">
        <v>43435</v>
      </c>
      <c r="B542" s="3" t="s">
        <v>309</v>
      </c>
      <c r="C542" s="3" t="s">
        <v>535</v>
      </c>
      <c r="D542" s="1" t="s">
        <v>311</v>
      </c>
      <c r="E542" s="7">
        <v>0.8</v>
      </c>
      <c r="F542" s="3">
        <v>1.51</v>
      </c>
      <c r="G542" s="1" t="s">
        <v>11</v>
      </c>
      <c r="H542" s="1" t="s">
        <v>1174</v>
      </c>
      <c r="I542" s="2" t="s">
        <v>1154</v>
      </c>
    </row>
    <row r="543" spans="1:9">
      <c r="A543" s="6">
        <v>43466</v>
      </c>
      <c r="B543" s="3" t="s">
        <v>441</v>
      </c>
      <c r="C543" s="3" t="s">
        <v>563</v>
      </c>
      <c r="D543" s="1" t="s">
        <v>443</v>
      </c>
      <c r="E543" s="7">
        <v>0.8</v>
      </c>
      <c r="F543" s="3">
        <v>1.51</v>
      </c>
      <c r="G543" s="1" t="s">
        <v>11</v>
      </c>
      <c r="H543" s="1" t="s">
        <v>1173</v>
      </c>
      <c r="I543" s="2" t="s">
        <v>1154</v>
      </c>
    </row>
    <row r="544" spans="1:9">
      <c r="A544" s="6">
        <v>43439</v>
      </c>
      <c r="B544" s="3" t="s">
        <v>734</v>
      </c>
      <c r="C544" s="3" t="s">
        <v>267</v>
      </c>
      <c r="D544" s="1" t="s">
        <v>705</v>
      </c>
      <c r="E544" s="7">
        <v>0.8</v>
      </c>
      <c r="F544" s="3">
        <v>1.5</v>
      </c>
      <c r="G544" s="1" t="s">
        <v>22</v>
      </c>
      <c r="H544" s="1" t="s">
        <v>1181</v>
      </c>
      <c r="I544" s="2" t="s">
        <v>1154</v>
      </c>
    </row>
    <row r="545" spans="1:9">
      <c r="A545" s="6">
        <v>43453</v>
      </c>
      <c r="B545" s="3" t="s">
        <v>1041</v>
      </c>
      <c r="C545" s="3" t="s">
        <v>283</v>
      </c>
      <c r="D545" s="1" t="s">
        <v>705</v>
      </c>
      <c r="E545" s="7">
        <v>0.8</v>
      </c>
      <c r="F545" s="3">
        <v>1.5</v>
      </c>
      <c r="G545" s="1" t="s">
        <v>22</v>
      </c>
      <c r="H545" s="1" t="s">
        <v>1185</v>
      </c>
      <c r="I545" s="2" t="s">
        <v>1152</v>
      </c>
    </row>
    <row r="546" spans="1:9">
      <c r="A546" s="6">
        <v>43464</v>
      </c>
      <c r="B546" s="3" t="s">
        <v>1118</v>
      </c>
      <c r="C546" s="3" t="s">
        <v>1119</v>
      </c>
      <c r="D546" s="1" t="s">
        <v>1096</v>
      </c>
      <c r="E546" s="7">
        <v>0.8</v>
      </c>
      <c r="F546" s="3">
        <v>1.5</v>
      </c>
      <c r="G546" s="1" t="s">
        <v>11</v>
      </c>
      <c r="H546" s="1" t="s">
        <v>1172</v>
      </c>
      <c r="I546" s="2" t="s">
        <v>1154</v>
      </c>
    </row>
    <row r="547" spans="1:9">
      <c r="A547" s="6">
        <v>43432</v>
      </c>
      <c r="B547" s="3" t="s">
        <v>488</v>
      </c>
      <c r="C547" s="3" t="s">
        <v>489</v>
      </c>
      <c r="D547" s="1" t="s">
        <v>153</v>
      </c>
      <c r="E547" s="7">
        <v>0.8</v>
      </c>
      <c r="F547" s="3">
        <v>1.49</v>
      </c>
      <c r="G547" s="1" t="s">
        <v>11</v>
      </c>
      <c r="H547" s="1" t="s">
        <v>1179</v>
      </c>
      <c r="I547" s="2" t="s">
        <v>1152</v>
      </c>
    </row>
    <row r="548" spans="1:9">
      <c r="A548" s="6">
        <v>43433</v>
      </c>
      <c r="B548" s="3" t="s">
        <v>498</v>
      </c>
      <c r="C548" s="3" t="s">
        <v>499</v>
      </c>
      <c r="D548" s="1" t="s">
        <v>491</v>
      </c>
      <c r="E548" s="7">
        <v>0.8</v>
      </c>
      <c r="F548" s="3">
        <v>1.49</v>
      </c>
      <c r="G548" s="1" t="s">
        <v>11</v>
      </c>
      <c r="H548" s="1" t="s">
        <v>1175</v>
      </c>
      <c r="I548" s="2" t="s">
        <v>1152</v>
      </c>
    </row>
    <row r="549" spans="1:9">
      <c r="A549" s="6">
        <v>43447</v>
      </c>
      <c r="B549" s="3" t="s">
        <v>664</v>
      </c>
      <c r="C549" s="3" t="s">
        <v>304</v>
      </c>
      <c r="D549" s="1" t="s">
        <v>491</v>
      </c>
      <c r="E549" s="7">
        <v>0.8</v>
      </c>
      <c r="F549" s="3">
        <v>1.49</v>
      </c>
      <c r="G549" s="1" t="s">
        <v>11</v>
      </c>
      <c r="H549" s="1" t="s">
        <v>1177</v>
      </c>
      <c r="I549" s="2" t="s">
        <v>1154</v>
      </c>
    </row>
    <row r="550" spans="1:9">
      <c r="A550" s="6">
        <v>43467</v>
      </c>
      <c r="B550" s="3" t="s">
        <v>810</v>
      </c>
      <c r="C550" s="3" t="s">
        <v>464</v>
      </c>
      <c r="D550" s="1" t="s">
        <v>594</v>
      </c>
      <c r="E550" s="7">
        <v>0.8</v>
      </c>
      <c r="F550" s="3">
        <v>1.49</v>
      </c>
      <c r="G550" s="1" t="s">
        <v>22</v>
      </c>
      <c r="H550" s="1" t="s">
        <v>1177</v>
      </c>
      <c r="I550" s="2" t="s">
        <v>1153</v>
      </c>
    </row>
    <row r="551" spans="1:9">
      <c r="A551" s="6">
        <v>43471</v>
      </c>
      <c r="B551" s="3" t="s">
        <v>1147</v>
      </c>
      <c r="C551" s="3" t="s">
        <v>319</v>
      </c>
      <c r="D551" s="1" t="s">
        <v>1148</v>
      </c>
      <c r="E551" s="7">
        <v>0.8</v>
      </c>
      <c r="F551" s="3">
        <v>1.49</v>
      </c>
      <c r="G551" s="1" t="s">
        <v>11</v>
      </c>
      <c r="H551" s="1" t="s">
        <v>1179</v>
      </c>
      <c r="I551" s="2" t="s">
        <v>1152</v>
      </c>
    </row>
    <row r="552" spans="1:9">
      <c r="A552" s="6">
        <v>43439</v>
      </c>
      <c r="B552" s="3" t="s">
        <v>731</v>
      </c>
      <c r="C552" s="3" t="s">
        <v>732</v>
      </c>
      <c r="D552" s="1" t="s">
        <v>733</v>
      </c>
      <c r="E552" s="7">
        <v>0.8</v>
      </c>
      <c r="F552" s="3">
        <v>1.48</v>
      </c>
      <c r="G552" s="1" t="s">
        <v>22</v>
      </c>
      <c r="H552" s="1" t="s">
        <v>1183</v>
      </c>
      <c r="I552" s="2" t="s">
        <v>1154</v>
      </c>
    </row>
    <row r="553" spans="1:9">
      <c r="A553" s="6">
        <v>43442</v>
      </c>
      <c r="B553" s="3" t="s">
        <v>825</v>
      </c>
      <c r="C553" s="3" t="s">
        <v>826</v>
      </c>
      <c r="D553" s="1" t="s">
        <v>559</v>
      </c>
      <c r="E553" s="7">
        <v>0.8</v>
      </c>
      <c r="F553" s="3">
        <v>1.48</v>
      </c>
      <c r="G553" s="1" t="s">
        <v>11</v>
      </c>
      <c r="H553" s="1" t="s">
        <v>1172</v>
      </c>
      <c r="I553" s="2" t="s">
        <v>1154</v>
      </c>
    </row>
    <row r="554" spans="1:9">
      <c r="A554" s="6">
        <v>43442</v>
      </c>
      <c r="B554" s="3" t="s">
        <v>228</v>
      </c>
      <c r="C554" s="3" t="s">
        <v>471</v>
      </c>
      <c r="D554" s="1" t="s">
        <v>208</v>
      </c>
      <c r="E554" s="7">
        <v>0.8</v>
      </c>
      <c r="F554" s="3">
        <v>1.48</v>
      </c>
      <c r="G554" s="1" t="s">
        <v>11</v>
      </c>
      <c r="H554" s="1" t="s">
        <v>1190</v>
      </c>
      <c r="I554" s="2" t="s">
        <v>1154</v>
      </c>
    </row>
    <row r="555" spans="1:9">
      <c r="A555" s="6">
        <v>43453</v>
      </c>
      <c r="B555" s="3" t="s">
        <v>911</v>
      </c>
      <c r="C555" s="3" t="s">
        <v>383</v>
      </c>
      <c r="D555" s="1" t="s">
        <v>326</v>
      </c>
      <c r="E555" s="7">
        <v>0.8</v>
      </c>
      <c r="F555" s="3">
        <v>1.48</v>
      </c>
      <c r="G555" s="1" t="s">
        <v>11</v>
      </c>
      <c r="H555" s="1" t="s">
        <v>1202</v>
      </c>
      <c r="I555" s="2" t="s">
        <v>1154</v>
      </c>
    </row>
    <row r="556" spans="1:9">
      <c r="A556" s="6">
        <v>43460</v>
      </c>
      <c r="B556" s="3" t="s">
        <v>220</v>
      </c>
      <c r="C556" s="3" t="s">
        <v>194</v>
      </c>
      <c r="D556" s="1" t="s">
        <v>138</v>
      </c>
      <c r="E556" s="7">
        <v>0.8</v>
      </c>
      <c r="F556" s="3">
        <v>1.48</v>
      </c>
      <c r="G556" s="1" t="s">
        <v>11</v>
      </c>
      <c r="H556" s="1" t="s">
        <v>1175</v>
      </c>
      <c r="I556" s="2" t="s">
        <v>1152</v>
      </c>
    </row>
    <row r="557" spans="1:9">
      <c r="A557" s="6">
        <v>43463</v>
      </c>
      <c r="B557" s="3" t="s">
        <v>1107</v>
      </c>
      <c r="C557" s="3" t="s">
        <v>834</v>
      </c>
      <c r="D557" s="1" t="s">
        <v>835</v>
      </c>
      <c r="E557" s="7">
        <v>0.8</v>
      </c>
      <c r="F557" s="3">
        <v>1.48</v>
      </c>
      <c r="G557" s="1" t="s">
        <v>11</v>
      </c>
      <c r="H557" s="1" t="s">
        <v>1172</v>
      </c>
      <c r="I557" s="2" t="s">
        <v>1154</v>
      </c>
    </row>
    <row r="558" spans="1:9">
      <c r="A558" s="6">
        <v>43446</v>
      </c>
      <c r="B558" s="3" t="s">
        <v>655</v>
      </c>
      <c r="C558" s="3" t="s">
        <v>923</v>
      </c>
      <c r="D558" s="1" t="s">
        <v>289</v>
      </c>
      <c r="E558" s="7">
        <v>0.8</v>
      </c>
      <c r="F558" s="3">
        <v>1.47</v>
      </c>
      <c r="G558" s="1" t="s">
        <v>11</v>
      </c>
      <c r="H558" s="1" t="s">
        <v>1200</v>
      </c>
      <c r="I558" s="2" t="s">
        <v>1154</v>
      </c>
    </row>
    <row r="559" spans="1:9">
      <c r="A559" s="6">
        <v>43456</v>
      </c>
      <c r="B559" s="3" t="s">
        <v>181</v>
      </c>
      <c r="C559" s="3" t="s">
        <v>965</v>
      </c>
      <c r="D559" s="1" t="s">
        <v>571</v>
      </c>
      <c r="E559" s="7">
        <v>0.8</v>
      </c>
      <c r="F559" s="3">
        <v>1.47</v>
      </c>
      <c r="G559" s="1" t="s">
        <v>11</v>
      </c>
      <c r="H559" s="1" t="s">
        <v>1190</v>
      </c>
      <c r="I559" s="2" t="s">
        <v>1154</v>
      </c>
    </row>
    <row r="560" spans="1:9">
      <c r="A560" s="6">
        <v>43456</v>
      </c>
      <c r="B560" s="3" t="s">
        <v>181</v>
      </c>
      <c r="C560" s="3" t="s">
        <v>965</v>
      </c>
      <c r="D560" s="1" t="s">
        <v>571</v>
      </c>
      <c r="E560" s="7">
        <v>0.8</v>
      </c>
      <c r="F560" s="3">
        <v>1.47</v>
      </c>
      <c r="G560" s="1" t="s">
        <v>11</v>
      </c>
      <c r="H560" s="1" t="s">
        <v>1190</v>
      </c>
      <c r="I560" s="2" t="s">
        <v>1154</v>
      </c>
    </row>
    <row r="561" spans="1:9">
      <c r="A561" s="6">
        <v>43457</v>
      </c>
      <c r="B561" s="3" t="s">
        <v>696</v>
      </c>
      <c r="C561" s="3" t="s">
        <v>710</v>
      </c>
      <c r="D561" s="1" t="s">
        <v>529</v>
      </c>
      <c r="E561" s="7">
        <v>0.8</v>
      </c>
      <c r="F561" s="3">
        <v>1.47</v>
      </c>
      <c r="G561" s="1" t="s">
        <v>11</v>
      </c>
      <c r="H561" s="1" t="s">
        <v>1190</v>
      </c>
      <c r="I561" s="2" t="s">
        <v>1154</v>
      </c>
    </row>
    <row r="562" spans="1:9">
      <c r="A562" s="6">
        <v>43470</v>
      </c>
      <c r="B562" s="3" t="s">
        <v>172</v>
      </c>
      <c r="C562" s="3" t="s">
        <v>966</v>
      </c>
      <c r="D562" s="1" t="s">
        <v>571</v>
      </c>
      <c r="E562" s="7">
        <v>0.8</v>
      </c>
      <c r="F562" s="3">
        <v>1.47</v>
      </c>
      <c r="G562" s="1" t="s">
        <v>11</v>
      </c>
      <c r="H562" s="1" t="s">
        <v>1185</v>
      </c>
      <c r="I562" s="2" t="s">
        <v>1152</v>
      </c>
    </row>
    <row r="563" spans="1:9">
      <c r="A563" s="6">
        <v>43429</v>
      </c>
      <c r="B563" s="3" t="s">
        <v>320</v>
      </c>
      <c r="C563" s="3" t="s">
        <v>321</v>
      </c>
      <c r="D563" s="1" t="s">
        <v>317</v>
      </c>
      <c r="E563" s="7">
        <v>0.8</v>
      </c>
      <c r="F563" s="3">
        <v>1.46</v>
      </c>
      <c r="G563" s="1" t="s">
        <v>11</v>
      </c>
      <c r="H563" s="1" t="s">
        <v>1175</v>
      </c>
      <c r="I563" s="2" t="s">
        <v>1152</v>
      </c>
    </row>
    <row r="564" spans="1:9">
      <c r="A564" s="6">
        <v>43448</v>
      </c>
      <c r="B564" s="3" t="s">
        <v>880</v>
      </c>
      <c r="C564" s="3" t="s">
        <v>257</v>
      </c>
      <c r="D564" s="1" t="s">
        <v>162</v>
      </c>
      <c r="E564" s="7">
        <v>0.8</v>
      </c>
      <c r="F564" s="3">
        <v>1.46</v>
      </c>
      <c r="G564" s="1" t="s">
        <v>11</v>
      </c>
      <c r="H564" s="1" t="s">
        <v>1173</v>
      </c>
      <c r="I564" s="2" t="s">
        <v>1154</v>
      </c>
    </row>
    <row r="565" spans="1:9">
      <c r="A565" s="6">
        <v>43456</v>
      </c>
      <c r="B565" s="3" t="s">
        <v>846</v>
      </c>
      <c r="C565" s="3" t="s">
        <v>567</v>
      </c>
      <c r="D565" s="1" t="s">
        <v>235</v>
      </c>
      <c r="E565" s="7">
        <v>0.8</v>
      </c>
      <c r="F565" s="3">
        <v>1.46</v>
      </c>
      <c r="G565" s="1" t="s">
        <v>11</v>
      </c>
      <c r="H565" s="1" t="s">
        <v>1176</v>
      </c>
      <c r="I565" s="2" t="s">
        <v>1153</v>
      </c>
    </row>
    <row r="566" spans="1:9">
      <c r="A566" s="6">
        <v>43428</v>
      </c>
      <c r="B566" s="3" t="s">
        <v>116</v>
      </c>
      <c r="C566" s="3" t="s">
        <v>117</v>
      </c>
      <c r="D566" s="1" t="s">
        <v>48</v>
      </c>
      <c r="E566" s="7">
        <v>0.8</v>
      </c>
      <c r="F566" s="3">
        <v>1.44</v>
      </c>
      <c r="G566" s="1" t="s">
        <v>11</v>
      </c>
      <c r="H566" s="1" t="s">
        <v>1179</v>
      </c>
      <c r="I566" s="2" t="s">
        <v>1152</v>
      </c>
    </row>
    <row r="567" spans="1:9">
      <c r="A567" s="6">
        <v>43434</v>
      </c>
      <c r="B567" s="3" t="s">
        <v>525</v>
      </c>
      <c r="C567" s="3" t="s">
        <v>526</v>
      </c>
      <c r="D567" s="1" t="s">
        <v>120</v>
      </c>
      <c r="E567" s="7">
        <v>0.8</v>
      </c>
      <c r="F567" s="3">
        <v>1.44</v>
      </c>
      <c r="G567" s="1" t="s">
        <v>11</v>
      </c>
      <c r="H567" s="1" t="s">
        <v>1192</v>
      </c>
      <c r="I567" s="2" t="s">
        <v>1152</v>
      </c>
    </row>
    <row r="568" spans="1:9">
      <c r="A568" s="6">
        <v>43441</v>
      </c>
      <c r="B568" s="3" t="s">
        <v>83</v>
      </c>
      <c r="C568" s="3" t="s">
        <v>40</v>
      </c>
      <c r="D568" s="1" t="s">
        <v>36</v>
      </c>
      <c r="E568" s="7">
        <v>0.8</v>
      </c>
      <c r="F568" s="3">
        <v>1.44</v>
      </c>
      <c r="G568" s="1" t="s">
        <v>11</v>
      </c>
      <c r="H568" s="1" t="s">
        <v>1180</v>
      </c>
      <c r="I568" s="2" t="s">
        <v>1154</v>
      </c>
    </row>
    <row r="569" spans="1:9">
      <c r="A569" s="6">
        <v>43452</v>
      </c>
      <c r="B569" s="3" t="s">
        <v>456</v>
      </c>
      <c r="C569" s="3" t="s">
        <v>1008</v>
      </c>
      <c r="D569" s="1" t="s">
        <v>1007</v>
      </c>
      <c r="E569" s="7">
        <v>0.8</v>
      </c>
      <c r="F569" s="3">
        <v>1.44</v>
      </c>
      <c r="G569" s="1" t="s">
        <v>11</v>
      </c>
      <c r="H569" s="1" t="s">
        <v>1177</v>
      </c>
      <c r="I569" s="2" t="s">
        <v>1154</v>
      </c>
    </row>
    <row r="570" spans="1:9">
      <c r="A570" s="6">
        <v>43449</v>
      </c>
      <c r="B570" s="3" t="s">
        <v>965</v>
      </c>
      <c r="C570" s="3" t="s">
        <v>966</v>
      </c>
      <c r="D570" s="1" t="s">
        <v>571</v>
      </c>
      <c r="E570" s="7">
        <v>0.8</v>
      </c>
      <c r="F570" s="3">
        <v>1.43</v>
      </c>
      <c r="G570" s="1" t="s">
        <v>11</v>
      </c>
      <c r="H570" s="1" t="s">
        <v>12</v>
      </c>
    </row>
    <row r="571" spans="1:9">
      <c r="A571" s="6">
        <v>43449</v>
      </c>
      <c r="B571" s="3" t="s">
        <v>965</v>
      </c>
      <c r="C571" s="3" t="s">
        <v>966</v>
      </c>
      <c r="D571" s="1" t="s">
        <v>571</v>
      </c>
      <c r="E571" s="7">
        <v>0.8</v>
      </c>
      <c r="F571" s="3">
        <v>1.43</v>
      </c>
      <c r="G571" s="1" t="s">
        <v>11</v>
      </c>
      <c r="H571" s="1" t="s">
        <v>12</v>
      </c>
    </row>
    <row r="572" spans="1:9">
      <c r="A572" s="6">
        <v>43453</v>
      </c>
      <c r="B572" s="3" t="s">
        <v>983</v>
      </c>
      <c r="C572" s="3" t="s">
        <v>35</v>
      </c>
      <c r="D572" s="1" t="s">
        <v>1007</v>
      </c>
      <c r="E572" s="7">
        <v>0.8</v>
      </c>
      <c r="F572" s="3">
        <v>1.43</v>
      </c>
      <c r="G572" s="1" t="s">
        <v>11</v>
      </c>
      <c r="H572" s="1" t="s">
        <v>1173</v>
      </c>
      <c r="I572" s="2" t="s">
        <v>1154</v>
      </c>
    </row>
    <row r="573" spans="1:9">
      <c r="A573" s="6">
        <v>43463</v>
      </c>
      <c r="B573" s="3" t="s">
        <v>966</v>
      </c>
      <c r="C573" s="3" t="s">
        <v>175</v>
      </c>
      <c r="D573" s="1" t="s">
        <v>571</v>
      </c>
      <c r="E573" s="7">
        <v>0.8</v>
      </c>
      <c r="F573" s="3">
        <v>1.43</v>
      </c>
      <c r="G573" s="1" t="s">
        <v>22</v>
      </c>
      <c r="H573" s="1" t="s">
        <v>1175</v>
      </c>
      <c r="I573" s="2" t="s">
        <v>1152</v>
      </c>
    </row>
    <row r="574" spans="1:9">
      <c r="A574" s="6">
        <v>43474</v>
      </c>
      <c r="B574" s="3" t="s">
        <v>1226</v>
      </c>
      <c r="C574" s="3" t="s">
        <v>1227</v>
      </c>
      <c r="D574" s="1" t="s">
        <v>1228</v>
      </c>
      <c r="E574" s="7">
        <v>0.8</v>
      </c>
      <c r="F574" s="3">
        <v>1.43</v>
      </c>
      <c r="G574" s="1" t="s">
        <v>11</v>
      </c>
      <c r="H574" s="1" t="s">
        <v>1193</v>
      </c>
      <c r="I574" s="3" t="s">
        <v>1153</v>
      </c>
    </row>
    <row r="575" spans="1:9">
      <c r="A575" s="6">
        <v>43432</v>
      </c>
      <c r="B575" s="3" t="s">
        <v>457</v>
      </c>
      <c r="C575" s="3" t="s">
        <v>458</v>
      </c>
      <c r="D575" s="1" t="s">
        <v>449</v>
      </c>
      <c r="E575" s="7">
        <v>0.8</v>
      </c>
      <c r="F575" s="3">
        <v>1.41</v>
      </c>
      <c r="G575" s="1" t="s">
        <v>11</v>
      </c>
      <c r="H575" s="1" t="s">
        <v>1182</v>
      </c>
      <c r="I575" s="2" t="s">
        <v>1154</v>
      </c>
    </row>
    <row r="576" spans="1:9">
      <c r="A576" s="6">
        <v>43466</v>
      </c>
      <c r="B576" s="3" t="s">
        <v>930</v>
      </c>
      <c r="C576" s="3" t="s">
        <v>1084</v>
      </c>
      <c r="D576" s="1" t="s">
        <v>201</v>
      </c>
      <c r="E576" s="7">
        <v>0.8</v>
      </c>
      <c r="F576" s="3">
        <v>1.41</v>
      </c>
      <c r="G576" s="1" t="s">
        <v>11</v>
      </c>
      <c r="H576" s="1" t="s">
        <v>1183</v>
      </c>
      <c r="I576" s="2" t="s">
        <v>1153</v>
      </c>
    </row>
    <row r="577" spans="1:9">
      <c r="A577" s="6">
        <v>43445</v>
      </c>
      <c r="B577" s="3" t="s">
        <v>75</v>
      </c>
      <c r="C577" s="3" t="s">
        <v>478</v>
      </c>
      <c r="D577" s="1" t="s">
        <v>462</v>
      </c>
      <c r="E577" s="7">
        <v>0.79</v>
      </c>
      <c r="F577" s="3">
        <v>1.65</v>
      </c>
      <c r="G577" s="1" t="s">
        <v>22</v>
      </c>
      <c r="H577" s="1" t="s">
        <v>1179</v>
      </c>
      <c r="I577" s="2" t="s">
        <v>1152</v>
      </c>
    </row>
    <row r="578" spans="1:9">
      <c r="A578" s="6">
        <v>43455</v>
      </c>
      <c r="B578" s="3" t="s">
        <v>758</v>
      </c>
      <c r="C578" s="3" t="s">
        <v>666</v>
      </c>
      <c r="D578" s="1" t="s">
        <v>68</v>
      </c>
      <c r="E578" s="7">
        <v>0.79</v>
      </c>
      <c r="F578" s="3">
        <v>1.63</v>
      </c>
      <c r="G578" s="1" t="s">
        <v>11</v>
      </c>
      <c r="H578" s="1" t="s">
        <v>1177</v>
      </c>
      <c r="I578" s="2" t="s">
        <v>1154</v>
      </c>
    </row>
    <row r="579" spans="1:9">
      <c r="A579" s="6">
        <v>43435</v>
      </c>
      <c r="B579" s="3" t="s">
        <v>28</v>
      </c>
      <c r="C579" s="3" t="s">
        <v>586</v>
      </c>
      <c r="D579" s="1" t="s">
        <v>193</v>
      </c>
      <c r="E579" s="7">
        <v>0.79</v>
      </c>
      <c r="F579" s="3">
        <v>1.61</v>
      </c>
      <c r="G579" s="1" t="s">
        <v>11</v>
      </c>
      <c r="H579" s="1" t="s">
        <v>1177</v>
      </c>
      <c r="I579" s="2" t="s">
        <v>1154</v>
      </c>
    </row>
    <row r="580" spans="1:9">
      <c r="A580" s="6">
        <v>43444</v>
      </c>
      <c r="B580" s="3" t="s">
        <v>372</v>
      </c>
      <c r="C580" s="3" t="s">
        <v>908</v>
      </c>
      <c r="D580" s="1" t="s">
        <v>374</v>
      </c>
      <c r="E580" s="7">
        <v>0.79</v>
      </c>
      <c r="F580" s="3">
        <v>1.61</v>
      </c>
      <c r="G580" s="1" t="s">
        <v>11</v>
      </c>
      <c r="H580" s="1" t="s">
        <v>1176</v>
      </c>
      <c r="I580" s="2" t="s">
        <v>1153</v>
      </c>
    </row>
    <row r="581" spans="1:9">
      <c r="A581" s="6">
        <v>43452</v>
      </c>
      <c r="B581" s="3" t="s">
        <v>1012</v>
      </c>
      <c r="C581" s="3" t="s">
        <v>853</v>
      </c>
      <c r="D581" s="1" t="s">
        <v>1013</v>
      </c>
      <c r="E581" s="7">
        <v>0.79</v>
      </c>
      <c r="F581" s="3">
        <v>1.61</v>
      </c>
      <c r="G581" s="1" t="s">
        <v>22</v>
      </c>
      <c r="H581" s="1" t="s">
        <v>1177</v>
      </c>
      <c r="I581" s="2" t="s">
        <v>1153</v>
      </c>
    </row>
    <row r="582" spans="1:9">
      <c r="A582" s="6">
        <v>43461</v>
      </c>
      <c r="B582" s="3" t="s">
        <v>955</v>
      </c>
      <c r="C582" s="3" t="s">
        <v>1099</v>
      </c>
      <c r="D582" s="1" t="s">
        <v>813</v>
      </c>
      <c r="E582" s="7">
        <v>0.79</v>
      </c>
      <c r="F582" s="3">
        <v>1.61</v>
      </c>
      <c r="G582" s="1" t="s">
        <v>11</v>
      </c>
      <c r="H582" s="1" t="s">
        <v>1182</v>
      </c>
      <c r="I582" s="2" t="s">
        <v>1154</v>
      </c>
    </row>
    <row r="583" spans="1:9">
      <c r="A583" s="6">
        <v>43427</v>
      </c>
      <c r="B583" s="3" t="s">
        <v>54</v>
      </c>
      <c r="C583" s="3" t="s">
        <v>55</v>
      </c>
      <c r="D583" s="1" t="s">
        <v>56</v>
      </c>
      <c r="E583" s="7">
        <v>0.79</v>
      </c>
      <c r="F583" s="3">
        <v>1.59</v>
      </c>
      <c r="G583" s="1" t="s">
        <v>11</v>
      </c>
      <c r="H583" s="1" t="s">
        <v>1178</v>
      </c>
      <c r="I583" s="2" t="s">
        <v>1153</v>
      </c>
    </row>
    <row r="584" spans="1:9">
      <c r="A584" s="6">
        <v>43428</v>
      </c>
      <c r="B584" s="3" t="s">
        <v>209</v>
      </c>
      <c r="C584" s="3" t="s">
        <v>210</v>
      </c>
      <c r="D584" s="1" t="s">
        <v>211</v>
      </c>
      <c r="E584" s="7">
        <v>0.79</v>
      </c>
      <c r="F584" s="3">
        <v>1.59</v>
      </c>
      <c r="G584" s="1" t="s">
        <v>11</v>
      </c>
      <c r="H584" s="1" t="s">
        <v>1175</v>
      </c>
      <c r="I584" s="2" t="s">
        <v>1152</v>
      </c>
    </row>
    <row r="585" spans="1:9">
      <c r="A585" s="6">
        <v>43460</v>
      </c>
      <c r="B585" s="3" t="s">
        <v>1087</v>
      </c>
      <c r="C585" s="3" t="s">
        <v>229</v>
      </c>
      <c r="D585" s="1" t="s">
        <v>208</v>
      </c>
      <c r="E585" s="7">
        <v>0.79</v>
      </c>
      <c r="F585" s="3">
        <v>1.59</v>
      </c>
      <c r="G585" s="1" t="s">
        <v>11</v>
      </c>
      <c r="H585" s="1" t="s">
        <v>1189</v>
      </c>
      <c r="I585" s="2" t="s">
        <v>1154</v>
      </c>
    </row>
    <row r="586" spans="1:9">
      <c r="A586" s="6">
        <v>43428</v>
      </c>
      <c r="B586" s="3" t="s">
        <v>21</v>
      </c>
      <c r="C586" s="3" t="s">
        <v>198</v>
      </c>
      <c r="D586" s="1" t="s">
        <v>193</v>
      </c>
      <c r="E586" s="7">
        <v>0.79</v>
      </c>
      <c r="F586" s="3">
        <v>1.57</v>
      </c>
      <c r="G586" s="1" t="s">
        <v>22</v>
      </c>
      <c r="H586" s="1" t="s">
        <v>1183</v>
      </c>
      <c r="I586" s="2" t="s">
        <v>1154</v>
      </c>
    </row>
    <row r="587" spans="1:9">
      <c r="A587" s="6">
        <v>43435</v>
      </c>
      <c r="B587" s="3" t="s">
        <v>599</v>
      </c>
      <c r="C587" s="3" t="s">
        <v>444</v>
      </c>
      <c r="D587" s="1" t="s">
        <v>446</v>
      </c>
      <c r="E587" s="7">
        <v>0.79</v>
      </c>
      <c r="F587" s="3">
        <v>1.57</v>
      </c>
      <c r="G587" s="1" t="s">
        <v>22</v>
      </c>
      <c r="H587" s="1" t="s">
        <v>1176</v>
      </c>
      <c r="I587" s="2" t="s">
        <v>1154</v>
      </c>
    </row>
    <row r="588" spans="1:9">
      <c r="A588" s="6">
        <v>43467</v>
      </c>
      <c r="B588" s="3" t="s">
        <v>30</v>
      </c>
      <c r="C588" s="3" t="s">
        <v>215</v>
      </c>
      <c r="D588" s="1" t="s">
        <v>193</v>
      </c>
      <c r="E588" s="7">
        <v>0.79</v>
      </c>
      <c r="F588" s="3">
        <v>1.57</v>
      </c>
      <c r="G588" s="1" t="s">
        <v>22</v>
      </c>
      <c r="H588" s="1" t="s">
        <v>1184</v>
      </c>
      <c r="I588" s="2" t="s">
        <v>1154</v>
      </c>
    </row>
    <row r="589" spans="1:9">
      <c r="A589" s="6">
        <v>43435</v>
      </c>
      <c r="B589" s="3" t="s">
        <v>313</v>
      </c>
      <c r="C589" s="3" t="s">
        <v>540</v>
      </c>
      <c r="D589" s="1" t="s">
        <v>314</v>
      </c>
      <c r="E589" s="7">
        <v>0.79</v>
      </c>
      <c r="F589" s="3">
        <v>1.56</v>
      </c>
      <c r="G589" s="1" t="s">
        <v>22</v>
      </c>
      <c r="H589" s="1" t="s">
        <v>1178</v>
      </c>
      <c r="I589" s="2" t="s">
        <v>1154</v>
      </c>
    </row>
    <row r="590" spans="1:9">
      <c r="A590" s="6">
        <v>43435</v>
      </c>
      <c r="B590" s="3" t="s">
        <v>587</v>
      </c>
      <c r="C590" s="3" t="s">
        <v>17</v>
      </c>
      <c r="D590" s="1" t="s">
        <v>15</v>
      </c>
      <c r="E590" s="7">
        <v>0.79</v>
      </c>
      <c r="F590" s="3">
        <v>1.56</v>
      </c>
      <c r="G590" s="1" t="s">
        <v>22</v>
      </c>
      <c r="H590" s="1" t="s">
        <v>1184</v>
      </c>
      <c r="I590" s="2" t="s">
        <v>1154</v>
      </c>
    </row>
    <row r="591" spans="1:9">
      <c r="A591" s="6">
        <v>43460</v>
      </c>
      <c r="B591" s="3" t="s">
        <v>991</v>
      </c>
      <c r="C591" s="3" t="s">
        <v>739</v>
      </c>
      <c r="D591" s="1" t="s">
        <v>278</v>
      </c>
      <c r="E591" s="7">
        <v>0.79</v>
      </c>
      <c r="F591" s="3">
        <v>1.56</v>
      </c>
      <c r="G591" s="1" t="s">
        <v>11</v>
      </c>
      <c r="H591" s="1" t="s">
        <v>1172</v>
      </c>
      <c r="I591" s="2" t="s">
        <v>1154</v>
      </c>
    </row>
    <row r="592" spans="1:9">
      <c r="A592" s="6">
        <v>43460</v>
      </c>
      <c r="B592" s="3" t="s">
        <v>439</v>
      </c>
      <c r="C592" s="3" t="s">
        <v>31</v>
      </c>
      <c r="D592" s="1" t="s">
        <v>211</v>
      </c>
      <c r="E592" s="7">
        <v>0.79</v>
      </c>
      <c r="F592" s="3">
        <v>1.56</v>
      </c>
      <c r="G592" s="1" t="s">
        <v>11</v>
      </c>
      <c r="H592" s="1" t="s">
        <v>1186</v>
      </c>
      <c r="I592" s="2" t="s">
        <v>1154</v>
      </c>
    </row>
    <row r="593" spans="1:9">
      <c r="A593" s="6">
        <v>43428</v>
      </c>
      <c r="B593" s="3" t="s">
        <v>90</v>
      </c>
      <c r="C593" s="3" t="s">
        <v>91</v>
      </c>
      <c r="D593" s="1" t="s">
        <v>92</v>
      </c>
      <c r="E593" s="7">
        <v>0.79</v>
      </c>
      <c r="F593" s="3">
        <v>1.54</v>
      </c>
      <c r="G593" s="1" t="s">
        <v>22</v>
      </c>
      <c r="H593" s="1" t="s">
        <v>1182</v>
      </c>
      <c r="I593" s="2" t="s">
        <v>1153</v>
      </c>
    </row>
    <row r="594" spans="1:9">
      <c r="A594" s="6">
        <v>43428</v>
      </c>
      <c r="B594" s="3" t="s">
        <v>108</v>
      </c>
      <c r="C594" s="3" t="s">
        <v>109</v>
      </c>
      <c r="D594" s="1" t="s">
        <v>110</v>
      </c>
      <c r="E594" s="7">
        <v>0.79</v>
      </c>
      <c r="F594" s="3">
        <v>1.54</v>
      </c>
      <c r="G594" s="1" t="s">
        <v>22</v>
      </c>
      <c r="H594" s="1" t="s">
        <v>1180</v>
      </c>
      <c r="I594" s="2" t="s">
        <v>1153</v>
      </c>
    </row>
    <row r="595" spans="1:9">
      <c r="A595" s="6">
        <v>43428</v>
      </c>
      <c r="B595" s="3" t="s">
        <v>154</v>
      </c>
      <c r="C595" s="3" t="s">
        <v>155</v>
      </c>
      <c r="D595" s="1" t="s">
        <v>156</v>
      </c>
      <c r="E595" s="7">
        <v>0.79</v>
      </c>
      <c r="F595" s="3">
        <v>1.54</v>
      </c>
      <c r="G595" s="1" t="s">
        <v>22</v>
      </c>
      <c r="H595" s="1" t="s">
        <v>1185</v>
      </c>
      <c r="I595" s="2" t="s">
        <v>1152</v>
      </c>
    </row>
    <row r="596" spans="1:9">
      <c r="A596" s="6">
        <v>43428</v>
      </c>
      <c r="B596" s="3" t="s">
        <v>327</v>
      </c>
      <c r="C596" s="3" t="s">
        <v>328</v>
      </c>
      <c r="D596" s="1" t="s">
        <v>289</v>
      </c>
      <c r="E596" s="7">
        <v>0.79</v>
      </c>
      <c r="F596" s="3">
        <v>1.54</v>
      </c>
      <c r="G596" s="1" t="s">
        <v>11</v>
      </c>
      <c r="H596" s="1" t="s">
        <v>1180</v>
      </c>
      <c r="I596" s="2" t="s">
        <v>1154</v>
      </c>
    </row>
    <row r="597" spans="1:9">
      <c r="A597" s="6">
        <v>43429</v>
      </c>
      <c r="B597" s="3" t="s">
        <v>401</v>
      </c>
      <c r="C597" s="3" t="s">
        <v>402</v>
      </c>
      <c r="D597" s="1" t="s">
        <v>403</v>
      </c>
      <c r="E597" s="7">
        <v>0.79</v>
      </c>
      <c r="F597" s="3">
        <v>1.54</v>
      </c>
      <c r="G597" s="1" t="s">
        <v>22</v>
      </c>
      <c r="H597" s="1" t="s">
        <v>1173</v>
      </c>
      <c r="I597" s="2" t="s">
        <v>1153</v>
      </c>
    </row>
    <row r="598" spans="1:9">
      <c r="A598" s="6">
        <v>43429</v>
      </c>
      <c r="B598" s="3" t="s">
        <v>413</v>
      </c>
      <c r="C598" s="3" t="s">
        <v>414</v>
      </c>
      <c r="D598" s="1" t="s">
        <v>398</v>
      </c>
      <c r="E598" s="7">
        <v>0.79</v>
      </c>
      <c r="F598" s="3">
        <v>1.54</v>
      </c>
      <c r="G598" s="1" t="s">
        <v>11</v>
      </c>
      <c r="H598" s="1" t="s">
        <v>1175</v>
      </c>
      <c r="I598" s="2" t="s">
        <v>1152</v>
      </c>
    </row>
    <row r="599" spans="1:9">
      <c r="A599" s="6">
        <v>43445</v>
      </c>
      <c r="B599" s="3" t="s">
        <v>702</v>
      </c>
      <c r="C599" s="3" t="s">
        <v>442</v>
      </c>
      <c r="D599" s="1" t="s">
        <v>15</v>
      </c>
      <c r="E599" s="7">
        <v>0.79</v>
      </c>
      <c r="F599" s="3">
        <v>1.54</v>
      </c>
      <c r="G599" s="1" t="s">
        <v>11</v>
      </c>
      <c r="H599" s="1" t="s">
        <v>1176</v>
      </c>
      <c r="I599" s="2" t="s">
        <v>1153</v>
      </c>
    </row>
    <row r="600" spans="1:9">
      <c r="A600" s="6">
        <v>43455</v>
      </c>
      <c r="B600" s="3" t="s">
        <v>551</v>
      </c>
      <c r="C600" s="3" t="s">
        <v>943</v>
      </c>
      <c r="D600" s="1" t="s">
        <v>125</v>
      </c>
      <c r="E600" s="7">
        <v>0.79</v>
      </c>
      <c r="F600" s="3">
        <v>1.54</v>
      </c>
      <c r="G600" s="1" t="s">
        <v>11</v>
      </c>
      <c r="H600" s="1" t="s">
        <v>1173</v>
      </c>
      <c r="I600" s="2" t="s">
        <v>1154</v>
      </c>
    </row>
    <row r="601" spans="1:9">
      <c r="A601" s="6">
        <v>43460</v>
      </c>
      <c r="B601" s="3" t="s">
        <v>1091</v>
      </c>
      <c r="C601" s="3" t="s">
        <v>1092</v>
      </c>
      <c r="D601" s="1" t="s">
        <v>211</v>
      </c>
      <c r="E601" s="7">
        <v>0.79</v>
      </c>
      <c r="F601" s="3">
        <v>1.54</v>
      </c>
      <c r="G601" s="1" t="s">
        <v>11</v>
      </c>
      <c r="H601" s="1" t="s">
        <v>1177</v>
      </c>
      <c r="I601" s="2" t="s">
        <v>1154</v>
      </c>
    </row>
    <row r="602" spans="1:9">
      <c r="A602" s="6">
        <v>43460</v>
      </c>
      <c r="B602" s="3" t="s">
        <v>702</v>
      </c>
      <c r="C602" s="3" t="s">
        <v>1093</v>
      </c>
      <c r="D602" s="1" t="s">
        <v>443</v>
      </c>
      <c r="E602" s="7">
        <v>0.79</v>
      </c>
      <c r="F602" s="3">
        <v>1.54</v>
      </c>
      <c r="G602" s="1" t="s">
        <v>11</v>
      </c>
      <c r="H602" s="1" t="s">
        <v>1180</v>
      </c>
      <c r="I602" s="2" t="s">
        <v>1154</v>
      </c>
    </row>
    <row r="603" spans="1:9">
      <c r="A603" s="6">
        <v>43463</v>
      </c>
      <c r="B603" s="3" t="s">
        <v>593</v>
      </c>
      <c r="C603" s="3" t="s">
        <v>911</v>
      </c>
      <c r="D603" s="1" t="s">
        <v>1096</v>
      </c>
      <c r="E603" s="7">
        <v>0.79</v>
      </c>
      <c r="F603" s="3">
        <v>1.54</v>
      </c>
      <c r="G603" s="1" t="s">
        <v>22</v>
      </c>
      <c r="H603" s="1" t="s">
        <v>1193</v>
      </c>
      <c r="I603" s="2" t="s">
        <v>1154</v>
      </c>
    </row>
    <row r="604" spans="1:9">
      <c r="A604" s="6">
        <v>43464</v>
      </c>
      <c r="B604" s="3" t="s">
        <v>680</v>
      </c>
      <c r="C604" s="3" t="s">
        <v>1114</v>
      </c>
      <c r="D604" s="1" t="s">
        <v>153</v>
      </c>
      <c r="E604" s="7">
        <v>0.79</v>
      </c>
      <c r="F604" s="3">
        <v>1.54</v>
      </c>
      <c r="G604" s="1" t="s">
        <v>11</v>
      </c>
      <c r="H604" s="1" t="s">
        <v>1172</v>
      </c>
      <c r="I604" s="2" t="s">
        <v>1154</v>
      </c>
    </row>
    <row r="605" spans="1:9">
      <c r="A605" s="6">
        <v>43439</v>
      </c>
      <c r="B605" s="3" t="s">
        <v>69</v>
      </c>
      <c r="C605" s="3" t="s">
        <v>737</v>
      </c>
      <c r="D605" s="1" t="s">
        <v>71</v>
      </c>
      <c r="E605" s="7">
        <v>0.79</v>
      </c>
      <c r="F605" s="3">
        <v>1.53</v>
      </c>
      <c r="G605" s="1" t="s">
        <v>11</v>
      </c>
      <c r="H605" s="1" t="s">
        <v>1184</v>
      </c>
      <c r="I605" s="2" t="s">
        <v>1153</v>
      </c>
    </row>
    <row r="606" spans="1:9">
      <c r="A606" s="6">
        <v>43443</v>
      </c>
      <c r="B606" s="3" t="s">
        <v>891</v>
      </c>
      <c r="C606" s="3" t="s">
        <v>892</v>
      </c>
      <c r="D606" s="1" t="s">
        <v>374</v>
      </c>
      <c r="E606" s="7">
        <v>0.79</v>
      </c>
      <c r="F606" s="3">
        <v>1.53</v>
      </c>
      <c r="G606" s="1" t="s">
        <v>11</v>
      </c>
      <c r="H606" s="1" t="s">
        <v>1173</v>
      </c>
      <c r="I606" s="2" t="s">
        <v>1154</v>
      </c>
    </row>
    <row r="607" spans="1:9">
      <c r="A607" s="6">
        <v>43457</v>
      </c>
      <c r="B607" s="3" t="s">
        <v>364</v>
      </c>
      <c r="C607" s="3" t="s">
        <v>595</v>
      </c>
      <c r="D607" s="1" t="s">
        <v>265</v>
      </c>
      <c r="E607" s="7">
        <v>0.79</v>
      </c>
      <c r="F607" s="3">
        <v>1.53</v>
      </c>
      <c r="G607" s="1" t="s">
        <v>22</v>
      </c>
      <c r="H607" s="1" t="s">
        <v>1185</v>
      </c>
      <c r="I607" s="2" t="s">
        <v>1152</v>
      </c>
    </row>
    <row r="608" spans="1:9">
      <c r="A608" s="6">
        <v>43427</v>
      </c>
      <c r="B608" s="3" t="s">
        <v>72</v>
      </c>
      <c r="C608" s="3" t="s">
        <v>73</v>
      </c>
      <c r="D608" s="1" t="s">
        <v>74</v>
      </c>
      <c r="E608" s="7">
        <v>0.79</v>
      </c>
      <c r="F608" s="3">
        <v>1.51</v>
      </c>
      <c r="G608" s="1" t="s">
        <v>22</v>
      </c>
      <c r="H608" s="1" t="s">
        <v>1179</v>
      </c>
      <c r="I608" s="2" t="s">
        <v>1152</v>
      </c>
    </row>
    <row r="609" spans="1:9">
      <c r="A609" s="6">
        <v>43429</v>
      </c>
      <c r="B609" s="3" t="s">
        <v>332</v>
      </c>
      <c r="C609" s="3" t="s">
        <v>333</v>
      </c>
      <c r="D609" s="1" t="s">
        <v>331</v>
      </c>
      <c r="E609" s="7">
        <v>0.79</v>
      </c>
      <c r="F609" s="3">
        <v>1.51</v>
      </c>
      <c r="G609" s="1" t="s">
        <v>22</v>
      </c>
      <c r="H609" s="1" t="s">
        <v>1181</v>
      </c>
      <c r="I609" s="2" t="s">
        <v>1154</v>
      </c>
    </row>
    <row r="610" spans="1:9">
      <c r="A610" s="6">
        <v>43432</v>
      </c>
      <c r="B610" s="3" t="s">
        <v>461</v>
      </c>
      <c r="C610" s="3" t="s">
        <v>341</v>
      </c>
      <c r="D610" s="1" t="s">
        <v>343</v>
      </c>
      <c r="E610" s="7">
        <v>0.79</v>
      </c>
      <c r="F610" s="3">
        <v>1.51</v>
      </c>
      <c r="G610" s="1" t="s">
        <v>11</v>
      </c>
      <c r="H610" s="1" t="s">
        <v>1175</v>
      </c>
      <c r="I610" s="2" t="s">
        <v>1152</v>
      </c>
    </row>
    <row r="611" spans="1:9">
      <c r="A611" s="6">
        <v>43442</v>
      </c>
      <c r="B611" s="3" t="s">
        <v>761</v>
      </c>
      <c r="C611" s="3" t="s">
        <v>668</v>
      </c>
      <c r="D611" s="1" t="s">
        <v>443</v>
      </c>
      <c r="E611" s="7">
        <v>0.79</v>
      </c>
      <c r="F611" s="3">
        <v>1.51</v>
      </c>
      <c r="G611" s="1" t="s">
        <v>11</v>
      </c>
      <c r="H611" s="1" t="s">
        <v>1177</v>
      </c>
      <c r="I611" s="2" t="s">
        <v>1154</v>
      </c>
    </row>
    <row r="612" spans="1:9">
      <c r="A612" s="6">
        <v>43442</v>
      </c>
      <c r="B612" s="3" t="s">
        <v>761</v>
      </c>
      <c r="C612" s="3" t="s">
        <v>668</v>
      </c>
      <c r="D612" s="1" t="s">
        <v>443</v>
      </c>
      <c r="E612" s="7">
        <v>0.79</v>
      </c>
      <c r="F612" s="3">
        <v>1.51</v>
      </c>
      <c r="G612" s="1" t="s">
        <v>11</v>
      </c>
      <c r="H612" s="1" t="s">
        <v>1177</v>
      </c>
      <c r="I612" s="2" t="s">
        <v>1154</v>
      </c>
    </row>
    <row r="613" spans="1:9">
      <c r="A613" s="6">
        <v>43449</v>
      </c>
      <c r="B613" s="3" t="s">
        <v>713</v>
      </c>
      <c r="C613" s="3" t="s">
        <v>744</v>
      </c>
      <c r="D613" s="1" t="s">
        <v>235</v>
      </c>
      <c r="E613" s="7">
        <v>0.79</v>
      </c>
      <c r="F613" s="3">
        <v>1.51</v>
      </c>
      <c r="G613" s="1" t="s">
        <v>11</v>
      </c>
      <c r="H613" s="1" t="s">
        <v>1185</v>
      </c>
      <c r="I613" s="2" t="s">
        <v>1152</v>
      </c>
    </row>
    <row r="614" spans="1:9">
      <c r="A614" s="6">
        <v>43466</v>
      </c>
      <c r="B614" s="3" t="s">
        <v>964</v>
      </c>
      <c r="C614" s="3" t="s">
        <v>1122</v>
      </c>
      <c r="D614" s="1" t="s">
        <v>835</v>
      </c>
      <c r="E614" s="7">
        <v>0.79</v>
      </c>
      <c r="F614" s="3">
        <v>1.51</v>
      </c>
      <c r="G614" s="1" t="s">
        <v>11</v>
      </c>
      <c r="H614" s="1" t="s">
        <v>1200</v>
      </c>
      <c r="I614" s="2" t="s">
        <v>1154</v>
      </c>
    </row>
    <row r="615" spans="1:9">
      <c r="A615" s="6">
        <v>43475</v>
      </c>
      <c r="B615" s="3" t="s">
        <v>321</v>
      </c>
      <c r="C615" s="3" t="s">
        <v>1589</v>
      </c>
      <c r="D615" s="1" t="s">
        <v>1590</v>
      </c>
      <c r="E615" s="7">
        <v>0.79</v>
      </c>
      <c r="F615" s="3">
        <v>1.51</v>
      </c>
      <c r="G615" s="1" t="s">
        <v>11</v>
      </c>
      <c r="H615" s="1" t="s">
        <v>1176</v>
      </c>
      <c r="I615" s="3" t="s">
        <v>1153</v>
      </c>
    </row>
    <row r="616" spans="1:9">
      <c r="A616" s="6">
        <v>43427</v>
      </c>
      <c r="B616" s="3" t="s">
        <v>83</v>
      </c>
      <c r="C616" s="3" t="s">
        <v>84</v>
      </c>
      <c r="D616" s="1" t="s">
        <v>36</v>
      </c>
      <c r="E616" s="7">
        <v>0.79</v>
      </c>
      <c r="F616" s="3">
        <v>1.5</v>
      </c>
      <c r="G616" s="1" t="s">
        <v>11</v>
      </c>
      <c r="H616" s="1" t="s">
        <v>1176</v>
      </c>
      <c r="I616" s="2" t="s">
        <v>1153</v>
      </c>
    </row>
    <row r="617" spans="1:9">
      <c r="A617" s="6">
        <v>43440</v>
      </c>
      <c r="B617" s="3" t="s">
        <v>792</v>
      </c>
      <c r="C617" s="3" t="s">
        <v>793</v>
      </c>
      <c r="D617" s="1" t="s">
        <v>733</v>
      </c>
      <c r="E617" s="7">
        <v>0.79</v>
      </c>
      <c r="F617" s="3">
        <v>1.5</v>
      </c>
      <c r="G617" s="1" t="s">
        <v>22</v>
      </c>
      <c r="H617" s="1" t="s">
        <v>1183</v>
      </c>
      <c r="I617" s="2" t="s">
        <v>1154</v>
      </c>
    </row>
    <row r="618" spans="1:9">
      <c r="A618" s="6">
        <v>43443</v>
      </c>
      <c r="B618" s="3" t="s">
        <v>628</v>
      </c>
      <c r="C618" s="3" t="s">
        <v>230</v>
      </c>
      <c r="D618" s="1" t="s">
        <v>232</v>
      </c>
      <c r="E618" s="7">
        <v>0.79</v>
      </c>
      <c r="F618" s="3">
        <v>1.5</v>
      </c>
      <c r="G618" s="1" t="s">
        <v>22</v>
      </c>
      <c r="H618" s="1" t="s">
        <v>1213</v>
      </c>
      <c r="I618" s="2" t="s">
        <v>1154</v>
      </c>
    </row>
    <row r="619" spans="1:9">
      <c r="A619" s="6">
        <v>43454</v>
      </c>
      <c r="B619" s="3" t="s">
        <v>659</v>
      </c>
      <c r="C619" s="3" t="s">
        <v>230</v>
      </c>
      <c r="D619" s="1" t="s">
        <v>757</v>
      </c>
      <c r="E619" s="7">
        <v>0.79</v>
      </c>
      <c r="F619" s="3">
        <v>1.5</v>
      </c>
      <c r="G619" s="1" t="s">
        <v>22</v>
      </c>
      <c r="H619" s="1" t="s">
        <v>1175</v>
      </c>
      <c r="I619" s="2" t="s">
        <v>1152</v>
      </c>
    </row>
    <row r="620" spans="1:9">
      <c r="A620" s="6">
        <v>43454</v>
      </c>
      <c r="B620" s="3" t="s">
        <v>365</v>
      </c>
      <c r="C620" s="3" t="s">
        <v>363</v>
      </c>
      <c r="D620" s="1" t="s">
        <v>1007</v>
      </c>
      <c r="E620" s="7">
        <v>0.79</v>
      </c>
      <c r="F620" s="3">
        <v>1.5</v>
      </c>
      <c r="G620" s="1" t="s">
        <v>11</v>
      </c>
      <c r="H620" s="1" t="s">
        <v>1180</v>
      </c>
      <c r="I620" s="2" t="s">
        <v>1154</v>
      </c>
    </row>
    <row r="621" spans="1:9">
      <c r="A621" s="6">
        <v>43460</v>
      </c>
      <c r="B621" s="3" t="s">
        <v>372</v>
      </c>
      <c r="C621" s="3" t="s">
        <v>976</v>
      </c>
      <c r="D621" s="1" t="s">
        <v>374</v>
      </c>
      <c r="E621" s="7">
        <v>0.79</v>
      </c>
      <c r="F621" s="3">
        <v>1.5</v>
      </c>
      <c r="G621" s="1" t="s">
        <v>11</v>
      </c>
      <c r="H621" s="1" t="s">
        <v>1175</v>
      </c>
      <c r="I621" s="2" t="s">
        <v>1152</v>
      </c>
    </row>
    <row r="622" spans="1:9">
      <c r="A622" s="6">
        <v>43464</v>
      </c>
      <c r="B622" s="3" t="s">
        <v>769</v>
      </c>
      <c r="C622" s="3" t="s">
        <v>1109</v>
      </c>
      <c r="D622" s="1" t="s">
        <v>374</v>
      </c>
      <c r="E622" s="7">
        <v>0.79</v>
      </c>
      <c r="F622" s="3">
        <v>1.5</v>
      </c>
      <c r="G622" s="1" t="s">
        <v>11</v>
      </c>
      <c r="H622" s="1" t="s">
        <v>1179</v>
      </c>
      <c r="I622" s="2" t="s">
        <v>1152</v>
      </c>
    </row>
    <row r="623" spans="1:9">
      <c r="A623" s="6">
        <v>43469</v>
      </c>
      <c r="B623" s="3" t="s">
        <v>941</v>
      </c>
      <c r="C623" s="3" t="s">
        <v>1129</v>
      </c>
      <c r="D623" s="1" t="s">
        <v>1130</v>
      </c>
      <c r="E623" s="7">
        <v>0.79</v>
      </c>
      <c r="F623" s="3">
        <v>1.5</v>
      </c>
      <c r="G623" s="1" t="s">
        <v>11</v>
      </c>
      <c r="H623" s="1" t="s">
        <v>1180</v>
      </c>
      <c r="I623" s="2" t="s">
        <v>1154</v>
      </c>
    </row>
    <row r="624" spans="1:9">
      <c r="A624" s="6">
        <v>43428</v>
      </c>
      <c r="B624" s="3" t="s">
        <v>274</v>
      </c>
      <c r="C624" s="3" t="s">
        <v>275</v>
      </c>
      <c r="D624" s="1" t="s">
        <v>238</v>
      </c>
      <c r="E624" s="7">
        <v>0.79</v>
      </c>
      <c r="F624" s="3">
        <v>1.49</v>
      </c>
      <c r="G624" s="1" t="s">
        <v>22</v>
      </c>
      <c r="H624" s="1" t="s">
        <v>1181</v>
      </c>
      <c r="I624" s="2" t="s">
        <v>1154</v>
      </c>
    </row>
    <row r="625" spans="1:9">
      <c r="A625" s="6">
        <v>43445</v>
      </c>
      <c r="B625" s="3" t="s">
        <v>579</v>
      </c>
      <c r="C625" s="3" t="s">
        <v>915</v>
      </c>
      <c r="D625" s="1" t="s">
        <v>580</v>
      </c>
      <c r="E625" s="7">
        <v>0.79</v>
      </c>
      <c r="F625" s="3">
        <v>1.49</v>
      </c>
      <c r="G625" s="1" t="s">
        <v>11</v>
      </c>
      <c r="H625" s="1" t="s">
        <v>1172</v>
      </c>
      <c r="I625" s="2" t="s">
        <v>1154</v>
      </c>
    </row>
    <row r="626" spans="1:9">
      <c r="A626" s="6">
        <v>43429</v>
      </c>
      <c r="B626" s="3" t="s">
        <v>341</v>
      </c>
      <c r="C626" s="3" t="s">
        <v>342</v>
      </c>
      <c r="D626" s="1" t="s">
        <v>343</v>
      </c>
      <c r="E626" s="7">
        <v>0.79</v>
      </c>
      <c r="F626" s="3">
        <v>1.48</v>
      </c>
      <c r="G626" s="1" t="s">
        <v>11</v>
      </c>
      <c r="H626" s="1" t="s">
        <v>1175</v>
      </c>
      <c r="I626" s="2" t="s">
        <v>1152</v>
      </c>
    </row>
    <row r="627" spans="1:9">
      <c r="A627" s="6">
        <v>43436</v>
      </c>
      <c r="B627" s="3" t="s">
        <v>621</v>
      </c>
      <c r="C627" s="3" t="s">
        <v>43</v>
      </c>
      <c r="D627" s="1" t="s">
        <v>45</v>
      </c>
      <c r="E627" s="7">
        <v>0.79</v>
      </c>
      <c r="F627" s="3">
        <v>1.48</v>
      </c>
      <c r="G627" s="1" t="s">
        <v>11</v>
      </c>
      <c r="H627" s="1" t="s">
        <v>1180</v>
      </c>
      <c r="I627" s="2" t="s">
        <v>1154</v>
      </c>
    </row>
    <row r="628" spans="1:9">
      <c r="A628" s="6">
        <v>43436</v>
      </c>
      <c r="B628" s="3" t="s">
        <v>622</v>
      </c>
      <c r="C628" s="3" t="s">
        <v>623</v>
      </c>
      <c r="D628" s="1" t="s">
        <v>120</v>
      </c>
      <c r="E628" s="7">
        <v>0.79</v>
      </c>
      <c r="F628" s="3">
        <v>1.48</v>
      </c>
      <c r="G628" s="1" t="s">
        <v>11</v>
      </c>
      <c r="H628" s="1" t="s">
        <v>1173</v>
      </c>
      <c r="I628" s="2" t="s">
        <v>1154</v>
      </c>
    </row>
    <row r="629" spans="1:9">
      <c r="A629" s="6">
        <v>43440</v>
      </c>
      <c r="B629" s="3" t="s">
        <v>751</v>
      </c>
      <c r="C629" s="3" t="s">
        <v>186</v>
      </c>
      <c r="D629" s="1" t="s">
        <v>733</v>
      </c>
      <c r="E629" s="7">
        <v>0.79</v>
      </c>
      <c r="F629" s="3">
        <v>1.48</v>
      </c>
      <c r="G629" s="1" t="s">
        <v>22</v>
      </c>
      <c r="H629" s="1" t="s">
        <v>1175</v>
      </c>
      <c r="I629" s="2" t="s">
        <v>1152</v>
      </c>
    </row>
    <row r="630" spans="1:9">
      <c r="A630" s="6">
        <v>43429</v>
      </c>
      <c r="B630" s="3" t="s">
        <v>391</v>
      </c>
      <c r="C630" s="3" t="s">
        <v>392</v>
      </c>
      <c r="D630" s="1" t="s">
        <v>162</v>
      </c>
      <c r="E630" s="7">
        <v>0.79</v>
      </c>
      <c r="F630" s="3">
        <v>1.46</v>
      </c>
      <c r="G630" s="1" t="s">
        <v>22</v>
      </c>
      <c r="H630" s="1" t="s">
        <v>1178</v>
      </c>
      <c r="I630" s="2" t="s">
        <v>1154</v>
      </c>
    </row>
    <row r="631" spans="1:9">
      <c r="A631" s="6">
        <v>43429</v>
      </c>
      <c r="B631" s="3" t="s">
        <v>391</v>
      </c>
      <c r="C631" s="3" t="s">
        <v>392</v>
      </c>
      <c r="D631" s="1" t="s">
        <v>162</v>
      </c>
      <c r="E631" s="7">
        <v>0.79</v>
      </c>
      <c r="F631" s="3">
        <v>1.46</v>
      </c>
      <c r="G631" s="1" t="s">
        <v>22</v>
      </c>
      <c r="H631" s="1" t="s">
        <v>1178</v>
      </c>
      <c r="I631" s="2" t="s">
        <v>1154</v>
      </c>
    </row>
    <row r="632" spans="1:9">
      <c r="A632" s="6">
        <v>43452</v>
      </c>
      <c r="B632" s="3" t="s">
        <v>1015</v>
      </c>
      <c r="C632" s="3" t="s">
        <v>1016</v>
      </c>
      <c r="D632" s="1" t="s">
        <v>1013</v>
      </c>
      <c r="E632" s="7">
        <v>0.79</v>
      </c>
      <c r="F632" s="3">
        <v>1.46</v>
      </c>
      <c r="G632" s="1" t="s">
        <v>22</v>
      </c>
      <c r="H632" s="1" t="s">
        <v>1178</v>
      </c>
      <c r="I632" s="2" t="s">
        <v>1154</v>
      </c>
    </row>
    <row r="633" spans="1:9">
      <c r="A633" s="6">
        <v>43442</v>
      </c>
      <c r="B633" s="3" t="s">
        <v>808</v>
      </c>
      <c r="C633" s="3" t="s">
        <v>809</v>
      </c>
      <c r="D633" s="1" t="s">
        <v>807</v>
      </c>
      <c r="E633" s="7">
        <v>0.79</v>
      </c>
      <c r="F633" s="3">
        <v>1.44</v>
      </c>
      <c r="G633" s="1" t="s">
        <v>11</v>
      </c>
      <c r="H633" s="1" t="s">
        <v>1182</v>
      </c>
      <c r="I633" s="2" t="s">
        <v>1154</v>
      </c>
    </row>
    <row r="634" spans="1:9">
      <c r="A634" s="6">
        <v>43439</v>
      </c>
      <c r="B634" s="3" t="s">
        <v>743</v>
      </c>
      <c r="C634" s="3" t="s">
        <v>744</v>
      </c>
      <c r="D634" s="1" t="s">
        <v>714</v>
      </c>
      <c r="E634" s="7">
        <v>0.79</v>
      </c>
      <c r="F634" s="3">
        <v>1.43</v>
      </c>
      <c r="G634" s="1" t="s">
        <v>22</v>
      </c>
      <c r="H634" s="1" t="s">
        <v>1207</v>
      </c>
      <c r="I634" s="2" t="s">
        <v>1154</v>
      </c>
    </row>
    <row r="635" spans="1:9">
      <c r="A635" s="6">
        <v>43476</v>
      </c>
      <c r="B635" s="3" t="s">
        <v>1582</v>
      </c>
      <c r="C635" s="3" t="s">
        <v>1583</v>
      </c>
      <c r="D635" s="1" t="s">
        <v>1222</v>
      </c>
      <c r="E635" s="7">
        <v>0.79</v>
      </c>
      <c r="F635" s="3">
        <v>1.43</v>
      </c>
      <c r="G635" s="1" t="s">
        <v>11</v>
      </c>
      <c r="H635" s="1" t="s">
        <v>1177</v>
      </c>
      <c r="I635" s="3" t="s">
        <v>1154</v>
      </c>
    </row>
    <row r="636" spans="1:9">
      <c r="A636" s="6">
        <v>43436</v>
      </c>
      <c r="B636" s="3" t="s">
        <v>624</v>
      </c>
      <c r="C636" s="3" t="s">
        <v>625</v>
      </c>
      <c r="D636" s="1" t="s">
        <v>626</v>
      </c>
      <c r="E636" s="7">
        <v>0.79</v>
      </c>
      <c r="F636" s="3">
        <v>1.39</v>
      </c>
      <c r="G636" s="1" t="s">
        <v>22</v>
      </c>
      <c r="H636" s="1" t="s">
        <v>1203</v>
      </c>
      <c r="I636" s="2" t="s">
        <v>1154</v>
      </c>
    </row>
    <row r="637" spans="1:9">
      <c r="A637" s="6">
        <v>43437</v>
      </c>
      <c r="B637" s="3" t="s">
        <v>660</v>
      </c>
      <c r="C637" s="3" t="s">
        <v>661</v>
      </c>
      <c r="D637" s="1" t="s">
        <v>422</v>
      </c>
      <c r="E637" s="7">
        <v>0.79</v>
      </c>
      <c r="F637" s="3">
        <v>1.39</v>
      </c>
      <c r="G637" s="1" t="s">
        <v>11</v>
      </c>
      <c r="H637" s="1" t="s">
        <v>1177</v>
      </c>
      <c r="I637" s="2" t="s">
        <v>1154</v>
      </c>
    </row>
    <row r="638" spans="1:9">
      <c r="A638" s="6">
        <v>43455</v>
      </c>
      <c r="B638" s="3" t="s">
        <v>1043</v>
      </c>
      <c r="C638" s="3" t="s">
        <v>778</v>
      </c>
      <c r="D638" s="1" t="s">
        <v>1044</v>
      </c>
      <c r="E638" s="7">
        <v>0.79</v>
      </c>
      <c r="F638" s="3">
        <v>1.38</v>
      </c>
      <c r="G638" s="1" t="s">
        <v>22</v>
      </c>
      <c r="H638" s="1" t="s">
        <v>1188</v>
      </c>
      <c r="I638" s="2" t="s">
        <v>1154</v>
      </c>
    </row>
    <row r="639" spans="1:9">
      <c r="A639" s="6">
        <v>43442</v>
      </c>
      <c r="B639" s="3" t="s">
        <v>450</v>
      </c>
      <c r="C639" s="3" t="s">
        <v>875</v>
      </c>
      <c r="D639" s="1" t="s">
        <v>427</v>
      </c>
      <c r="E639" s="7">
        <v>0.78</v>
      </c>
      <c r="F639" s="3">
        <v>1.67</v>
      </c>
      <c r="G639" s="1" t="s">
        <v>11</v>
      </c>
      <c r="H639" s="1" t="s">
        <v>1182</v>
      </c>
      <c r="I639" s="2" t="s">
        <v>1154</v>
      </c>
    </row>
    <row r="640" spans="1:9">
      <c r="A640" s="6">
        <v>43439</v>
      </c>
      <c r="B640" s="3" t="s">
        <v>411</v>
      </c>
      <c r="C640" s="3" t="s">
        <v>511</v>
      </c>
      <c r="D640" s="1" t="s">
        <v>193</v>
      </c>
      <c r="E640" s="7">
        <v>0.78</v>
      </c>
      <c r="F640" s="3">
        <v>1.65</v>
      </c>
      <c r="G640" s="1" t="s">
        <v>22</v>
      </c>
      <c r="H640" s="1" t="s">
        <v>1173</v>
      </c>
      <c r="I640" s="2" t="s">
        <v>1153</v>
      </c>
    </row>
    <row r="641" spans="1:9">
      <c r="A641" s="6">
        <v>43443</v>
      </c>
      <c r="B641" s="3" t="s">
        <v>890</v>
      </c>
      <c r="C641" s="3" t="s">
        <v>378</v>
      </c>
      <c r="D641" s="1" t="s">
        <v>92</v>
      </c>
      <c r="E641" s="7">
        <v>0.78</v>
      </c>
      <c r="F641" s="3">
        <v>1.65</v>
      </c>
      <c r="G641" s="1" t="s">
        <v>11</v>
      </c>
      <c r="H641" s="1" t="s">
        <v>1178</v>
      </c>
      <c r="I641" s="2" t="s">
        <v>1153</v>
      </c>
    </row>
    <row r="642" spans="1:9">
      <c r="A642" s="6">
        <v>43449</v>
      </c>
      <c r="B642" s="3" t="s">
        <v>21</v>
      </c>
      <c r="C642" s="3" t="s">
        <v>217</v>
      </c>
      <c r="D642" s="1" t="s">
        <v>193</v>
      </c>
      <c r="E642" s="7">
        <v>0.78</v>
      </c>
      <c r="F642" s="3">
        <v>1.65</v>
      </c>
      <c r="G642" s="1" t="s">
        <v>11</v>
      </c>
      <c r="H642" s="1" t="s">
        <v>1186</v>
      </c>
      <c r="I642" s="2" t="s">
        <v>1154</v>
      </c>
    </row>
    <row r="643" spans="1:9">
      <c r="A643" s="6">
        <v>43454</v>
      </c>
      <c r="B643" s="3" t="s">
        <v>1047</v>
      </c>
      <c r="C643" s="3" t="s">
        <v>1048</v>
      </c>
      <c r="D643" s="1" t="s">
        <v>1049</v>
      </c>
      <c r="E643" s="7">
        <v>0.78</v>
      </c>
      <c r="F643" s="3">
        <v>1.65</v>
      </c>
      <c r="G643" s="1" t="s">
        <v>11</v>
      </c>
      <c r="H643" s="1" t="s">
        <v>1174</v>
      </c>
      <c r="I643" s="2" t="s">
        <v>1154</v>
      </c>
    </row>
    <row r="644" spans="1:9">
      <c r="A644" s="6">
        <v>43460</v>
      </c>
      <c r="B644" s="3" t="s">
        <v>28</v>
      </c>
      <c r="C644" s="3" t="s">
        <v>217</v>
      </c>
      <c r="D644" s="1" t="s">
        <v>193</v>
      </c>
      <c r="E644" s="7">
        <v>0.78</v>
      </c>
      <c r="F644" s="3">
        <v>1.65</v>
      </c>
      <c r="G644" s="1" t="s">
        <v>11</v>
      </c>
      <c r="H644" s="1" t="s">
        <v>1179</v>
      </c>
      <c r="I644" s="2" t="s">
        <v>1152</v>
      </c>
    </row>
    <row r="645" spans="1:9">
      <c r="A645" s="6">
        <v>43428</v>
      </c>
      <c r="B645" s="3" t="s">
        <v>99</v>
      </c>
      <c r="C645" s="3" t="s">
        <v>100</v>
      </c>
      <c r="D645" s="1" t="s">
        <v>98</v>
      </c>
      <c r="E645" s="7">
        <v>0.78</v>
      </c>
      <c r="F645" s="3">
        <v>1.63</v>
      </c>
      <c r="G645" s="1" t="s">
        <v>11</v>
      </c>
      <c r="H645" s="1" t="s">
        <v>1180</v>
      </c>
      <c r="I645" s="2" t="s">
        <v>1154</v>
      </c>
    </row>
    <row r="646" spans="1:9">
      <c r="A646" s="6">
        <v>43429</v>
      </c>
      <c r="B646" s="3" t="s">
        <v>399</v>
      </c>
      <c r="C646" s="3" t="s">
        <v>400</v>
      </c>
      <c r="D646" s="1" t="s">
        <v>92</v>
      </c>
      <c r="E646" s="7">
        <v>0.78</v>
      </c>
      <c r="F646" s="3">
        <v>1.63</v>
      </c>
      <c r="G646" s="1" t="s">
        <v>11</v>
      </c>
      <c r="H646" s="1" t="s">
        <v>1181</v>
      </c>
      <c r="I646" s="2" t="s">
        <v>1153</v>
      </c>
    </row>
    <row r="647" spans="1:9">
      <c r="A647" s="6">
        <v>43435</v>
      </c>
      <c r="B647" s="3" t="s">
        <v>576</v>
      </c>
      <c r="C647" s="3" t="s">
        <v>577</v>
      </c>
      <c r="D647" s="1" t="s">
        <v>211</v>
      </c>
      <c r="E647" s="7">
        <v>0.78</v>
      </c>
      <c r="F647" s="3">
        <v>1.63</v>
      </c>
      <c r="G647" s="1" t="s">
        <v>11</v>
      </c>
      <c r="H647" s="1" t="s">
        <v>1177</v>
      </c>
      <c r="I647" s="2" t="s">
        <v>1154</v>
      </c>
    </row>
    <row r="648" spans="1:9">
      <c r="A648" s="6">
        <v>43442</v>
      </c>
      <c r="B648" s="3" t="s">
        <v>441</v>
      </c>
      <c r="C648" s="3" t="s">
        <v>762</v>
      </c>
      <c r="D648" s="1" t="s">
        <v>443</v>
      </c>
      <c r="E648" s="7">
        <v>0.78</v>
      </c>
      <c r="F648" s="3">
        <v>1.63</v>
      </c>
      <c r="G648" s="1" t="s">
        <v>11</v>
      </c>
      <c r="H648" s="1" t="s">
        <v>1177</v>
      </c>
      <c r="I648" s="2" t="s">
        <v>1154</v>
      </c>
    </row>
    <row r="649" spans="1:9">
      <c r="A649" s="6">
        <v>43442</v>
      </c>
      <c r="B649" s="3" t="s">
        <v>441</v>
      </c>
      <c r="C649" s="3" t="s">
        <v>762</v>
      </c>
      <c r="D649" s="1" t="s">
        <v>443</v>
      </c>
      <c r="E649" s="7">
        <v>0.78</v>
      </c>
      <c r="F649" s="3">
        <v>1.63</v>
      </c>
      <c r="G649" s="1" t="s">
        <v>11</v>
      </c>
      <c r="H649" s="1" t="s">
        <v>1177</v>
      </c>
      <c r="I649" s="2" t="s">
        <v>1154</v>
      </c>
    </row>
    <row r="650" spans="1:9">
      <c r="A650" s="6">
        <v>43428</v>
      </c>
      <c r="B650" s="3" t="s">
        <v>239</v>
      </c>
      <c r="C650" s="3" t="s">
        <v>240</v>
      </c>
      <c r="D650" s="1" t="s">
        <v>241</v>
      </c>
      <c r="E650" s="7">
        <v>0.78</v>
      </c>
      <c r="F650" s="3">
        <v>1.61</v>
      </c>
      <c r="G650" s="1" t="s">
        <v>22</v>
      </c>
      <c r="H650" s="1" t="s">
        <v>1176</v>
      </c>
      <c r="I650" s="2" t="s">
        <v>1154</v>
      </c>
    </row>
    <row r="651" spans="1:9">
      <c r="A651" s="6">
        <v>43436</v>
      </c>
      <c r="B651" s="3" t="s">
        <v>389</v>
      </c>
      <c r="C651" s="3" t="s">
        <v>607</v>
      </c>
      <c r="D651" s="1" t="s">
        <v>10</v>
      </c>
      <c r="E651" s="7">
        <v>0.78</v>
      </c>
      <c r="F651" s="3">
        <v>1.61</v>
      </c>
      <c r="G651" s="1" t="s">
        <v>11</v>
      </c>
      <c r="H651" s="1" t="s">
        <v>1177</v>
      </c>
      <c r="I651" s="2" t="s">
        <v>1154</v>
      </c>
    </row>
    <row r="652" spans="1:9">
      <c r="A652" s="6">
        <v>43436</v>
      </c>
      <c r="B652" s="3" t="s">
        <v>665</v>
      </c>
      <c r="C652" s="3" t="s">
        <v>666</v>
      </c>
      <c r="D652" s="1" t="s">
        <v>68</v>
      </c>
      <c r="E652" s="7">
        <v>0.78</v>
      </c>
      <c r="F652" s="3">
        <v>1.61</v>
      </c>
      <c r="G652" s="1" t="s">
        <v>11</v>
      </c>
      <c r="H652" s="1" t="s">
        <v>1182</v>
      </c>
      <c r="I652" s="2" t="s">
        <v>1154</v>
      </c>
    </row>
    <row r="653" spans="1:9">
      <c r="A653" s="6">
        <v>43443</v>
      </c>
      <c r="B653" s="3" t="s">
        <v>899</v>
      </c>
      <c r="C653" s="3" t="s">
        <v>900</v>
      </c>
      <c r="D653" s="1" t="s">
        <v>408</v>
      </c>
      <c r="E653" s="7">
        <v>0.78</v>
      </c>
      <c r="F653" s="3">
        <v>1.61</v>
      </c>
      <c r="G653" s="1" t="s">
        <v>11</v>
      </c>
      <c r="H653" s="1" t="s">
        <v>1180</v>
      </c>
      <c r="I653" s="2" t="s">
        <v>1154</v>
      </c>
    </row>
    <row r="654" spans="1:9">
      <c r="A654" s="6">
        <v>43447</v>
      </c>
      <c r="B654" s="3" t="s">
        <v>737</v>
      </c>
      <c r="C654" s="3" t="s">
        <v>934</v>
      </c>
      <c r="D654" s="1" t="s">
        <v>491</v>
      </c>
      <c r="E654" s="7">
        <v>0.78</v>
      </c>
      <c r="F654" s="3">
        <v>1.61</v>
      </c>
      <c r="G654" s="1" t="s">
        <v>11</v>
      </c>
      <c r="H654" s="1" t="s">
        <v>1177</v>
      </c>
      <c r="I654" s="2" t="s">
        <v>1154</v>
      </c>
    </row>
    <row r="655" spans="1:9">
      <c r="A655" s="6">
        <v>43449</v>
      </c>
      <c r="B655" s="3" t="s">
        <v>963</v>
      </c>
      <c r="C655" s="3" t="s">
        <v>195</v>
      </c>
      <c r="D655" s="1" t="s">
        <v>138</v>
      </c>
      <c r="E655" s="7">
        <v>0.78</v>
      </c>
      <c r="F655" s="3">
        <v>1.61</v>
      </c>
      <c r="G655" s="1" t="s">
        <v>11</v>
      </c>
      <c r="H655" s="1" t="s">
        <v>1172</v>
      </c>
      <c r="I655" s="2" t="s">
        <v>1154</v>
      </c>
    </row>
    <row r="656" spans="1:9">
      <c r="A656" s="6">
        <v>43449</v>
      </c>
      <c r="B656" s="3" t="s">
        <v>963</v>
      </c>
      <c r="C656" s="3" t="s">
        <v>195</v>
      </c>
      <c r="D656" s="1" t="s">
        <v>138</v>
      </c>
      <c r="E656" s="7">
        <v>0.78</v>
      </c>
      <c r="F656" s="3">
        <v>1.61</v>
      </c>
      <c r="G656" s="1" t="s">
        <v>11</v>
      </c>
      <c r="H656" s="1" t="s">
        <v>1172</v>
      </c>
      <c r="I656" s="2" t="s">
        <v>1154</v>
      </c>
    </row>
    <row r="657" spans="1:9">
      <c r="A657" s="6">
        <v>43456</v>
      </c>
      <c r="B657" s="3" t="s">
        <v>1068</v>
      </c>
      <c r="C657" s="3" t="s">
        <v>501</v>
      </c>
      <c r="D657" s="1" t="s">
        <v>502</v>
      </c>
      <c r="E657" s="7">
        <v>0.78</v>
      </c>
      <c r="F657" s="3">
        <v>1.61</v>
      </c>
      <c r="G657" s="1" t="s">
        <v>11</v>
      </c>
      <c r="H657" s="1" t="s">
        <v>1180</v>
      </c>
      <c r="I657" s="2" t="s">
        <v>1154</v>
      </c>
    </row>
    <row r="658" spans="1:9">
      <c r="A658" s="6">
        <v>43428</v>
      </c>
      <c r="B658" s="3" t="s">
        <v>247</v>
      </c>
      <c r="C658" s="3" t="s">
        <v>248</v>
      </c>
      <c r="D658" s="1" t="s">
        <v>167</v>
      </c>
      <c r="E658" s="7">
        <v>0.78</v>
      </c>
      <c r="F658" s="3">
        <v>1.59</v>
      </c>
      <c r="G658" s="1" t="s">
        <v>11</v>
      </c>
      <c r="H658" s="1" t="s">
        <v>1183</v>
      </c>
      <c r="I658" s="2" t="s">
        <v>1153</v>
      </c>
    </row>
    <row r="659" spans="1:9">
      <c r="A659" s="6">
        <v>43444</v>
      </c>
      <c r="B659" s="3" t="s">
        <v>754</v>
      </c>
      <c r="C659" s="3" t="s">
        <v>555</v>
      </c>
      <c r="D659" s="1" t="s">
        <v>529</v>
      </c>
      <c r="E659" s="7">
        <v>0.78</v>
      </c>
      <c r="F659" s="3">
        <v>1.59</v>
      </c>
      <c r="G659" s="1" t="s">
        <v>22</v>
      </c>
      <c r="H659" s="1" t="s">
        <v>1176</v>
      </c>
      <c r="I659" s="2" t="s">
        <v>1154</v>
      </c>
    </row>
    <row r="660" spans="1:9">
      <c r="A660" s="6">
        <v>43457</v>
      </c>
      <c r="B660" s="3" t="s">
        <v>464</v>
      </c>
      <c r="C660" s="3" t="s">
        <v>616</v>
      </c>
      <c r="D660" s="1" t="s">
        <v>594</v>
      </c>
      <c r="E660" s="7">
        <v>0.78</v>
      </c>
      <c r="F660" s="3">
        <v>1.59</v>
      </c>
      <c r="G660" s="1" t="s">
        <v>11</v>
      </c>
      <c r="H660" s="1" t="s">
        <v>1197</v>
      </c>
      <c r="I660" s="2" t="s">
        <v>1154</v>
      </c>
    </row>
    <row r="661" spans="1:9">
      <c r="A661" s="6">
        <v>43463</v>
      </c>
      <c r="B661" s="3" t="s">
        <v>1103</v>
      </c>
      <c r="C661" s="3" t="s">
        <v>19</v>
      </c>
      <c r="D661" s="1" t="s">
        <v>211</v>
      </c>
      <c r="E661" s="7">
        <v>0.78</v>
      </c>
      <c r="F661" s="3">
        <v>1.59</v>
      </c>
      <c r="G661" s="1" t="s">
        <v>11</v>
      </c>
      <c r="H661" s="1" t="s">
        <v>1180</v>
      </c>
      <c r="I661" s="2" t="s">
        <v>1154</v>
      </c>
    </row>
    <row r="662" spans="1:9">
      <c r="A662" s="6">
        <v>43474</v>
      </c>
      <c r="B662" s="3" t="s">
        <v>662</v>
      </c>
      <c r="C662" s="3" t="s">
        <v>1220</v>
      </c>
      <c r="D662" s="1" t="s">
        <v>1022</v>
      </c>
      <c r="E662" s="7">
        <v>0.78</v>
      </c>
      <c r="F662" s="3">
        <v>1.59</v>
      </c>
      <c r="G662" s="1" t="s">
        <v>11</v>
      </c>
      <c r="H662" s="1" t="s">
        <v>1180</v>
      </c>
      <c r="I662" s="3" t="s">
        <v>1154</v>
      </c>
    </row>
    <row r="663" spans="1:9">
      <c r="A663" s="6">
        <v>43428</v>
      </c>
      <c r="B663" s="3" t="s">
        <v>279</v>
      </c>
      <c r="C663" s="3" t="s">
        <v>280</v>
      </c>
      <c r="D663" s="1" t="s">
        <v>238</v>
      </c>
      <c r="E663" s="7">
        <v>0.78</v>
      </c>
      <c r="F663" s="3">
        <v>1.57</v>
      </c>
      <c r="G663" s="1" t="s">
        <v>11</v>
      </c>
      <c r="H663" s="1" t="s">
        <v>1180</v>
      </c>
      <c r="I663" s="2" t="s">
        <v>1154</v>
      </c>
    </row>
    <row r="664" spans="1:9">
      <c r="A664" s="6">
        <v>43433</v>
      </c>
      <c r="B664" s="3" t="s">
        <v>494</v>
      </c>
      <c r="C664" s="3" t="s">
        <v>495</v>
      </c>
      <c r="D664" s="1" t="s">
        <v>491</v>
      </c>
      <c r="E664" s="7">
        <v>0.78</v>
      </c>
      <c r="F664" s="3">
        <v>1.57</v>
      </c>
      <c r="G664" s="1" t="s">
        <v>11</v>
      </c>
      <c r="H664" s="1" t="s">
        <v>1179</v>
      </c>
      <c r="I664" s="2" t="s">
        <v>1152</v>
      </c>
    </row>
    <row r="665" spans="1:9">
      <c r="A665" s="6">
        <v>43442</v>
      </c>
      <c r="B665" s="3" t="s">
        <v>583</v>
      </c>
      <c r="C665" s="3" t="s">
        <v>198</v>
      </c>
      <c r="D665" s="1" t="s">
        <v>193</v>
      </c>
      <c r="E665" s="7">
        <v>0.78</v>
      </c>
      <c r="F665" s="3">
        <v>1.57</v>
      </c>
      <c r="G665" s="1" t="s">
        <v>22</v>
      </c>
      <c r="H665" s="1" t="s">
        <v>1188</v>
      </c>
      <c r="I665" s="2" t="s">
        <v>1154</v>
      </c>
    </row>
    <row r="666" spans="1:9">
      <c r="A666" s="6">
        <v>43442</v>
      </c>
      <c r="B666" s="3" t="s">
        <v>583</v>
      </c>
      <c r="C666" s="3" t="s">
        <v>198</v>
      </c>
      <c r="D666" s="1" t="s">
        <v>193</v>
      </c>
      <c r="E666" s="7">
        <v>0.78</v>
      </c>
      <c r="F666" s="3">
        <v>1.57</v>
      </c>
      <c r="G666" s="1" t="s">
        <v>22</v>
      </c>
      <c r="H666" s="1" t="s">
        <v>1188</v>
      </c>
      <c r="I666" s="2" t="s">
        <v>1154</v>
      </c>
    </row>
    <row r="667" spans="1:9">
      <c r="A667" s="6">
        <v>43457</v>
      </c>
      <c r="B667" s="3" t="s">
        <v>1073</v>
      </c>
      <c r="C667" s="3" t="s">
        <v>1074</v>
      </c>
      <c r="D667" s="1" t="s">
        <v>156</v>
      </c>
      <c r="E667" s="7">
        <v>0.78</v>
      </c>
      <c r="F667" s="3">
        <v>1.57</v>
      </c>
      <c r="G667" s="1" t="s">
        <v>11</v>
      </c>
      <c r="H667" s="1" t="s">
        <v>1172</v>
      </c>
      <c r="I667" s="2" t="s">
        <v>1154</v>
      </c>
    </row>
    <row r="668" spans="1:9">
      <c r="A668" s="6">
        <v>43466</v>
      </c>
      <c r="B668" s="3" t="s">
        <v>435</v>
      </c>
      <c r="C668" s="3" t="s">
        <v>1125</v>
      </c>
      <c r="D668" s="1" t="s">
        <v>219</v>
      </c>
      <c r="E668" s="7">
        <v>0.78</v>
      </c>
      <c r="F668" s="3">
        <v>1.57</v>
      </c>
      <c r="G668" s="1" t="s">
        <v>11</v>
      </c>
      <c r="H668" s="1" t="s">
        <v>1194</v>
      </c>
      <c r="I668" s="2" t="s">
        <v>1154</v>
      </c>
    </row>
    <row r="669" spans="1:9">
      <c r="A669" s="6">
        <v>43449</v>
      </c>
      <c r="B669" s="3" t="s">
        <v>488</v>
      </c>
      <c r="C669" s="3" t="s">
        <v>969</v>
      </c>
      <c r="D669" s="1" t="s">
        <v>970</v>
      </c>
      <c r="E669" s="7">
        <v>0.78</v>
      </c>
      <c r="F669" s="3">
        <v>1.56</v>
      </c>
      <c r="G669" s="1" t="s">
        <v>11</v>
      </c>
      <c r="H669" s="1" t="s">
        <v>1190</v>
      </c>
      <c r="I669" s="2" t="s">
        <v>1154</v>
      </c>
    </row>
    <row r="670" spans="1:9">
      <c r="A670" s="6">
        <v>43450</v>
      </c>
      <c r="B670" s="3" t="s">
        <v>996</v>
      </c>
      <c r="C670" s="3" t="s">
        <v>706</v>
      </c>
      <c r="D670" s="1" t="s">
        <v>590</v>
      </c>
      <c r="E670" s="7">
        <v>0.78</v>
      </c>
      <c r="F670" s="3">
        <v>1.56</v>
      </c>
      <c r="G670" s="1" t="s">
        <v>11</v>
      </c>
      <c r="H670" s="1" t="s">
        <v>1177</v>
      </c>
      <c r="I670" s="2" t="s">
        <v>1154</v>
      </c>
    </row>
    <row r="671" spans="1:9">
      <c r="A671" s="6">
        <v>43470</v>
      </c>
      <c r="B671" s="3" t="s">
        <v>1025</v>
      </c>
      <c r="C671" s="3" t="s">
        <v>1090</v>
      </c>
      <c r="D671" s="1" t="s">
        <v>15</v>
      </c>
      <c r="E671" s="7">
        <v>0.78</v>
      </c>
      <c r="F671" s="3">
        <v>1.56</v>
      </c>
      <c r="G671" s="1" t="s">
        <v>11</v>
      </c>
      <c r="H671" s="1" t="s">
        <v>1174</v>
      </c>
      <c r="I671" s="2" t="s">
        <v>1154</v>
      </c>
    </row>
    <row r="672" spans="1:9">
      <c r="A672" s="6">
        <v>43472</v>
      </c>
      <c r="B672" s="3" t="s">
        <v>385</v>
      </c>
      <c r="C672" s="3" t="s">
        <v>911</v>
      </c>
      <c r="D672" s="1" t="s">
        <v>594</v>
      </c>
      <c r="E672" s="7">
        <v>0.78</v>
      </c>
      <c r="F672" s="3">
        <v>1.56</v>
      </c>
      <c r="G672" s="1" t="s">
        <v>22</v>
      </c>
      <c r="H672" s="1" t="s">
        <v>1173</v>
      </c>
      <c r="I672" s="2" t="s">
        <v>1153</v>
      </c>
    </row>
    <row r="673" spans="1:9">
      <c r="A673" s="6">
        <v>43432</v>
      </c>
      <c r="B673" s="3" t="s">
        <v>459</v>
      </c>
      <c r="C673" s="3" t="s">
        <v>460</v>
      </c>
      <c r="D673" s="1" t="s">
        <v>343</v>
      </c>
      <c r="E673" s="7">
        <v>0.78</v>
      </c>
      <c r="F673" s="3">
        <v>1.54</v>
      </c>
      <c r="G673" s="1" t="s">
        <v>11</v>
      </c>
      <c r="H673" s="1" t="s">
        <v>1182</v>
      </c>
      <c r="I673" s="2" t="s">
        <v>1154</v>
      </c>
    </row>
    <row r="674" spans="1:9">
      <c r="A674" s="6">
        <v>43434</v>
      </c>
      <c r="B674" s="3" t="s">
        <v>518</v>
      </c>
      <c r="C674" s="3" t="s">
        <v>519</v>
      </c>
      <c r="D674" s="1" t="s">
        <v>77</v>
      </c>
      <c r="E674" s="7">
        <v>0.78</v>
      </c>
      <c r="F674" s="3">
        <v>1.54</v>
      </c>
      <c r="G674" s="1" t="s">
        <v>22</v>
      </c>
      <c r="H674" s="1" t="s">
        <v>1185</v>
      </c>
      <c r="I674" s="2" t="s">
        <v>1152</v>
      </c>
    </row>
    <row r="675" spans="1:9">
      <c r="A675" s="6">
        <v>43442</v>
      </c>
      <c r="B675" s="3" t="s">
        <v>121</v>
      </c>
      <c r="C675" s="3" t="s">
        <v>827</v>
      </c>
      <c r="D675" s="1" t="s">
        <v>120</v>
      </c>
      <c r="E675" s="7">
        <v>0.78</v>
      </c>
      <c r="F675" s="3">
        <v>1.54</v>
      </c>
      <c r="G675" s="1" t="s">
        <v>11</v>
      </c>
      <c r="H675" s="1" t="s">
        <v>1186</v>
      </c>
      <c r="I675" s="2" t="s">
        <v>1154</v>
      </c>
    </row>
    <row r="676" spans="1:9">
      <c r="A676" s="6">
        <v>43443</v>
      </c>
      <c r="B676" s="3" t="s">
        <v>155</v>
      </c>
      <c r="C676" s="3" t="s">
        <v>871</v>
      </c>
      <c r="D676" s="1" t="s">
        <v>156</v>
      </c>
      <c r="E676" s="7">
        <v>0.78</v>
      </c>
      <c r="F676" s="3">
        <v>1.54</v>
      </c>
      <c r="G676" s="1" t="s">
        <v>11</v>
      </c>
      <c r="H676" s="1" t="s">
        <v>1173</v>
      </c>
      <c r="I676" s="2" t="s">
        <v>1154</v>
      </c>
    </row>
    <row r="677" spans="1:9">
      <c r="A677" s="6">
        <v>43443</v>
      </c>
      <c r="B677" s="3" t="s">
        <v>713</v>
      </c>
      <c r="C677" s="3" t="s">
        <v>884</v>
      </c>
      <c r="D677" s="1" t="s">
        <v>235</v>
      </c>
      <c r="E677" s="7">
        <v>0.78</v>
      </c>
      <c r="F677" s="3">
        <v>1.54</v>
      </c>
      <c r="G677" s="1" t="s">
        <v>11</v>
      </c>
      <c r="H677" s="1" t="s">
        <v>1172</v>
      </c>
      <c r="I677" s="2" t="s">
        <v>1154</v>
      </c>
    </row>
    <row r="678" spans="1:9">
      <c r="A678" s="6">
        <v>43446</v>
      </c>
      <c r="B678" s="3" t="s">
        <v>917</v>
      </c>
      <c r="C678" s="3" t="s">
        <v>918</v>
      </c>
      <c r="D678" s="1" t="s">
        <v>289</v>
      </c>
      <c r="E678" s="7">
        <v>0.78</v>
      </c>
      <c r="F678" s="3">
        <v>1.54</v>
      </c>
      <c r="G678" s="1" t="s">
        <v>11</v>
      </c>
      <c r="H678" s="1" t="s">
        <v>1173</v>
      </c>
      <c r="I678" s="2" t="s">
        <v>1154</v>
      </c>
    </row>
    <row r="679" spans="1:9">
      <c r="A679" s="6">
        <v>43466</v>
      </c>
      <c r="B679" s="3" t="s">
        <v>17</v>
      </c>
      <c r="C679" s="3" t="s">
        <v>703</v>
      </c>
      <c r="D679" s="1" t="s">
        <v>219</v>
      </c>
      <c r="E679" s="7">
        <v>0.78</v>
      </c>
      <c r="F679" s="3">
        <v>1.54</v>
      </c>
      <c r="G679" s="1" t="s">
        <v>11</v>
      </c>
      <c r="H679" s="1" t="s">
        <v>1177</v>
      </c>
      <c r="I679" s="2" t="s">
        <v>1154</v>
      </c>
    </row>
    <row r="680" spans="1:9">
      <c r="A680" s="6">
        <v>43427</v>
      </c>
      <c r="B680" s="3" t="s">
        <v>39</v>
      </c>
      <c r="C680" s="3" t="s">
        <v>40</v>
      </c>
      <c r="D680" s="1" t="s">
        <v>36</v>
      </c>
      <c r="E680" s="7">
        <v>0.78</v>
      </c>
      <c r="F680" s="3">
        <v>1.53</v>
      </c>
      <c r="G680" s="1" t="s">
        <v>11</v>
      </c>
      <c r="H680" s="1" t="s">
        <v>1176</v>
      </c>
      <c r="I680" s="2" t="s">
        <v>1153</v>
      </c>
    </row>
    <row r="681" spans="1:9">
      <c r="A681" s="6">
        <v>43427</v>
      </c>
      <c r="B681" s="3" t="s">
        <v>49</v>
      </c>
      <c r="C681" s="3" t="s">
        <v>50</v>
      </c>
      <c r="D681" s="1" t="s">
        <v>51</v>
      </c>
      <c r="E681" s="7">
        <v>0.78</v>
      </c>
      <c r="F681" s="3">
        <v>1.53</v>
      </c>
      <c r="G681" s="1" t="s">
        <v>11</v>
      </c>
      <c r="H681" s="1" t="s">
        <v>1177</v>
      </c>
      <c r="I681" s="2" t="s">
        <v>1154</v>
      </c>
    </row>
    <row r="682" spans="1:9">
      <c r="A682" s="6">
        <v>43428</v>
      </c>
      <c r="B682" s="3" t="s">
        <v>236</v>
      </c>
      <c r="C682" s="3" t="s">
        <v>237</v>
      </c>
      <c r="D682" s="1" t="s">
        <v>238</v>
      </c>
      <c r="E682" s="7">
        <v>0.78</v>
      </c>
      <c r="F682" s="3">
        <v>1.53</v>
      </c>
      <c r="G682" s="1" t="s">
        <v>11</v>
      </c>
      <c r="H682" s="1" t="s">
        <v>1177</v>
      </c>
      <c r="I682" s="2" t="s">
        <v>1154</v>
      </c>
    </row>
    <row r="683" spans="1:9">
      <c r="A683" s="6">
        <v>43434</v>
      </c>
      <c r="B683" s="3" t="s">
        <v>42</v>
      </c>
      <c r="C683" s="3" t="s">
        <v>85</v>
      </c>
      <c r="D683" s="1" t="s">
        <v>36</v>
      </c>
      <c r="E683" s="7">
        <v>0.78</v>
      </c>
      <c r="F683" s="3">
        <v>1.53</v>
      </c>
      <c r="G683" s="1" t="s">
        <v>22</v>
      </c>
      <c r="H683" s="1" t="s">
        <v>1182</v>
      </c>
      <c r="I683" s="2" t="s">
        <v>1153</v>
      </c>
    </row>
    <row r="684" spans="1:9">
      <c r="A684" s="6">
        <v>43439</v>
      </c>
      <c r="B684" s="3" t="s">
        <v>725</v>
      </c>
      <c r="C684" s="3" t="s">
        <v>97</v>
      </c>
      <c r="D684" s="1" t="s">
        <v>98</v>
      </c>
      <c r="E684" s="7">
        <v>0.78</v>
      </c>
      <c r="F684" s="3">
        <v>1.53</v>
      </c>
      <c r="G684" s="1" t="s">
        <v>11</v>
      </c>
      <c r="H684" s="1" t="s">
        <v>1182</v>
      </c>
      <c r="I684" s="2" t="s">
        <v>1154</v>
      </c>
    </row>
    <row r="685" spans="1:9">
      <c r="A685" s="6">
        <v>43444</v>
      </c>
      <c r="B685" s="3" t="s">
        <v>775</v>
      </c>
      <c r="C685" s="3" t="s">
        <v>909</v>
      </c>
      <c r="D685" s="1" t="s">
        <v>529</v>
      </c>
      <c r="E685" s="7">
        <v>0.78</v>
      </c>
      <c r="F685" s="3">
        <v>1.53</v>
      </c>
      <c r="G685" s="1" t="s">
        <v>11</v>
      </c>
      <c r="H685" s="1" t="s">
        <v>1183</v>
      </c>
      <c r="I685" s="2" t="s">
        <v>1153</v>
      </c>
    </row>
    <row r="686" spans="1:9">
      <c r="A686" s="6">
        <v>43470</v>
      </c>
      <c r="B686" s="3" t="s">
        <v>1132</v>
      </c>
      <c r="C686" s="3" t="s">
        <v>744</v>
      </c>
      <c r="D686" s="1" t="s">
        <v>235</v>
      </c>
      <c r="E686" s="7">
        <v>0.78</v>
      </c>
      <c r="F686" s="3">
        <v>1.53</v>
      </c>
      <c r="G686" s="1" t="s">
        <v>11</v>
      </c>
      <c r="H686" s="1" t="s">
        <v>1180</v>
      </c>
      <c r="I686" s="2" t="s">
        <v>1154</v>
      </c>
    </row>
    <row r="687" spans="1:9">
      <c r="A687" s="6">
        <v>43443</v>
      </c>
      <c r="B687" s="3" t="s">
        <v>368</v>
      </c>
      <c r="C687" s="3" t="s">
        <v>756</v>
      </c>
      <c r="D687" s="1" t="s">
        <v>232</v>
      </c>
      <c r="E687" s="7">
        <v>0.78</v>
      </c>
      <c r="F687" s="3">
        <v>1.51</v>
      </c>
      <c r="G687" s="1" t="s">
        <v>11</v>
      </c>
      <c r="H687" s="1" t="s">
        <v>1179</v>
      </c>
      <c r="I687" s="2" t="s">
        <v>1152</v>
      </c>
    </row>
    <row r="688" spans="1:9">
      <c r="A688" s="6">
        <v>43448</v>
      </c>
      <c r="B688" s="3" t="s">
        <v>939</v>
      </c>
      <c r="C688" s="3" t="s">
        <v>84</v>
      </c>
      <c r="D688" s="1" t="s">
        <v>36</v>
      </c>
      <c r="E688" s="7">
        <v>0.78</v>
      </c>
      <c r="F688" s="3">
        <v>1.51</v>
      </c>
      <c r="G688" s="1" t="s">
        <v>11</v>
      </c>
      <c r="H688" s="1" t="s">
        <v>1176</v>
      </c>
      <c r="I688" s="2" t="s">
        <v>1153</v>
      </c>
    </row>
    <row r="689" spans="1:9">
      <c r="A689" s="6">
        <v>43449</v>
      </c>
      <c r="B689" s="3" t="s">
        <v>368</v>
      </c>
      <c r="C689" s="3" t="s">
        <v>756</v>
      </c>
      <c r="D689" s="1" t="s">
        <v>757</v>
      </c>
      <c r="E689" s="7">
        <v>0.78</v>
      </c>
      <c r="F689" s="3">
        <v>1.51</v>
      </c>
      <c r="G689" s="1" t="s">
        <v>11</v>
      </c>
      <c r="H689" s="1" t="s">
        <v>1184</v>
      </c>
      <c r="I689" s="2" t="s">
        <v>1153</v>
      </c>
    </row>
    <row r="690" spans="1:9">
      <c r="A690" s="6">
        <v>43449</v>
      </c>
      <c r="B690" s="3" t="s">
        <v>368</v>
      </c>
      <c r="C690" s="3" t="s">
        <v>756</v>
      </c>
      <c r="D690" s="1" t="s">
        <v>757</v>
      </c>
      <c r="E690" s="7">
        <v>0.78</v>
      </c>
      <c r="F690" s="3">
        <v>1.51</v>
      </c>
      <c r="G690" s="1" t="s">
        <v>11</v>
      </c>
      <c r="H690" s="1" t="s">
        <v>1184</v>
      </c>
      <c r="I690" s="2" t="s">
        <v>1153</v>
      </c>
    </row>
    <row r="691" spans="1:9">
      <c r="A691" s="6">
        <v>43428</v>
      </c>
      <c r="B691" s="3" t="s">
        <v>178</v>
      </c>
      <c r="C691" s="3" t="s">
        <v>179</v>
      </c>
      <c r="D691" s="1" t="s">
        <v>141</v>
      </c>
      <c r="E691" s="7">
        <v>0.78</v>
      </c>
      <c r="F691" s="3">
        <v>1.5</v>
      </c>
      <c r="G691" s="1" t="s">
        <v>22</v>
      </c>
      <c r="H691" s="1" t="s">
        <v>1189</v>
      </c>
      <c r="I691" s="2" t="s">
        <v>1153</v>
      </c>
    </row>
    <row r="692" spans="1:9">
      <c r="A692" s="6">
        <v>43439</v>
      </c>
      <c r="B692" s="3" t="s">
        <v>740</v>
      </c>
      <c r="C692" s="3" t="s">
        <v>741</v>
      </c>
      <c r="D692" s="1" t="s">
        <v>721</v>
      </c>
      <c r="E692" s="7">
        <v>0.78</v>
      </c>
      <c r="F692" s="3">
        <v>1.48</v>
      </c>
      <c r="G692" s="1" t="s">
        <v>22</v>
      </c>
      <c r="H692" s="1" t="s">
        <v>1180</v>
      </c>
      <c r="I692" s="2" t="s">
        <v>1153</v>
      </c>
    </row>
    <row r="693" spans="1:9">
      <c r="A693" s="6">
        <v>43447</v>
      </c>
      <c r="B693" s="3" t="s">
        <v>929</v>
      </c>
      <c r="C693" s="3" t="s">
        <v>504</v>
      </c>
      <c r="D693" s="1" t="s">
        <v>128</v>
      </c>
      <c r="E693" s="7">
        <v>0.78</v>
      </c>
      <c r="F693" s="3">
        <v>1.47</v>
      </c>
      <c r="G693" s="1" t="s">
        <v>11</v>
      </c>
      <c r="H693" s="1" t="s">
        <v>1209</v>
      </c>
      <c r="I693" s="2" t="s">
        <v>1154</v>
      </c>
    </row>
    <row r="694" spans="1:9">
      <c r="A694" s="6">
        <v>43476</v>
      </c>
      <c r="B694" s="3" t="s">
        <v>595</v>
      </c>
      <c r="C694" s="3" t="s">
        <v>221</v>
      </c>
      <c r="D694" s="1" t="s">
        <v>1222</v>
      </c>
      <c r="E694" s="7">
        <v>0.78</v>
      </c>
      <c r="F694" s="3">
        <v>1.47</v>
      </c>
      <c r="G694" s="1" t="s">
        <v>11</v>
      </c>
      <c r="H694" s="1" t="s">
        <v>1186</v>
      </c>
      <c r="I694" s="3" t="s">
        <v>1154</v>
      </c>
    </row>
    <row r="695" spans="1:9">
      <c r="A695" s="6">
        <v>43466</v>
      </c>
      <c r="B695" s="3" t="s">
        <v>1106</v>
      </c>
      <c r="C695" s="3" t="s">
        <v>210</v>
      </c>
      <c r="D695" s="1" t="s">
        <v>211</v>
      </c>
      <c r="E695" s="7">
        <v>0.77</v>
      </c>
      <c r="F695" s="3">
        <v>1.69</v>
      </c>
      <c r="G695" s="1" t="s">
        <v>11</v>
      </c>
      <c r="H695" s="1" t="s">
        <v>1194</v>
      </c>
      <c r="I695" s="2" t="s">
        <v>1154</v>
      </c>
    </row>
    <row r="696" spans="1:9">
      <c r="A696" s="6">
        <v>43427</v>
      </c>
      <c r="B696" s="3" t="s">
        <v>66</v>
      </c>
      <c r="C696" s="3" t="s">
        <v>67</v>
      </c>
      <c r="D696" s="1" t="s">
        <v>68</v>
      </c>
      <c r="E696" s="7">
        <v>0.77</v>
      </c>
      <c r="F696" s="3">
        <v>1.67</v>
      </c>
      <c r="G696" s="1" t="s">
        <v>11</v>
      </c>
      <c r="H696" s="1" t="s">
        <v>1178</v>
      </c>
      <c r="I696" s="2" t="s">
        <v>1153</v>
      </c>
    </row>
    <row r="697" spans="1:9">
      <c r="A697" s="6">
        <v>43439</v>
      </c>
      <c r="B697" s="3" t="s">
        <v>378</v>
      </c>
      <c r="C697" s="3" t="s">
        <v>758</v>
      </c>
      <c r="D697" s="1" t="s">
        <v>476</v>
      </c>
      <c r="E697" s="7">
        <v>0.77</v>
      </c>
      <c r="F697" s="3">
        <v>1.67</v>
      </c>
      <c r="G697" s="1" t="s">
        <v>11</v>
      </c>
      <c r="H697" s="1" t="s">
        <v>1173</v>
      </c>
      <c r="I697" s="2" t="s">
        <v>1154</v>
      </c>
    </row>
    <row r="698" spans="1:9">
      <c r="A698" s="6">
        <v>43442</v>
      </c>
      <c r="B698" s="3" t="s">
        <v>873</v>
      </c>
      <c r="C698" s="3" t="s">
        <v>874</v>
      </c>
      <c r="D698" s="1" t="s">
        <v>65</v>
      </c>
      <c r="E698" s="7">
        <v>0.77</v>
      </c>
      <c r="F698" s="3">
        <v>1.67</v>
      </c>
      <c r="G698" s="1" t="s">
        <v>11</v>
      </c>
      <c r="H698" s="1" t="s">
        <v>1179</v>
      </c>
      <c r="I698" s="2" t="s">
        <v>1152</v>
      </c>
    </row>
    <row r="699" spans="1:9">
      <c r="A699" s="6">
        <v>43456</v>
      </c>
      <c r="B699" s="3" t="s">
        <v>474</v>
      </c>
      <c r="C699" s="3" t="s">
        <v>378</v>
      </c>
      <c r="D699" s="1" t="s">
        <v>92</v>
      </c>
      <c r="E699" s="7">
        <v>0.77</v>
      </c>
      <c r="F699" s="3">
        <v>1.67</v>
      </c>
      <c r="G699" s="1" t="s">
        <v>11</v>
      </c>
      <c r="H699" s="1" t="s">
        <v>1175</v>
      </c>
      <c r="I699" s="2" t="s">
        <v>1152</v>
      </c>
    </row>
    <row r="700" spans="1:9">
      <c r="A700" s="6">
        <v>43460</v>
      </c>
      <c r="B700" s="3" t="s">
        <v>745</v>
      </c>
      <c r="C700" s="3" t="s">
        <v>137</v>
      </c>
      <c r="D700" s="1" t="s">
        <v>138</v>
      </c>
      <c r="E700" s="7">
        <v>0.77</v>
      </c>
      <c r="F700" s="3">
        <v>1.67</v>
      </c>
      <c r="G700" s="1" t="s">
        <v>22</v>
      </c>
      <c r="H700" s="1" t="s">
        <v>1210</v>
      </c>
      <c r="I700" s="2" t="s">
        <v>1154</v>
      </c>
    </row>
    <row r="701" spans="1:9">
      <c r="A701" s="6">
        <v>43473</v>
      </c>
      <c r="B701" s="3" t="s">
        <v>1168</v>
      </c>
      <c r="C701" s="3" t="s">
        <v>1169</v>
      </c>
      <c r="D701" s="1" t="s">
        <v>25</v>
      </c>
      <c r="E701" s="7">
        <v>0.77</v>
      </c>
      <c r="F701" s="3">
        <v>1.67</v>
      </c>
      <c r="G701" s="1" t="s">
        <v>11</v>
      </c>
      <c r="H701" s="1" t="s">
        <v>1200</v>
      </c>
      <c r="I701" s="2" t="s">
        <v>1154</v>
      </c>
    </row>
    <row r="702" spans="1:9">
      <c r="A702" s="6">
        <v>43428</v>
      </c>
      <c r="B702" s="3" t="s">
        <v>106</v>
      </c>
      <c r="C702" s="3" t="s">
        <v>107</v>
      </c>
      <c r="D702" s="1" t="s">
        <v>56</v>
      </c>
      <c r="E702" s="7">
        <v>0.77</v>
      </c>
      <c r="F702" s="3">
        <v>1.65</v>
      </c>
      <c r="G702" s="1" t="s">
        <v>11</v>
      </c>
      <c r="H702" s="1" t="s">
        <v>1178</v>
      </c>
      <c r="I702" s="2" t="s">
        <v>1153</v>
      </c>
    </row>
    <row r="703" spans="1:9">
      <c r="A703" s="6">
        <v>43429</v>
      </c>
      <c r="B703" s="3" t="s">
        <v>406</v>
      </c>
      <c r="C703" s="3" t="s">
        <v>407</v>
      </c>
      <c r="D703" s="1" t="s">
        <v>408</v>
      </c>
      <c r="E703" s="7">
        <v>0.77</v>
      </c>
      <c r="F703" s="3">
        <v>1.65</v>
      </c>
      <c r="G703" s="1" t="s">
        <v>11</v>
      </c>
      <c r="H703" s="1" t="s">
        <v>1180</v>
      </c>
      <c r="I703" s="2" t="s">
        <v>1154</v>
      </c>
    </row>
    <row r="704" spans="1:9">
      <c r="A704" s="6">
        <v>43435</v>
      </c>
      <c r="B704" s="3" t="s">
        <v>598</v>
      </c>
      <c r="C704" s="3" t="s">
        <v>276</v>
      </c>
      <c r="D704" s="1" t="s">
        <v>278</v>
      </c>
      <c r="E704" s="7">
        <v>0.77</v>
      </c>
      <c r="F704" s="3">
        <v>1.65</v>
      </c>
      <c r="G704" s="1" t="s">
        <v>22</v>
      </c>
      <c r="H704" s="1" t="s">
        <v>1183</v>
      </c>
      <c r="I704" s="2" t="s">
        <v>1154</v>
      </c>
    </row>
    <row r="705" spans="1:9">
      <c r="A705" s="6">
        <v>43442</v>
      </c>
      <c r="B705" s="3" t="s">
        <v>54</v>
      </c>
      <c r="C705" s="3" t="s">
        <v>824</v>
      </c>
      <c r="D705" s="1" t="s">
        <v>56</v>
      </c>
      <c r="E705" s="7">
        <v>0.77</v>
      </c>
      <c r="F705" s="3">
        <v>1.65</v>
      </c>
      <c r="G705" s="1" t="s">
        <v>11</v>
      </c>
      <c r="H705" s="1" t="s">
        <v>1173</v>
      </c>
      <c r="I705" s="2" t="s">
        <v>1154</v>
      </c>
    </row>
    <row r="706" spans="1:9">
      <c r="A706" s="6">
        <v>43457</v>
      </c>
      <c r="B706" s="3" t="s">
        <v>1079</v>
      </c>
      <c r="C706" s="3" t="s">
        <v>883</v>
      </c>
      <c r="D706" s="1" t="s">
        <v>68</v>
      </c>
      <c r="E706" s="7">
        <v>0.77</v>
      </c>
      <c r="F706" s="3">
        <v>1.65</v>
      </c>
      <c r="G706" s="1" t="s">
        <v>11</v>
      </c>
      <c r="H706" s="1" t="s">
        <v>1180</v>
      </c>
      <c r="I706" s="2" t="s">
        <v>1154</v>
      </c>
    </row>
    <row r="707" spans="1:9">
      <c r="A707" s="6">
        <v>43460</v>
      </c>
      <c r="B707" s="3" t="s">
        <v>286</v>
      </c>
      <c r="C707" s="3" t="s">
        <v>496</v>
      </c>
      <c r="D707" s="1" t="s">
        <v>278</v>
      </c>
      <c r="E707" s="7">
        <v>0.77</v>
      </c>
      <c r="F707" s="3">
        <v>1.65</v>
      </c>
      <c r="G707" s="1" t="s">
        <v>22</v>
      </c>
      <c r="H707" s="1" t="s">
        <v>1179</v>
      </c>
      <c r="I707" s="2" t="s">
        <v>1152</v>
      </c>
    </row>
    <row r="708" spans="1:9">
      <c r="A708" s="6">
        <v>43430</v>
      </c>
      <c r="B708" s="3" t="s">
        <v>428</v>
      </c>
      <c r="C708" s="3" t="s">
        <v>429</v>
      </c>
      <c r="D708" s="1" t="s">
        <v>430</v>
      </c>
      <c r="E708" s="7">
        <v>0.77</v>
      </c>
      <c r="F708" s="3">
        <v>1.63</v>
      </c>
      <c r="G708" s="1" t="s">
        <v>11</v>
      </c>
      <c r="H708" s="1" t="s">
        <v>1184</v>
      </c>
      <c r="I708" s="2" t="s">
        <v>1153</v>
      </c>
    </row>
    <row r="709" spans="1:9">
      <c r="A709" s="6">
        <v>43433</v>
      </c>
      <c r="B709" s="3" t="s">
        <v>500</v>
      </c>
      <c r="C709" s="3" t="s">
        <v>501</v>
      </c>
      <c r="D709" s="1" t="s">
        <v>502</v>
      </c>
      <c r="E709" s="7">
        <v>0.77</v>
      </c>
      <c r="F709" s="3">
        <v>1.63</v>
      </c>
      <c r="G709" s="1" t="s">
        <v>11</v>
      </c>
      <c r="H709" s="1" t="s">
        <v>1179</v>
      </c>
      <c r="I709" s="2" t="s">
        <v>1152</v>
      </c>
    </row>
    <row r="710" spans="1:9">
      <c r="A710" s="6">
        <v>43440</v>
      </c>
      <c r="B710" s="3" t="s">
        <v>766</v>
      </c>
      <c r="C710" s="3" t="s">
        <v>767</v>
      </c>
      <c r="D710" s="1" t="s">
        <v>446</v>
      </c>
      <c r="E710" s="7">
        <v>0.77</v>
      </c>
      <c r="F710" s="3">
        <v>1.63</v>
      </c>
      <c r="G710" s="1" t="s">
        <v>11</v>
      </c>
      <c r="H710" s="1" t="s">
        <v>1177</v>
      </c>
      <c r="I710" s="2" t="s">
        <v>1154</v>
      </c>
    </row>
    <row r="711" spans="1:9">
      <c r="A711" s="6">
        <v>43441</v>
      </c>
      <c r="B711" s="3" t="s">
        <v>811</v>
      </c>
      <c r="C711" s="3" t="s">
        <v>812</v>
      </c>
      <c r="D711" s="1" t="s">
        <v>813</v>
      </c>
      <c r="E711" s="7">
        <v>0.77</v>
      </c>
      <c r="F711" s="3">
        <v>1.63</v>
      </c>
      <c r="G711" s="1" t="s">
        <v>11</v>
      </c>
      <c r="H711" s="1" t="s">
        <v>1177</v>
      </c>
      <c r="I711" s="2" t="s">
        <v>1154</v>
      </c>
    </row>
    <row r="712" spans="1:9">
      <c r="A712" s="6">
        <v>43450</v>
      </c>
      <c r="B712" s="3" t="s">
        <v>997</v>
      </c>
      <c r="C712" s="3" t="s">
        <v>998</v>
      </c>
      <c r="D712" s="1" t="s">
        <v>408</v>
      </c>
      <c r="E712" s="7">
        <v>0.77</v>
      </c>
      <c r="F712" s="3">
        <v>1.63</v>
      </c>
      <c r="G712" s="1" t="s">
        <v>11</v>
      </c>
      <c r="H712" s="1" t="s">
        <v>1179</v>
      </c>
      <c r="I712" s="2" t="s">
        <v>1152</v>
      </c>
    </row>
    <row r="713" spans="1:9">
      <c r="A713" s="6">
        <v>43463</v>
      </c>
      <c r="B713" s="3" t="s">
        <v>468</v>
      </c>
      <c r="C713" s="3" t="s">
        <v>620</v>
      </c>
      <c r="D713" s="1" t="s">
        <v>219</v>
      </c>
      <c r="E713" s="7">
        <v>0.77</v>
      </c>
      <c r="F713" s="3">
        <v>1.63</v>
      </c>
      <c r="G713" s="1" t="s">
        <v>11</v>
      </c>
      <c r="H713" s="1" t="s">
        <v>1179</v>
      </c>
      <c r="I713" s="2" t="s">
        <v>1152</v>
      </c>
    </row>
    <row r="714" spans="1:9">
      <c r="A714" s="6">
        <v>43429</v>
      </c>
      <c r="B714" s="3" t="s">
        <v>315</v>
      </c>
      <c r="C714" s="3" t="s">
        <v>316</v>
      </c>
      <c r="D714" s="1" t="s">
        <v>317</v>
      </c>
      <c r="E714" s="7">
        <v>0.77</v>
      </c>
      <c r="F714" s="3">
        <v>1.61</v>
      </c>
      <c r="G714" s="1" t="s">
        <v>11</v>
      </c>
      <c r="H714" s="1" t="s">
        <v>1172</v>
      </c>
      <c r="I714" s="2" t="s">
        <v>1154</v>
      </c>
    </row>
    <row r="715" spans="1:9">
      <c r="A715" s="6">
        <v>43433</v>
      </c>
      <c r="B715" s="3" t="s">
        <v>515</v>
      </c>
      <c r="C715" s="3" t="s">
        <v>259</v>
      </c>
      <c r="D715" s="1" t="s">
        <v>454</v>
      </c>
      <c r="E715" s="7">
        <v>0.77</v>
      </c>
      <c r="F715" s="3">
        <v>1.61</v>
      </c>
      <c r="G715" s="1" t="s">
        <v>11</v>
      </c>
      <c r="H715" s="1" t="s">
        <v>1176</v>
      </c>
      <c r="I715" s="2" t="s">
        <v>1153</v>
      </c>
    </row>
    <row r="716" spans="1:9">
      <c r="A716" s="6">
        <v>43447</v>
      </c>
      <c r="B716" s="3" t="s">
        <v>926</v>
      </c>
      <c r="C716" s="3" t="s">
        <v>927</v>
      </c>
      <c r="D716" s="1" t="s">
        <v>491</v>
      </c>
      <c r="E716" s="7">
        <v>0.77</v>
      </c>
      <c r="F716" s="3">
        <v>1.61</v>
      </c>
      <c r="G716" s="1" t="s">
        <v>11</v>
      </c>
      <c r="H716" s="1" t="s">
        <v>1176</v>
      </c>
      <c r="I716" s="2" t="s">
        <v>1153</v>
      </c>
    </row>
    <row r="717" spans="1:9">
      <c r="A717" s="6">
        <v>43450</v>
      </c>
      <c r="B717" s="3" t="s">
        <v>366</v>
      </c>
      <c r="C717" s="3" t="s">
        <v>596</v>
      </c>
      <c r="D717" s="1" t="s">
        <v>265</v>
      </c>
      <c r="E717" s="7">
        <v>0.77</v>
      </c>
      <c r="F717" s="3">
        <v>1.61</v>
      </c>
      <c r="G717" s="1" t="s">
        <v>11</v>
      </c>
      <c r="H717" s="1" t="s">
        <v>1178</v>
      </c>
      <c r="I717" s="2" t="s">
        <v>1153</v>
      </c>
    </row>
    <row r="718" spans="1:9">
      <c r="A718" s="6">
        <v>43450</v>
      </c>
      <c r="B718" s="3" t="s">
        <v>981</v>
      </c>
      <c r="C718" s="3" t="s">
        <v>982</v>
      </c>
      <c r="D718" s="1" t="s">
        <v>308</v>
      </c>
      <c r="E718" s="7">
        <v>0.77</v>
      </c>
      <c r="F718" s="3">
        <v>1.61</v>
      </c>
      <c r="G718" s="1" t="s">
        <v>11</v>
      </c>
      <c r="H718" s="1" t="s">
        <v>1180</v>
      </c>
      <c r="I718" s="2" t="s">
        <v>1154</v>
      </c>
    </row>
    <row r="719" spans="1:9">
      <c r="A719" s="6">
        <v>43463</v>
      </c>
      <c r="B719" s="3" t="s">
        <v>13</v>
      </c>
      <c r="C719" s="3" t="s">
        <v>31</v>
      </c>
      <c r="D719" s="1" t="s">
        <v>211</v>
      </c>
      <c r="E719" s="7">
        <v>0.77</v>
      </c>
      <c r="F719" s="3">
        <v>1.61</v>
      </c>
      <c r="G719" s="1" t="s">
        <v>11</v>
      </c>
      <c r="H719" s="1" t="s">
        <v>1182</v>
      </c>
      <c r="I719" s="2" t="s">
        <v>1154</v>
      </c>
    </row>
    <row r="720" spans="1:9">
      <c r="A720" s="6">
        <v>43427</v>
      </c>
      <c r="B720" s="3" t="s">
        <v>69</v>
      </c>
      <c r="C720" s="3" t="s">
        <v>70</v>
      </c>
      <c r="D720" s="1" t="s">
        <v>71</v>
      </c>
      <c r="E720" s="7">
        <v>0.77</v>
      </c>
      <c r="F720" s="3">
        <v>1.59</v>
      </c>
      <c r="G720" s="1" t="s">
        <v>11</v>
      </c>
      <c r="H720" s="1" t="s">
        <v>1180</v>
      </c>
      <c r="I720" s="2" t="s">
        <v>1154</v>
      </c>
    </row>
    <row r="721" spans="1:9">
      <c r="A721" s="6">
        <v>43435</v>
      </c>
      <c r="B721" s="3" t="s">
        <v>597</v>
      </c>
      <c r="C721" s="3" t="s">
        <v>284</v>
      </c>
      <c r="D721" s="1" t="s">
        <v>77</v>
      </c>
      <c r="E721" s="7">
        <v>0.77</v>
      </c>
      <c r="F721" s="3">
        <v>1.59</v>
      </c>
      <c r="G721" s="1" t="s">
        <v>11</v>
      </c>
      <c r="H721" s="1" t="s">
        <v>1172</v>
      </c>
      <c r="I721" s="2" t="s">
        <v>1154</v>
      </c>
    </row>
    <row r="722" spans="1:9">
      <c r="A722" s="6">
        <v>43449</v>
      </c>
      <c r="B722" s="3" t="s">
        <v>556</v>
      </c>
      <c r="C722" s="3" t="s">
        <v>754</v>
      </c>
      <c r="D722" s="1" t="s">
        <v>529</v>
      </c>
      <c r="E722" s="7">
        <v>0.77</v>
      </c>
      <c r="F722" s="3">
        <v>1.59</v>
      </c>
      <c r="G722" s="1" t="s">
        <v>11</v>
      </c>
      <c r="H722" s="1" t="s">
        <v>1200</v>
      </c>
      <c r="I722" s="2" t="s">
        <v>1154</v>
      </c>
    </row>
    <row r="723" spans="1:9">
      <c r="A723" s="6">
        <v>43449</v>
      </c>
      <c r="B723" s="3" t="s">
        <v>556</v>
      </c>
      <c r="C723" s="3" t="s">
        <v>754</v>
      </c>
      <c r="D723" s="1" t="s">
        <v>529</v>
      </c>
      <c r="E723" s="7">
        <v>0.77</v>
      </c>
      <c r="F723" s="3">
        <v>1.59</v>
      </c>
      <c r="G723" s="1" t="s">
        <v>11</v>
      </c>
      <c r="H723" s="1" t="s">
        <v>1200</v>
      </c>
      <c r="I723" s="2" t="s">
        <v>1154</v>
      </c>
    </row>
    <row r="724" spans="1:9">
      <c r="A724" s="6">
        <v>43463</v>
      </c>
      <c r="B724" s="3" t="s">
        <v>179</v>
      </c>
      <c r="C724" s="3" t="s">
        <v>568</v>
      </c>
      <c r="D724" s="1" t="s">
        <v>564</v>
      </c>
      <c r="E724" s="7">
        <v>0.77</v>
      </c>
      <c r="F724" s="3">
        <v>1.59</v>
      </c>
      <c r="G724" s="1" t="s">
        <v>22</v>
      </c>
      <c r="H724" s="1" t="s">
        <v>1196</v>
      </c>
      <c r="I724" s="2" t="s">
        <v>1154</v>
      </c>
    </row>
    <row r="725" spans="1:9">
      <c r="A725" s="6">
        <v>43428</v>
      </c>
      <c r="B725" s="3" t="s">
        <v>242</v>
      </c>
      <c r="C725" s="3" t="s">
        <v>243</v>
      </c>
      <c r="D725" s="1" t="s">
        <v>167</v>
      </c>
      <c r="E725" s="7">
        <v>0.77</v>
      </c>
      <c r="F725" s="3">
        <v>1.57</v>
      </c>
      <c r="G725" s="1" t="s">
        <v>11</v>
      </c>
      <c r="H725" s="1" t="s">
        <v>1185</v>
      </c>
      <c r="I725" s="2" t="s">
        <v>1152</v>
      </c>
    </row>
    <row r="726" spans="1:9">
      <c r="A726" s="6">
        <v>43433</v>
      </c>
      <c r="B726" s="3" t="s">
        <v>512</v>
      </c>
      <c r="C726" s="3" t="s">
        <v>513</v>
      </c>
      <c r="D726" s="1" t="s">
        <v>491</v>
      </c>
      <c r="E726" s="7">
        <v>0.77</v>
      </c>
      <c r="F726" s="3">
        <v>1.57</v>
      </c>
      <c r="G726" s="1" t="s">
        <v>11</v>
      </c>
      <c r="H726" s="1" t="s">
        <v>1200</v>
      </c>
      <c r="I726" s="2" t="s">
        <v>1154</v>
      </c>
    </row>
    <row r="727" spans="1:9">
      <c r="A727" s="6">
        <v>43433</v>
      </c>
      <c r="B727" s="3" t="s">
        <v>268</v>
      </c>
      <c r="C727" s="3" t="s">
        <v>137</v>
      </c>
      <c r="D727" s="1" t="s">
        <v>491</v>
      </c>
      <c r="E727" s="7">
        <v>0.77</v>
      </c>
      <c r="F727" s="3">
        <v>1.57</v>
      </c>
      <c r="G727" s="1" t="s">
        <v>22</v>
      </c>
      <c r="H727" s="1" t="s">
        <v>1176</v>
      </c>
      <c r="I727" s="2" t="s">
        <v>1154</v>
      </c>
    </row>
    <row r="728" spans="1:9">
      <c r="A728" s="6">
        <v>43435</v>
      </c>
      <c r="B728" s="3" t="s">
        <v>551</v>
      </c>
      <c r="C728" s="3" t="s">
        <v>552</v>
      </c>
      <c r="D728" s="1" t="s">
        <v>125</v>
      </c>
      <c r="E728" s="7">
        <v>0.77</v>
      </c>
      <c r="F728" s="3">
        <v>1.57</v>
      </c>
      <c r="G728" s="1" t="s">
        <v>11</v>
      </c>
      <c r="H728" s="1" t="s">
        <v>1177</v>
      </c>
      <c r="I728" s="2" t="s">
        <v>1154</v>
      </c>
    </row>
    <row r="729" spans="1:9">
      <c r="A729" s="6">
        <v>43435</v>
      </c>
      <c r="B729" s="3" t="s">
        <v>560</v>
      </c>
      <c r="C729" s="3" t="s">
        <v>561</v>
      </c>
      <c r="D729" s="1" t="s">
        <v>51</v>
      </c>
      <c r="E729" s="7">
        <v>0.77</v>
      </c>
      <c r="F729" s="3">
        <v>1.57</v>
      </c>
      <c r="G729" s="1" t="s">
        <v>11</v>
      </c>
      <c r="H729" s="1" t="s">
        <v>1180</v>
      </c>
      <c r="I729" s="2" t="s">
        <v>1154</v>
      </c>
    </row>
    <row r="730" spans="1:9">
      <c r="A730" s="6">
        <v>43442</v>
      </c>
      <c r="B730" s="3" t="s">
        <v>344</v>
      </c>
      <c r="C730" s="3" t="s">
        <v>58</v>
      </c>
      <c r="D730" s="1" t="s">
        <v>59</v>
      </c>
      <c r="E730" s="7">
        <v>0.77</v>
      </c>
      <c r="F730" s="3">
        <v>1.57</v>
      </c>
      <c r="G730" s="1" t="s">
        <v>11</v>
      </c>
      <c r="H730" s="1" t="s">
        <v>1180</v>
      </c>
      <c r="I730" s="2" t="s">
        <v>1154</v>
      </c>
    </row>
    <row r="731" spans="1:9">
      <c r="A731" s="6">
        <v>43442</v>
      </c>
      <c r="B731" s="3" t="s">
        <v>344</v>
      </c>
      <c r="C731" s="3" t="s">
        <v>58</v>
      </c>
      <c r="D731" s="1" t="s">
        <v>59</v>
      </c>
      <c r="E731" s="7">
        <v>0.77</v>
      </c>
      <c r="F731" s="3">
        <v>1.57</v>
      </c>
      <c r="G731" s="1" t="s">
        <v>11</v>
      </c>
      <c r="H731" s="1" t="s">
        <v>1180</v>
      </c>
      <c r="I731" s="2" t="s">
        <v>1154</v>
      </c>
    </row>
    <row r="732" spans="1:9">
      <c r="A732" s="6">
        <v>43456</v>
      </c>
      <c r="B732" s="3" t="s">
        <v>570</v>
      </c>
      <c r="C732" s="3" t="s">
        <v>1058</v>
      </c>
      <c r="D732" s="1" t="s">
        <v>564</v>
      </c>
      <c r="E732" s="7">
        <v>0.77</v>
      </c>
      <c r="F732" s="3">
        <v>1.57</v>
      </c>
      <c r="G732" s="1" t="s">
        <v>11</v>
      </c>
      <c r="H732" s="1" t="s">
        <v>1177</v>
      </c>
      <c r="I732" s="2" t="s">
        <v>1154</v>
      </c>
    </row>
    <row r="733" spans="1:9">
      <c r="A733" s="6">
        <v>43456</v>
      </c>
      <c r="B733" s="3" t="s">
        <v>570</v>
      </c>
      <c r="C733" s="3" t="s">
        <v>1058</v>
      </c>
      <c r="D733" s="1" t="s">
        <v>564</v>
      </c>
      <c r="E733" s="7">
        <v>0.77</v>
      </c>
      <c r="F733" s="3">
        <v>1.57</v>
      </c>
      <c r="G733" s="1" t="s">
        <v>11</v>
      </c>
      <c r="H733" s="1" t="s">
        <v>1177</v>
      </c>
      <c r="I733" s="2" t="s">
        <v>1154</v>
      </c>
    </row>
    <row r="734" spans="1:9">
      <c r="A734" s="6">
        <v>43457</v>
      </c>
      <c r="B734" s="3" t="s">
        <v>1072</v>
      </c>
      <c r="C734" s="3" t="s">
        <v>220</v>
      </c>
      <c r="D734" s="1" t="s">
        <v>138</v>
      </c>
      <c r="E734" s="7">
        <v>0.77</v>
      </c>
      <c r="F734" s="3">
        <v>1.57</v>
      </c>
      <c r="G734" s="1" t="s">
        <v>22</v>
      </c>
      <c r="H734" s="1" t="s">
        <v>1178</v>
      </c>
      <c r="I734" s="2" t="s">
        <v>1154</v>
      </c>
    </row>
    <row r="735" spans="1:9">
      <c r="A735" s="6">
        <v>43447</v>
      </c>
      <c r="B735" s="3" t="s">
        <v>735</v>
      </c>
      <c r="C735" s="3" t="s">
        <v>494</v>
      </c>
      <c r="D735" s="1" t="s">
        <v>491</v>
      </c>
      <c r="E735" s="7">
        <v>0.77</v>
      </c>
      <c r="F735" s="3">
        <v>1.56</v>
      </c>
      <c r="G735" s="1" t="s">
        <v>11</v>
      </c>
      <c r="H735" s="1" t="s">
        <v>1179</v>
      </c>
      <c r="I735" s="2" t="s">
        <v>1152</v>
      </c>
    </row>
    <row r="736" spans="1:9">
      <c r="A736" s="6">
        <v>43449</v>
      </c>
      <c r="B736" s="3" t="s">
        <v>600</v>
      </c>
      <c r="C736" s="3" t="s">
        <v>967</v>
      </c>
      <c r="D736" s="1" t="s">
        <v>590</v>
      </c>
      <c r="E736" s="7">
        <v>0.77</v>
      </c>
      <c r="F736" s="3">
        <v>1.56</v>
      </c>
      <c r="G736" s="1" t="s">
        <v>11</v>
      </c>
      <c r="H736" s="1" t="s">
        <v>1173</v>
      </c>
      <c r="I736" s="2" t="s">
        <v>1154</v>
      </c>
    </row>
    <row r="737" spans="1:9">
      <c r="A737" s="6">
        <v>43454</v>
      </c>
      <c r="B737" s="3" t="s">
        <v>765</v>
      </c>
      <c r="C737" s="3" t="s">
        <v>764</v>
      </c>
      <c r="D737" s="1" t="s">
        <v>689</v>
      </c>
      <c r="E737" s="7">
        <v>0.77</v>
      </c>
      <c r="F737" s="3">
        <v>1.56</v>
      </c>
      <c r="G737" s="1" t="s">
        <v>22</v>
      </c>
      <c r="H737" s="1" t="s">
        <v>1191</v>
      </c>
      <c r="I737" s="2" t="s">
        <v>1154</v>
      </c>
    </row>
    <row r="738" spans="1:9">
      <c r="A738" s="6">
        <v>43460</v>
      </c>
      <c r="B738" s="3" t="s">
        <v>1089</v>
      </c>
      <c r="C738" s="3" t="s">
        <v>1090</v>
      </c>
      <c r="D738" s="1" t="s">
        <v>443</v>
      </c>
      <c r="E738" s="7">
        <v>0.77</v>
      </c>
      <c r="F738" s="3">
        <v>1.56</v>
      </c>
      <c r="G738" s="1" t="s">
        <v>11</v>
      </c>
      <c r="H738" s="1" t="s">
        <v>1177</v>
      </c>
      <c r="I738" s="2" t="s">
        <v>1154</v>
      </c>
    </row>
    <row r="739" spans="1:9">
      <c r="A739" s="6">
        <v>43475</v>
      </c>
      <c r="B739" s="3" t="s">
        <v>752</v>
      </c>
      <c r="C739" s="3" t="s">
        <v>473</v>
      </c>
      <c r="D739" s="1" t="s">
        <v>476</v>
      </c>
      <c r="E739" s="7">
        <v>0.77</v>
      </c>
      <c r="F739" s="3">
        <v>1.56</v>
      </c>
      <c r="G739" s="1" t="s">
        <v>22</v>
      </c>
      <c r="H739" s="1" t="s">
        <v>1173</v>
      </c>
      <c r="I739" s="3" t="s">
        <v>1153</v>
      </c>
    </row>
    <row r="740" spans="1:9">
      <c r="A740" s="6">
        <v>43428</v>
      </c>
      <c r="B740" s="3" t="s">
        <v>204</v>
      </c>
      <c r="C740" s="3" t="s">
        <v>205</v>
      </c>
      <c r="D740" s="1" t="s">
        <v>191</v>
      </c>
      <c r="E740" s="7">
        <v>0.77</v>
      </c>
      <c r="F740" s="3">
        <v>1.54</v>
      </c>
      <c r="G740" s="1" t="s">
        <v>11</v>
      </c>
      <c r="H740" s="1" t="s">
        <v>1186</v>
      </c>
      <c r="I740" s="2" t="s">
        <v>1154</v>
      </c>
    </row>
    <row r="741" spans="1:9">
      <c r="A741" s="6">
        <v>43435</v>
      </c>
      <c r="B741" s="3" t="s">
        <v>119</v>
      </c>
      <c r="C741" s="3" t="s">
        <v>121</v>
      </c>
      <c r="D741" s="1" t="s">
        <v>120</v>
      </c>
      <c r="E741" s="7">
        <v>0.77</v>
      </c>
      <c r="F741" s="3">
        <v>1.54</v>
      </c>
      <c r="G741" s="1" t="s">
        <v>11</v>
      </c>
      <c r="H741" s="1" t="s">
        <v>1182</v>
      </c>
      <c r="I741" s="2" t="s">
        <v>1154</v>
      </c>
    </row>
    <row r="742" spans="1:9">
      <c r="A742" s="6">
        <v>43442</v>
      </c>
      <c r="B742" s="3" t="s">
        <v>833</v>
      </c>
      <c r="C742" s="3" t="s">
        <v>834</v>
      </c>
      <c r="D742" s="1" t="s">
        <v>835</v>
      </c>
      <c r="E742" s="7">
        <v>0.77</v>
      </c>
      <c r="F742" s="3">
        <v>1.54</v>
      </c>
      <c r="G742" s="1" t="s">
        <v>11</v>
      </c>
      <c r="H742" s="1" t="s">
        <v>1178</v>
      </c>
      <c r="I742" s="2" t="s">
        <v>1153</v>
      </c>
    </row>
    <row r="743" spans="1:9">
      <c r="A743" s="6">
        <v>43442</v>
      </c>
      <c r="B743" s="3" t="s">
        <v>833</v>
      </c>
      <c r="C743" s="3" t="s">
        <v>834</v>
      </c>
      <c r="D743" s="1" t="s">
        <v>835</v>
      </c>
      <c r="E743" s="7">
        <v>0.77</v>
      </c>
      <c r="F743" s="3">
        <v>1.54</v>
      </c>
      <c r="G743" s="1" t="s">
        <v>11</v>
      </c>
      <c r="H743" s="1" t="s">
        <v>1178</v>
      </c>
      <c r="I743" s="2" t="s">
        <v>1153</v>
      </c>
    </row>
    <row r="744" spans="1:9">
      <c r="A744" s="6">
        <v>43442</v>
      </c>
      <c r="B744" s="3" t="s">
        <v>234</v>
      </c>
      <c r="C744" s="3" t="s">
        <v>715</v>
      </c>
      <c r="D744" s="1" t="s">
        <v>235</v>
      </c>
      <c r="E744" s="7">
        <v>0.77</v>
      </c>
      <c r="F744" s="3">
        <v>1.54</v>
      </c>
      <c r="G744" s="1" t="s">
        <v>22</v>
      </c>
      <c r="H744" s="1" t="s">
        <v>1184</v>
      </c>
      <c r="I744" s="2" t="s">
        <v>1154</v>
      </c>
    </row>
    <row r="745" spans="1:9">
      <c r="A745" s="6">
        <v>43443</v>
      </c>
      <c r="B745" s="3" t="s">
        <v>866</v>
      </c>
      <c r="C745" s="3" t="s">
        <v>867</v>
      </c>
      <c r="D745" s="1" t="s">
        <v>51</v>
      </c>
      <c r="E745" s="7">
        <v>0.77</v>
      </c>
      <c r="F745" s="3">
        <v>1.54</v>
      </c>
      <c r="G745" s="1" t="s">
        <v>11</v>
      </c>
      <c r="H745" s="1" t="s">
        <v>1212</v>
      </c>
      <c r="I745" s="2" t="s">
        <v>1152</v>
      </c>
    </row>
    <row r="746" spans="1:9">
      <c r="A746" s="6">
        <v>43457</v>
      </c>
      <c r="B746" s="3" t="s">
        <v>288</v>
      </c>
      <c r="C746" s="3" t="s">
        <v>1080</v>
      </c>
      <c r="D746" s="1" t="s">
        <v>289</v>
      </c>
      <c r="E746" s="7">
        <v>0.77</v>
      </c>
      <c r="F746" s="3">
        <v>1.54</v>
      </c>
      <c r="G746" s="1" t="s">
        <v>22</v>
      </c>
      <c r="H746" s="1" t="s">
        <v>1181</v>
      </c>
      <c r="I746" s="2" t="s">
        <v>1154</v>
      </c>
    </row>
    <row r="747" spans="1:9">
      <c r="A747" s="6">
        <v>43466</v>
      </c>
      <c r="B747" s="3" t="s">
        <v>579</v>
      </c>
      <c r="C747" s="3" t="s">
        <v>582</v>
      </c>
      <c r="D747" s="1" t="s">
        <v>580</v>
      </c>
      <c r="E747" s="7">
        <v>0.77</v>
      </c>
      <c r="F747" s="3">
        <v>1.54</v>
      </c>
      <c r="G747" s="1" t="s">
        <v>11</v>
      </c>
      <c r="H747" s="1" t="s">
        <v>1178</v>
      </c>
      <c r="I747" s="2" t="s">
        <v>1153</v>
      </c>
    </row>
    <row r="748" spans="1:9">
      <c r="A748" s="6">
        <v>43437</v>
      </c>
      <c r="B748" s="3" t="s">
        <v>82</v>
      </c>
      <c r="C748" s="3" t="s">
        <v>34</v>
      </c>
      <c r="D748" s="1" t="s">
        <v>36</v>
      </c>
      <c r="E748" s="7">
        <v>0.77</v>
      </c>
      <c r="F748" s="3">
        <v>1.53</v>
      </c>
      <c r="G748" s="1" t="s">
        <v>22</v>
      </c>
      <c r="H748" s="1" t="s">
        <v>1175</v>
      </c>
      <c r="I748" s="2" t="s">
        <v>1152</v>
      </c>
    </row>
    <row r="749" spans="1:9">
      <c r="A749" s="6">
        <v>43429</v>
      </c>
      <c r="B749" s="3" t="s">
        <v>349</v>
      </c>
      <c r="C749" s="3" t="s">
        <v>350</v>
      </c>
      <c r="D749" s="1" t="s">
        <v>113</v>
      </c>
      <c r="E749" s="7">
        <v>0.77</v>
      </c>
      <c r="F749" s="3">
        <v>1.51</v>
      </c>
      <c r="G749" s="1" t="s">
        <v>11</v>
      </c>
      <c r="H749" s="1" t="s">
        <v>1176</v>
      </c>
      <c r="I749" s="2" t="s">
        <v>1153</v>
      </c>
    </row>
    <row r="750" spans="1:9">
      <c r="A750" s="6">
        <v>43453</v>
      </c>
      <c r="B750" s="3" t="s">
        <v>771</v>
      </c>
      <c r="C750" s="3" t="s">
        <v>770</v>
      </c>
      <c r="D750" s="1" t="s">
        <v>689</v>
      </c>
      <c r="E750" s="7">
        <v>0.77</v>
      </c>
      <c r="F750" s="3">
        <v>1.51</v>
      </c>
      <c r="G750" s="1" t="s">
        <v>22</v>
      </c>
      <c r="H750" s="1" t="s">
        <v>1184</v>
      </c>
      <c r="I750" s="2" t="s">
        <v>1154</v>
      </c>
    </row>
    <row r="751" spans="1:9">
      <c r="A751" s="6">
        <v>43476</v>
      </c>
      <c r="B751" s="3" t="s">
        <v>472</v>
      </c>
      <c r="C751" s="3" t="s">
        <v>365</v>
      </c>
      <c r="D751" s="1" t="s">
        <v>1222</v>
      </c>
      <c r="E751" s="7">
        <v>0.77</v>
      </c>
      <c r="F751" s="3">
        <v>1.51</v>
      </c>
      <c r="G751" s="1" t="s">
        <v>11</v>
      </c>
      <c r="H751" s="1" t="s">
        <v>1173</v>
      </c>
      <c r="I751" s="3" t="s">
        <v>1154</v>
      </c>
    </row>
    <row r="752" spans="1:9">
      <c r="A752" s="6">
        <v>43452</v>
      </c>
      <c r="B752" s="3" t="s">
        <v>1027</v>
      </c>
      <c r="C752" s="3" t="s">
        <v>1028</v>
      </c>
      <c r="D752" s="1" t="s">
        <v>201</v>
      </c>
      <c r="E752" s="7">
        <v>0.77</v>
      </c>
      <c r="F752" s="3">
        <v>1.5</v>
      </c>
      <c r="G752" s="1" t="s">
        <v>22</v>
      </c>
      <c r="H752" s="1" t="s">
        <v>12</v>
      </c>
    </row>
    <row r="753" spans="1:9">
      <c r="A753" s="6">
        <v>43442</v>
      </c>
      <c r="B753" s="3" t="s">
        <v>539</v>
      </c>
      <c r="C753" s="3" t="s">
        <v>60</v>
      </c>
      <c r="D753" s="1" t="s">
        <v>62</v>
      </c>
      <c r="E753" s="7">
        <v>0.77</v>
      </c>
      <c r="F753" s="3">
        <v>1.48</v>
      </c>
      <c r="G753" s="1" t="s">
        <v>11</v>
      </c>
      <c r="H753" s="1" t="s">
        <v>1177</v>
      </c>
      <c r="I753" s="2" t="s">
        <v>1154</v>
      </c>
    </row>
    <row r="754" spans="1:9">
      <c r="A754" s="6">
        <v>43442</v>
      </c>
      <c r="B754" s="3" t="s">
        <v>108</v>
      </c>
      <c r="C754" s="3" t="s">
        <v>822</v>
      </c>
      <c r="D754" s="1" t="s">
        <v>110</v>
      </c>
      <c r="E754" s="7">
        <v>0.76</v>
      </c>
      <c r="F754" s="3">
        <v>1.69</v>
      </c>
      <c r="G754" s="1" t="s">
        <v>11</v>
      </c>
      <c r="H754" s="1" t="s">
        <v>1198</v>
      </c>
      <c r="I754" s="2" t="s">
        <v>1154</v>
      </c>
    </row>
    <row r="755" spans="1:9">
      <c r="A755" s="6">
        <v>43442</v>
      </c>
      <c r="B755" s="3" t="s">
        <v>876</v>
      </c>
      <c r="C755" s="3" t="s">
        <v>426</v>
      </c>
      <c r="D755" s="1" t="s">
        <v>427</v>
      </c>
      <c r="E755" s="7">
        <v>0.76</v>
      </c>
      <c r="F755" s="3">
        <v>1.69</v>
      </c>
      <c r="G755" s="1" t="s">
        <v>11</v>
      </c>
      <c r="H755" s="1" t="s">
        <v>1176</v>
      </c>
      <c r="I755" s="2" t="s">
        <v>1153</v>
      </c>
    </row>
    <row r="756" spans="1:9">
      <c r="A756" s="6">
        <v>43443</v>
      </c>
      <c r="B756" s="3" t="s">
        <v>401</v>
      </c>
      <c r="C756" s="3" t="s">
        <v>882</v>
      </c>
      <c r="D756" s="1" t="s">
        <v>403</v>
      </c>
      <c r="E756" s="7">
        <v>0.76</v>
      </c>
      <c r="F756" s="3">
        <v>1.69</v>
      </c>
      <c r="G756" s="1" t="s">
        <v>11</v>
      </c>
      <c r="H756" s="1" t="s">
        <v>1178</v>
      </c>
      <c r="I756" s="2" t="s">
        <v>1153</v>
      </c>
    </row>
    <row r="757" spans="1:9">
      <c r="A757" s="6">
        <v>43460</v>
      </c>
      <c r="B757" s="3" t="s">
        <v>977</v>
      </c>
      <c r="C757" s="3" t="s">
        <v>33</v>
      </c>
      <c r="D757" s="1" t="s">
        <v>193</v>
      </c>
      <c r="E757" s="7">
        <v>0.76</v>
      </c>
      <c r="F757" s="3">
        <v>1.69</v>
      </c>
      <c r="G757" s="1" t="s">
        <v>22</v>
      </c>
      <c r="H757" s="1" t="s">
        <v>1175</v>
      </c>
      <c r="I757" s="2" t="s">
        <v>1152</v>
      </c>
    </row>
    <row r="758" spans="1:9">
      <c r="A758" s="6">
        <v>43462</v>
      </c>
      <c r="B758" s="3" t="s">
        <v>1097</v>
      </c>
      <c r="C758" s="3" t="s">
        <v>1098</v>
      </c>
      <c r="D758" s="1" t="s">
        <v>1049</v>
      </c>
      <c r="E758" s="7">
        <v>0.76</v>
      </c>
      <c r="F758" s="3">
        <v>1.69</v>
      </c>
      <c r="G758" s="1" t="s">
        <v>11</v>
      </c>
      <c r="H758" s="1" t="s">
        <v>1184</v>
      </c>
      <c r="I758" s="2" t="s">
        <v>1153</v>
      </c>
    </row>
    <row r="759" spans="1:9">
      <c r="A759" s="6">
        <v>43467</v>
      </c>
      <c r="B759" s="3" t="s">
        <v>901</v>
      </c>
      <c r="C759" s="3" t="s">
        <v>971</v>
      </c>
      <c r="D759" s="1" t="s">
        <v>502</v>
      </c>
      <c r="E759" s="7">
        <v>0.76</v>
      </c>
      <c r="F759" s="3">
        <v>1.69</v>
      </c>
      <c r="G759" s="1" t="s">
        <v>11</v>
      </c>
      <c r="H759" s="1" t="s">
        <v>1179</v>
      </c>
      <c r="I759" s="2" t="s">
        <v>1152</v>
      </c>
    </row>
    <row r="760" spans="1:9">
      <c r="A760" s="6">
        <v>43471</v>
      </c>
      <c r="B760" s="3" t="s">
        <v>1149</v>
      </c>
      <c r="C760" s="3" t="s">
        <v>1150</v>
      </c>
      <c r="D760" s="1" t="s">
        <v>25</v>
      </c>
      <c r="E760" s="7">
        <v>0.76</v>
      </c>
      <c r="F760" s="3">
        <v>1.69</v>
      </c>
      <c r="G760" s="1" t="s">
        <v>11</v>
      </c>
      <c r="H760" s="1" t="s">
        <v>1179</v>
      </c>
      <c r="I760" s="2" t="s">
        <v>1152</v>
      </c>
    </row>
    <row r="761" spans="1:9">
      <c r="A761" s="6">
        <v>43428</v>
      </c>
      <c r="B761" s="3" t="s">
        <v>170</v>
      </c>
      <c r="C761" s="3" t="s">
        <v>171</v>
      </c>
      <c r="D761" s="1" t="s">
        <v>138</v>
      </c>
      <c r="E761" s="7">
        <v>0.76</v>
      </c>
      <c r="F761" s="3">
        <v>1.67</v>
      </c>
      <c r="G761" s="1" t="s">
        <v>22</v>
      </c>
      <c r="H761" s="1" t="s">
        <v>1177</v>
      </c>
      <c r="I761" s="2" t="s">
        <v>1153</v>
      </c>
    </row>
    <row r="762" spans="1:9">
      <c r="A762" s="6">
        <v>43432</v>
      </c>
      <c r="B762" s="3" t="s">
        <v>506</v>
      </c>
      <c r="C762" s="3" t="s">
        <v>285</v>
      </c>
      <c r="D762" s="1" t="s">
        <v>462</v>
      </c>
      <c r="E762" s="7">
        <v>0.76</v>
      </c>
      <c r="F762" s="3">
        <v>1.67</v>
      </c>
      <c r="G762" s="1" t="s">
        <v>11</v>
      </c>
      <c r="H762" s="1" t="s">
        <v>1180</v>
      </c>
      <c r="I762" s="2" t="s">
        <v>1154</v>
      </c>
    </row>
    <row r="763" spans="1:9">
      <c r="A763" s="6">
        <v>43435</v>
      </c>
      <c r="B763" s="3" t="s">
        <v>547</v>
      </c>
      <c r="C763" s="3" t="s">
        <v>548</v>
      </c>
      <c r="D763" s="1" t="s">
        <v>427</v>
      </c>
      <c r="E763" s="7">
        <v>0.76</v>
      </c>
      <c r="F763" s="3">
        <v>1.67</v>
      </c>
      <c r="G763" s="1" t="s">
        <v>11</v>
      </c>
      <c r="H763" s="1" t="s">
        <v>1180</v>
      </c>
      <c r="I763" s="2" t="s">
        <v>1154</v>
      </c>
    </row>
    <row r="764" spans="1:9">
      <c r="A764" s="6">
        <v>43435</v>
      </c>
      <c r="B764" s="3" t="s">
        <v>618</v>
      </c>
      <c r="C764" s="3" t="s">
        <v>619</v>
      </c>
      <c r="D764" s="1" t="s">
        <v>77</v>
      </c>
      <c r="E764" s="7">
        <v>0.76</v>
      </c>
      <c r="F764" s="3">
        <v>1.67</v>
      </c>
      <c r="G764" s="1" t="s">
        <v>11</v>
      </c>
      <c r="H764" s="1" t="s">
        <v>1181</v>
      </c>
      <c r="I764" s="2" t="s">
        <v>1153</v>
      </c>
    </row>
    <row r="765" spans="1:9">
      <c r="A765" s="6">
        <v>43437</v>
      </c>
      <c r="B765" s="3" t="s">
        <v>669</v>
      </c>
      <c r="C765" s="3" t="s">
        <v>670</v>
      </c>
      <c r="D765" s="1" t="s">
        <v>671</v>
      </c>
      <c r="E765" s="7">
        <v>0.76</v>
      </c>
      <c r="F765" s="3">
        <v>1.67</v>
      </c>
      <c r="G765" s="1" t="s">
        <v>11</v>
      </c>
      <c r="H765" s="1" t="s">
        <v>1182</v>
      </c>
      <c r="I765" s="2" t="s">
        <v>1154</v>
      </c>
    </row>
    <row r="766" spans="1:9">
      <c r="A766" s="6">
        <v>43438</v>
      </c>
      <c r="B766" s="3" t="s">
        <v>192</v>
      </c>
      <c r="C766" s="3" t="s">
        <v>217</v>
      </c>
      <c r="D766" s="1" t="s">
        <v>193</v>
      </c>
      <c r="E766" s="7">
        <v>0.76</v>
      </c>
      <c r="F766" s="3">
        <v>1.67</v>
      </c>
      <c r="G766" s="1" t="s">
        <v>11</v>
      </c>
      <c r="H766" s="1" t="s">
        <v>1172</v>
      </c>
      <c r="I766" s="2" t="s">
        <v>1154</v>
      </c>
    </row>
    <row r="767" spans="1:9">
      <c r="A767" s="6">
        <v>43442</v>
      </c>
      <c r="B767" s="3" t="s">
        <v>843</v>
      </c>
      <c r="C767" s="3" t="s">
        <v>434</v>
      </c>
      <c r="D767" s="1" t="s">
        <v>219</v>
      </c>
      <c r="E767" s="7">
        <v>0.76</v>
      </c>
      <c r="F767" s="3">
        <v>1.67</v>
      </c>
      <c r="G767" s="1" t="s">
        <v>11</v>
      </c>
      <c r="H767" s="1" t="s">
        <v>1180</v>
      </c>
      <c r="I767" s="2" t="s">
        <v>1154</v>
      </c>
    </row>
    <row r="768" spans="1:9">
      <c r="A768" s="6">
        <v>43445</v>
      </c>
      <c r="B768" s="3" t="s">
        <v>913</v>
      </c>
      <c r="C768" s="3" t="s">
        <v>63</v>
      </c>
      <c r="D768" s="1" t="s">
        <v>914</v>
      </c>
      <c r="E768" s="7">
        <v>0.76</v>
      </c>
      <c r="F768" s="3">
        <v>1.67</v>
      </c>
      <c r="G768" s="1" t="s">
        <v>11</v>
      </c>
      <c r="H768" s="1" t="s">
        <v>1180</v>
      </c>
      <c r="I768" s="2" t="s">
        <v>1154</v>
      </c>
    </row>
    <row r="769" spans="1:9">
      <c r="A769" s="6">
        <v>43449</v>
      </c>
      <c r="B769" s="3" t="s">
        <v>210</v>
      </c>
      <c r="C769" s="3" t="s">
        <v>439</v>
      </c>
      <c r="D769" s="1" t="s">
        <v>211</v>
      </c>
      <c r="E769" s="7">
        <v>0.76</v>
      </c>
      <c r="F769" s="3">
        <v>1.67</v>
      </c>
      <c r="G769" s="1" t="s">
        <v>22</v>
      </c>
      <c r="H769" s="1" t="s">
        <v>1176</v>
      </c>
      <c r="I769" s="2" t="s">
        <v>1154</v>
      </c>
    </row>
    <row r="770" spans="1:9">
      <c r="A770" s="6">
        <v>43456</v>
      </c>
      <c r="B770" s="3" t="s">
        <v>1060</v>
      </c>
      <c r="C770" s="3" t="s">
        <v>1061</v>
      </c>
      <c r="D770" s="1" t="s">
        <v>125</v>
      </c>
      <c r="E770" s="7">
        <v>0.76</v>
      </c>
      <c r="F770" s="3">
        <v>1.67</v>
      </c>
      <c r="G770" s="1" t="s">
        <v>11</v>
      </c>
      <c r="H770" s="1" t="s">
        <v>1177</v>
      </c>
      <c r="I770" s="2" t="s">
        <v>1154</v>
      </c>
    </row>
    <row r="771" spans="1:9">
      <c r="A771" s="6">
        <v>43460</v>
      </c>
      <c r="B771" s="3" t="s">
        <v>21</v>
      </c>
      <c r="C771" s="3" t="s">
        <v>511</v>
      </c>
      <c r="D771" s="1" t="s">
        <v>193</v>
      </c>
      <c r="E771" s="7">
        <v>0.76</v>
      </c>
      <c r="F771" s="3">
        <v>1.67</v>
      </c>
      <c r="G771" s="1" t="s">
        <v>22</v>
      </c>
      <c r="H771" s="1" t="s">
        <v>1178</v>
      </c>
      <c r="I771" s="2" t="s">
        <v>1154</v>
      </c>
    </row>
    <row r="772" spans="1:9">
      <c r="A772" s="6">
        <v>43463</v>
      </c>
      <c r="B772" s="3" t="s">
        <v>514</v>
      </c>
      <c r="C772" s="3" t="s">
        <v>790</v>
      </c>
      <c r="D772" s="1" t="s">
        <v>278</v>
      </c>
      <c r="E772" s="7">
        <v>0.76</v>
      </c>
      <c r="F772" s="3">
        <v>1.67</v>
      </c>
      <c r="G772" s="1" t="s">
        <v>11</v>
      </c>
      <c r="H772" s="1" t="s">
        <v>1175</v>
      </c>
      <c r="I772" s="2" t="s">
        <v>1152</v>
      </c>
    </row>
    <row r="773" spans="1:9">
      <c r="A773" s="6">
        <v>43464</v>
      </c>
      <c r="B773" s="3" t="s">
        <v>28</v>
      </c>
      <c r="C773" s="3" t="s">
        <v>511</v>
      </c>
      <c r="D773" s="1" t="s">
        <v>193</v>
      </c>
      <c r="E773" s="7">
        <v>0.76</v>
      </c>
      <c r="F773" s="3">
        <v>1.67</v>
      </c>
      <c r="G773" s="1" t="s">
        <v>22</v>
      </c>
      <c r="H773" s="1" t="s">
        <v>1176</v>
      </c>
      <c r="I773" s="2" t="s">
        <v>1154</v>
      </c>
    </row>
    <row r="774" spans="1:9">
      <c r="A774" s="6">
        <v>43467</v>
      </c>
      <c r="B774" s="3" t="s">
        <v>821</v>
      </c>
      <c r="C774" s="3" t="s">
        <v>607</v>
      </c>
      <c r="D774" s="1" t="s">
        <v>10</v>
      </c>
      <c r="E774" s="7">
        <v>0.76</v>
      </c>
      <c r="F774" s="3">
        <v>1.67</v>
      </c>
      <c r="G774" s="1" t="s">
        <v>11</v>
      </c>
      <c r="H774" s="1" t="s">
        <v>1176</v>
      </c>
      <c r="I774" s="2" t="s">
        <v>1153</v>
      </c>
    </row>
    <row r="775" spans="1:9">
      <c r="A775" s="6">
        <v>43470</v>
      </c>
      <c r="B775" s="3" t="s">
        <v>1097</v>
      </c>
      <c r="C775" s="3" t="s">
        <v>1047</v>
      </c>
      <c r="D775" s="1" t="s">
        <v>25</v>
      </c>
      <c r="E775" s="7">
        <v>0.76</v>
      </c>
      <c r="F775" s="3">
        <v>1.67</v>
      </c>
      <c r="G775" s="1" t="s">
        <v>11</v>
      </c>
      <c r="H775" s="1" t="s">
        <v>1175</v>
      </c>
      <c r="I775" s="2" t="s">
        <v>1152</v>
      </c>
    </row>
    <row r="776" spans="1:9">
      <c r="A776" s="6">
        <v>43473</v>
      </c>
      <c r="B776" s="3" t="s">
        <v>262</v>
      </c>
      <c r="C776" s="3" t="s">
        <v>493</v>
      </c>
      <c r="D776" s="1" t="s">
        <v>1170</v>
      </c>
      <c r="E776" s="7">
        <v>0.76</v>
      </c>
      <c r="F776" s="3">
        <v>1.67</v>
      </c>
      <c r="G776" s="1" t="s">
        <v>22</v>
      </c>
      <c r="H776" s="1" t="s">
        <v>1179</v>
      </c>
      <c r="I776" s="2" t="s">
        <v>1152</v>
      </c>
    </row>
    <row r="777" spans="1:9">
      <c r="A777" s="6">
        <v>43435</v>
      </c>
      <c r="B777" s="3" t="s">
        <v>534</v>
      </c>
      <c r="C777" s="3" t="s">
        <v>475</v>
      </c>
      <c r="D777" s="1" t="s">
        <v>92</v>
      </c>
      <c r="E777" s="7">
        <v>0.76</v>
      </c>
      <c r="F777" s="3">
        <v>1.65</v>
      </c>
      <c r="G777" s="1" t="s">
        <v>11</v>
      </c>
      <c r="H777" s="1" t="s">
        <v>1177</v>
      </c>
      <c r="I777" s="2" t="s">
        <v>1154</v>
      </c>
    </row>
    <row r="778" spans="1:9">
      <c r="A778" s="6">
        <v>43436</v>
      </c>
      <c r="B778" s="3" t="s">
        <v>613</v>
      </c>
      <c r="C778" s="3" t="s">
        <v>614</v>
      </c>
      <c r="D778" s="1" t="s">
        <v>615</v>
      </c>
      <c r="E778" s="7">
        <v>0.76</v>
      </c>
      <c r="F778" s="3">
        <v>1.65</v>
      </c>
      <c r="G778" s="1" t="s">
        <v>11</v>
      </c>
      <c r="H778" s="1" t="s">
        <v>1175</v>
      </c>
      <c r="I778" s="2" t="s">
        <v>1152</v>
      </c>
    </row>
    <row r="779" spans="1:9">
      <c r="A779" s="6">
        <v>43445</v>
      </c>
      <c r="B779" s="3" t="s">
        <v>198</v>
      </c>
      <c r="C779" s="3" t="s">
        <v>354</v>
      </c>
      <c r="D779" s="1" t="s">
        <v>462</v>
      </c>
      <c r="E779" s="7">
        <v>0.76</v>
      </c>
      <c r="F779" s="3">
        <v>1.65</v>
      </c>
      <c r="G779" s="1" t="s">
        <v>11</v>
      </c>
      <c r="H779" s="1" t="s">
        <v>1180</v>
      </c>
      <c r="I779" s="2" t="s">
        <v>1154</v>
      </c>
    </row>
    <row r="780" spans="1:9">
      <c r="A780" s="6">
        <v>43447</v>
      </c>
      <c r="B780" s="3" t="s">
        <v>261</v>
      </c>
      <c r="C780" s="3" t="s">
        <v>933</v>
      </c>
      <c r="D780" s="1" t="s">
        <v>491</v>
      </c>
      <c r="E780" s="7">
        <v>0.76</v>
      </c>
      <c r="F780" s="3">
        <v>1.65</v>
      </c>
      <c r="G780" s="1" t="s">
        <v>11</v>
      </c>
      <c r="H780" s="1" t="s">
        <v>1181</v>
      </c>
      <c r="I780" s="2" t="s">
        <v>1153</v>
      </c>
    </row>
    <row r="781" spans="1:9">
      <c r="A781" s="6">
        <v>43450</v>
      </c>
      <c r="B781" s="3" t="s">
        <v>988</v>
      </c>
      <c r="C781" s="3" t="s">
        <v>989</v>
      </c>
      <c r="D781" s="1" t="s">
        <v>419</v>
      </c>
      <c r="E781" s="7">
        <v>0.76</v>
      </c>
      <c r="F781" s="3">
        <v>1.65</v>
      </c>
      <c r="G781" s="1" t="s">
        <v>11</v>
      </c>
      <c r="H781" s="1" t="s">
        <v>1209</v>
      </c>
      <c r="I781" s="2" t="s">
        <v>1154</v>
      </c>
    </row>
    <row r="782" spans="1:9">
      <c r="A782" s="6">
        <v>43457</v>
      </c>
      <c r="B782" s="3" t="s">
        <v>892</v>
      </c>
      <c r="C782" s="3" t="s">
        <v>372</v>
      </c>
      <c r="D782" s="1" t="s">
        <v>374</v>
      </c>
      <c r="E782" s="7">
        <v>0.76</v>
      </c>
      <c r="F782" s="3">
        <v>1.65</v>
      </c>
      <c r="G782" s="1" t="s">
        <v>22</v>
      </c>
      <c r="H782" s="1" t="s">
        <v>12</v>
      </c>
    </row>
    <row r="783" spans="1:9">
      <c r="A783" s="6">
        <v>43460</v>
      </c>
      <c r="B783" s="3" t="s">
        <v>1088</v>
      </c>
      <c r="C783" s="3" t="s">
        <v>288</v>
      </c>
      <c r="D783" s="1" t="s">
        <v>289</v>
      </c>
      <c r="E783" s="7">
        <v>0.76</v>
      </c>
      <c r="F783" s="3">
        <v>1.65</v>
      </c>
      <c r="G783" s="1" t="s">
        <v>11</v>
      </c>
      <c r="H783" s="1" t="s">
        <v>1173</v>
      </c>
      <c r="I783" s="2" t="s">
        <v>1154</v>
      </c>
    </row>
    <row r="784" spans="1:9">
      <c r="A784" s="6">
        <v>43463</v>
      </c>
      <c r="B784" s="3" t="s">
        <v>843</v>
      </c>
      <c r="C784" s="3" t="s">
        <v>436</v>
      </c>
      <c r="D784" s="1" t="s">
        <v>219</v>
      </c>
      <c r="E784" s="7">
        <v>0.76</v>
      </c>
      <c r="F784" s="3">
        <v>1.65</v>
      </c>
      <c r="G784" s="1" t="s">
        <v>11</v>
      </c>
      <c r="H784" s="1" t="s">
        <v>1179</v>
      </c>
      <c r="I784" s="2" t="s">
        <v>1152</v>
      </c>
    </row>
    <row r="785" spans="1:9">
      <c r="A785" s="6">
        <v>43466</v>
      </c>
      <c r="B785" s="3" t="s">
        <v>584</v>
      </c>
      <c r="C785" s="3" t="s">
        <v>1124</v>
      </c>
      <c r="D785" s="1" t="s">
        <v>219</v>
      </c>
      <c r="E785" s="7">
        <v>0.76</v>
      </c>
      <c r="F785" s="3">
        <v>1.65</v>
      </c>
      <c r="G785" s="1" t="s">
        <v>11</v>
      </c>
      <c r="H785" s="1" t="s">
        <v>1175</v>
      </c>
      <c r="I785" s="2" t="s">
        <v>1152</v>
      </c>
    </row>
    <row r="786" spans="1:9">
      <c r="A786" s="6">
        <v>43470</v>
      </c>
      <c r="B786" s="3" t="s">
        <v>843</v>
      </c>
      <c r="C786" s="3" t="s">
        <v>703</v>
      </c>
      <c r="D786" s="1" t="s">
        <v>219</v>
      </c>
      <c r="E786" s="7">
        <v>0.76</v>
      </c>
      <c r="F786" s="3">
        <v>1.65</v>
      </c>
      <c r="G786" s="1" t="s">
        <v>11</v>
      </c>
      <c r="H786" s="1" t="s">
        <v>1192</v>
      </c>
      <c r="I786" s="2" t="s">
        <v>1152</v>
      </c>
    </row>
    <row r="787" spans="1:9">
      <c r="A787" s="6">
        <v>43470</v>
      </c>
      <c r="B787" s="3" t="s">
        <v>1104</v>
      </c>
      <c r="C787" s="3" t="s">
        <v>207</v>
      </c>
      <c r="D787" s="1" t="s">
        <v>208</v>
      </c>
      <c r="E787" s="7">
        <v>0.76</v>
      </c>
      <c r="F787" s="3">
        <v>1.65</v>
      </c>
      <c r="G787" s="1" t="s">
        <v>11</v>
      </c>
      <c r="H787" s="1" t="s">
        <v>1176</v>
      </c>
      <c r="I787" s="2" t="s">
        <v>1153</v>
      </c>
    </row>
    <row r="788" spans="1:9">
      <c r="A788" s="6">
        <v>43429</v>
      </c>
      <c r="B788" s="3" t="s">
        <v>344</v>
      </c>
      <c r="C788" s="3" t="s">
        <v>345</v>
      </c>
      <c r="D788" s="1" t="s">
        <v>59</v>
      </c>
      <c r="E788" s="7">
        <v>0.76</v>
      </c>
      <c r="F788" s="3">
        <v>1.63</v>
      </c>
      <c r="G788" s="1" t="s">
        <v>11</v>
      </c>
      <c r="H788" s="1" t="s">
        <v>1177</v>
      </c>
      <c r="I788" s="2" t="s">
        <v>1154</v>
      </c>
    </row>
    <row r="789" spans="1:9">
      <c r="A789" s="6">
        <v>43429</v>
      </c>
      <c r="B789" s="3" t="s">
        <v>356</v>
      </c>
      <c r="C789" s="3" t="s">
        <v>357</v>
      </c>
      <c r="D789" s="1" t="s">
        <v>278</v>
      </c>
      <c r="E789" s="7">
        <v>0.76</v>
      </c>
      <c r="F789" s="3">
        <v>1.63</v>
      </c>
      <c r="G789" s="1" t="s">
        <v>22</v>
      </c>
      <c r="H789" s="1" t="s">
        <v>1186</v>
      </c>
      <c r="I789" s="2" t="s">
        <v>1153</v>
      </c>
    </row>
    <row r="790" spans="1:9">
      <c r="A790" s="6">
        <v>43435</v>
      </c>
      <c r="B790" s="3" t="s">
        <v>387</v>
      </c>
      <c r="C790" s="3" t="s">
        <v>172</v>
      </c>
      <c r="D790" s="1" t="s">
        <v>571</v>
      </c>
      <c r="E790" s="7">
        <v>0.76</v>
      </c>
      <c r="F790" s="3">
        <v>1.63</v>
      </c>
      <c r="G790" s="1" t="s">
        <v>11</v>
      </c>
      <c r="H790" s="1" t="s">
        <v>1177</v>
      </c>
      <c r="I790" s="2" t="s">
        <v>1154</v>
      </c>
    </row>
    <row r="791" spans="1:9">
      <c r="A791" s="6">
        <v>43442</v>
      </c>
      <c r="B791" s="3" t="s">
        <v>437</v>
      </c>
      <c r="C791" s="3" t="s">
        <v>433</v>
      </c>
      <c r="D791" s="1" t="s">
        <v>219</v>
      </c>
      <c r="E791" s="7">
        <v>0.76</v>
      </c>
      <c r="F791" s="3">
        <v>1.63</v>
      </c>
      <c r="G791" s="1" t="s">
        <v>11</v>
      </c>
      <c r="H791" s="1" t="s">
        <v>1177</v>
      </c>
      <c r="I791" s="2" t="s">
        <v>1154</v>
      </c>
    </row>
    <row r="792" spans="1:9">
      <c r="A792" s="6">
        <v>43442</v>
      </c>
      <c r="B792" s="3" t="s">
        <v>437</v>
      </c>
      <c r="C792" s="3" t="s">
        <v>433</v>
      </c>
      <c r="D792" s="1" t="s">
        <v>219</v>
      </c>
      <c r="E792" s="7">
        <v>0.76</v>
      </c>
      <c r="F792" s="3">
        <v>1.63</v>
      </c>
      <c r="G792" s="1" t="s">
        <v>11</v>
      </c>
      <c r="H792" s="1" t="s">
        <v>1177</v>
      </c>
      <c r="I792" s="2" t="s">
        <v>1154</v>
      </c>
    </row>
    <row r="793" spans="1:9">
      <c r="A793" s="6">
        <v>43442</v>
      </c>
      <c r="B793" s="3" t="s">
        <v>744</v>
      </c>
      <c r="C793" s="3" t="s">
        <v>846</v>
      </c>
      <c r="D793" s="1" t="s">
        <v>235</v>
      </c>
      <c r="E793" s="7">
        <v>0.76</v>
      </c>
      <c r="F793" s="3">
        <v>1.63</v>
      </c>
      <c r="G793" s="1" t="s">
        <v>22</v>
      </c>
      <c r="H793" s="1" t="s">
        <v>1180</v>
      </c>
      <c r="I793" s="2" t="s">
        <v>1153</v>
      </c>
    </row>
    <row r="794" spans="1:9">
      <c r="A794" s="6">
        <v>43443</v>
      </c>
      <c r="B794" s="3" t="s">
        <v>885</v>
      </c>
      <c r="C794" s="3" t="s">
        <v>886</v>
      </c>
      <c r="D794" s="1" t="s">
        <v>374</v>
      </c>
      <c r="E794" s="7">
        <v>0.76</v>
      </c>
      <c r="F794" s="3">
        <v>1.63</v>
      </c>
      <c r="G794" s="1" t="s">
        <v>11</v>
      </c>
      <c r="H794" s="1" t="s">
        <v>1173</v>
      </c>
      <c r="I794" s="2" t="s">
        <v>1154</v>
      </c>
    </row>
    <row r="795" spans="1:9">
      <c r="A795" s="6">
        <v>43444</v>
      </c>
      <c r="B795" s="3" t="s">
        <v>910</v>
      </c>
      <c r="C795" s="3" t="s">
        <v>711</v>
      </c>
      <c r="D795" s="1" t="s">
        <v>156</v>
      </c>
      <c r="E795" s="7">
        <v>0.76</v>
      </c>
      <c r="F795" s="3">
        <v>1.63</v>
      </c>
      <c r="G795" s="1" t="s">
        <v>11</v>
      </c>
      <c r="H795" s="1" t="s">
        <v>1184</v>
      </c>
      <c r="I795" s="2" t="s">
        <v>1153</v>
      </c>
    </row>
    <row r="796" spans="1:9">
      <c r="A796" s="6">
        <v>43447</v>
      </c>
      <c r="B796" s="3" t="s">
        <v>402</v>
      </c>
      <c r="C796" s="3" t="s">
        <v>410</v>
      </c>
      <c r="D796" s="1" t="s">
        <v>491</v>
      </c>
      <c r="E796" s="7">
        <v>0.76</v>
      </c>
      <c r="F796" s="3">
        <v>1.63</v>
      </c>
      <c r="G796" s="1" t="s">
        <v>11</v>
      </c>
      <c r="H796" s="1" t="s">
        <v>1176</v>
      </c>
      <c r="I796" s="2" t="s">
        <v>1153</v>
      </c>
    </row>
    <row r="797" spans="1:9">
      <c r="A797" s="6">
        <v>43456</v>
      </c>
      <c r="B797" s="3" t="s">
        <v>761</v>
      </c>
      <c r="C797" s="3" t="s">
        <v>1026</v>
      </c>
      <c r="D797" s="1" t="s">
        <v>443</v>
      </c>
      <c r="E797" s="7">
        <v>0.76</v>
      </c>
      <c r="F797" s="3">
        <v>1.63</v>
      </c>
      <c r="G797" s="1" t="s">
        <v>11</v>
      </c>
      <c r="H797" s="1" t="s">
        <v>1177</v>
      </c>
      <c r="I797" s="2" t="s">
        <v>1154</v>
      </c>
    </row>
    <row r="798" spans="1:9">
      <c r="A798" s="6">
        <v>43463</v>
      </c>
      <c r="B798" s="3" t="s">
        <v>1104</v>
      </c>
      <c r="C798" s="3" t="s">
        <v>562</v>
      </c>
      <c r="D798" s="1" t="s">
        <v>208</v>
      </c>
      <c r="E798" s="7">
        <v>0.76</v>
      </c>
      <c r="F798" s="3">
        <v>1.63</v>
      </c>
      <c r="G798" s="1" t="s">
        <v>11</v>
      </c>
      <c r="H798" s="1" t="s">
        <v>1175</v>
      </c>
      <c r="I798" s="2" t="s">
        <v>1152</v>
      </c>
    </row>
    <row r="799" spans="1:9">
      <c r="A799" s="6">
        <v>43463</v>
      </c>
      <c r="B799" s="3" t="s">
        <v>836</v>
      </c>
      <c r="C799" s="3" t="s">
        <v>440</v>
      </c>
      <c r="D799" s="1" t="s">
        <v>211</v>
      </c>
      <c r="E799" s="7">
        <v>0.76</v>
      </c>
      <c r="F799" s="3">
        <v>1.63</v>
      </c>
      <c r="G799" s="1" t="s">
        <v>11</v>
      </c>
      <c r="H799" s="1" t="s">
        <v>1179</v>
      </c>
      <c r="I799" s="2" t="s">
        <v>1152</v>
      </c>
    </row>
    <row r="800" spans="1:9">
      <c r="A800" s="6">
        <v>43464</v>
      </c>
      <c r="B800" s="3" t="s">
        <v>393</v>
      </c>
      <c r="C800" s="3" t="s">
        <v>971</v>
      </c>
      <c r="D800" s="1" t="s">
        <v>502</v>
      </c>
      <c r="E800" s="7">
        <v>0.76</v>
      </c>
      <c r="F800" s="3">
        <v>1.63</v>
      </c>
      <c r="G800" s="1" t="s">
        <v>11</v>
      </c>
      <c r="H800" s="1" t="s">
        <v>1175</v>
      </c>
      <c r="I800" s="2" t="s">
        <v>1152</v>
      </c>
    </row>
    <row r="801" spans="1:9">
      <c r="A801" s="6">
        <v>43428</v>
      </c>
      <c r="B801" s="3" t="s">
        <v>123</v>
      </c>
      <c r="C801" s="3" t="s">
        <v>124</v>
      </c>
      <c r="D801" s="1" t="s">
        <v>125</v>
      </c>
      <c r="E801" s="7">
        <v>0.76</v>
      </c>
      <c r="F801" s="3">
        <v>1.61</v>
      </c>
      <c r="G801" s="1" t="s">
        <v>11</v>
      </c>
      <c r="H801" s="1" t="s">
        <v>1172</v>
      </c>
      <c r="I801" s="2" t="s">
        <v>1154</v>
      </c>
    </row>
    <row r="802" spans="1:9">
      <c r="A802" s="6">
        <v>43439</v>
      </c>
      <c r="B802" s="3" t="s">
        <v>73</v>
      </c>
      <c r="C802" s="3" t="s">
        <v>518</v>
      </c>
      <c r="D802" s="1" t="s">
        <v>705</v>
      </c>
      <c r="E802" s="7">
        <v>0.76</v>
      </c>
      <c r="F802" s="3">
        <v>1.61</v>
      </c>
      <c r="G802" s="1" t="s">
        <v>11</v>
      </c>
      <c r="H802" s="1" t="s">
        <v>1177</v>
      </c>
      <c r="I802" s="2" t="s">
        <v>1154</v>
      </c>
    </row>
    <row r="803" spans="1:9">
      <c r="A803" s="6">
        <v>43443</v>
      </c>
      <c r="B803" s="3" t="s">
        <v>263</v>
      </c>
      <c r="C803" s="3" t="s">
        <v>595</v>
      </c>
      <c r="D803" s="1" t="s">
        <v>265</v>
      </c>
      <c r="E803" s="7">
        <v>0.76</v>
      </c>
      <c r="F803" s="3">
        <v>1.61</v>
      </c>
      <c r="G803" s="1" t="s">
        <v>22</v>
      </c>
      <c r="H803" s="1" t="s">
        <v>1173</v>
      </c>
      <c r="I803" s="2" t="s">
        <v>1153</v>
      </c>
    </row>
    <row r="804" spans="1:9">
      <c r="A804" s="6">
        <v>43443</v>
      </c>
      <c r="B804" s="3" t="s">
        <v>887</v>
      </c>
      <c r="C804" s="3" t="s">
        <v>888</v>
      </c>
      <c r="D804" s="1" t="s">
        <v>374</v>
      </c>
      <c r="E804" s="7">
        <v>0.76</v>
      </c>
      <c r="F804" s="3">
        <v>1.61</v>
      </c>
      <c r="G804" s="1" t="s">
        <v>11</v>
      </c>
      <c r="H804" s="1" t="s">
        <v>1185</v>
      </c>
      <c r="I804" s="2" t="s">
        <v>1152</v>
      </c>
    </row>
    <row r="805" spans="1:9">
      <c r="A805" s="6">
        <v>43443</v>
      </c>
      <c r="B805" s="3" t="s">
        <v>896</v>
      </c>
      <c r="C805" s="3" t="s">
        <v>897</v>
      </c>
      <c r="D805" s="1" t="s">
        <v>398</v>
      </c>
      <c r="E805" s="7">
        <v>0.76</v>
      </c>
      <c r="F805" s="3">
        <v>1.61</v>
      </c>
      <c r="G805" s="1" t="s">
        <v>11</v>
      </c>
      <c r="H805" s="1" t="s">
        <v>1172</v>
      </c>
      <c r="I805" s="2" t="s">
        <v>1154</v>
      </c>
    </row>
    <row r="806" spans="1:9">
      <c r="A806" s="6">
        <v>43443</v>
      </c>
      <c r="B806" s="3" t="s">
        <v>901</v>
      </c>
      <c r="C806" s="3" t="s">
        <v>902</v>
      </c>
      <c r="D806" s="1" t="s">
        <v>502</v>
      </c>
      <c r="E806" s="7">
        <v>0.76</v>
      </c>
      <c r="F806" s="3">
        <v>1.61</v>
      </c>
      <c r="G806" s="1" t="s">
        <v>11</v>
      </c>
      <c r="H806" s="1" t="s">
        <v>1180</v>
      </c>
      <c r="I806" s="2" t="s">
        <v>1154</v>
      </c>
    </row>
    <row r="807" spans="1:9">
      <c r="A807" s="6">
        <v>43450</v>
      </c>
      <c r="B807" s="3" t="s">
        <v>856</v>
      </c>
      <c r="C807" s="3" t="s">
        <v>990</v>
      </c>
      <c r="D807" s="1" t="s">
        <v>858</v>
      </c>
      <c r="E807" s="7">
        <v>0.76</v>
      </c>
      <c r="F807" s="3">
        <v>1.61</v>
      </c>
      <c r="G807" s="1" t="s">
        <v>11</v>
      </c>
      <c r="H807" s="1" t="s">
        <v>1192</v>
      </c>
      <c r="I807" s="2" t="s">
        <v>1152</v>
      </c>
    </row>
    <row r="808" spans="1:9">
      <c r="A808" s="6">
        <v>43451</v>
      </c>
      <c r="B808" s="3" t="s">
        <v>999</v>
      </c>
      <c r="C808" s="3" t="s">
        <v>589</v>
      </c>
      <c r="D808" s="1" t="s">
        <v>590</v>
      </c>
      <c r="E808" s="7">
        <v>0.76</v>
      </c>
      <c r="F808" s="3">
        <v>1.61</v>
      </c>
      <c r="G808" s="1" t="s">
        <v>22</v>
      </c>
      <c r="H808" s="1" t="s">
        <v>1181</v>
      </c>
      <c r="I808" s="2" t="s">
        <v>1154</v>
      </c>
    </row>
    <row r="809" spans="1:9">
      <c r="A809" s="6">
        <v>43459</v>
      </c>
      <c r="B809" s="3" t="s">
        <v>589</v>
      </c>
      <c r="C809" s="3" t="s">
        <v>600</v>
      </c>
      <c r="D809" s="1" t="s">
        <v>590</v>
      </c>
      <c r="E809" s="7">
        <v>0.76</v>
      </c>
      <c r="F809" s="3">
        <v>1.61</v>
      </c>
      <c r="G809" s="1" t="s">
        <v>11</v>
      </c>
      <c r="H809" s="1" t="s">
        <v>1182</v>
      </c>
      <c r="I809" s="2" t="s">
        <v>1154</v>
      </c>
    </row>
    <row r="810" spans="1:9">
      <c r="A810" s="6">
        <v>43427</v>
      </c>
      <c r="B810" s="3" t="s">
        <v>37</v>
      </c>
      <c r="C810" s="3" t="s">
        <v>38</v>
      </c>
      <c r="D810" s="1" t="s">
        <v>36</v>
      </c>
      <c r="E810" s="7">
        <v>0.76</v>
      </c>
      <c r="F810" s="3">
        <v>1.59</v>
      </c>
      <c r="G810" s="1" t="s">
        <v>11</v>
      </c>
      <c r="H810" s="1" t="s">
        <v>1175</v>
      </c>
      <c r="I810" s="2" t="s">
        <v>1152</v>
      </c>
    </row>
    <row r="811" spans="1:9">
      <c r="A811" s="6">
        <v>43428</v>
      </c>
      <c r="B811" s="3" t="s">
        <v>272</v>
      </c>
      <c r="C811" s="3" t="s">
        <v>273</v>
      </c>
      <c r="D811" s="1" t="s">
        <v>238</v>
      </c>
      <c r="E811" s="7">
        <v>0.76</v>
      </c>
      <c r="F811" s="3">
        <v>1.59</v>
      </c>
      <c r="G811" s="1" t="s">
        <v>11</v>
      </c>
      <c r="H811" s="1" t="s">
        <v>1173</v>
      </c>
      <c r="I811" s="2" t="s">
        <v>1154</v>
      </c>
    </row>
    <row r="812" spans="1:9">
      <c r="A812" s="6">
        <v>43437</v>
      </c>
      <c r="B812" s="3" t="s">
        <v>672</v>
      </c>
      <c r="C812" s="3" t="s">
        <v>673</v>
      </c>
      <c r="D812" s="1" t="s">
        <v>674</v>
      </c>
      <c r="E812" s="7">
        <v>0.76</v>
      </c>
      <c r="F812" s="3">
        <v>1.59</v>
      </c>
      <c r="G812" s="1" t="s">
        <v>11</v>
      </c>
      <c r="H812" s="1" t="s">
        <v>1177</v>
      </c>
      <c r="I812" s="2" t="s">
        <v>1154</v>
      </c>
    </row>
    <row r="813" spans="1:9">
      <c r="A813" s="6">
        <v>43437</v>
      </c>
      <c r="B813" s="3" t="s">
        <v>410</v>
      </c>
      <c r="C813" s="3" t="s">
        <v>249</v>
      </c>
      <c r="D813" s="1" t="s">
        <v>167</v>
      </c>
      <c r="E813" s="7">
        <v>0.76</v>
      </c>
      <c r="F813" s="3">
        <v>1.59</v>
      </c>
      <c r="G813" s="1" t="s">
        <v>11</v>
      </c>
      <c r="H813" s="1" t="s">
        <v>1200</v>
      </c>
      <c r="I813" s="2" t="s">
        <v>1154</v>
      </c>
    </row>
    <row r="814" spans="1:9">
      <c r="A814" s="6">
        <v>43441</v>
      </c>
      <c r="B814" s="3" t="s">
        <v>85</v>
      </c>
      <c r="C814" s="3" t="s">
        <v>37</v>
      </c>
      <c r="D814" s="1" t="s">
        <v>36</v>
      </c>
      <c r="E814" s="7">
        <v>0.76</v>
      </c>
      <c r="F814" s="3">
        <v>1.59</v>
      </c>
      <c r="G814" s="1" t="s">
        <v>11</v>
      </c>
      <c r="H814" s="1" t="s">
        <v>1209</v>
      </c>
      <c r="I814" s="2" t="s">
        <v>1154</v>
      </c>
    </row>
    <row r="815" spans="1:9">
      <c r="A815" s="6">
        <v>43443</v>
      </c>
      <c r="B815" s="3" t="s">
        <v>363</v>
      </c>
      <c r="C815" s="3" t="s">
        <v>869</v>
      </c>
      <c r="D815" s="1" t="s">
        <v>265</v>
      </c>
      <c r="E815" s="7">
        <v>0.76</v>
      </c>
      <c r="F815" s="3">
        <v>1.59</v>
      </c>
      <c r="G815" s="1" t="s">
        <v>11</v>
      </c>
      <c r="H815" s="1" t="s">
        <v>1172</v>
      </c>
      <c r="I815" s="2" t="s">
        <v>1154</v>
      </c>
    </row>
    <row r="816" spans="1:9">
      <c r="A816" s="6">
        <v>43457</v>
      </c>
      <c r="B816" s="3" t="s">
        <v>730</v>
      </c>
      <c r="C816" s="3" t="s">
        <v>556</v>
      </c>
      <c r="D816" s="1" t="s">
        <v>529</v>
      </c>
      <c r="E816" s="7">
        <v>0.76</v>
      </c>
      <c r="F816" s="3">
        <v>1.59</v>
      </c>
      <c r="G816" s="1" t="s">
        <v>11</v>
      </c>
      <c r="H816" s="1" t="s">
        <v>1189</v>
      </c>
      <c r="I816" s="2" t="s">
        <v>1154</v>
      </c>
    </row>
    <row r="817" spans="1:9">
      <c r="A817" s="6">
        <v>43457</v>
      </c>
      <c r="B817" s="3" t="s">
        <v>477</v>
      </c>
      <c r="C817" s="3" t="s">
        <v>1077</v>
      </c>
      <c r="D817" s="1" t="s">
        <v>289</v>
      </c>
      <c r="E817" s="7">
        <v>0.76</v>
      </c>
      <c r="F817" s="3">
        <v>1.59</v>
      </c>
      <c r="G817" s="1" t="s">
        <v>11</v>
      </c>
      <c r="H817" s="1" t="s">
        <v>1172</v>
      </c>
      <c r="I817" s="2" t="s">
        <v>1154</v>
      </c>
    </row>
    <row r="818" spans="1:9">
      <c r="A818" s="6">
        <v>43428</v>
      </c>
      <c r="B818" s="3" t="s">
        <v>301</v>
      </c>
      <c r="C818" s="3" t="s">
        <v>302</v>
      </c>
      <c r="D818" s="1" t="s">
        <v>303</v>
      </c>
      <c r="E818" s="7">
        <v>0.76</v>
      </c>
      <c r="F818" s="3">
        <v>1.57</v>
      </c>
      <c r="G818" s="1" t="s">
        <v>11</v>
      </c>
      <c r="H818" s="1" t="s">
        <v>1190</v>
      </c>
      <c r="I818" s="2" t="s">
        <v>1154</v>
      </c>
    </row>
    <row r="819" spans="1:9">
      <c r="A819" s="6">
        <v>43429</v>
      </c>
      <c r="B819" s="3" t="s">
        <v>367</v>
      </c>
      <c r="C819" s="3" t="s">
        <v>368</v>
      </c>
      <c r="D819" s="1" t="s">
        <v>232</v>
      </c>
      <c r="E819" s="7">
        <v>0.76</v>
      </c>
      <c r="F819" s="3">
        <v>1.57</v>
      </c>
      <c r="G819" s="1" t="s">
        <v>22</v>
      </c>
      <c r="H819" s="1" t="s">
        <v>1184</v>
      </c>
      <c r="I819" s="2" t="s">
        <v>1154</v>
      </c>
    </row>
    <row r="820" spans="1:9">
      <c r="A820" s="6">
        <v>43448</v>
      </c>
      <c r="B820" s="3" t="s">
        <v>941</v>
      </c>
      <c r="C820" s="3" t="s">
        <v>533</v>
      </c>
      <c r="D820" s="1" t="s">
        <v>184</v>
      </c>
      <c r="E820" s="7">
        <v>0.76</v>
      </c>
      <c r="F820" s="3">
        <v>1.57</v>
      </c>
      <c r="G820" s="1" t="s">
        <v>11</v>
      </c>
      <c r="H820" s="1" t="s">
        <v>1182</v>
      </c>
      <c r="I820" s="2" t="s">
        <v>1154</v>
      </c>
    </row>
    <row r="821" spans="1:9">
      <c r="A821" s="6">
        <v>43457</v>
      </c>
      <c r="B821" s="3" t="s">
        <v>327</v>
      </c>
      <c r="C821" s="3" t="s">
        <v>1071</v>
      </c>
      <c r="D821" s="1" t="s">
        <v>289</v>
      </c>
      <c r="E821" s="7">
        <v>0.76</v>
      </c>
      <c r="F821" s="3">
        <v>1.57</v>
      </c>
      <c r="G821" s="1" t="s">
        <v>11</v>
      </c>
      <c r="H821" s="1" t="s">
        <v>1174</v>
      </c>
      <c r="I821" s="2" t="s">
        <v>1154</v>
      </c>
    </row>
    <row r="822" spans="1:9">
      <c r="A822" s="6">
        <v>43436</v>
      </c>
      <c r="B822" s="3" t="s">
        <v>639</v>
      </c>
      <c r="C822" s="3" t="s">
        <v>640</v>
      </c>
      <c r="D822" s="1" t="s">
        <v>371</v>
      </c>
      <c r="E822" s="7">
        <v>0.76</v>
      </c>
      <c r="F822" s="3">
        <v>1.56</v>
      </c>
      <c r="G822" s="1" t="s">
        <v>22</v>
      </c>
      <c r="H822" s="1" t="s">
        <v>1180</v>
      </c>
      <c r="I822" s="2" t="s">
        <v>1153</v>
      </c>
    </row>
    <row r="823" spans="1:9">
      <c r="A823" s="6">
        <v>43442</v>
      </c>
      <c r="B823" s="3" t="s">
        <v>831</v>
      </c>
      <c r="C823" s="3" t="s">
        <v>832</v>
      </c>
      <c r="D823" s="1" t="s">
        <v>120</v>
      </c>
      <c r="E823" s="7">
        <v>0.76</v>
      </c>
      <c r="F823" s="3">
        <v>1.56</v>
      </c>
      <c r="G823" s="1" t="s">
        <v>11</v>
      </c>
      <c r="H823" s="1" t="s">
        <v>1173</v>
      </c>
      <c r="I823" s="2" t="s">
        <v>1154</v>
      </c>
    </row>
    <row r="824" spans="1:9">
      <c r="A824" s="6">
        <v>43475</v>
      </c>
      <c r="B824" s="3" t="s">
        <v>983</v>
      </c>
      <c r="C824" s="3" t="s">
        <v>283</v>
      </c>
      <c r="D824" s="1" t="s">
        <v>1222</v>
      </c>
      <c r="E824" s="7">
        <v>0.76</v>
      </c>
      <c r="F824" s="3">
        <v>1.56</v>
      </c>
      <c r="G824" s="1" t="s">
        <v>22</v>
      </c>
      <c r="H824" s="1" t="s">
        <v>1176</v>
      </c>
      <c r="I824" s="3" t="s">
        <v>1154</v>
      </c>
    </row>
    <row r="825" spans="1:9">
      <c r="A825" s="6">
        <v>43450</v>
      </c>
      <c r="B825" s="3" t="s">
        <v>266</v>
      </c>
      <c r="C825" s="3" t="s">
        <v>76</v>
      </c>
      <c r="D825" s="1" t="s">
        <v>77</v>
      </c>
      <c r="E825" s="7">
        <v>0.76</v>
      </c>
      <c r="F825" s="3">
        <v>1.54</v>
      </c>
      <c r="G825" s="1" t="s">
        <v>11</v>
      </c>
      <c r="H825" s="1" t="s">
        <v>1190</v>
      </c>
      <c r="I825" s="2" t="s">
        <v>1154</v>
      </c>
    </row>
    <row r="826" spans="1:9">
      <c r="A826" s="6">
        <v>43453</v>
      </c>
      <c r="B826" s="3" t="s">
        <v>688</v>
      </c>
      <c r="C826" s="3" t="s">
        <v>528</v>
      </c>
      <c r="D826" s="1" t="s">
        <v>689</v>
      </c>
      <c r="E826" s="7">
        <v>0.76</v>
      </c>
      <c r="F826" s="3">
        <v>1.54</v>
      </c>
      <c r="G826" s="1" t="s">
        <v>22</v>
      </c>
      <c r="H826" s="1" t="s">
        <v>1173</v>
      </c>
      <c r="I826" s="2" t="s">
        <v>1153</v>
      </c>
    </row>
    <row r="827" spans="1:9">
      <c r="A827" s="6">
        <v>43475</v>
      </c>
      <c r="B827" s="3" t="s">
        <v>1237</v>
      </c>
      <c r="C827" s="3" t="s">
        <v>1043</v>
      </c>
      <c r="D827" s="1" t="s">
        <v>1044</v>
      </c>
      <c r="E827" s="7">
        <v>0.76</v>
      </c>
      <c r="F827" s="3">
        <v>1.5</v>
      </c>
      <c r="G827" s="1" t="s">
        <v>11</v>
      </c>
      <c r="H827" s="1" t="s">
        <v>1184</v>
      </c>
      <c r="I827" s="3" t="s">
        <v>1153</v>
      </c>
    </row>
    <row r="828" spans="1:9">
      <c r="A828" s="6">
        <v>43428</v>
      </c>
      <c r="B828" s="3" t="s">
        <v>185</v>
      </c>
      <c r="C828" s="3" t="s">
        <v>186</v>
      </c>
      <c r="D828" s="1" t="s">
        <v>59</v>
      </c>
      <c r="E828" s="7">
        <v>0.75</v>
      </c>
      <c r="F828" s="3">
        <v>1.69</v>
      </c>
      <c r="G828" s="1" t="s">
        <v>11</v>
      </c>
      <c r="H828" s="1" t="s">
        <v>1189</v>
      </c>
      <c r="I828" s="2" t="s">
        <v>1154</v>
      </c>
    </row>
    <row r="829" spans="1:9">
      <c r="A829" s="6">
        <v>43428</v>
      </c>
      <c r="B829" s="3" t="s">
        <v>268</v>
      </c>
      <c r="C829" s="3" t="s">
        <v>269</v>
      </c>
      <c r="D829" s="1" t="s">
        <v>238</v>
      </c>
      <c r="E829" s="7">
        <v>0.75</v>
      </c>
      <c r="F829" s="3">
        <v>1.69</v>
      </c>
      <c r="G829" s="1" t="s">
        <v>11</v>
      </c>
      <c r="H829" s="1" t="s">
        <v>1175</v>
      </c>
      <c r="I829" s="2" t="s">
        <v>1152</v>
      </c>
    </row>
    <row r="830" spans="1:9">
      <c r="A830" s="6">
        <v>43433</v>
      </c>
      <c r="B830" s="3" t="s">
        <v>516</v>
      </c>
      <c r="C830" s="3" t="s">
        <v>33</v>
      </c>
      <c r="D830" s="1" t="s">
        <v>491</v>
      </c>
      <c r="E830" s="7">
        <v>0.75</v>
      </c>
      <c r="F830" s="3">
        <v>1.69</v>
      </c>
      <c r="G830" s="1" t="s">
        <v>22</v>
      </c>
      <c r="H830" s="1" t="s">
        <v>1183</v>
      </c>
      <c r="I830" s="2" t="s">
        <v>1154</v>
      </c>
    </row>
    <row r="831" spans="1:9">
      <c r="A831" s="6">
        <v>43439</v>
      </c>
      <c r="B831" s="3" t="s">
        <v>304</v>
      </c>
      <c r="C831" s="3" t="s">
        <v>55</v>
      </c>
      <c r="D831" s="1" t="s">
        <v>742</v>
      </c>
      <c r="E831" s="7">
        <v>0.75</v>
      </c>
      <c r="F831" s="3">
        <v>1.69</v>
      </c>
      <c r="G831" s="1" t="s">
        <v>11</v>
      </c>
      <c r="H831" s="1" t="s">
        <v>1175</v>
      </c>
      <c r="I831" s="2" t="s">
        <v>1152</v>
      </c>
    </row>
    <row r="832" spans="1:9">
      <c r="A832" s="6">
        <v>43442</v>
      </c>
      <c r="B832" s="3" t="s">
        <v>439</v>
      </c>
      <c r="C832" s="3" t="s">
        <v>836</v>
      </c>
      <c r="D832" s="1" t="s">
        <v>211</v>
      </c>
      <c r="E832" s="7">
        <v>0.75</v>
      </c>
      <c r="F832" s="3">
        <v>1.69</v>
      </c>
      <c r="G832" s="1" t="s">
        <v>11</v>
      </c>
      <c r="H832" s="1" t="s">
        <v>1173</v>
      </c>
      <c r="I832" s="2" t="s">
        <v>1154</v>
      </c>
    </row>
    <row r="833" spans="1:9">
      <c r="A833" s="6">
        <v>43442</v>
      </c>
      <c r="B833" s="3" t="s">
        <v>439</v>
      </c>
      <c r="C833" s="3" t="s">
        <v>836</v>
      </c>
      <c r="D833" s="1" t="s">
        <v>211</v>
      </c>
      <c r="E833" s="7">
        <v>0.75</v>
      </c>
      <c r="F833" s="3">
        <v>1.69</v>
      </c>
      <c r="G833" s="1" t="s">
        <v>11</v>
      </c>
      <c r="H833" s="1" t="s">
        <v>1173</v>
      </c>
      <c r="I833" s="2" t="s">
        <v>1154</v>
      </c>
    </row>
    <row r="834" spans="1:9">
      <c r="A834" s="6">
        <v>43456</v>
      </c>
      <c r="B834" s="3" t="s">
        <v>746</v>
      </c>
      <c r="C834" s="3" t="s">
        <v>170</v>
      </c>
      <c r="D834" s="1" t="s">
        <v>138</v>
      </c>
      <c r="E834" s="7">
        <v>0.75</v>
      </c>
      <c r="F834" s="3">
        <v>1.69</v>
      </c>
      <c r="G834" s="1" t="s">
        <v>11</v>
      </c>
      <c r="H834" s="1" t="s">
        <v>1176</v>
      </c>
      <c r="I834" s="2" t="s">
        <v>1153</v>
      </c>
    </row>
    <row r="835" spans="1:9">
      <c r="A835" s="6">
        <v>43460</v>
      </c>
      <c r="B835" s="3" t="s">
        <v>677</v>
      </c>
      <c r="C835" s="3" t="s">
        <v>514</v>
      </c>
      <c r="D835" s="1" t="s">
        <v>278</v>
      </c>
      <c r="E835" s="7">
        <v>0.75</v>
      </c>
      <c r="F835" s="3">
        <v>1.69</v>
      </c>
      <c r="G835" s="1" t="s">
        <v>22</v>
      </c>
      <c r="H835" s="1" t="s">
        <v>1184</v>
      </c>
      <c r="I835" s="2" t="s">
        <v>1154</v>
      </c>
    </row>
    <row r="836" spans="1:9">
      <c r="A836" s="6">
        <v>43463</v>
      </c>
      <c r="B836" s="3" t="s">
        <v>632</v>
      </c>
      <c r="C836" s="3" t="s">
        <v>991</v>
      </c>
      <c r="D836" s="1" t="s">
        <v>278</v>
      </c>
      <c r="E836" s="7">
        <v>0.75</v>
      </c>
      <c r="F836" s="3">
        <v>1.69</v>
      </c>
      <c r="G836" s="1" t="s">
        <v>22</v>
      </c>
      <c r="H836" s="1" t="s">
        <v>1184</v>
      </c>
      <c r="I836" s="2" t="s">
        <v>1154</v>
      </c>
    </row>
    <row r="837" spans="1:9">
      <c r="A837" s="6">
        <v>43427</v>
      </c>
      <c r="B837" s="3" t="s">
        <v>57</v>
      </c>
      <c r="C837" s="3" t="s">
        <v>58</v>
      </c>
      <c r="D837" s="1" t="s">
        <v>59</v>
      </c>
      <c r="E837" s="7">
        <v>0.75</v>
      </c>
      <c r="F837" s="3">
        <v>1.67</v>
      </c>
      <c r="G837" s="1" t="s">
        <v>11</v>
      </c>
      <c r="H837" s="1" t="s">
        <v>1179</v>
      </c>
      <c r="I837" s="2" t="s">
        <v>1152</v>
      </c>
    </row>
    <row r="838" spans="1:9">
      <c r="A838" s="6">
        <v>43431</v>
      </c>
      <c r="B838" s="3" t="s">
        <v>433</v>
      </c>
      <c r="C838" s="3" t="s">
        <v>434</v>
      </c>
      <c r="D838" s="1" t="s">
        <v>219</v>
      </c>
      <c r="E838" s="7">
        <v>0.75</v>
      </c>
      <c r="F838" s="3">
        <v>1.67</v>
      </c>
      <c r="G838" s="1" t="s">
        <v>11</v>
      </c>
      <c r="H838" s="1" t="s">
        <v>1176</v>
      </c>
      <c r="I838" s="2" t="s">
        <v>1153</v>
      </c>
    </row>
    <row r="839" spans="1:9">
      <c r="A839" s="6">
        <v>43434</v>
      </c>
      <c r="B839" s="3" t="s">
        <v>530</v>
      </c>
      <c r="C839" s="3" t="s">
        <v>531</v>
      </c>
      <c r="D839" s="1" t="s">
        <v>371</v>
      </c>
      <c r="E839" s="7">
        <v>0.75</v>
      </c>
      <c r="F839" s="3">
        <v>1.67</v>
      </c>
      <c r="G839" s="1" t="s">
        <v>11</v>
      </c>
      <c r="H839" s="1" t="s">
        <v>1180</v>
      </c>
      <c r="I839" s="2" t="s">
        <v>1154</v>
      </c>
    </row>
    <row r="840" spans="1:9">
      <c r="A840" s="6">
        <v>43435</v>
      </c>
      <c r="B840" s="3" t="s">
        <v>584</v>
      </c>
      <c r="C840" s="3" t="s">
        <v>585</v>
      </c>
      <c r="D840" s="1" t="s">
        <v>15</v>
      </c>
      <c r="E840" s="7">
        <v>0.75</v>
      </c>
      <c r="F840" s="3">
        <v>1.67</v>
      </c>
      <c r="G840" s="1" t="s">
        <v>11</v>
      </c>
      <c r="H840" s="1" t="s">
        <v>1177</v>
      </c>
      <c r="I840" s="2" t="s">
        <v>1154</v>
      </c>
    </row>
    <row r="841" spans="1:9">
      <c r="A841" s="6">
        <v>43438</v>
      </c>
      <c r="B841" s="3" t="s">
        <v>677</v>
      </c>
      <c r="C841" s="3" t="s">
        <v>678</v>
      </c>
      <c r="D841" s="1" t="s">
        <v>679</v>
      </c>
      <c r="E841" s="7">
        <v>0.75</v>
      </c>
      <c r="F841" s="3">
        <v>1.67</v>
      </c>
      <c r="G841" s="1" t="s">
        <v>11</v>
      </c>
      <c r="H841" s="1" t="s">
        <v>1182</v>
      </c>
      <c r="I841" s="2" t="s">
        <v>1154</v>
      </c>
    </row>
    <row r="842" spans="1:9">
      <c r="A842" s="6">
        <v>43449</v>
      </c>
      <c r="B842" s="3" t="s">
        <v>702</v>
      </c>
      <c r="C842" s="3" t="s">
        <v>954</v>
      </c>
      <c r="D842" s="1" t="s">
        <v>443</v>
      </c>
      <c r="E842" s="7">
        <v>0.75</v>
      </c>
      <c r="F842" s="3">
        <v>1.67</v>
      </c>
      <c r="G842" s="1" t="s">
        <v>11</v>
      </c>
      <c r="H842" s="1" t="s">
        <v>1173</v>
      </c>
      <c r="I842" s="2" t="s">
        <v>1154</v>
      </c>
    </row>
    <row r="843" spans="1:9">
      <c r="A843" s="6">
        <v>43453</v>
      </c>
      <c r="B843" s="3" t="s">
        <v>1030</v>
      </c>
      <c r="C843" s="3" t="s">
        <v>69</v>
      </c>
      <c r="D843" s="1" t="s">
        <v>1022</v>
      </c>
      <c r="E843" s="7">
        <v>0.75</v>
      </c>
      <c r="F843" s="3">
        <v>1.67</v>
      </c>
      <c r="G843" s="1" t="s">
        <v>22</v>
      </c>
      <c r="H843" s="1" t="s">
        <v>1199</v>
      </c>
      <c r="I843" s="2" t="s">
        <v>1154</v>
      </c>
    </row>
    <row r="844" spans="1:9">
      <c r="A844" s="6">
        <v>43463</v>
      </c>
      <c r="B844" s="3" t="s">
        <v>222</v>
      </c>
      <c r="C844" s="3" t="s">
        <v>1059</v>
      </c>
      <c r="D844" s="1" t="s">
        <v>564</v>
      </c>
      <c r="E844" s="7">
        <v>0.75</v>
      </c>
      <c r="F844" s="3">
        <v>1.67</v>
      </c>
      <c r="G844" s="1" t="s">
        <v>22</v>
      </c>
      <c r="H844" s="1" t="s">
        <v>1173</v>
      </c>
      <c r="I844" s="2" t="s">
        <v>1153</v>
      </c>
    </row>
    <row r="845" spans="1:9">
      <c r="A845" s="6">
        <v>43463</v>
      </c>
      <c r="B845" s="3" t="s">
        <v>1101</v>
      </c>
      <c r="C845" s="3" t="s">
        <v>587</v>
      </c>
      <c r="D845" s="1" t="s">
        <v>208</v>
      </c>
      <c r="E845" s="7">
        <v>0.75</v>
      </c>
      <c r="F845" s="3">
        <v>1.67</v>
      </c>
      <c r="G845" s="1" t="s">
        <v>11</v>
      </c>
      <c r="H845" s="1" t="s">
        <v>1176</v>
      </c>
      <c r="I845" s="2" t="s">
        <v>1153</v>
      </c>
    </row>
    <row r="846" spans="1:9">
      <c r="A846" s="6">
        <v>43463</v>
      </c>
      <c r="B846" s="3" t="s">
        <v>585</v>
      </c>
      <c r="C846" s="3" t="s">
        <v>434</v>
      </c>
      <c r="D846" s="1" t="s">
        <v>219</v>
      </c>
      <c r="E846" s="7">
        <v>0.75</v>
      </c>
      <c r="F846" s="3">
        <v>1.67</v>
      </c>
      <c r="G846" s="1" t="s">
        <v>11</v>
      </c>
      <c r="H846" s="1" t="s">
        <v>1173</v>
      </c>
      <c r="I846" s="2" t="s">
        <v>1154</v>
      </c>
    </row>
    <row r="847" spans="1:9">
      <c r="A847" s="6">
        <v>43468</v>
      </c>
      <c r="B847" s="3" t="s">
        <v>767</v>
      </c>
      <c r="C847" s="3" t="s">
        <v>738</v>
      </c>
      <c r="D847" s="1" t="s">
        <v>446</v>
      </c>
      <c r="E847" s="7">
        <v>0.75</v>
      </c>
      <c r="F847" s="3">
        <v>1.67</v>
      </c>
      <c r="G847" s="1" t="s">
        <v>11</v>
      </c>
      <c r="H847" s="1" t="s">
        <v>1184</v>
      </c>
      <c r="I847" s="2" t="s">
        <v>1153</v>
      </c>
    </row>
    <row r="848" spans="1:9">
      <c r="A848" s="6">
        <v>43474</v>
      </c>
      <c r="B848" s="3" t="s">
        <v>821</v>
      </c>
      <c r="C848" s="3" t="s">
        <v>1126</v>
      </c>
      <c r="D848" s="1" t="s">
        <v>10</v>
      </c>
      <c r="E848" s="7">
        <v>0.75</v>
      </c>
      <c r="F848" s="3">
        <v>1.67</v>
      </c>
      <c r="G848" s="1" t="s">
        <v>11</v>
      </c>
      <c r="H848" s="1" t="s">
        <v>1175</v>
      </c>
      <c r="I848" s="3" t="s">
        <v>1152</v>
      </c>
    </row>
    <row r="849" spans="1:9">
      <c r="A849" s="6">
        <v>43432</v>
      </c>
      <c r="B849" s="3" t="s">
        <v>477</v>
      </c>
      <c r="C849" s="3" t="s">
        <v>328</v>
      </c>
      <c r="D849" s="1" t="s">
        <v>289</v>
      </c>
      <c r="E849" s="7">
        <v>0.75</v>
      </c>
      <c r="F849" s="3">
        <v>1.65</v>
      </c>
      <c r="G849" s="1" t="s">
        <v>11</v>
      </c>
      <c r="H849" s="1" t="s">
        <v>1180</v>
      </c>
      <c r="I849" s="2" t="s">
        <v>1154</v>
      </c>
    </row>
    <row r="850" spans="1:9">
      <c r="A850" s="6">
        <v>43434</v>
      </c>
      <c r="B850" s="3" t="s">
        <v>73</v>
      </c>
      <c r="C850" s="3" t="s">
        <v>517</v>
      </c>
      <c r="D850" s="1" t="s">
        <v>74</v>
      </c>
      <c r="E850" s="7">
        <v>0.75</v>
      </c>
      <c r="F850" s="3">
        <v>1.65</v>
      </c>
      <c r="G850" s="1" t="s">
        <v>11</v>
      </c>
      <c r="H850" s="1" t="s">
        <v>1175</v>
      </c>
      <c r="I850" s="2" t="s">
        <v>1152</v>
      </c>
    </row>
    <row r="851" spans="1:9">
      <c r="A851" s="6">
        <v>43435</v>
      </c>
      <c r="B851" s="3" t="s">
        <v>549</v>
      </c>
      <c r="C851" s="3" t="s">
        <v>186</v>
      </c>
      <c r="D851" s="1" t="s">
        <v>59</v>
      </c>
      <c r="E851" s="7">
        <v>0.75</v>
      </c>
      <c r="F851" s="3">
        <v>1.65</v>
      </c>
      <c r="G851" s="1" t="s">
        <v>11</v>
      </c>
      <c r="H851" s="1" t="s">
        <v>1188</v>
      </c>
      <c r="I851" s="2" t="s">
        <v>1153</v>
      </c>
    </row>
    <row r="852" spans="1:9">
      <c r="A852" s="6">
        <v>43435</v>
      </c>
      <c r="B852" s="3" t="s">
        <v>568</v>
      </c>
      <c r="C852" s="3" t="s">
        <v>180</v>
      </c>
      <c r="D852" s="1" t="s">
        <v>564</v>
      </c>
      <c r="E852" s="7">
        <v>0.75</v>
      </c>
      <c r="F852" s="3">
        <v>1.65</v>
      </c>
      <c r="G852" s="1" t="s">
        <v>11</v>
      </c>
      <c r="H852" s="1" t="s">
        <v>1182</v>
      </c>
      <c r="I852" s="2" t="s">
        <v>1154</v>
      </c>
    </row>
    <row r="853" spans="1:9">
      <c r="A853" s="6">
        <v>43435</v>
      </c>
      <c r="B853" s="3" t="s">
        <v>602</v>
      </c>
      <c r="C853" s="3" t="s">
        <v>603</v>
      </c>
      <c r="D853" s="1" t="s">
        <v>604</v>
      </c>
      <c r="E853" s="7">
        <v>0.75</v>
      </c>
      <c r="F853" s="3">
        <v>1.65</v>
      </c>
      <c r="G853" s="1" t="s">
        <v>11</v>
      </c>
      <c r="H853" s="1" t="s">
        <v>1182</v>
      </c>
      <c r="I853" s="2" t="s">
        <v>1154</v>
      </c>
    </row>
    <row r="854" spans="1:9">
      <c r="A854" s="6">
        <v>43436</v>
      </c>
      <c r="B854" s="3" t="s">
        <v>644</v>
      </c>
      <c r="C854" s="3" t="s">
        <v>645</v>
      </c>
      <c r="D854" s="1" t="s">
        <v>15</v>
      </c>
      <c r="E854" s="7">
        <v>0.75</v>
      </c>
      <c r="F854" s="3">
        <v>1.65</v>
      </c>
      <c r="G854" s="1" t="s">
        <v>22</v>
      </c>
      <c r="H854" s="1" t="s">
        <v>1176</v>
      </c>
      <c r="I854" s="2" t="s">
        <v>1154</v>
      </c>
    </row>
    <row r="855" spans="1:9">
      <c r="A855" s="6">
        <v>43436</v>
      </c>
      <c r="B855" s="3" t="s">
        <v>644</v>
      </c>
      <c r="C855" s="3" t="s">
        <v>645</v>
      </c>
      <c r="D855" s="1" t="s">
        <v>15</v>
      </c>
      <c r="E855" s="7">
        <v>0.75</v>
      </c>
      <c r="F855" s="3">
        <v>1.65</v>
      </c>
      <c r="G855" s="1" t="s">
        <v>22</v>
      </c>
      <c r="H855" s="1" t="s">
        <v>1176</v>
      </c>
      <c r="I855" s="2" t="s">
        <v>1154</v>
      </c>
    </row>
    <row r="856" spans="1:9">
      <c r="A856" s="6">
        <v>43442</v>
      </c>
      <c r="B856" s="3" t="s">
        <v>856</v>
      </c>
      <c r="C856" s="3" t="s">
        <v>857</v>
      </c>
      <c r="D856" s="1" t="s">
        <v>858</v>
      </c>
      <c r="E856" s="7">
        <v>0.75</v>
      </c>
      <c r="F856" s="3">
        <v>1.65</v>
      </c>
      <c r="G856" s="1" t="s">
        <v>11</v>
      </c>
      <c r="H856" s="1" t="s">
        <v>1177</v>
      </c>
      <c r="I856" s="2" t="s">
        <v>1154</v>
      </c>
    </row>
    <row r="857" spans="1:9">
      <c r="A857" s="6">
        <v>43443</v>
      </c>
      <c r="B857" s="3" t="s">
        <v>877</v>
      </c>
      <c r="C857" s="3" t="s">
        <v>878</v>
      </c>
      <c r="D857" s="1" t="s">
        <v>374</v>
      </c>
      <c r="E857" s="7">
        <v>0.75</v>
      </c>
      <c r="F857" s="3">
        <v>1.65</v>
      </c>
      <c r="G857" s="1" t="s">
        <v>11</v>
      </c>
      <c r="H857" s="1" t="s">
        <v>1172</v>
      </c>
      <c r="I857" s="2" t="s">
        <v>1154</v>
      </c>
    </row>
    <row r="858" spans="1:9">
      <c r="A858" s="6">
        <v>43455</v>
      </c>
      <c r="B858" s="3" t="s">
        <v>1055</v>
      </c>
      <c r="C858" s="3" t="s">
        <v>1056</v>
      </c>
      <c r="D858" s="1" t="s">
        <v>1057</v>
      </c>
      <c r="E858" s="7">
        <v>0.75</v>
      </c>
      <c r="F858" s="3">
        <v>1.65</v>
      </c>
      <c r="G858" s="1" t="s">
        <v>11</v>
      </c>
      <c r="H858" s="1" t="s">
        <v>1177</v>
      </c>
      <c r="I858" s="2" t="s">
        <v>1154</v>
      </c>
    </row>
    <row r="859" spans="1:9">
      <c r="A859" s="6">
        <v>43457</v>
      </c>
      <c r="B859" s="3" t="s">
        <v>154</v>
      </c>
      <c r="C859" s="3" t="s">
        <v>717</v>
      </c>
      <c r="D859" s="1" t="s">
        <v>156</v>
      </c>
      <c r="E859" s="7">
        <v>0.75</v>
      </c>
      <c r="F859" s="3">
        <v>1.65</v>
      </c>
      <c r="G859" s="1" t="s">
        <v>22</v>
      </c>
      <c r="H859" s="1" t="s">
        <v>1175</v>
      </c>
      <c r="I859" s="2" t="s">
        <v>1152</v>
      </c>
    </row>
    <row r="860" spans="1:9">
      <c r="A860" s="6">
        <v>43463</v>
      </c>
      <c r="B860" s="3" t="s">
        <v>572</v>
      </c>
      <c r="C860" s="3" t="s">
        <v>172</v>
      </c>
      <c r="D860" s="1" t="s">
        <v>571</v>
      </c>
      <c r="E860" s="7">
        <v>0.75</v>
      </c>
      <c r="F860" s="3">
        <v>1.65</v>
      </c>
      <c r="G860" s="1" t="s">
        <v>11</v>
      </c>
      <c r="H860" s="1" t="s">
        <v>1177</v>
      </c>
      <c r="I860" s="2" t="s">
        <v>1154</v>
      </c>
    </row>
    <row r="861" spans="1:9">
      <c r="A861" s="6">
        <v>43465</v>
      </c>
      <c r="B861" s="3" t="s">
        <v>313</v>
      </c>
      <c r="C861" s="3" t="s">
        <v>312</v>
      </c>
      <c r="D861" s="1" t="s">
        <v>314</v>
      </c>
      <c r="E861" s="7">
        <v>0.75</v>
      </c>
      <c r="F861" s="3">
        <v>1.65</v>
      </c>
      <c r="G861" s="1" t="s">
        <v>22</v>
      </c>
      <c r="H861" s="1" t="s">
        <v>1193</v>
      </c>
      <c r="I861" s="2" t="s">
        <v>1154</v>
      </c>
    </row>
    <row r="862" spans="1:9">
      <c r="A862" s="6">
        <v>43429</v>
      </c>
      <c r="B862" s="3" t="s">
        <v>347</v>
      </c>
      <c r="C862" s="3" t="s">
        <v>348</v>
      </c>
      <c r="D862" s="1" t="s">
        <v>103</v>
      </c>
      <c r="E862" s="7">
        <v>0.75</v>
      </c>
      <c r="F862" s="3">
        <v>1.63</v>
      </c>
      <c r="G862" s="1" t="s">
        <v>11</v>
      </c>
      <c r="H862" s="1" t="s">
        <v>1183</v>
      </c>
      <c r="I862" s="2" t="s">
        <v>1153</v>
      </c>
    </row>
    <row r="863" spans="1:9">
      <c r="A863" s="6">
        <v>43429</v>
      </c>
      <c r="B863" s="3" t="s">
        <v>396</v>
      </c>
      <c r="C863" s="3" t="s">
        <v>397</v>
      </c>
      <c r="D863" s="1" t="s">
        <v>398</v>
      </c>
      <c r="E863" s="7">
        <v>0.75</v>
      </c>
      <c r="F863" s="3">
        <v>1.63</v>
      </c>
      <c r="G863" s="1" t="s">
        <v>11</v>
      </c>
      <c r="H863" s="1" t="s">
        <v>1180</v>
      </c>
      <c r="I863" s="2" t="s">
        <v>1154</v>
      </c>
    </row>
    <row r="864" spans="1:9">
      <c r="A864" s="6">
        <v>43435</v>
      </c>
      <c r="B864" s="3" t="s">
        <v>541</v>
      </c>
      <c r="C864" s="3" t="s">
        <v>542</v>
      </c>
      <c r="D864" s="1" t="s">
        <v>543</v>
      </c>
      <c r="E864" s="7">
        <v>0.75</v>
      </c>
      <c r="F864" s="3">
        <v>1.63</v>
      </c>
      <c r="G864" s="1" t="s">
        <v>11</v>
      </c>
      <c r="H864" s="1" t="s">
        <v>1172</v>
      </c>
      <c r="I864" s="2" t="s">
        <v>1154</v>
      </c>
    </row>
    <row r="865" spans="1:9">
      <c r="A865" s="6">
        <v>43441</v>
      </c>
      <c r="B865" s="3" t="s">
        <v>788</v>
      </c>
      <c r="C865" s="3" t="s">
        <v>313</v>
      </c>
      <c r="D865" s="1" t="s">
        <v>314</v>
      </c>
      <c r="E865" s="7">
        <v>0.75</v>
      </c>
      <c r="F865" s="3">
        <v>1.63</v>
      </c>
      <c r="G865" s="1" t="s">
        <v>11</v>
      </c>
      <c r="H865" s="1" t="s">
        <v>1177</v>
      </c>
      <c r="I865" s="2" t="s">
        <v>1154</v>
      </c>
    </row>
    <row r="866" spans="1:9">
      <c r="A866" s="6">
        <v>43441</v>
      </c>
      <c r="B866" s="3" t="s">
        <v>795</v>
      </c>
      <c r="C866" s="3" t="s">
        <v>38</v>
      </c>
      <c r="D866" s="1" t="s">
        <v>36</v>
      </c>
      <c r="E866" s="7">
        <v>0.75</v>
      </c>
      <c r="F866" s="3">
        <v>1.63</v>
      </c>
      <c r="G866" s="1" t="s">
        <v>11</v>
      </c>
      <c r="H866" s="1" t="s">
        <v>1185</v>
      </c>
      <c r="I866" s="2" t="s">
        <v>1152</v>
      </c>
    </row>
    <row r="867" spans="1:9">
      <c r="A867" s="6">
        <v>43442</v>
      </c>
      <c r="B867" s="3" t="s">
        <v>847</v>
      </c>
      <c r="C867" s="3" t="s">
        <v>848</v>
      </c>
      <c r="D867" s="1" t="s">
        <v>849</v>
      </c>
      <c r="E867" s="7">
        <v>0.75</v>
      </c>
      <c r="F867" s="3">
        <v>1.63</v>
      </c>
      <c r="G867" s="1" t="s">
        <v>11</v>
      </c>
      <c r="H867" s="1" t="s">
        <v>1200</v>
      </c>
      <c r="I867" s="2" t="s">
        <v>1154</v>
      </c>
    </row>
    <row r="868" spans="1:9">
      <c r="A868" s="6">
        <v>43443</v>
      </c>
      <c r="B868" s="3" t="s">
        <v>894</v>
      </c>
      <c r="C868" s="3" t="s">
        <v>895</v>
      </c>
      <c r="D868" s="1" t="s">
        <v>308</v>
      </c>
      <c r="E868" s="7">
        <v>0.75</v>
      </c>
      <c r="F868" s="3">
        <v>1.63</v>
      </c>
      <c r="G868" s="1" t="s">
        <v>11</v>
      </c>
      <c r="H868" s="1" t="s">
        <v>1177</v>
      </c>
      <c r="I868" s="2" t="s">
        <v>1154</v>
      </c>
    </row>
    <row r="869" spans="1:9">
      <c r="A869" s="6">
        <v>43449</v>
      </c>
      <c r="B869" s="3" t="s">
        <v>946</v>
      </c>
      <c r="C869" s="3" t="s">
        <v>947</v>
      </c>
      <c r="D869" s="1" t="s">
        <v>443</v>
      </c>
      <c r="E869" s="7">
        <v>0.75</v>
      </c>
      <c r="F869" s="3">
        <v>1.63</v>
      </c>
      <c r="G869" s="1" t="s">
        <v>11</v>
      </c>
      <c r="H869" s="1" t="s">
        <v>1182</v>
      </c>
      <c r="I869" s="2" t="s">
        <v>1154</v>
      </c>
    </row>
    <row r="870" spans="1:9">
      <c r="A870" s="6">
        <v>43451</v>
      </c>
      <c r="B870" s="3" t="s">
        <v>1004</v>
      </c>
      <c r="C870" s="3" t="s">
        <v>779</v>
      </c>
      <c r="D870" s="1" t="s">
        <v>674</v>
      </c>
      <c r="E870" s="7">
        <v>0.75</v>
      </c>
      <c r="F870" s="3">
        <v>1.63</v>
      </c>
      <c r="G870" s="1" t="s">
        <v>11</v>
      </c>
      <c r="H870" s="1" t="s">
        <v>1179</v>
      </c>
      <c r="I870" s="2" t="s">
        <v>1152</v>
      </c>
    </row>
    <row r="871" spans="1:9">
      <c r="A871" s="6">
        <v>43453</v>
      </c>
      <c r="B871" s="3" t="s">
        <v>1035</v>
      </c>
      <c r="C871" s="3" t="s">
        <v>1036</v>
      </c>
      <c r="D871" s="1" t="s">
        <v>1037</v>
      </c>
      <c r="E871" s="7">
        <v>0.75</v>
      </c>
      <c r="F871" s="3">
        <v>1.63</v>
      </c>
      <c r="G871" s="1" t="s">
        <v>22</v>
      </c>
      <c r="H871" s="1" t="s">
        <v>1190</v>
      </c>
      <c r="I871" s="2" t="s">
        <v>1153</v>
      </c>
    </row>
    <row r="872" spans="1:9">
      <c r="A872" s="6">
        <v>43456</v>
      </c>
      <c r="B872" s="3" t="s">
        <v>437</v>
      </c>
      <c r="C872" s="3" t="s">
        <v>642</v>
      </c>
      <c r="D872" s="1" t="s">
        <v>219</v>
      </c>
      <c r="E872" s="7">
        <v>0.75</v>
      </c>
      <c r="F872" s="3">
        <v>1.63</v>
      </c>
      <c r="G872" s="1" t="s">
        <v>11</v>
      </c>
      <c r="H872" s="1" t="s">
        <v>1173</v>
      </c>
      <c r="I872" s="2" t="s">
        <v>1154</v>
      </c>
    </row>
    <row r="873" spans="1:9">
      <c r="A873" s="6">
        <v>43457</v>
      </c>
      <c r="B873" s="3" t="s">
        <v>75</v>
      </c>
      <c r="C873" s="3" t="s">
        <v>618</v>
      </c>
      <c r="D873" s="1" t="s">
        <v>77</v>
      </c>
      <c r="E873" s="7">
        <v>0.75</v>
      </c>
      <c r="F873" s="3">
        <v>1.63</v>
      </c>
      <c r="G873" s="1" t="s">
        <v>11</v>
      </c>
      <c r="H873" s="1" t="s">
        <v>1198</v>
      </c>
      <c r="I873" s="2" t="s">
        <v>1154</v>
      </c>
    </row>
    <row r="874" spans="1:9">
      <c r="A874" s="6">
        <v>43459</v>
      </c>
      <c r="B874" s="3" t="s">
        <v>1083</v>
      </c>
      <c r="C874" s="3" t="s">
        <v>673</v>
      </c>
      <c r="D874" s="1" t="s">
        <v>674</v>
      </c>
      <c r="E874" s="7">
        <v>0.75</v>
      </c>
      <c r="F874" s="3">
        <v>1.63</v>
      </c>
      <c r="G874" s="1" t="s">
        <v>11</v>
      </c>
      <c r="H874" s="1" t="s">
        <v>1198</v>
      </c>
      <c r="I874" s="2" t="s">
        <v>1154</v>
      </c>
    </row>
    <row r="875" spans="1:9">
      <c r="A875" s="6">
        <v>43429</v>
      </c>
      <c r="B875" s="3" t="s">
        <v>334</v>
      </c>
      <c r="C875" s="3" t="s">
        <v>335</v>
      </c>
      <c r="D875" s="1" t="s">
        <v>336</v>
      </c>
      <c r="E875" s="7">
        <v>0.75</v>
      </c>
      <c r="F875" s="3">
        <v>1.61</v>
      </c>
      <c r="G875" s="1" t="s">
        <v>22</v>
      </c>
      <c r="H875" s="1" t="s">
        <v>1193</v>
      </c>
      <c r="I875" s="2" t="s">
        <v>1154</v>
      </c>
    </row>
    <row r="876" spans="1:9">
      <c r="A876" s="6">
        <v>43435</v>
      </c>
      <c r="B876" s="3" t="s">
        <v>115</v>
      </c>
      <c r="C876" s="3" t="s">
        <v>46</v>
      </c>
      <c r="D876" s="1" t="s">
        <v>48</v>
      </c>
      <c r="E876" s="7">
        <v>0.75</v>
      </c>
      <c r="F876" s="3">
        <v>1.61</v>
      </c>
      <c r="G876" s="1" t="s">
        <v>22</v>
      </c>
      <c r="H876" s="1" t="s">
        <v>1184</v>
      </c>
      <c r="I876" s="2" t="s">
        <v>1154</v>
      </c>
    </row>
    <row r="877" spans="1:9">
      <c r="A877" s="6">
        <v>43435</v>
      </c>
      <c r="B877" s="3" t="s">
        <v>605</v>
      </c>
      <c r="C877" s="3" t="s">
        <v>606</v>
      </c>
      <c r="D877" s="1" t="s">
        <v>408</v>
      </c>
      <c r="E877" s="7">
        <v>0.75</v>
      </c>
      <c r="F877" s="3">
        <v>1.61</v>
      </c>
      <c r="G877" s="1" t="s">
        <v>11</v>
      </c>
      <c r="H877" s="1" t="s">
        <v>1185</v>
      </c>
      <c r="I877" s="2" t="s">
        <v>1152</v>
      </c>
    </row>
    <row r="878" spans="1:9">
      <c r="A878" s="6">
        <v>43448</v>
      </c>
      <c r="B878" s="3" t="s">
        <v>40</v>
      </c>
      <c r="C878" s="3" t="s">
        <v>42</v>
      </c>
      <c r="D878" s="1" t="s">
        <v>36</v>
      </c>
      <c r="E878" s="7">
        <v>0.75</v>
      </c>
      <c r="F878" s="3">
        <v>1.61</v>
      </c>
      <c r="G878" s="1" t="s">
        <v>11</v>
      </c>
      <c r="H878" s="1" t="s">
        <v>1175</v>
      </c>
      <c r="I878" s="2" t="s">
        <v>1152</v>
      </c>
    </row>
    <row r="879" spans="1:9">
      <c r="A879" s="6">
        <v>43449</v>
      </c>
      <c r="B879" s="3" t="s">
        <v>557</v>
      </c>
      <c r="C879" s="3" t="s">
        <v>944</v>
      </c>
      <c r="D879" s="1" t="s">
        <v>559</v>
      </c>
      <c r="E879" s="7">
        <v>0.75</v>
      </c>
      <c r="F879" s="3">
        <v>1.61</v>
      </c>
      <c r="G879" s="1" t="s">
        <v>11</v>
      </c>
      <c r="H879" s="1" t="s">
        <v>1194</v>
      </c>
      <c r="I879" s="2" t="s">
        <v>1154</v>
      </c>
    </row>
    <row r="880" spans="1:9">
      <c r="A880" s="6">
        <v>43449</v>
      </c>
      <c r="B880" s="3" t="s">
        <v>957</v>
      </c>
      <c r="C880" s="3" t="s">
        <v>958</v>
      </c>
      <c r="D880" s="1" t="s">
        <v>559</v>
      </c>
      <c r="E880" s="7">
        <v>0.75</v>
      </c>
      <c r="F880" s="3">
        <v>1.61</v>
      </c>
      <c r="G880" s="1" t="s">
        <v>11</v>
      </c>
      <c r="H880" s="1" t="s">
        <v>12</v>
      </c>
    </row>
    <row r="881" spans="1:9">
      <c r="A881" s="6">
        <v>43449</v>
      </c>
      <c r="B881" s="3" t="s">
        <v>957</v>
      </c>
      <c r="C881" s="3" t="s">
        <v>958</v>
      </c>
      <c r="D881" s="1" t="s">
        <v>559</v>
      </c>
      <c r="E881" s="7">
        <v>0.75</v>
      </c>
      <c r="F881" s="3">
        <v>1.61</v>
      </c>
      <c r="G881" s="1" t="s">
        <v>11</v>
      </c>
      <c r="H881" s="1" t="s">
        <v>12</v>
      </c>
    </row>
    <row r="882" spans="1:9">
      <c r="A882" s="6">
        <v>43449</v>
      </c>
      <c r="B882" s="3" t="s">
        <v>557</v>
      </c>
      <c r="C882" s="3" t="s">
        <v>944</v>
      </c>
      <c r="D882" s="1" t="s">
        <v>559</v>
      </c>
      <c r="E882" s="7">
        <v>0.75</v>
      </c>
      <c r="F882" s="3">
        <v>1.61</v>
      </c>
      <c r="G882" s="1" t="s">
        <v>11</v>
      </c>
      <c r="H882" s="1" t="s">
        <v>1194</v>
      </c>
      <c r="I882" s="2" t="s">
        <v>1154</v>
      </c>
    </row>
    <row r="883" spans="1:9">
      <c r="A883" s="6">
        <v>43450</v>
      </c>
      <c r="B883" s="3" t="s">
        <v>372</v>
      </c>
      <c r="C883" s="3" t="s">
        <v>886</v>
      </c>
      <c r="D883" s="1" t="s">
        <v>374</v>
      </c>
      <c r="E883" s="7">
        <v>0.75</v>
      </c>
      <c r="F883" s="3">
        <v>1.61</v>
      </c>
      <c r="G883" s="1" t="s">
        <v>11</v>
      </c>
      <c r="H883" s="1" t="s">
        <v>1180</v>
      </c>
      <c r="I883" s="2" t="s">
        <v>1154</v>
      </c>
    </row>
    <row r="884" spans="1:9">
      <c r="A884" s="6">
        <v>43454</v>
      </c>
      <c r="B884" s="3" t="s">
        <v>1050</v>
      </c>
      <c r="C884" s="3" t="s">
        <v>1051</v>
      </c>
      <c r="D884" s="1" t="s">
        <v>1013</v>
      </c>
      <c r="E884" s="7">
        <v>0.75</v>
      </c>
      <c r="F884" s="3">
        <v>1.61</v>
      </c>
      <c r="G884" s="1" t="s">
        <v>22</v>
      </c>
      <c r="H884" s="1" t="s">
        <v>1186</v>
      </c>
      <c r="I884" s="2" t="s">
        <v>1153</v>
      </c>
    </row>
    <row r="885" spans="1:9">
      <c r="A885" s="6">
        <v>43457</v>
      </c>
      <c r="B885" s="3" t="s">
        <v>769</v>
      </c>
      <c r="C885" s="3" t="s">
        <v>373</v>
      </c>
      <c r="D885" s="1" t="s">
        <v>374</v>
      </c>
      <c r="E885" s="7">
        <v>0.75</v>
      </c>
      <c r="F885" s="3">
        <v>1.61</v>
      </c>
      <c r="G885" s="1" t="s">
        <v>11</v>
      </c>
      <c r="H885" s="1" t="s">
        <v>1180</v>
      </c>
      <c r="I885" s="2" t="s">
        <v>1154</v>
      </c>
    </row>
    <row r="886" spans="1:9">
      <c r="A886" s="6">
        <v>43460</v>
      </c>
      <c r="B886" s="3" t="s">
        <v>947</v>
      </c>
      <c r="C886" s="3" t="s">
        <v>761</v>
      </c>
      <c r="D886" s="1" t="s">
        <v>443</v>
      </c>
      <c r="E886" s="7">
        <v>0.75</v>
      </c>
      <c r="F886" s="3">
        <v>1.61</v>
      </c>
      <c r="G886" s="1" t="s">
        <v>22</v>
      </c>
      <c r="H886" s="1" t="s">
        <v>1184</v>
      </c>
      <c r="I886" s="2" t="s">
        <v>1154</v>
      </c>
    </row>
    <row r="887" spans="1:9">
      <c r="A887" s="6">
        <v>43466</v>
      </c>
      <c r="B887" s="3" t="s">
        <v>1090</v>
      </c>
      <c r="C887" s="3" t="s">
        <v>947</v>
      </c>
      <c r="D887" s="1" t="s">
        <v>443</v>
      </c>
      <c r="E887" s="7">
        <v>0.75</v>
      </c>
      <c r="F887" s="3">
        <v>1.61</v>
      </c>
      <c r="G887" s="1" t="s">
        <v>11</v>
      </c>
      <c r="H887" s="1" t="s">
        <v>1184</v>
      </c>
      <c r="I887" s="2" t="s">
        <v>1153</v>
      </c>
    </row>
    <row r="888" spans="1:9">
      <c r="A888" s="6">
        <v>43467</v>
      </c>
      <c r="B888" s="3" t="s">
        <v>1065</v>
      </c>
      <c r="C888" s="3" t="s">
        <v>1128</v>
      </c>
      <c r="D888" s="1" t="s">
        <v>314</v>
      </c>
      <c r="E888" s="7">
        <v>0.75</v>
      </c>
      <c r="F888" s="3">
        <v>1.61</v>
      </c>
      <c r="G888" s="1" t="s">
        <v>11</v>
      </c>
      <c r="H888" s="1" t="s">
        <v>1185</v>
      </c>
      <c r="I888" s="2" t="s">
        <v>1152</v>
      </c>
    </row>
    <row r="889" spans="1:9">
      <c r="A889" s="6">
        <v>43469</v>
      </c>
      <c r="B889" s="3" t="s">
        <v>780</v>
      </c>
      <c r="C889" s="3" t="s">
        <v>1131</v>
      </c>
      <c r="D889" s="1" t="s">
        <v>674</v>
      </c>
      <c r="E889" s="7">
        <v>0.75</v>
      </c>
      <c r="F889" s="3">
        <v>1.61</v>
      </c>
      <c r="G889" s="1" t="s">
        <v>11</v>
      </c>
      <c r="H889" s="1" t="s">
        <v>1175</v>
      </c>
      <c r="I889" s="2" t="s">
        <v>1152</v>
      </c>
    </row>
    <row r="890" spans="1:9">
      <c r="A890" s="6">
        <v>43428</v>
      </c>
      <c r="B890" s="3" t="s">
        <v>172</v>
      </c>
      <c r="C890" s="3" t="s">
        <v>173</v>
      </c>
      <c r="D890" s="1" t="s">
        <v>141</v>
      </c>
      <c r="E890" s="7">
        <v>0.75</v>
      </c>
      <c r="F890" s="3">
        <v>1.59</v>
      </c>
      <c r="G890" s="1" t="s">
        <v>22</v>
      </c>
      <c r="H890" s="1" t="s">
        <v>1183</v>
      </c>
      <c r="I890" s="2" t="s">
        <v>1154</v>
      </c>
    </row>
    <row r="891" spans="1:9">
      <c r="A891" s="6">
        <v>43428</v>
      </c>
      <c r="B891" s="3" t="s">
        <v>189</v>
      </c>
      <c r="C891" s="3" t="s">
        <v>190</v>
      </c>
      <c r="D891" s="1" t="s">
        <v>191</v>
      </c>
      <c r="E891" s="7">
        <v>0.75</v>
      </c>
      <c r="F891" s="3">
        <v>1.59</v>
      </c>
      <c r="G891" s="1" t="s">
        <v>11</v>
      </c>
      <c r="H891" s="1" t="s">
        <v>1178</v>
      </c>
      <c r="I891" s="2" t="s">
        <v>1153</v>
      </c>
    </row>
    <row r="892" spans="1:9">
      <c r="A892" s="6">
        <v>43428</v>
      </c>
      <c r="B892" s="3" t="s">
        <v>222</v>
      </c>
      <c r="C892" s="3" t="s">
        <v>223</v>
      </c>
      <c r="D892" s="1" t="s">
        <v>141</v>
      </c>
      <c r="E892" s="7">
        <v>0.75</v>
      </c>
      <c r="F892" s="3">
        <v>1.59</v>
      </c>
      <c r="G892" s="1" t="s">
        <v>11</v>
      </c>
      <c r="H892" s="1" t="s">
        <v>1182</v>
      </c>
      <c r="I892" s="2" t="s">
        <v>1154</v>
      </c>
    </row>
    <row r="893" spans="1:9">
      <c r="A893" s="6">
        <v>43429</v>
      </c>
      <c r="B893" s="3" t="s">
        <v>337</v>
      </c>
      <c r="C893" s="3" t="s">
        <v>338</v>
      </c>
      <c r="D893" s="1" t="s">
        <v>255</v>
      </c>
      <c r="E893" s="7">
        <v>0.75</v>
      </c>
      <c r="F893" s="3">
        <v>1.59</v>
      </c>
      <c r="G893" s="1" t="s">
        <v>22</v>
      </c>
      <c r="H893" s="1" t="s">
        <v>1193</v>
      </c>
      <c r="I893" s="2" t="s">
        <v>1154</v>
      </c>
    </row>
    <row r="894" spans="1:9">
      <c r="A894" s="6">
        <v>43432</v>
      </c>
      <c r="B894" s="3" t="s">
        <v>482</v>
      </c>
      <c r="C894" s="3" t="s">
        <v>483</v>
      </c>
      <c r="D894" s="1" t="s">
        <v>449</v>
      </c>
      <c r="E894" s="7">
        <v>0.75</v>
      </c>
      <c r="F894" s="3">
        <v>1.59</v>
      </c>
      <c r="G894" s="1" t="s">
        <v>11</v>
      </c>
      <c r="H894" s="1" t="s">
        <v>1173</v>
      </c>
      <c r="I894" s="2" t="s">
        <v>1154</v>
      </c>
    </row>
    <row r="895" spans="1:9">
      <c r="A895" s="6">
        <v>43436</v>
      </c>
      <c r="B895" s="3" t="s">
        <v>350</v>
      </c>
      <c r="C895" s="3" t="s">
        <v>111</v>
      </c>
      <c r="D895" s="1" t="s">
        <v>113</v>
      </c>
      <c r="E895" s="7">
        <v>0.75</v>
      </c>
      <c r="F895" s="3">
        <v>1.59</v>
      </c>
      <c r="G895" s="1" t="s">
        <v>22</v>
      </c>
      <c r="H895" s="1" t="s">
        <v>1180</v>
      </c>
      <c r="I895" s="2" t="s">
        <v>1153</v>
      </c>
    </row>
    <row r="896" spans="1:9">
      <c r="A896" s="6">
        <v>43466</v>
      </c>
      <c r="B896" s="3" t="s">
        <v>204</v>
      </c>
      <c r="C896" s="3" t="s">
        <v>1123</v>
      </c>
      <c r="D896" s="1" t="s">
        <v>191</v>
      </c>
      <c r="E896" s="7">
        <v>0.75</v>
      </c>
      <c r="F896" s="3">
        <v>1.59</v>
      </c>
      <c r="G896" s="1" t="s">
        <v>11</v>
      </c>
      <c r="H896" s="1" t="s">
        <v>1176</v>
      </c>
      <c r="I896" s="2" t="s">
        <v>1153</v>
      </c>
    </row>
    <row r="897" spans="1:9">
      <c r="A897" s="6">
        <v>43470</v>
      </c>
      <c r="B897" s="3" t="s">
        <v>387</v>
      </c>
      <c r="C897" s="3" t="s">
        <v>965</v>
      </c>
      <c r="D897" s="1" t="s">
        <v>571</v>
      </c>
      <c r="E897" s="7">
        <v>0.75</v>
      </c>
      <c r="F897" s="3">
        <v>1.59</v>
      </c>
      <c r="G897" s="1" t="s">
        <v>11</v>
      </c>
      <c r="H897" s="1" t="s">
        <v>1176</v>
      </c>
      <c r="I897" s="2" t="s">
        <v>1153</v>
      </c>
    </row>
    <row r="898" spans="1:9">
      <c r="A898" s="6">
        <v>43427</v>
      </c>
      <c r="B898" s="3" t="s">
        <v>34</v>
      </c>
      <c r="C898" s="3" t="s">
        <v>35</v>
      </c>
      <c r="D898" s="1" t="s">
        <v>36</v>
      </c>
      <c r="E898" s="7">
        <v>0.75</v>
      </c>
      <c r="F898" s="3">
        <v>1.57</v>
      </c>
      <c r="G898" s="1" t="s">
        <v>11</v>
      </c>
      <c r="H898" s="1" t="s">
        <v>1175</v>
      </c>
      <c r="I898" s="2" t="s">
        <v>1152</v>
      </c>
    </row>
    <row r="899" spans="1:9">
      <c r="A899" s="6">
        <v>43428</v>
      </c>
      <c r="B899" s="3" t="s">
        <v>134</v>
      </c>
      <c r="C899" s="3" t="s">
        <v>135</v>
      </c>
      <c r="D899" s="1" t="s">
        <v>51</v>
      </c>
      <c r="E899" s="7">
        <v>0.75</v>
      </c>
      <c r="F899" s="3">
        <v>1.56</v>
      </c>
      <c r="G899" s="1" t="s">
        <v>22</v>
      </c>
      <c r="H899" s="1" t="s">
        <v>1184</v>
      </c>
      <c r="I899" s="2" t="s">
        <v>1154</v>
      </c>
    </row>
    <row r="900" spans="1:9">
      <c r="A900" s="6">
        <v>43473</v>
      </c>
      <c r="B900" s="3" t="s">
        <v>1027</v>
      </c>
      <c r="C900" s="3" t="s">
        <v>1028</v>
      </c>
      <c r="D900" s="1" t="s">
        <v>201</v>
      </c>
      <c r="E900" s="7">
        <v>0.75</v>
      </c>
      <c r="F900" s="3">
        <v>1.56</v>
      </c>
      <c r="G900" s="1" t="s">
        <v>22</v>
      </c>
      <c r="H900" s="1" t="s">
        <v>1178</v>
      </c>
      <c r="I900" s="2" t="s">
        <v>1154</v>
      </c>
    </row>
    <row r="901" spans="1:9">
      <c r="A901" s="6">
        <v>43476</v>
      </c>
      <c r="B901" s="3" t="s">
        <v>1579</v>
      </c>
      <c r="C901" s="3" t="s">
        <v>1580</v>
      </c>
      <c r="D901" s="1" t="s">
        <v>1576</v>
      </c>
      <c r="E901" s="7">
        <v>0.75</v>
      </c>
      <c r="F901" s="3">
        <v>1.56</v>
      </c>
      <c r="G901" s="1" t="s">
        <v>11</v>
      </c>
      <c r="H901" s="1" t="s">
        <v>1180</v>
      </c>
      <c r="I901" s="3" t="s">
        <v>1154</v>
      </c>
    </row>
    <row r="902" spans="1:9">
      <c r="A902" s="6">
        <v>43428</v>
      </c>
      <c r="B902" s="3" t="s">
        <v>157</v>
      </c>
      <c r="C902" s="3" t="s">
        <v>158</v>
      </c>
      <c r="D902" s="1" t="s">
        <v>159</v>
      </c>
      <c r="E902" s="7">
        <v>0.75</v>
      </c>
      <c r="F902" s="3">
        <v>1.54</v>
      </c>
      <c r="G902" s="1" t="s">
        <v>22</v>
      </c>
      <c r="H902" s="1" t="s">
        <v>1183</v>
      </c>
      <c r="I902" s="2" t="s">
        <v>1154</v>
      </c>
    </row>
    <row r="903" spans="1:9">
      <c r="A903" s="6">
        <v>43448</v>
      </c>
      <c r="B903" s="3" t="s">
        <v>509</v>
      </c>
      <c r="C903" s="3" t="s">
        <v>686</v>
      </c>
      <c r="D903" s="1" t="s">
        <v>128</v>
      </c>
      <c r="E903" s="7">
        <v>0.75</v>
      </c>
      <c r="F903" s="3">
        <v>1.54</v>
      </c>
      <c r="G903" s="1" t="s">
        <v>11</v>
      </c>
      <c r="H903" s="1" t="s">
        <v>1172</v>
      </c>
      <c r="I903" s="2" t="s">
        <v>1154</v>
      </c>
    </row>
    <row r="904" spans="1:9">
      <c r="A904" s="6">
        <v>43460</v>
      </c>
      <c r="B904" s="3" t="s">
        <v>1085</v>
      </c>
      <c r="C904" s="3" t="s">
        <v>1086</v>
      </c>
      <c r="D904" s="1" t="s">
        <v>191</v>
      </c>
      <c r="E904" s="7">
        <v>0.75</v>
      </c>
      <c r="F904" s="3">
        <v>1.54</v>
      </c>
      <c r="G904" s="1" t="s">
        <v>11</v>
      </c>
      <c r="H904" s="1" t="s">
        <v>1172</v>
      </c>
      <c r="I904" s="2" t="s">
        <v>1154</v>
      </c>
    </row>
    <row r="905" spans="1:9">
      <c r="A905" s="6">
        <v>43435</v>
      </c>
      <c r="B905" s="3" t="s">
        <v>544</v>
      </c>
      <c r="C905" s="3" t="s">
        <v>322</v>
      </c>
      <c r="D905" s="1" t="s">
        <v>323</v>
      </c>
      <c r="E905" s="7">
        <v>0.75</v>
      </c>
      <c r="F905" s="3">
        <v>1.53</v>
      </c>
      <c r="G905" s="1" t="s">
        <v>11</v>
      </c>
      <c r="H905" s="1" t="s">
        <v>1175</v>
      </c>
      <c r="I905" s="2" t="s">
        <v>1152</v>
      </c>
    </row>
    <row r="906" spans="1:9">
      <c r="A906" s="6">
        <v>43429</v>
      </c>
      <c r="B906" s="3" t="s">
        <v>322</v>
      </c>
      <c r="C906" s="3" t="s">
        <v>136</v>
      </c>
      <c r="D906" s="1" t="s">
        <v>323</v>
      </c>
      <c r="E906" s="7">
        <v>0.75</v>
      </c>
      <c r="F906" s="3">
        <v>1.51</v>
      </c>
      <c r="G906" s="1" t="s">
        <v>11</v>
      </c>
      <c r="H906" s="1" t="s">
        <v>1192</v>
      </c>
      <c r="I906" s="2" t="s">
        <v>1152</v>
      </c>
    </row>
    <row r="907" spans="1:9">
      <c r="A907" s="6">
        <v>43476</v>
      </c>
      <c r="B907" s="3" t="s">
        <v>851</v>
      </c>
      <c r="C907" s="3" t="s">
        <v>1588</v>
      </c>
      <c r="D907" s="1" t="s">
        <v>1222</v>
      </c>
      <c r="E907" s="7">
        <v>0.75</v>
      </c>
      <c r="F907" s="3">
        <v>1.51</v>
      </c>
      <c r="G907" s="1" t="s">
        <v>11</v>
      </c>
      <c r="H907" s="1" t="s">
        <v>1178</v>
      </c>
      <c r="I907" s="3" t="s">
        <v>1153</v>
      </c>
    </row>
    <row r="908" spans="1:9">
      <c r="A908" s="6">
        <v>43457</v>
      </c>
      <c r="B908" s="3" t="s">
        <v>802</v>
      </c>
      <c r="C908" s="3" t="s">
        <v>1066</v>
      </c>
      <c r="D908" s="1" t="s">
        <v>804</v>
      </c>
      <c r="E908" s="7">
        <v>0.75</v>
      </c>
      <c r="F908" s="3">
        <v>1.49</v>
      </c>
      <c r="G908" s="1" t="s">
        <v>11</v>
      </c>
      <c r="H908" s="1" t="s">
        <v>1194</v>
      </c>
      <c r="I908" s="2" t="s">
        <v>1154</v>
      </c>
    </row>
    <row r="909" spans="1:9">
      <c r="A909" s="6">
        <v>43428</v>
      </c>
      <c r="B909" s="3" t="s">
        <v>96</v>
      </c>
      <c r="C909" s="3" t="s">
        <v>97</v>
      </c>
      <c r="D909" s="1" t="s">
        <v>98</v>
      </c>
      <c r="E909" s="7">
        <v>0.74</v>
      </c>
      <c r="F909" s="3">
        <v>1.69</v>
      </c>
      <c r="G909" s="1" t="s">
        <v>22</v>
      </c>
      <c r="H909" s="1" t="s">
        <v>1181</v>
      </c>
      <c r="I909" s="2" t="s">
        <v>1154</v>
      </c>
    </row>
    <row r="910" spans="1:9">
      <c r="A910" s="6">
        <v>43428</v>
      </c>
      <c r="B910" s="3" t="s">
        <v>218</v>
      </c>
      <c r="C910" s="3" t="s">
        <v>29</v>
      </c>
      <c r="D910" s="1" t="s">
        <v>219</v>
      </c>
      <c r="E910" s="7">
        <v>0.74</v>
      </c>
      <c r="F910" s="3">
        <v>1.69</v>
      </c>
      <c r="G910" s="1" t="s">
        <v>11</v>
      </c>
      <c r="H910" s="1" t="s">
        <v>1185</v>
      </c>
      <c r="I910" s="2" t="s">
        <v>1152</v>
      </c>
    </row>
    <row r="911" spans="1:9">
      <c r="A911" s="6">
        <v>43428</v>
      </c>
      <c r="B911" s="3" t="s">
        <v>249</v>
      </c>
      <c r="C911" s="3" t="s">
        <v>250</v>
      </c>
      <c r="D911" s="1" t="s">
        <v>167</v>
      </c>
      <c r="E911" s="7">
        <v>0.74</v>
      </c>
      <c r="F911" s="3">
        <v>1.69</v>
      </c>
      <c r="G911" s="1" t="s">
        <v>11</v>
      </c>
      <c r="H911" s="1" t="s">
        <v>1177</v>
      </c>
      <c r="I911" s="2" t="s">
        <v>1154</v>
      </c>
    </row>
    <row r="912" spans="1:9">
      <c r="A912" s="6">
        <v>43430</v>
      </c>
      <c r="B912" s="3" t="s">
        <v>452</v>
      </c>
      <c r="C912" s="3" t="s">
        <v>453</v>
      </c>
      <c r="D912" s="1" t="s">
        <v>454</v>
      </c>
      <c r="E912" s="7">
        <v>0.74</v>
      </c>
      <c r="F912" s="3">
        <v>1.69</v>
      </c>
      <c r="G912" s="1" t="s">
        <v>11</v>
      </c>
      <c r="H912" s="1" t="s">
        <v>1177</v>
      </c>
      <c r="I912" s="2" t="s">
        <v>1154</v>
      </c>
    </row>
    <row r="913" spans="1:9">
      <c r="A913" s="6">
        <v>43434</v>
      </c>
      <c r="B913" s="3" t="s">
        <v>520</v>
      </c>
      <c r="C913" s="3" t="s">
        <v>521</v>
      </c>
      <c r="D913" s="1" t="s">
        <v>522</v>
      </c>
      <c r="E913" s="7">
        <v>0.74</v>
      </c>
      <c r="F913" s="3">
        <v>1.69</v>
      </c>
      <c r="G913" s="1" t="s">
        <v>11</v>
      </c>
      <c r="H913" s="1" t="s">
        <v>1178</v>
      </c>
      <c r="I913" s="2" t="s">
        <v>1153</v>
      </c>
    </row>
    <row r="914" spans="1:9">
      <c r="A914" s="6">
        <v>43434</v>
      </c>
      <c r="B914" s="3" t="s">
        <v>527</v>
      </c>
      <c r="C914" s="3" t="s">
        <v>528</v>
      </c>
      <c r="D914" s="1" t="s">
        <v>529</v>
      </c>
      <c r="E914" s="7">
        <v>0.74</v>
      </c>
      <c r="F914" s="3">
        <v>1.69</v>
      </c>
      <c r="G914" s="1" t="s">
        <v>11</v>
      </c>
      <c r="H914" s="1" t="s">
        <v>1177</v>
      </c>
      <c r="I914" s="2" t="s">
        <v>1154</v>
      </c>
    </row>
    <row r="915" spans="1:9">
      <c r="A915" s="6">
        <v>43435</v>
      </c>
      <c r="B915" s="3" t="s">
        <v>562</v>
      </c>
      <c r="C915" s="3" t="s">
        <v>563</v>
      </c>
      <c r="D915" s="1" t="s">
        <v>15</v>
      </c>
      <c r="E915" s="7">
        <v>0.74</v>
      </c>
      <c r="F915" s="3">
        <v>1.69</v>
      </c>
      <c r="G915" s="1" t="s">
        <v>22</v>
      </c>
      <c r="H915" s="1" t="s">
        <v>1181</v>
      </c>
      <c r="I915" s="2" t="s">
        <v>1154</v>
      </c>
    </row>
    <row r="916" spans="1:9">
      <c r="A916" s="6">
        <v>43435</v>
      </c>
      <c r="B916" s="3" t="s">
        <v>222</v>
      </c>
      <c r="C916" s="3" t="s">
        <v>570</v>
      </c>
      <c r="D916" s="1" t="s">
        <v>564</v>
      </c>
      <c r="E916" s="7">
        <v>0.74</v>
      </c>
      <c r="F916" s="3">
        <v>1.69</v>
      </c>
      <c r="G916" s="1" t="s">
        <v>22</v>
      </c>
      <c r="H916" s="1" t="s">
        <v>1176</v>
      </c>
      <c r="I916" s="2" t="s">
        <v>1154</v>
      </c>
    </row>
    <row r="917" spans="1:9">
      <c r="A917" s="6">
        <v>43436</v>
      </c>
      <c r="B917" s="3" t="s">
        <v>267</v>
      </c>
      <c r="C917" s="3" t="s">
        <v>663</v>
      </c>
      <c r="D917" s="1" t="s">
        <v>77</v>
      </c>
      <c r="E917" s="7">
        <v>0.74</v>
      </c>
      <c r="F917" s="3">
        <v>1.69</v>
      </c>
      <c r="G917" s="1" t="s">
        <v>11</v>
      </c>
      <c r="H917" s="1" t="s">
        <v>1180</v>
      </c>
      <c r="I917" s="2" t="s">
        <v>1154</v>
      </c>
    </row>
    <row r="918" spans="1:9">
      <c r="A918" s="6">
        <v>43442</v>
      </c>
      <c r="B918" s="3" t="s">
        <v>435</v>
      </c>
      <c r="C918" s="3" t="s">
        <v>585</v>
      </c>
      <c r="D918" s="1" t="s">
        <v>219</v>
      </c>
      <c r="E918" s="7">
        <v>0.74</v>
      </c>
      <c r="F918" s="3">
        <v>1.69</v>
      </c>
      <c r="G918" s="1" t="s">
        <v>11</v>
      </c>
      <c r="H918" s="1" t="s">
        <v>1177</v>
      </c>
      <c r="I918" s="2" t="s">
        <v>1154</v>
      </c>
    </row>
    <row r="919" spans="1:9">
      <c r="A919" s="6">
        <v>43443</v>
      </c>
      <c r="B919" s="3" t="s">
        <v>879</v>
      </c>
      <c r="C919" s="3" t="s">
        <v>690</v>
      </c>
      <c r="D919" s="1" t="s">
        <v>529</v>
      </c>
      <c r="E919" s="7">
        <v>0.74</v>
      </c>
      <c r="F919" s="3">
        <v>1.69</v>
      </c>
      <c r="G919" s="1" t="s">
        <v>11</v>
      </c>
      <c r="H919" s="1" t="s">
        <v>1184</v>
      </c>
      <c r="I919" s="2" t="s">
        <v>1153</v>
      </c>
    </row>
    <row r="920" spans="1:9">
      <c r="A920" s="6">
        <v>43449</v>
      </c>
      <c r="B920" s="3" t="s">
        <v>961</v>
      </c>
      <c r="C920" s="3" t="s">
        <v>962</v>
      </c>
      <c r="D920" s="1" t="s">
        <v>211</v>
      </c>
      <c r="E920" s="7">
        <v>0.74</v>
      </c>
      <c r="F920" s="3">
        <v>1.69</v>
      </c>
      <c r="G920" s="1" t="s">
        <v>11</v>
      </c>
      <c r="H920" s="1" t="s">
        <v>1173</v>
      </c>
      <c r="I920" s="2" t="s">
        <v>1154</v>
      </c>
    </row>
    <row r="921" spans="1:9">
      <c r="A921" s="6">
        <v>43450</v>
      </c>
      <c r="B921" s="3" t="s">
        <v>978</v>
      </c>
      <c r="C921" s="3" t="s">
        <v>828</v>
      </c>
      <c r="D921" s="1" t="s">
        <v>153</v>
      </c>
      <c r="E921" s="7">
        <v>0.74</v>
      </c>
      <c r="F921" s="3">
        <v>1.69</v>
      </c>
      <c r="G921" s="1" t="s">
        <v>11</v>
      </c>
      <c r="H921" s="1" t="s">
        <v>1179</v>
      </c>
      <c r="I921" s="2" t="s">
        <v>1152</v>
      </c>
    </row>
    <row r="922" spans="1:9">
      <c r="A922" s="6">
        <v>43456</v>
      </c>
      <c r="B922" s="3" t="s">
        <v>948</v>
      </c>
      <c r="C922" s="3" t="s">
        <v>9</v>
      </c>
      <c r="D922" s="1" t="s">
        <v>10</v>
      </c>
      <c r="E922" s="7">
        <v>0.74</v>
      </c>
      <c r="F922" s="3">
        <v>1.69</v>
      </c>
      <c r="G922" s="1" t="s">
        <v>11</v>
      </c>
      <c r="H922" s="1" t="s">
        <v>1182</v>
      </c>
      <c r="I922" s="2" t="s">
        <v>1154</v>
      </c>
    </row>
    <row r="923" spans="1:9">
      <c r="A923" s="6">
        <v>43466</v>
      </c>
      <c r="B923" s="3" t="s">
        <v>437</v>
      </c>
      <c r="C923" s="3" t="s">
        <v>1115</v>
      </c>
      <c r="D923" s="1" t="s">
        <v>219</v>
      </c>
      <c r="E923" s="7">
        <v>0.74</v>
      </c>
      <c r="F923" s="3">
        <v>1.69</v>
      </c>
      <c r="G923" s="1" t="s">
        <v>11</v>
      </c>
      <c r="H923" s="1" t="s">
        <v>1172</v>
      </c>
      <c r="I923" s="2" t="s">
        <v>1154</v>
      </c>
    </row>
    <row r="924" spans="1:9">
      <c r="A924" s="6">
        <v>43470</v>
      </c>
      <c r="B924" s="2" t="s">
        <v>30</v>
      </c>
      <c r="C924" s="2" t="s">
        <v>31</v>
      </c>
      <c r="D924" s="1" t="s">
        <v>15</v>
      </c>
      <c r="E924" s="7">
        <v>0.74</v>
      </c>
      <c r="F924" s="2">
        <v>1.69</v>
      </c>
      <c r="G924" s="1" t="s">
        <v>11</v>
      </c>
      <c r="H924" s="1" t="s">
        <v>1175</v>
      </c>
      <c r="I924" s="2" t="s">
        <v>1152</v>
      </c>
    </row>
    <row r="925" spans="1:9">
      <c r="A925" s="6">
        <v>43470</v>
      </c>
      <c r="B925" s="3" t="s">
        <v>30</v>
      </c>
      <c r="C925" s="3" t="s">
        <v>31</v>
      </c>
      <c r="D925" s="1" t="s">
        <v>15</v>
      </c>
      <c r="E925" s="7">
        <v>0.74</v>
      </c>
      <c r="F925" s="3">
        <v>1.69</v>
      </c>
      <c r="G925" s="1" t="s">
        <v>11</v>
      </c>
      <c r="H925" s="1" t="s">
        <v>1175</v>
      </c>
      <c r="I925" s="2" t="s">
        <v>1152</v>
      </c>
    </row>
    <row r="926" spans="1:9">
      <c r="A926" s="6">
        <v>43436</v>
      </c>
      <c r="B926" s="3" t="s">
        <v>635</v>
      </c>
      <c r="C926" s="3" t="s">
        <v>636</v>
      </c>
      <c r="D926" s="1" t="s">
        <v>260</v>
      </c>
      <c r="E926" s="7">
        <v>0.74</v>
      </c>
      <c r="F926" s="3">
        <v>1.67</v>
      </c>
      <c r="G926" s="1" t="s">
        <v>11</v>
      </c>
      <c r="H926" s="1" t="s">
        <v>1177</v>
      </c>
      <c r="I926" s="2" t="s">
        <v>1154</v>
      </c>
    </row>
    <row r="927" spans="1:9">
      <c r="A927" s="6">
        <v>43449</v>
      </c>
      <c r="B927" s="3" t="s">
        <v>387</v>
      </c>
      <c r="C927" s="3" t="s">
        <v>177</v>
      </c>
      <c r="D927" s="1" t="s">
        <v>571</v>
      </c>
      <c r="E927" s="7">
        <v>0.74</v>
      </c>
      <c r="F927" s="3">
        <v>1.67</v>
      </c>
      <c r="G927" s="1" t="s">
        <v>11</v>
      </c>
      <c r="H927" s="1" t="s">
        <v>1190</v>
      </c>
      <c r="I927" s="2" t="s">
        <v>1154</v>
      </c>
    </row>
    <row r="928" spans="1:9">
      <c r="A928" s="6">
        <v>43456</v>
      </c>
      <c r="B928" s="3" t="s">
        <v>1053</v>
      </c>
      <c r="C928" s="3" t="s">
        <v>1054</v>
      </c>
      <c r="D928" s="1" t="s">
        <v>125</v>
      </c>
      <c r="E928" s="7">
        <v>0.74</v>
      </c>
      <c r="F928" s="3">
        <v>1.67</v>
      </c>
      <c r="G928" s="1" t="s">
        <v>11</v>
      </c>
      <c r="H928" s="1" t="s">
        <v>1184</v>
      </c>
      <c r="I928" s="2" t="s">
        <v>1153</v>
      </c>
    </row>
    <row r="929" spans="1:9">
      <c r="A929" s="6">
        <v>43456</v>
      </c>
      <c r="B929" s="3" t="s">
        <v>1063</v>
      </c>
      <c r="C929" s="3" t="s">
        <v>645</v>
      </c>
      <c r="D929" s="1" t="s">
        <v>443</v>
      </c>
      <c r="E929" s="7">
        <v>0.74</v>
      </c>
      <c r="F929" s="3">
        <v>1.67</v>
      </c>
      <c r="G929" s="1" t="s">
        <v>11</v>
      </c>
      <c r="H929" s="1" t="s">
        <v>1177</v>
      </c>
      <c r="I929" s="2" t="s">
        <v>1154</v>
      </c>
    </row>
    <row r="930" spans="1:9">
      <c r="A930" s="6">
        <v>43456</v>
      </c>
      <c r="B930" s="3" t="s">
        <v>1053</v>
      </c>
      <c r="C930" s="3" t="s">
        <v>1054</v>
      </c>
      <c r="D930" s="1" t="s">
        <v>125</v>
      </c>
      <c r="E930" s="7">
        <v>0.74</v>
      </c>
      <c r="F930" s="3">
        <v>1.67</v>
      </c>
      <c r="G930" s="1" t="s">
        <v>11</v>
      </c>
      <c r="H930" s="1" t="s">
        <v>1184</v>
      </c>
      <c r="I930" s="2" t="s">
        <v>1153</v>
      </c>
    </row>
    <row r="931" spans="1:9">
      <c r="A931" s="6">
        <v>43460</v>
      </c>
      <c r="B931" s="3" t="s">
        <v>1100</v>
      </c>
      <c r="C931" s="3" t="s">
        <v>886</v>
      </c>
      <c r="D931" s="1" t="s">
        <v>374</v>
      </c>
      <c r="E931" s="7">
        <v>0.74</v>
      </c>
      <c r="F931" s="3">
        <v>1.67</v>
      </c>
      <c r="G931" s="1" t="s">
        <v>11</v>
      </c>
      <c r="H931" s="1" t="s">
        <v>1173</v>
      </c>
      <c r="I931" s="2" t="s">
        <v>1154</v>
      </c>
    </row>
    <row r="932" spans="1:9">
      <c r="A932" s="6">
        <v>43463</v>
      </c>
      <c r="B932" s="3" t="s">
        <v>1089</v>
      </c>
      <c r="C932" s="3" t="s">
        <v>1063</v>
      </c>
      <c r="D932" s="1" t="s">
        <v>443</v>
      </c>
      <c r="E932" s="7">
        <v>0.74</v>
      </c>
      <c r="F932" s="3">
        <v>1.67</v>
      </c>
      <c r="G932" s="1" t="s">
        <v>11</v>
      </c>
      <c r="H932" s="1" t="s">
        <v>1173</v>
      </c>
      <c r="I932" s="2" t="s">
        <v>1154</v>
      </c>
    </row>
    <row r="933" spans="1:9">
      <c r="A933" s="6">
        <v>43463</v>
      </c>
      <c r="B933" s="3" t="s">
        <v>1026</v>
      </c>
      <c r="C933" s="3" t="s">
        <v>1111</v>
      </c>
      <c r="D933" s="1" t="s">
        <v>443</v>
      </c>
      <c r="E933" s="7">
        <v>0.74</v>
      </c>
      <c r="F933" s="3">
        <v>1.67</v>
      </c>
      <c r="G933" s="1" t="s">
        <v>11</v>
      </c>
      <c r="H933" s="1" t="s">
        <v>1175</v>
      </c>
      <c r="I933" s="2" t="s">
        <v>1152</v>
      </c>
    </row>
    <row r="934" spans="1:9">
      <c r="A934" s="6">
        <v>43466</v>
      </c>
      <c r="B934" s="3" t="s">
        <v>1120</v>
      </c>
      <c r="C934" s="3" t="s">
        <v>1121</v>
      </c>
      <c r="D934" s="1" t="s">
        <v>208</v>
      </c>
      <c r="E934" s="7">
        <v>0.74</v>
      </c>
      <c r="F934" s="3">
        <v>1.67</v>
      </c>
      <c r="G934" s="1" t="s">
        <v>11</v>
      </c>
      <c r="H934" s="1" t="s">
        <v>1179</v>
      </c>
      <c r="I934" s="2" t="s">
        <v>1152</v>
      </c>
    </row>
    <row r="935" spans="1:9">
      <c r="A935" s="6">
        <v>43473</v>
      </c>
      <c r="B935" s="3" t="s">
        <v>1035</v>
      </c>
      <c r="C935" s="3" t="s">
        <v>1229</v>
      </c>
      <c r="D935" s="1" t="s">
        <v>1037</v>
      </c>
      <c r="E935" s="7">
        <v>0.74</v>
      </c>
      <c r="F935" s="3">
        <v>1.67</v>
      </c>
      <c r="G935" s="1" t="s">
        <v>11</v>
      </c>
      <c r="H935" s="1" t="s">
        <v>1173</v>
      </c>
      <c r="I935" s="2" t="s">
        <v>1154</v>
      </c>
    </row>
    <row r="936" spans="1:9">
      <c r="A936" s="6">
        <v>43433</v>
      </c>
      <c r="B936" s="3" t="s">
        <v>266</v>
      </c>
      <c r="C936" s="3" t="s">
        <v>377</v>
      </c>
      <c r="D936" s="1" t="s">
        <v>491</v>
      </c>
      <c r="E936" s="7">
        <v>0.74</v>
      </c>
      <c r="F936" s="3">
        <v>1.65</v>
      </c>
      <c r="G936" s="1" t="s">
        <v>22</v>
      </c>
      <c r="H936" s="1" t="s">
        <v>1180</v>
      </c>
      <c r="I936" s="2" t="s">
        <v>1153</v>
      </c>
    </row>
    <row r="937" spans="1:9">
      <c r="A937" s="6">
        <v>43436</v>
      </c>
      <c r="B937" s="3" t="s">
        <v>14</v>
      </c>
      <c r="C937" s="3" t="s">
        <v>646</v>
      </c>
      <c r="D937" s="1" t="s">
        <v>15</v>
      </c>
      <c r="E937" s="7">
        <v>0.74</v>
      </c>
      <c r="F937" s="3">
        <v>1.65</v>
      </c>
      <c r="G937" s="1" t="s">
        <v>11</v>
      </c>
      <c r="H937" s="1" t="s">
        <v>1180</v>
      </c>
      <c r="I937" s="2" t="s">
        <v>1154</v>
      </c>
    </row>
    <row r="938" spans="1:9">
      <c r="A938" s="6">
        <v>43436</v>
      </c>
      <c r="B938" s="3" t="s">
        <v>14</v>
      </c>
      <c r="C938" s="3" t="s">
        <v>646</v>
      </c>
      <c r="D938" s="1" t="s">
        <v>15</v>
      </c>
      <c r="E938" s="7">
        <v>0.74</v>
      </c>
      <c r="F938" s="3">
        <v>1.65</v>
      </c>
      <c r="G938" s="1" t="s">
        <v>11</v>
      </c>
      <c r="H938" s="1" t="s">
        <v>1180</v>
      </c>
      <c r="I938" s="2" t="s">
        <v>1154</v>
      </c>
    </row>
    <row r="939" spans="1:9">
      <c r="A939" s="6">
        <v>43439</v>
      </c>
      <c r="B939" s="3" t="s">
        <v>460</v>
      </c>
      <c r="C939" s="3" t="s">
        <v>726</v>
      </c>
      <c r="D939" s="1" t="s">
        <v>727</v>
      </c>
      <c r="E939" s="7">
        <v>0.74</v>
      </c>
      <c r="F939" s="3">
        <v>1.65</v>
      </c>
      <c r="G939" s="1" t="s">
        <v>22</v>
      </c>
      <c r="H939" s="1" t="s">
        <v>1177</v>
      </c>
      <c r="I939" s="2" t="s">
        <v>1153</v>
      </c>
    </row>
    <row r="940" spans="1:9">
      <c r="A940" s="6">
        <v>43443</v>
      </c>
      <c r="B940" s="3" t="s">
        <v>348</v>
      </c>
      <c r="C940" s="3" t="s">
        <v>868</v>
      </c>
      <c r="D940" s="1" t="s">
        <v>103</v>
      </c>
      <c r="E940" s="7">
        <v>0.74</v>
      </c>
      <c r="F940" s="3">
        <v>1.65</v>
      </c>
      <c r="G940" s="1" t="s">
        <v>11</v>
      </c>
      <c r="H940" s="1" t="s">
        <v>1190</v>
      </c>
      <c r="I940" s="2" t="s">
        <v>1154</v>
      </c>
    </row>
    <row r="941" spans="1:9">
      <c r="A941" s="6">
        <v>43449</v>
      </c>
      <c r="B941" s="3" t="s">
        <v>949</v>
      </c>
      <c r="C941" s="3" t="s">
        <v>871</v>
      </c>
      <c r="D941" s="1" t="s">
        <v>156</v>
      </c>
      <c r="E941" s="7">
        <v>0.74</v>
      </c>
      <c r="F941" s="3">
        <v>1.65</v>
      </c>
      <c r="G941" s="1" t="s">
        <v>11</v>
      </c>
      <c r="H941" s="1" t="s">
        <v>1188</v>
      </c>
      <c r="I941" s="2" t="s">
        <v>1153</v>
      </c>
    </row>
    <row r="942" spans="1:9">
      <c r="A942" s="6">
        <v>43449</v>
      </c>
      <c r="B942" s="3" t="s">
        <v>959</v>
      </c>
      <c r="C942" s="3" t="s">
        <v>960</v>
      </c>
      <c r="D942" s="1" t="s">
        <v>858</v>
      </c>
      <c r="E942" s="7">
        <v>0.74</v>
      </c>
      <c r="F942" s="3">
        <v>1.65</v>
      </c>
      <c r="G942" s="1" t="s">
        <v>11</v>
      </c>
      <c r="H942" s="1" t="s">
        <v>1180</v>
      </c>
      <c r="I942" s="2" t="s">
        <v>1154</v>
      </c>
    </row>
    <row r="943" spans="1:9">
      <c r="A943" s="6">
        <v>43449</v>
      </c>
      <c r="B943" s="3" t="s">
        <v>168</v>
      </c>
      <c r="C943" s="3" t="s">
        <v>172</v>
      </c>
      <c r="D943" s="1" t="s">
        <v>571</v>
      </c>
      <c r="E943" s="7">
        <v>0.74</v>
      </c>
      <c r="F943" s="3">
        <v>1.65</v>
      </c>
      <c r="G943" s="1" t="s">
        <v>22</v>
      </c>
      <c r="H943" s="1" t="s">
        <v>12</v>
      </c>
    </row>
    <row r="944" spans="1:9">
      <c r="A944" s="6">
        <v>43449</v>
      </c>
      <c r="B944" s="3" t="s">
        <v>949</v>
      </c>
      <c r="C944" s="3" t="s">
        <v>871</v>
      </c>
      <c r="D944" s="1" t="s">
        <v>156</v>
      </c>
      <c r="E944" s="7">
        <v>0.74</v>
      </c>
      <c r="F944" s="3">
        <v>1.65</v>
      </c>
      <c r="G944" s="1" t="s">
        <v>11</v>
      </c>
      <c r="H944" s="1" t="s">
        <v>1188</v>
      </c>
      <c r="I944" s="2" t="s">
        <v>1153</v>
      </c>
    </row>
    <row r="945" spans="1:9">
      <c r="A945" s="6">
        <v>43449</v>
      </c>
      <c r="B945" s="3" t="s">
        <v>168</v>
      </c>
      <c r="C945" s="3" t="s">
        <v>172</v>
      </c>
      <c r="D945" s="1" t="s">
        <v>571</v>
      </c>
      <c r="E945" s="7">
        <v>0.74</v>
      </c>
      <c r="F945" s="3">
        <v>1.65</v>
      </c>
      <c r="G945" s="1" t="s">
        <v>22</v>
      </c>
      <c r="H945" s="1" t="s">
        <v>12</v>
      </c>
    </row>
    <row r="946" spans="1:9">
      <c r="A946" s="6">
        <v>43451</v>
      </c>
      <c r="B946" s="3" t="s">
        <v>551</v>
      </c>
      <c r="C946" s="3" t="s">
        <v>1001</v>
      </c>
      <c r="D946" s="1" t="s">
        <v>125</v>
      </c>
      <c r="E946" s="7">
        <v>0.74</v>
      </c>
      <c r="F946" s="3">
        <v>1.65</v>
      </c>
      <c r="G946" s="1" t="s">
        <v>11</v>
      </c>
      <c r="H946" s="1" t="s">
        <v>1184</v>
      </c>
      <c r="I946" s="2" t="s">
        <v>1153</v>
      </c>
    </row>
    <row r="947" spans="1:9">
      <c r="A947" s="6">
        <v>43456</v>
      </c>
      <c r="B947" s="3" t="s">
        <v>155</v>
      </c>
      <c r="C947" s="3" t="s">
        <v>949</v>
      </c>
      <c r="D947" s="1" t="s">
        <v>156</v>
      </c>
      <c r="E947" s="7">
        <v>0.74</v>
      </c>
      <c r="F947" s="3">
        <v>1.65</v>
      </c>
      <c r="G947" s="1" t="s">
        <v>11</v>
      </c>
      <c r="H947" s="1" t="s">
        <v>1173</v>
      </c>
      <c r="I947" s="2" t="s">
        <v>1154</v>
      </c>
    </row>
    <row r="948" spans="1:9">
      <c r="A948" s="6">
        <v>43456</v>
      </c>
      <c r="B948" s="3" t="s">
        <v>155</v>
      </c>
      <c r="C948" s="3" t="s">
        <v>949</v>
      </c>
      <c r="D948" s="1" t="s">
        <v>156</v>
      </c>
      <c r="E948" s="7">
        <v>0.74</v>
      </c>
      <c r="F948" s="3">
        <v>1.65</v>
      </c>
      <c r="G948" s="1" t="s">
        <v>11</v>
      </c>
      <c r="H948" s="1" t="s">
        <v>1173</v>
      </c>
      <c r="I948" s="2" t="s">
        <v>1154</v>
      </c>
    </row>
    <row r="949" spans="1:9">
      <c r="A949" s="6">
        <v>43457</v>
      </c>
      <c r="B949" s="3" t="s">
        <v>1075</v>
      </c>
      <c r="C949" s="3" t="s">
        <v>1076</v>
      </c>
      <c r="D949" s="1" t="s">
        <v>682</v>
      </c>
      <c r="E949" s="7">
        <v>0.74</v>
      </c>
      <c r="F949" s="3">
        <v>1.65</v>
      </c>
      <c r="G949" s="1" t="s">
        <v>11</v>
      </c>
      <c r="H949" s="1" t="s">
        <v>1180</v>
      </c>
      <c r="I949" s="2" t="s">
        <v>1154</v>
      </c>
    </row>
    <row r="950" spans="1:9">
      <c r="A950" s="6">
        <v>43457</v>
      </c>
      <c r="B950" s="3" t="s">
        <v>1078</v>
      </c>
      <c r="C950" s="3" t="s">
        <v>918</v>
      </c>
      <c r="D950" s="1" t="s">
        <v>289</v>
      </c>
      <c r="E950" s="7">
        <v>0.74</v>
      </c>
      <c r="F950" s="3">
        <v>1.65</v>
      </c>
      <c r="G950" s="1" t="s">
        <v>11</v>
      </c>
      <c r="H950" s="1" t="s">
        <v>1180</v>
      </c>
      <c r="I950" s="2" t="s">
        <v>1154</v>
      </c>
    </row>
    <row r="951" spans="1:9">
      <c r="A951" s="6">
        <v>43470</v>
      </c>
      <c r="B951" s="3" t="s">
        <v>196</v>
      </c>
      <c r="C951" s="3" t="s">
        <v>168</v>
      </c>
      <c r="D951" s="1" t="s">
        <v>571</v>
      </c>
      <c r="E951" s="7">
        <v>0.74</v>
      </c>
      <c r="F951" s="3">
        <v>1.65</v>
      </c>
      <c r="G951" s="1" t="s">
        <v>11</v>
      </c>
      <c r="H951" s="1" t="s">
        <v>1177</v>
      </c>
      <c r="I951" s="2" t="s">
        <v>1154</v>
      </c>
    </row>
    <row r="952" spans="1:9">
      <c r="A952" s="6">
        <v>43470</v>
      </c>
      <c r="B952" s="3" t="s">
        <v>1059</v>
      </c>
      <c r="C952" s="3" t="s">
        <v>1058</v>
      </c>
      <c r="D952" s="1" t="s">
        <v>564</v>
      </c>
      <c r="E952" s="7">
        <v>0.74</v>
      </c>
      <c r="F952" s="3">
        <v>1.65</v>
      </c>
      <c r="G952" s="1" t="s">
        <v>11</v>
      </c>
      <c r="H952" s="1" t="s">
        <v>1175</v>
      </c>
      <c r="I952" s="2" t="s">
        <v>1152</v>
      </c>
    </row>
    <row r="953" spans="1:9">
      <c r="A953" s="6">
        <v>43470</v>
      </c>
      <c r="B953" s="3" t="s">
        <v>1144</v>
      </c>
      <c r="C953" s="3" t="s">
        <v>1145</v>
      </c>
      <c r="D953" s="1" t="s">
        <v>835</v>
      </c>
      <c r="E953" s="7">
        <v>0.74</v>
      </c>
      <c r="F953" s="3">
        <v>1.65</v>
      </c>
      <c r="G953" s="1" t="s">
        <v>11</v>
      </c>
      <c r="H953" s="1" t="s">
        <v>1178</v>
      </c>
      <c r="I953" s="2" t="s">
        <v>1153</v>
      </c>
    </row>
    <row r="954" spans="1:9">
      <c r="A954" s="6">
        <v>43428</v>
      </c>
      <c r="B954" s="3" t="s">
        <v>93</v>
      </c>
      <c r="C954" s="3" t="s">
        <v>94</v>
      </c>
      <c r="D954" s="1" t="s">
        <v>95</v>
      </c>
      <c r="E954" s="7">
        <v>0.74</v>
      </c>
      <c r="F954" s="3">
        <v>1.63</v>
      </c>
      <c r="G954" s="1" t="s">
        <v>22</v>
      </c>
      <c r="H954" s="1" t="s">
        <v>1173</v>
      </c>
      <c r="I954" s="2" t="s">
        <v>1153</v>
      </c>
    </row>
    <row r="955" spans="1:9">
      <c r="A955" s="6">
        <v>43428</v>
      </c>
      <c r="B955" s="3" t="s">
        <v>118</v>
      </c>
      <c r="C955" s="3" t="s">
        <v>119</v>
      </c>
      <c r="D955" s="1" t="s">
        <v>120</v>
      </c>
      <c r="E955" s="7">
        <v>0.74</v>
      </c>
      <c r="F955" s="3">
        <v>1.63</v>
      </c>
      <c r="G955" s="1" t="s">
        <v>22</v>
      </c>
      <c r="H955" s="1" t="s">
        <v>1178</v>
      </c>
      <c r="I955" s="2" t="s">
        <v>1154</v>
      </c>
    </row>
    <row r="956" spans="1:9">
      <c r="A956" s="6">
        <v>43429</v>
      </c>
      <c r="B956" s="3" t="s">
        <v>372</v>
      </c>
      <c r="C956" s="3" t="s">
        <v>373</v>
      </c>
      <c r="D956" s="1" t="s">
        <v>374</v>
      </c>
      <c r="E956" s="7">
        <v>0.74</v>
      </c>
      <c r="F956" s="3">
        <v>1.63</v>
      </c>
      <c r="G956" s="1" t="s">
        <v>11</v>
      </c>
      <c r="H956" s="1" t="s">
        <v>1180</v>
      </c>
      <c r="I956" s="2" t="s">
        <v>1154</v>
      </c>
    </row>
    <row r="957" spans="1:9">
      <c r="A957" s="6">
        <v>43433</v>
      </c>
      <c r="B957" s="3" t="s">
        <v>304</v>
      </c>
      <c r="C957" s="3" t="s">
        <v>503</v>
      </c>
      <c r="D957" s="1" t="s">
        <v>491</v>
      </c>
      <c r="E957" s="7">
        <v>0.74</v>
      </c>
      <c r="F957" s="3">
        <v>1.63</v>
      </c>
      <c r="G957" s="1" t="s">
        <v>11</v>
      </c>
      <c r="H957" s="1" t="s">
        <v>1178</v>
      </c>
      <c r="I957" s="2" t="s">
        <v>1153</v>
      </c>
    </row>
    <row r="958" spans="1:9" ht="15" customHeight="1">
      <c r="A958" s="6">
        <v>43434</v>
      </c>
      <c r="B958" s="3" t="s">
        <v>523</v>
      </c>
      <c r="C958" s="3" t="s">
        <v>363</v>
      </c>
      <c r="D958" s="1" t="s">
        <v>265</v>
      </c>
      <c r="E958" s="7">
        <v>0.74</v>
      </c>
      <c r="F958" s="3">
        <v>1.63</v>
      </c>
      <c r="G958" s="1" t="s">
        <v>22</v>
      </c>
      <c r="H958" s="1" t="s">
        <v>1192</v>
      </c>
      <c r="I958" s="2" t="s">
        <v>1152</v>
      </c>
    </row>
    <row r="959" spans="1:9" ht="15" customHeight="1">
      <c r="A959" s="6">
        <v>43435</v>
      </c>
      <c r="B959" s="3" t="s">
        <v>578</v>
      </c>
      <c r="C959" s="3" t="s">
        <v>579</v>
      </c>
      <c r="D959" s="1" t="s">
        <v>580</v>
      </c>
      <c r="E959" s="7">
        <v>0.74</v>
      </c>
      <c r="F959" s="3">
        <v>1.63</v>
      </c>
      <c r="G959" s="1" t="s">
        <v>11</v>
      </c>
      <c r="H959" s="1" t="s">
        <v>1199</v>
      </c>
      <c r="I959" s="2" t="s">
        <v>1153</v>
      </c>
    </row>
    <row r="960" spans="1:9" ht="15" customHeight="1">
      <c r="A960" s="6">
        <v>43442</v>
      </c>
      <c r="B960" s="3" t="s">
        <v>842</v>
      </c>
      <c r="C960" s="3" t="s">
        <v>532</v>
      </c>
      <c r="D960" s="1" t="s">
        <v>184</v>
      </c>
      <c r="E960" s="7">
        <v>0.74</v>
      </c>
      <c r="F960" s="3">
        <v>1.63</v>
      </c>
      <c r="G960" s="1" t="s">
        <v>22</v>
      </c>
      <c r="H960" s="1" t="s">
        <v>1179</v>
      </c>
      <c r="I960" s="2" t="s">
        <v>1152</v>
      </c>
    </row>
    <row r="961" spans="1:9">
      <c r="A961" s="6">
        <v>43442</v>
      </c>
      <c r="B961" s="3" t="s">
        <v>842</v>
      </c>
      <c r="C961" s="3" t="s">
        <v>532</v>
      </c>
      <c r="D961" s="1" t="s">
        <v>184</v>
      </c>
      <c r="E961" s="7">
        <v>0.74</v>
      </c>
      <c r="F961" s="3">
        <v>1.63</v>
      </c>
      <c r="G961" s="1" t="s">
        <v>22</v>
      </c>
      <c r="H961" s="1" t="s">
        <v>1179</v>
      </c>
      <c r="I961" s="2" t="s">
        <v>1152</v>
      </c>
    </row>
    <row r="962" spans="1:9">
      <c r="A962" s="6">
        <v>43452</v>
      </c>
      <c r="B962" s="3" t="s">
        <v>1017</v>
      </c>
      <c r="C962" s="3" t="s">
        <v>1018</v>
      </c>
      <c r="D962" s="1" t="s">
        <v>1019</v>
      </c>
      <c r="E962" s="7">
        <v>0.74</v>
      </c>
      <c r="F962" s="3">
        <v>1.63</v>
      </c>
      <c r="G962" s="1" t="s">
        <v>22</v>
      </c>
      <c r="H962" s="1" t="s">
        <v>12</v>
      </c>
    </row>
    <row r="963" spans="1:9">
      <c r="A963" s="6">
        <v>43459</v>
      </c>
      <c r="B963" s="3" t="s">
        <v>1082</v>
      </c>
      <c r="C963" s="3" t="s">
        <v>779</v>
      </c>
      <c r="D963" s="1" t="s">
        <v>674</v>
      </c>
      <c r="E963" s="7">
        <v>0.74</v>
      </c>
      <c r="F963" s="3">
        <v>1.63</v>
      </c>
      <c r="G963" s="1" t="s">
        <v>11</v>
      </c>
      <c r="H963" s="1" t="s">
        <v>1176</v>
      </c>
      <c r="I963" s="2" t="s">
        <v>1153</v>
      </c>
    </row>
    <row r="964" spans="1:9">
      <c r="A964" s="6">
        <v>43474</v>
      </c>
      <c r="B964" s="3" t="s">
        <v>20</v>
      </c>
      <c r="C964" s="3" t="s">
        <v>581</v>
      </c>
      <c r="D964" s="1" t="s">
        <v>580</v>
      </c>
      <c r="E964" s="7">
        <v>0.74</v>
      </c>
      <c r="F964" s="3">
        <v>1.63</v>
      </c>
      <c r="G964" s="1" t="s">
        <v>11</v>
      </c>
      <c r="H964" s="1" t="s">
        <v>1177</v>
      </c>
      <c r="I964" s="3" t="s">
        <v>1154</v>
      </c>
    </row>
    <row r="965" spans="1:9">
      <c r="A965" s="6">
        <v>43428</v>
      </c>
      <c r="B965" s="3" t="s">
        <v>199</v>
      </c>
      <c r="C965" s="3" t="s">
        <v>200</v>
      </c>
      <c r="D965" s="1" t="s">
        <v>201</v>
      </c>
      <c r="E965" s="7">
        <v>0.74</v>
      </c>
      <c r="F965" s="3">
        <v>1.61</v>
      </c>
      <c r="G965" s="1" t="s">
        <v>11</v>
      </c>
      <c r="H965" s="1" t="s">
        <v>1184</v>
      </c>
      <c r="I965" s="2" t="s">
        <v>1153</v>
      </c>
    </row>
    <row r="966" spans="1:9">
      <c r="A966" s="6">
        <v>43430</v>
      </c>
      <c r="B966" s="3" t="s">
        <v>455</v>
      </c>
      <c r="C966" s="3" t="s">
        <v>456</v>
      </c>
      <c r="D966" s="1" t="s">
        <v>36</v>
      </c>
      <c r="E966" s="7">
        <v>0.74</v>
      </c>
      <c r="F966" s="3">
        <v>1.61</v>
      </c>
      <c r="G966" s="1" t="s">
        <v>22</v>
      </c>
      <c r="H966" s="1" t="s">
        <v>1178</v>
      </c>
      <c r="I966" s="2" t="s">
        <v>1154</v>
      </c>
    </row>
    <row r="967" spans="1:9">
      <c r="A967" s="6">
        <v>43446</v>
      </c>
      <c r="B967" s="3" t="s">
        <v>922</v>
      </c>
      <c r="C967" s="3" t="s">
        <v>418</v>
      </c>
      <c r="D967" s="1" t="s">
        <v>419</v>
      </c>
      <c r="E967" s="7">
        <v>0.74</v>
      </c>
      <c r="F967" s="3">
        <v>1.61</v>
      </c>
      <c r="G967" s="1" t="s">
        <v>11</v>
      </c>
      <c r="H967" s="1" t="s">
        <v>1173</v>
      </c>
      <c r="I967" s="2" t="s">
        <v>1154</v>
      </c>
    </row>
    <row r="968" spans="1:9">
      <c r="A968" s="6">
        <v>43449</v>
      </c>
      <c r="B968" s="3" t="s">
        <v>951</v>
      </c>
      <c r="C968" s="3" t="s">
        <v>79</v>
      </c>
      <c r="D968" s="1" t="s">
        <v>80</v>
      </c>
      <c r="E968" s="7">
        <v>0.74</v>
      </c>
      <c r="F968" s="3">
        <v>1.59</v>
      </c>
      <c r="G968" s="1" t="s">
        <v>11</v>
      </c>
      <c r="H968" s="1" t="s">
        <v>1178</v>
      </c>
      <c r="I968" s="2" t="s">
        <v>1153</v>
      </c>
    </row>
    <row r="969" spans="1:9">
      <c r="A969" s="6">
        <v>43463</v>
      </c>
      <c r="B969" s="3" t="s">
        <v>177</v>
      </c>
      <c r="C969" s="3" t="s">
        <v>181</v>
      </c>
      <c r="D969" s="1" t="s">
        <v>571</v>
      </c>
      <c r="E969" s="7">
        <v>0.74</v>
      </c>
      <c r="F969" s="3">
        <v>1.59</v>
      </c>
      <c r="G969" s="1" t="s">
        <v>22</v>
      </c>
      <c r="H969" s="1" t="s">
        <v>1183</v>
      </c>
      <c r="I969" s="2" t="s">
        <v>1154</v>
      </c>
    </row>
    <row r="970" spans="1:9">
      <c r="A970" s="6">
        <v>43441</v>
      </c>
      <c r="B970" s="3" t="s">
        <v>127</v>
      </c>
      <c r="C970" s="3" t="s">
        <v>415</v>
      </c>
      <c r="D970" s="1" t="s">
        <v>797</v>
      </c>
      <c r="E970" s="7">
        <v>0.74</v>
      </c>
      <c r="F970" s="3">
        <v>1.53</v>
      </c>
      <c r="G970" s="1" t="s">
        <v>11</v>
      </c>
      <c r="H970" s="1" t="s">
        <v>1211</v>
      </c>
      <c r="I970" s="2" t="s">
        <v>1153</v>
      </c>
    </row>
    <row r="971" spans="1:9">
      <c r="A971" s="6">
        <v>43428</v>
      </c>
      <c r="B971" s="3" t="s">
        <v>111</v>
      </c>
      <c r="C971" s="3" t="s">
        <v>112</v>
      </c>
      <c r="D971" s="1" t="s">
        <v>113</v>
      </c>
      <c r="E971" s="7">
        <v>0.73</v>
      </c>
      <c r="F971" s="3">
        <v>1.69</v>
      </c>
      <c r="G971" s="1" t="s">
        <v>11</v>
      </c>
      <c r="H971" s="1" t="s">
        <v>1180</v>
      </c>
      <c r="I971" s="2" t="s">
        <v>1154</v>
      </c>
    </row>
    <row r="972" spans="1:9">
      <c r="A972" s="6">
        <v>43428</v>
      </c>
      <c r="B972" s="3" t="s">
        <v>121</v>
      </c>
      <c r="C972" s="3" t="s">
        <v>122</v>
      </c>
      <c r="D972" s="1" t="s">
        <v>120</v>
      </c>
      <c r="E972" s="7">
        <v>0.73</v>
      </c>
      <c r="F972" s="3">
        <v>1.69</v>
      </c>
      <c r="G972" s="1" t="s">
        <v>11</v>
      </c>
      <c r="H972" s="1" t="s">
        <v>1175</v>
      </c>
      <c r="I972" s="2" t="s">
        <v>1152</v>
      </c>
    </row>
    <row r="973" spans="1:9">
      <c r="A973" s="6">
        <v>43429</v>
      </c>
      <c r="B973" s="3" t="s">
        <v>409</v>
      </c>
      <c r="C973" s="3" t="s">
        <v>410</v>
      </c>
      <c r="D973" s="1" t="s">
        <v>167</v>
      </c>
      <c r="E973" s="7">
        <v>0.73</v>
      </c>
      <c r="F973" s="3">
        <v>1.69</v>
      </c>
      <c r="G973" s="1" t="s">
        <v>11</v>
      </c>
      <c r="H973" s="1" t="s">
        <v>1179</v>
      </c>
      <c r="I973" s="2" t="s">
        <v>1152</v>
      </c>
    </row>
    <row r="974" spans="1:9">
      <c r="A974" s="6">
        <v>43429</v>
      </c>
      <c r="B974" s="3" t="s">
        <v>409</v>
      </c>
      <c r="C974" s="3" t="s">
        <v>410</v>
      </c>
      <c r="D974" s="1" t="s">
        <v>167</v>
      </c>
      <c r="E974" s="7">
        <v>0.73</v>
      </c>
      <c r="F974" s="3">
        <v>1.69</v>
      </c>
      <c r="G974" s="1" t="s">
        <v>11</v>
      </c>
      <c r="H974" s="1" t="s">
        <v>1179</v>
      </c>
      <c r="I974" s="2" t="s">
        <v>1152</v>
      </c>
    </row>
    <row r="975" spans="1:9">
      <c r="A975" s="6">
        <v>43433</v>
      </c>
      <c r="B975" s="3" t="s">
        <v>233</v>
      </c>
      <c r="C975" s="3" t="s">
        <v>514</v>
      </c>
      <c r="D975" s="1" t="s">
        <v>491</v>
      </c>
      <c r="E975" s="7">
        <v>0.73</v>
      </c>
      <c r="F975" s="3">
        <v>1.69</v>
      </c>
      <c r="G975" s="1" t="s">
        <v>22</v>
      </c>
      <c r="H975" s="1" t="s">
        <v>1177</v>
      </c>
      <c r="I975" s="2" t="s">
        <v>1153</v>
      </c>
    </row>
    <row r="976" spans="1:9">
      <c r="A976" s="6">
        <v>43436</v>
      </c>
      <c r="B976" s="3" t="s">
        <v>627</v>
      </c>
      <c r="C976" s="3" t="s">
        <v>628</v>
      </c>
      <c r="D976" s="1" t="s">
        <v>232</v>
      </c>
      <c r="E976" s="7">
        <v>0.73</v>
      </c>
      <c r="F976" s="3">
        <v>1.69</v>
      </c>
      <c r="G976" s="1" t="s">
        <v>11</v>
      </c>
      <c r="H976" s="1" t="s">
        <v>1179</v>
      </c>
      <c r="I976" s="2" t="s">
        <v>1152</v>
      </c>
    </row>
    <row r="977" spans="1:9">
      <c r="A977" s="6">
        <v>43449</v>
      </c>
      <c r="B977" s="3" t="s">
        <v>942</v>
      </c>
      <c r="C977" s="3" t="s">
        <v>943</v>
      </c>
      <c r="D977" s="1" t="s">
        <v>125</v>
      </c>
      <c r="E977" s="7">
        <v>0.73</v>
      </c>
      <c r="F977" s="3">
        <v>1.69</v>
      </c>
      <c r="G977" s="1" t="s">
        <v>11</v>
      </c>
      <c r="H977" s="1" t="s">
        <v>1175</v>
      </c>
      <c r="I977" s="2" t="s">
        <v>1152</v>
      </c>
    </row>
    <row r="978" spans="1:9">
      <c r="A978" s="6">
        <v>43449</v>
      </c>
      <c r="B978" s="3" t="s">
        <v>942</v>
      </c>
      <c r="C978" s="3" t="s">
        <v>943</v>
      </c>
      <c r="D978" s="1" t="s">
        <v>125</v>
      </c>
      <c r="E978" s="7">
        <v>0.73</v>
      </c>
      <c r="F978" s="3">
        <v>1.69</v>
      </c>
      <c r="G978" s="1" t="s">
        <v>11</v>
      </c>
      <c r="H978" s="1" t="s">
        <v>1175</v>
      </c>
      <c r="I978" s="2" t="s">
        <v>1152</v>
      </c>
    </row>
    <row r="979" spans="1:9">
      <c r="A979" s="6">
        <v>43450</v>
      </c>
      <c r="B979" s="3" t="s">
        <v>979</v>
      </c>
      <c r="C979" s="3" t="s">
        <v>980</v>
      </c>
      <c r="D979" s="1" t="s">
        <v>125</v>
      </c>
      <c r="E979" s="7">
        <v>0.73</v>
      </c>
      <c r="F979" s="3">
        <v>1.69</v>
      </c>
      <c r="G979" s="1" t="s">
        <v>11</v>
      </c>
      <c r="H979" s="1" t="s">
        <v>1181</v>
      </c>
      <c r="I979" s="2" t="s">
        <v>1153</v>
      </c>
    </row>
    <row r="980" spans="1:9">
      <c r="A980" s="6">
        <v>43456</v>
      </c>
      <c r="B980" s="3" t="s">
        <v>196</v>
      </c>
      <c r="C980" s="3" t="s">
        <v>387</v>
      </c>
      <c r="D980" s="1" t="s">
        <v>571</v>
      </c>
      <c r="E980" s="7">
        <v>0.73</v>
      </c>
      <c r="F980" s="3">
        <v>1.69</v>
      </c>
      <c r="G980" s="1" t="s">
        <v>22</v>
      </c>
      <c r="H980" s="1" t="s">
        <v>1184</v>
      </c>
      <c r="I980" s="2" t="s">
        <v>1154</v>
      </c>
    </row>
    <row r="981" spans="1:9">
      <c r="A981" s="6">
        <v>43463</v>
      </c>
      <c r="B981" s="3" t="s">
        <v>1102</v>
      </c>
      <c r="C981" s="3" t="s">
        <v>469</v>
      </c>
      <c r="D981" s="1" t="s">
        <v>219</v>
      </c>
      <c r="E981" s="7">
        <v>0.73</v>
      </c>
      <c r="F981" s="3">
        <v>1.69</v>
      </c>
      <c r="G981" s="1" t="s">
        <v>11</v>
      </c>
      <c r="H981" s="1" t="s">
        <v>1179</v>
      </c>
      <c r="I981" s="2" t="s">
        <v>1152</v>
      </c>
    </row>
    <row r="982" spans="1:9">
      <c r="A982" s="6">
        <v>43463</v>
      </c>
      <c r="B982" s="3" t="s">
        <v>1105</v>
      </c>
      <c r="C982" s="3" t="s">
        <v>1093</v>
      </c>
      <c r="D982" s="1" t="s">
        <v>443</v>
      </c>
      <c r="E982" s="7">
        <v>0.73</v>
      </c>
      <c r="F982" s="3">
        <v>1.69</v>
      </c>
      <c r="G982" s="1" t="s">
        <v>11</v>
      </c>
      <c r="H982" s="1" t="s">
        <v>1188</v>
      </c>
      <c r="I982" s="2" t="s">
        <v>1153</v>
      </c>
    </row>
    <row r="983" spans="1:9">
      <c r="A983" s="6">
        <v>43428</v>
      </c>
      <c r="B983" s="3" t="s">
        <v>60</v>
      </c>
      <c r="C983" s="3" t="s">
        <v>61</v>
      </c>
      <c r="D983" s="1" t="s">
        <v>62</v>
      </c>
      <c r="E983" s="7">
        <v>0.73</v>
      </c>
      <c r="F983" s="3">
        <v>1.67</v>
      </c>
      <c r="G983" s="1" t="s">
        <v>22</v>
      </c>
      <c r="H983" s="1" t="s">
        <v>1179</v>
      </c>
      <c r="I983" s="2" t="s">
        <v>1152</v>
      </c>
    </row>
    <row r="984" spans="1:9">
      <c r="A984" s="6">
        <v>43435</v>
      </c>
      <c r="B984" s="3" t="s">
        <v>550</v>
      </c>
      <c r="C984" s="3" t="s">
        <v>165</v>
      </c>
      <c r="D984" s="1" t="s">
        <v>167</v>
      </c>
      <c r="E984" s="7">
        <v>0.73</v>
      </c>
      <c r="F984" s="3">
        <v>1.67</v>
      </c>
      <c r="G984" s="1" t="s">
        <v>11</v>
      </c>
      <c r="H984" s="1" t="s">
        <v>1175</v>
      </c>
      <c r="I984" s="2" t="s">
        <v>1152</v>
      </c>
    </row>
    <row r="985" spans="1:9">
      <c r="A985" s="6">
        <v>43435</v>
      </c>
      <c r="B985" s="3" t="s">
        <v>557</v>
      </c>
      <c r="C985" s="3" t="s">
        <v>558</v>
      </c>
      <c r="D985" s="1" t="s">
        <v>559</v>
      </c>
      <c r="E985" s="7">
        <v>0.73</v>
      </c>
      <c r="F985" s="3">
        <v>1.67</v>
      </c>
      <c r="G985" s="1" t="s">
        <v>11</v>
      </c>
      <c r="H985" s="1" t="s">
        <v>1180</v>
      </c>
      <c r="I985" s="2" t="s">
        <v>1154</v>
      </c>
    </row>
    <row r="986" spans="1:9">
      <c r="A986" s="6">
        <v>43449</v>
      </c>
      <c r="B986" s="3" t="s">
        <v>801</v>
      </c>
      <c r="C986" s="3" t="s">
        <v>313</v>
      </c>
      <c r="D986" s="1" t="s">
        <v>314</v>
      </c>
      <c r="E986" s="7">
        <v>0.73</v>
      </c>
      <c r="F986" s="3">
        <v>1.67</v>
      </c>
      <c r="G986" s="1" t="s">
        <v>11</v>
      </c>
      <c r="H986" s="1" t="s">
        <v>1177</v>
      </c>
      <c r="I986" s="2" t="s">
        <v>1154</v>
      </c>
    </row>
    <row r="987" spans="1:9">
      <c r="A987" s="6">
        <v>43449</v>
      </c>
      <c r="B987" s="3" t="s">
        <v>801</v>
      </c>
      <c r="C987" s="3" t="s">
        <v>313</v>
      </c>
      <c r="D987" s="1" t="s">
        <v>314</v>
      </c>
      <c r="E987" s="7">
        <v>0.73</v>
      </c>
      <c r="F987" s="3">
        <v>1.67</v>
      </c>
      <c r="G987" s="1" t="s">
        <v>11</v>
      </c>
      <c r="H987" s="1" t="s">
        <v>1177</v>
      </c>
      <c r="I987" s="2" t="s">
        <v>1154</v>
      </c>
    </row>
    <row r="988" spans="1:9">
      <c r="A988" s="6">
        <v>43450</v>
      </c>
      <c r="B988" s="3" t="s">
        <v>877</v>
      </c>
      <c r="C988" s="3" t="s">
        <v>888</v>
      </c>
      <c r="D988" s="1" t="s">
        <v>374</v>
      </c>
      <c r="E988" s="7">
        <v>0.73</v>
      </c>
      <c r="F988" s="3">
        <v>1.67</v>
      </c>
      <c r="G988" s="1" t="s">
        <v>11</v>
      </c>
      <c r="H988" s="1" t="s">
        <v>1180</v>
      </c>
      <c r="I988" s="2" t="s">
        <v>1154</v>
      </c>
    </row>
    <row r="989" spans="1:9">
      <c r="A989" s="6">
        <v>43470</v>
      </c>
      <c r="B989" s="3" t="s">
        <v>582</v>
      </c>
      <c r="C989" s="3" t="s">
        <v>841</v>
      </c>
      <c r="D989" s="1" t="s">
        <v>580</v>
      </c>
      <c r="E989" s="7">
        <v>0.73</v>
      </c>
      <c r="F989" s="3">
        <v>1.67</v>
      </c>
      <c r="G989" s="1" t="s">
        <v>22</v>
      </c>
      <c r="H989" s="1" t="s">
        <v>1173</v>
      </c>
      <c r="I989" s="2" t="s">
        <v>1153</v>
      </c>
    </row>
    <row r="990" spans="1:9">
      <c r="A990" s="6">
        <v>43428</v>
      </c>
      <c r="B990" s="3" t="s">
        <v>174</v>
      </c>
      <c r="C990" s="3" t="s">
        <v>175</v>
      </c>
      <c r="D990" s="1" t="s">
        <v>141</v>
      </c>
      <c r="E990" s="7">
        <v>0.73</v>
      </c>
      <c r="F990" s="3">
        <v>1.65</v>
      </c>
      <c r="G990" s="1" t="s">
        <v>11</v>
      </c>
      <c r="H990" s="1" t="s">
        <v>1179</v>
      </c>
      <c r="I990" s="2" t="s">
        <v>1152</v>
      </c>
    </row>
    <row r="991" spans="1:9">
      <c r="A991" s="6">
        <v>43428</v>
      </c>
      <c r="B991" s="3" t="s">
        <v>180</v>
      </c>
      <c r="C991" s="3" t="s">
        <v>181</v>
      </c>
      <c r="D991" s="1" t="s">
        <v>141</v>
      </c>
      <c r="E991" s="7">
        <v>0.73</v>
      </c>
      <c r="F991" s="3">
        <v>1.65</v>
      </c>
      <c r="G991" s="1" t="s">
        <v>11</v>
      </c>
      <c r="H991" s="1" t="s">
        <v>1175</v>
      </c>
      <c r="I991" s="2" t="s">
        <v>1152</v>
      </c>
    </row>
    <row r="992" spans="1:9">
      <c r="A992" s="6">
        <v>43428</v>
      </c>
      <c r="B992" s="3" t="s">
        <v>196</v>
      </c>
      <c r="C992" s="3" t="s">
        <v>197</v>
      </c>
      <c r="D992" s="1" t="s">
        <v>141</v>
      </c>
      <c r="E992" s="7">
        <v>0.73</v>
      </c>
      <c r="F992" s="3">
        <v>1.65</v>
      </c>
      <c r="G992" s="1" t="s">
        <v>11</v>
      </c>
      <c r="H992" s="1" t="s">
        <v>1180</v>
      </c>
      <c r="I992" s="2" t="s">
        <v>1154</v>
      </c>
    </row>
    <row r="993" spans="1:9">
      <c r="A993" s="6">
        <v>43439</v>
      </c>
      <c r="B993" s="3" t="s">
        <v>761</v>
      </c>
      <c r="C993" s="3" t="s">
        <v>762</v>
      </c>
      <c r="D993" s="1" t="s">
        <v>704</v>
      </c>
      <c r="E993" s="7">
        <v>0.73</v>
      </c>
      <c r="F993" s="3">
        <v>1.65</v>
      </c>
      <c r="G993" s="1" t="s">
        <v>11</v>
      </c>
      <c r="H993" s="1" t="s">
        <v>1175</v>
      </c>
      <c r="I993" s="2" t="s">
        <v>1152</v>
      </c>
    </row>
    <row r="994" spans="1:9">
      <c r="A994" s="6">
        <v>43444</v>
      </c>
      <c r="B994" s="3" t="s">
        <v>86</v>
      </c>
      <c r="C994" s="3" t="s">
        <v>35</v>
      </c>
      <c r="D994" s="1" t="s">
        <v>36</v>
      </c>
      <c r="E994" s="7">
        <v>0.73</v>
      </c>
      <c r="F994" s="3">
        <v>1.65</v>
      </c>
      <c r="G994" s="1" t="s">
        <v>11</v>
      </c>
      <c r="H994" s="1" t="s">
        <v>1178</v>
      </c>
      <c r="I994" s="2" t="s">
        <v>1153</v>
      </c>
    </row>
    <row r="995" spans="1:9">
      <c r="A995" s="6">
        <v>43463</v>
      </c>
      <c r="B995" s="3" t="s">
        <v>173</v>
      </c>
      <c r="C995" s="3" t="s">
        <v>169</v>
      </c>
      <c r="D995" s="1" t="s">
        <v>569</v>
      </c>
      <c r="E995" s="7">
        <v>0.73</v>
      </c>
      <c r="F995" s="3">
        <v>1.65</v>
      </c>
      <c r="G995" s="1" t="s">
        <v>11</v>
      </c>
      <c r="H995" s="1" t="s">
        <v>1178</v>
      </c>
      <c r="I995" s="2" t="s">
        <v>1153</v>
      </c>
    </row>
    <row r="996" spans="1:9">
      <c r="A996" s="6">
        <v>43427</v>
      </c>
      <c r="B996" s="3" t="s">
        <v>43</v>
      </c>
      <c r="C996" s="3" t="s">
        <v>44</v>
      </c>
      <c r="D996" s="1" t="s">
        <v>45</v>
      </c>
      <c r="E996" s="7">
        <v>0.73</v>
      </c>
      <c r="F996" s="3">
        <v>1.63</v>
      </c>
      <c r="G996" s="1" t="s">
        <v>11</v>
      </c>
      <c r="H996" s="1" t="s">
        <v>1176</v>
      </c>
      <c r="I996" s="2" t="s">
        <v>1153</v>
      </c>
    </row>
    <row r="997" spans="1:9">
      <c r="A997" s="6">
        <v>43441</v>
      </c>
      <c r="B997" s="3" t="s">
        <v>779</v>
      </c>
      <c r="C997" s="3" t="s">
        <v>780</v>
      </c>
      <c r="D997" s="1" t="s">
        <v>674</v>
      </c>
      <c r="E997" s="7">
        <v>0.73</v>
      </c>
      <c r="F997" s="3">
        <v>1.63</v>
      </c>
      <c r="G997" s="1" t="s">
        <v>22</v>
      </c>
      <c r="H997" s="1" t="s">
        <v>1176</v>
      </c>
      <c r="I997" s="2" t="s">
        <v>1154</v>
      </c>
    </row>
    <row r="998" spans="1:9">
      <c r="A998" s="6">
        <v>43454</v>
      </c>
      <c r="B998" s="3" t="s">
        <v>691</v>
      </c>
      <c r="C998" s="3" t="s">
        <v>690</v>
      </c>
      <c r="D998" s="1" t="s">
        <v>689</v>
      </c>
      <c r="E998" s="7">
        <v>0.73</v>
      </c>
      <c r="F998" s="3">
        <v>1.63</v>
      </c>
      <c r="G998" s="1" t="s">
        <v>22</v>
      </c>
      <c r="H998" s="1" t="s">
        <v>1176</v>
      </c>
      <c r="I998" s="2" t="s">
        <v>1154</v>
      </c>
    </row>
    <row r="999" spans="1:9">
      <c r="A999" s="6">
        <v>43427</v>
      </c>
      <c r="B999" s="3" t="s">
        <v>41</v>
      </c>
      <c r="C999" s="3" t="s">
        <v>42</v>
      </c>
      <c r="D999" s="1" t="s">
        <v>36</v>
      </c>
      <c r="E999" s="7">
        <v>0.73</v>
      </c>
      <c r="F999" s="3">
        <v>1.61</v>
      </c>
      <c r="G999" s="1" t="s">
        <v>11</v>
      </c>
      <c r="H999" s="1" t="s">
        <v>1173</v>
      </c>
      <c r="I999" s="2" t="s">
        <v>1154</v>
      </c>
    </row>
    <row r="1000" spans="1:9">
      <c r="A1000" s="6">
        <v>43450</v>
      </c>
      <c r="B1000" s="3" t="s">
        <v>985</v>
      </c>
      <c r="C1000" s="3" t="s">
        <v>986</v>
      </c>
      <c r="D1000" s="1" t="s">
        <v>987</v>
      </c>
      <c r="E1000" s="7">
        <v>0.73</v>
      </c>
      <c r="F1000" s="3">
        <v>1.61</v>
      </c>
      <c r="G1000" s="1" t="s">
        <v>11</v>
      </c>
      <c r="H1000" s="1" t="s">
        <v>1178</v>
      </c>
      <c r="I1000" s="2" t="s">
        <v>1153</v>
      </c>
    </row>
    <row r="1001" spans="1:9">
      <c r="A1001" s="6">
        <v>43476</v>
      </c>
      <c r="B1001" s="3" t="s">
        <v>1581</v>
      </c>
      <c r="C1001" s="3" t="s">
        <v>284</v>
      </c>
      <c r="D1001" s="1" t="s">
        <v>1222</v>
      </c>
      <c r="E1001" s="7">
        <v>0.73</v>
      </c>
      <c r="F1001" s="3">
        <v>1.61</v>
      </c>
      <c r="G1001" s="1" t="s">
        <v>11</v>
      </c>
      <c r="H1001" s="1" t="s">
        <v>1185</v>
      </c>
      <c r="I1001" s="3" t="s">
        <v>1152</v>
      </c>
    </row>
    <row r="1002" spans="1:9">
      <c r="A1002" s="6">
        <v>43437</v>
      </c>
      <c r="B1002" s="3" t="s">
        <v>415</v>
      </c>
      <c r="C1002" s="3" t="s">
        <v>127</v>
      </c>
      <c r="D1002" s="1" t="s">
        <v>128</v>
      </c>
      <c r="E1002" s="7">
        <v>0.73</v>
      </c>
      <c r="F1002" s="3">
        <v>1.59</v>
      </c>
      <c r="G1002" s="1" t="s">
        <v>22</v>
      </c>
      <c r="H1002" s="1" t="s">
        <v>1181</v>
      </c>
      <c r="I1002" s="2" t="s">
        <v>1154</v>
      </c>
    </row>
    <row r="1003" spans="1:9">
      <c r="A1003" s="6">
        <v>43438</v>
      </c>
      <c r="B1003" s="3" t="s">
        <v>692</v>
      </c>
      <c r="C1003" s="3" t="s">
        <v>509</v>
      </c>
      <c r="D1003" s="1" t="s">
        <v>128</v>
      </c>
      <c r="E1003" s="7">
        <v>0.73</v>
      </c>
      <c r="F1003" s="3">
        <v>1.59</v>
      </c>
      <c r="G1003" s="1" t="s">
        <v>22</v>
      </c>
      <c r="H1003" s="1" t="s">
        <v>1186</v>
      </c>
      <c r="I1003" s="2" t="s">
        <v>1153</v>
      </c>
    </row>
    <row r="1004" spans="1:9">
      <c r="A1004" s="6">
        <v>43442</v>
      </c>
      <c r="B1004" s="3" t="s">
        <v>852</v>
      </c>
      <c r="C1004" s="3" t="s">
        <v>510</v>
      </c>
      <c r="D1004" s="1" t="s">
        <v>797</v>
      </c>
      <c r="E1004" s="7">
        <v>0.73</v>
      </c>
      <c r="F1004" s="3">
        <v>1.57</v>
      </c>
      <c r="G1004" s="1" t="s">
        <v>22</v>
      </c>
      <c r="H1004" s="1" t="s">
        <v>1193</v>
      </c>
      <c r="I1004" s="2" t="s">
        <v>1154</v>
      </c>
    </row>
    <row r="1005" spans="1:9">
      <c r="A1005" s="6">
        <v>43436</v>
      </c>
      <c r="B1005" s="3" t="s">
        <v>647</v>
      </c>
      <c r="C1005" s="3" t="s">
        <v>648</v>
      </c>
      <c r="D1005" s="1" t="s">
        <v>649</v>
      </c>
      <c r="E1005" s="7">
        <v>0.73</v>
      </c>
      <c r="F1005" s="3">
        <v>1.5</v>
      </c>
      <c r="G1005" s="1" t="s">
        <v>22</v>
      </c>
      <c r="H1005" s="1" t="s">
        <v>1188</v>
      </c>
      <c r="I1005" s="2" t="s">
        <v>1154</v>
      </c>
    </row>
    <row r="1006" spans="1:9">
      <c r="A1006" s="6">
        <v>43436</v>
      </c>
      <c r="B1006" s="3" t="s">
        <v>647</v>
      </c>
      <c r="C1006" s="3" t="s">
        <v>648</v>
      </c>
      <c r="D1006" s="1" t="s">
        <v>649</v>
      </c>
      <c r="E1006" s="7">
        <v>0.73</v>
      </c>
      <c r="F1006" s="3">
        <v>1.5</v>
      </c>
      <c r="G1006" s="1" t="s">
        <v>22</v>
      </c>
      <c r="H1006" s="1" t="s">
        <v>1188</v>
      </c>
      <c r="I1006" s="2" t="s">
        <v>1154</v>
      </c>
    </row>
    <row r="1007" spans="1:9">
      <c r="A1007" s="6">
        <v>43428</v>
      </c>
      <c r="B1007" s="3" t="s">
        <v>101</v>
      </c>
      <c r="C1007" s="3" t="s">
        <v>102</v>
      </c>
      <c r="D1007" s="1" t="s">
        <v>103</v>
      </c>
      <c r="E1007" s="7">
        <v>0.72</v>
      </c>
      <c r="F1007" s="3">
        <v>1.69</v>
      </c>
      <c r="G1007" s="1" t="s">
        <v>11</v>
      </c>
      <c r="H1007" s="1" t="s">
        <v>1173</v>
      </c>
      <c r="I1007" s="2" t="s">
        <v>1154</v>
      </c>
    </row>
    <row r="1008" spans="1:9">
      <c r="A1008" s="6">
        <v>43428</v>
      </c>
      <c r="B1008" s="3" t="s">
        <v>129</v>
      </c>
      <c r="C1008" s="3" t="s">
        <v>130</v>
      </c>
      <c r="D1008" s="1" t="s">
        <v>131</v>
      </c>
      <c r="E1008" s="7">
        <v>0.72</v>
      </c>
      <c r="F1008" s="3">
        <v>1.69</v>
      </c>
      <c r="G1008" s="1" t="s">
        <v>11</v>
      </c>
      <c r="H1008" s="1" t="s">
        <v>1182</v>
      </c>
      <c r="I1008" s="2" t="s">
        <v>1154</v>
      </c>
    </row>
    <row r="1009" spans="1:10">
      <c r="A1009" s="6">
        <v>43431</v>
      </c>
      <c r="B1009" s="3" t="s">
        <v>465</v>
      </c>
      <c r="C1009" s="3" t="s">
        <v>466</v>
      </c>
      <c r="D1009" s="1" t="s">
        <v>462</v>
      </c>
      <c r="E1009" s="7">
        <v>0.72</v>
      </c>
      <c r="F1009" s="3">
        <v>1.69</v>
      </c>
      <c r="G1009" s="1" t="s">
        <v>11</v>
      </c>
      <c r="H1009" s="1" t="s">
        <v>1199</v>
      </c>
      <c r="I1009" s="2" t="s">
        <v>1153</v>
      </c>
    </row>
    <row r="1010" spans="1:10">
      <c r="A1010" s="6">
        <v>43438</v>
      </c>
      <c r="B1010" s="3" t="s">
        <v>710</v>
      </c>
      <c r="C1010" s="3" t="s">
        <v>711</v>
      </c>
      <c r="D1010" s="1" t="s">
        <v>689</v>
      </c>
      <c r="E1010" s="7">
        <v>0.72</v>
      </c>
      <c r="F1010" s="3">
        <v>1.69</v>
      </c>
      <c r="G1010" s="1" t="s">
        <v>11</v>
      </c>
      <c r="H1010" s="1" t="s">
        <v>1184</v>
      </c>
      <c r="I1010" s="2" t="s">
        <v>1153</v>
      </c>
    </row>
    <row r="1011" spans="1:10">
      <c r="A1011" s="6">
        <v>43440</v>
      </c>
      <c r="B1011" s="3" t="s">
        <v>772</v>
      </c>
      <c r="C1011" s="3" t="s">
        <v>773</v>
      </c>
      <c r="D1011" s="1" t="s">
        <v>184</v>
      </c>
      <c r="E1011" s="7">
        <v>0.72</v>
      </c>
      <c r="F1011" s="3">
        <v>1.69</v>
      </c>
      <c r="G1011" s="1" t="s">
        <v>11</v>
      </c>
      <c r="H1011" s="1" t="s">
        <v>1180</v>
      </c>
      <c r="I1011" s="2" t="s">
        <v>1154</v>
      </c>
    </row>
    <row r="1012" spans="1:10">
      <c r="A1012" s="6">
        <v>43442</v>
      </c>
      <c r="B1012" s="3" t="s">
        <v>840</v>
      </c>
      <c r="C1012" s="3" t="s">
        <v>841</v>
      </c>
      <c r="D1012" s="1" t="s">
        <v>580</v>
      </c>
      <c r="E1012" s="7">
        <v>0.72</v>
      </c>
      <c r="F1012" s="3">
        <v>1.69</v>
      </c>
      <c r="G1012" s="1" t="s">
        <v>11</v>
      </c>
      <c r="H1012" s="1" t="s">
        <v>1175</v>
      </c>
      <c r="I1012" s="2" t="s">
        <v>1152</v>
      </c>
      <c r="J1012" s="6"/>
    </row>
    <row r="1013" spans="1:10">
      <c r="A1013" s="6">
        <v>43442</v>
      </c>
      <c r="B1013" s="3" t="s">
        <v>840</v>
      </c>
      <c r="C1013" s="3" t="s">
        <v>841</v>
      </c>
      <c r="D1013" s="1" t="s">
        <v>580</v>
      </c>
      <c r="E1013" s="7">
        <v>0.72</v>
      </c>
      <c r="F1013" s="3">
        <v>1.69</v>
      </c>
      <c r="G1013" s="1" t="s">
        <v>11</v>
      </c>
      <c r="H1013" s="1" t="s">
        <v>1175</v>
      </c>
      <c r="I1013" s="2" t="s">
        <v>1152</v>
      </c>
      <c r="J1013" s="6"/>
    </row>
    <row r="1014" spans="1:10">
      <c r="A1014" s="6">
        <v>43449</v>
      </c>
      <c r="B1014" s="3" t="s">
        <v>572</v>
      </c>
      <c r="C1014" s="3" t="s">
        <v>175</v>
      </c>
      <c r="D1014" s="1" t="s">
        <v>571</v>
      </c>
      <c r="E1014" s="7">
        <v>0.72</v>
      </c>
      <c r="F1014" s="3">
        <v>1.69</v>
      </c>
      <c r="G1014" s="1" t="s">
        <v>11</v>
      </c>
      <c r="H1014" s="1" t="s">
        <v>1180</v>
      </c>
      <c r="I1014" s="2" t="s">
        <v>1154</v>
      </c>
      <c r="J1014" s="6"/>
    </row>
    <row r="1015" spans="1:10">
      <c r="A1015" s="6">
        <v>43449</v>
      </c>
      <c r="B1015" s="3" t="s">
        <v>964</v>
      </c>
      <c r="C1015" s="3" t="s">
        <v>833</v>
      </c>
      <c r="D1015" s="1" t="s">
        <v>835</v>
      </c>
      <c r="E1015" s="7">
        <v>0.72</v>
      </c>
      <c r="F1015" s="3">
        <v>1.69</v>
      </c>
      <c r="G1015" s="1" t="s">
        <v>11</v>
      </c>
      <c r="H1015" s="1" t="s">
        <v>1186</v>
      </c>
      <c r="I1015" s="2" t="s">
        <v>1154</v>
      </c>
      <c r="J1015" s="6"/>
    </row>
    <row r="1016" spans="1:10">
      <c r="A1016" s="6">
        <v>43450</v>
      </c>
      <c r="B1016" s="3" t="s">
        <v>887</v>
      </c>
      <c r="C1016" s="3" t="s">
        <v>976</v>
      </c>
      <c r="D1016" s="1" t="s">
        <v>374</v>
      </c>
      <c r="E1016" s="7">
        <v>0.72</v>
      </c>
      <c r="F1016" s="3">
        <v>1.69</v>
      </c>
      <c r="G1016" s="1" t="s">
        <v>11</v>
      </c>
      <c r="H1016" s="1" t="s">
        <v>1200</v>
      </c>
      <c r="I1016" s="2" t="s">
        <v>1154</v>
      </c>
      <c r="J1016" s="6"/>
    </row>
    <row r="1017" spans="1:10">
      <c r="A1017" s="6">
        <v>43455</v>
      </c>
      <c r="B1017" s="3" t="s">
        <v>183</v>
      </c>
      <c r="C1017" s="3" t="s">
        <v>532</v>
      </c>
      <c r="D1017" s="1" t="s">
        <v>184</v>
      </c>
      <c r="E1017" s="7">
        <v>0.72</v>
      </c>
      <c r="F1017" s="3">
        <v>1.69</v>
      </c>
      <c r="G1017" s="1" t="s">
        <v>11</v>
      </c>
      <c r="H1017" s="1" t="s">
        <v>1187</v>
      </c>
      <c r="I1017" s="2" t="s">
        <v>1154</v>
      </c>
      <c r="J1017" s="6"/>
    </row>
    <row r="1018" spans="1:10">
      <c r="A1018" s="6">
        <v>43463</v>
      </c>
      <c r="B1018" s="3" t="s">
        <v>703</v>
      </c>
      <c r="C1018" s="3" t="s">
        <v>437</v>
      </c>
      <c r="D1018" s="1" t="s">
        <v>219</v>
      </c>
      <c r="E1018" s="7">
        <v>0.72</v>
      </c>
      <c r="F1018" s="3">
        <v>1.69</v>
      </c>
      <c r="G1018" s="1" t="s">
        <v>22</v>
      </c>
      <c r="H1018" s="1" t="s">
        <v>1179</v>
      </c>
      <c r="I1018" s="2" t="s">
        <v>1152</v>
      </c>
      <c r="J1018" s="6"/>
    </row>
    <row r="1019" spans="1:10">
      <c r="A1019" s="6">
        <v>43475</v>
      </c>
      <c r="B1019" s="3" t="s">
        <v>663</v>
      </c>
      <c r="C1019" s="3" t="s">
        <v>1236</v>
      </c>
      <c r="D1019" s="1" t="s">
        <v>1222</v>
      </c>
      <c r="E1019" s="7">
        <v>0.72</v>
      </c>
      <c r="F1019" s="3">
        <v>1.69</v>
      </c>
      <c r="G1019" s="1" t="s">
        <v>11</v>
      </c>
      <c r="H1019" s="1" t="s">
        <v>1175</v>
      </c>
      <c r="I1019" s="3" t="s">
        <v>1152</v>
      </c>
      <c r="J1019" s="6"/>
    </row>
    <row r="1020" spans="1:10">
      <c r="A1020" s="6">
        <v>43476</v>
      </c>
      <c r="B1020" s="3" t="s">
        <v>1574</v>
      </c>
      <c r="C1020" s="3" t="s">
        <v>1575</v>
      </c>
      <c r="D1020" s="1" t="s">
        <v>1576</v>
      </c>
      <c r="E1020" s="7">
        <v>0.72</v>
      </c>
      <c r="F1020" s="3">
        <v>1.69</v>
      </c>
      <c r="G1020" s="1" t="s">
        <v>11</v>
      </c>
      <c r="H1020" s="1" t="s">
        <v>1190</v>
      </c>
      <c r="I1020" s="3" t="s">
        <v>1154</v>
      </c>
      <c r="J1020" s="6"/>
    </row>
    <row r="1021" spans="1:10">
      <c r="A1021" s="6">
        <v>43428</v>
      </c>
      <c r="B1021" s="3" t="s">
        <v>114</v>
      </c>
      <c r="C1021" s="3" t="s">
        <v>115</v>
      </c>
      <c r="D1021" s="1" t="s">
        <v>48</v>
      </c>
      <c r="E1021" s="7">
        <v>0.72</v>
      </c>
      <c r="F1021" s="3">
        <v>1.67</v>
      </c>
      <c r="G1021" s="1" t="s">
        <v>11</v>
      </c>
      <c r="H1021" s="1" t="s">
        <v>1183</v>
      </c>
      <c r="I1021" s="2" t="s">
        <v>1153</v>
      </c>
      <c r="J1021" s="6"/>
    </row>
    <row r="1022" spans="1:10">
      <c r="A1022" s="6">
        <v>43442</v>
      </c>
      <c r="B1022" s="3" t="s">
        <v>864</v>
      </c>
      <c r="C1022" s="3" t="s">
        <v>865</v>
      </c>
      <c r="D1022" s="1" t="s">
        <v>303</v>
      </c>
      <c r="E1022" s="7">
        <v>0.72</v>
      </c>
      <c r="F1022" s="3">
        <v>1.67</v>
      </c>
      <c r="G1022" s="1" t="s">
        <v>11</v>
      </c>
      <c r="H1022" s="1" t="s">
        <v>1186</v>
      </c>
      <c r="I1022" s="2" t="s">
        <v>1154</v>
      </c>
      <c r="J1022" s="6"/>
    </row>
    <row r="1023" spans="1:10">
      <c r="A1023" s="6">
        <v>43448</v>
      </c>
      <c r="B1023" s="3" t="s">
        <v>936</v>
      </c>
      <c r="C1023" s="3" t="s">
        <v>937</v>
      </c>
      <c r="D1023" s="1" t="s">
        <v>938</v>
      </c>
      <c r="E1023" s="7">
        <v>0.72</v>
      </c>
      <c r="F1023" s="3">
        <v>1.67</v>
      </c>
      <c r="G1023" s="1" t="s">
        <v>22</v>
      </c>
      <c r="H1023" s="1" t="s">
        <v>1175</v>
      </c>
      <c r="I1023" s="2" t="s">
        <v>1152</v>
      </c>
      <c r="J1023" s="6"/>
    </row>
    <row r="1024" spans="1:10">
      <c r="A1024" s="6">
        <v>43449</v>
      </c>
      <c r="B1024" s="3" t="s">
        <v>173</v>
      </c>
      <c r="C1024" s="3" t="s">
        <v>952</v>
      </c>
      <c r="D1024" s="1" t="s">
        <v>569</v>
      </c>
      <c r="E1024" s="7">
        <v>0.72</v>
      </c>
      <c r="F1024" s="3">
        <v>1.67</v>
      </c>
      <c r="G1024" s="1" t="s">
        <v>11</v>
      </c>
      <c r="H1024" s="1" t="s">
        <v>1189</v>
      </c>
      <c r="I1024" s="2" t="s">
        <v>1154</v>
      </c>
      <c r="J1024" s="6"/>
    </row>
    <row r="1025" spans="1:10">
      <c r="A1025" s="6">
        <v>43453</v>
      </c>
      <c r="B1025" s="3" t="s">
        <v>367</v>
      </c>
      <c r="C1025" s="3" t="s">
        <v>628</v>
      </c>
      <c r="D1025" s="1" t="s">
        <v>757</v>
      </c>
      <c r="E1025" s="7">
        <v>0.72</v>
      </c>
      <c r="F1025" s="3">
        <v>1.67</v>
      </c>
      <c r="G1025" s="1" t="s">
        <v>11</v>
      </c>
      <c r="H1025" s="1" t="s">
        <v>1199</v>
      </c>
      <c r="I1025" s="2" t="s">
        <v>1153</v>
      </c>
    </row>
    <row r="1026" spans="1:10">
      <c r="A1026" s="6">
        <v>43460</v>
      </c>
      <c r="B1026" s="3" t="s">
        <v>1094</v>
      </c>
      <c r="C1026" s="3" t="s">
        <v>834</v>
      </c>
      <c r="D1026" s="1" t="s">
        <v>835</v>
      </c>
      <c r="E1026" s="7">
        <v>0.72</v>
      </c>
      <c r="F1026" s="3">
        <v>1.67</v>
      </c>
      <c r="G1026" s="1" t="s">
        <v>11</v>
      </c>
      <c r="H1026" s="1" t="s">
        <v>1172</v>
      </c>
      <c r="I1026" s="2" t="s">
        <v>1154</v>
      </c>
    </row>
    <row r="1027" spans="1:10">
      <c r="A1027" s="6">
        <v>43470</v>
      </c>
      <c r="B1027" s="3" t="s">
        <v>1143</v>
      </c>
      <c r="C1027" s="3" t="s">
        <v>1064</v>
      </c>
      <c r="D1027" s="1" t="s">
        <v>580</v>
      </c>
      <c r="E1027" s="7">
        <v>0.72</v>
      </c>
      <c r="F1027" s="3">
        <v>1.67</v>
      </c>
      <c r="G1027" s="1" t="s">
        <v>11</v>
      </c>
      <c r="H1027" s="1" t="s">
        <v>1175</v>
      </c>
      <c r="I1027" s="2" t="s">
        <v>1152</v>
      </c>
    </row>
    <row r="1028" spans="1:10">
      <c r="A1028" s="6">
        <v>43438</v>
      </c>
      <c r="B1028" s="3" t="s">
        <v>686</v>
      </c>
      <c r="C1028" s="3" t="s">
        <v>687</v>
      </c>
      <c r="D1028" s="1" t="s">
        <v>128</v>
      </c>
      <c r="E1028" s="7">
        <v>0.72</v>
      </c>
      <c r="F1028" s="3">
        <v>1.65</v>
      </c>
      <c r="G1028" s="1" t="s">
        <v>11</v>
      </c>
      <c r="H1028" s="1" t="s">
        <v>1177</v>
      </c>
      <c r="I1028" s="2" t="s">
        <v>1154</v>
      </c>
    </row>
    <row r="1029" spans="1:10">
      <c r="A1029" s="6">
        <v>43463</v>
      </c>
      <c r="B1029" s="3" t="s">
        <v>202</v>
      </c>
      <c r="C1029" s="3" t="s">
        <v>223</v>
      </c>
      <c r="D1029" s="1" t="s">
        <v>569</v>
      </c>
      <c r="E1029" s="7">
        <v>0.72</v>
      </c>
      <c r="F1029" s="3">
        <v>1.65</v>
      </c>
      <c r="G1029" s="1" t="s">
        <v>11</v>
      </c>
      <c r="H1029" s="1" t="s">
        <v>1177</v>
      </c>
      <c r="I1029" s="2" t="s">
        <v>1154</v>
      </c>
    </row>
    <row r="1030" spans="1:10">
      <c r="A1030" s="6">
        <v>43442</v>
      </c>
      <c r="B1030" s="3" t="s">
        <v>838</v>
      </c>
      <c r="C1030" s="3" t="s">
        <v>839</v>
      </c>
      <c r="D1030" s="1" t="s">
        <v>201</v>
      </c>
      <c r="E1030" s="7">
        <v>0.72</v>
      </c>
      <c r="F1030" s="3">
        <v>1.59</v>
      </c>
      <c r="G1030" s="1" t="s">
        <v>11</v>
      </c>
      <c r="H1030" s="1" t="s">
        <v>1190</v>
      </c>
      <c r="I1030" s="2" t="s">
        <v>1154</v>
      </c>
    </row>
    <row r="1031" spans="1:10">
      <c r="A1031" s="6">
        <v>43442</v>
      </c>
      <c r="B1031" s="3" t="s">
        <v>838</v>
      </c>
      <c r="C1031" s="3" t="s">
        <v>839</v>
      </c>
      <c r="D1031" s="1" t="s">
        <v>201</v>
      </c>
      <c r="E1031" s="7">
        <v>0.72</v>
      </c>
      <c r="F1031" s="3">
        <v>1.59</v>
      </c>
      <c r="G1031" s="1" t="s">
        <v>11</v>
      </c>
      <c r="H1031" s="1" t="s">
        <v>1190</v>
      </c>
      <c r="I1031" s="2" t="s">
        <v>1154</v>
      </c>
    </row>
    <row r="1032" spans="1:10">
      <c r="A1032" s="6">
        <v>43449</v>
      </c>
      <c r="B1032" s="3" t="s">
        <v>950</v>
      </c>
      <c r="C1032" s="3" t="s">
        <v>802</v>
      </c>
      <c r="D1032" s="1" t="s">
        <v>804</v>
      </c>
      <c r="E1032" s="7">
        <v>0.72</v>
      </c>
      <c r="F1032" s="3">
        <v>1.59</v>
      </c>
      <c r="G1032" s="1" t="s">
        <v>11</v>
      </c>
      <c r="H1032" s="1" t="s">
        <v>1181</v>
      </c>
      <c r="I1032" s="2" t="s">
        <v>1153</v>
      </c>
    </row>
    <row r="1033" spans="1:10">
      <c r="A1033" s="6">
        <v>43449</v>
      </c>
      <c r="B1033" s="3" t="s">
        <v>950</v>
      </c>
      <c r="C1033" s="3" t="s">
        <v>802</v>
      </c>
      <c r="D1033" s="1" t="s">
        <v>804</v>
      </c>
      <c r="E1033" s="7">
        <v>0.72</v>
      </c>
      <c r="F1033" s="3">
        <v>1.59</v>
      </c>
      <c r="G1033" s="1" t="s">
        <v>11</v>
      </c>
      <c r="H1033" s="1" t="s">
        <v>1181</v>
      </c>
      <c r="I1033" s="2" t="s">
        <v>1153</v>
      </c>
    </row>
    <row r="1034" spans="1:10">
      <c r="A1034" s="6">
        <v>43436</v>
      </c>
      <c r="B1034" s="3" t="s">
        <v>650</v>
      </c>
      <c r="C1034" s="3" t="s">
        <v>651</v>
      </c>
      <c r="D1034" s="1" t="s">
        <v>652</v>
      </c>
      <c r="E1034" s="7">
        <v>0.72</v>
      </c>
      <c r="F1034" s="3">
        <v>1.54</v>
      </c>
      <c r="G1034" s="1" t="s">
        <v>11</v>
      </c>
      <c r="H1034" s="1" t="s">
        <v>1204</v>
      </c>
      <c r="I1034" s="2" t="s">
        <v>1153</v>
      </c>
      <c r="J1034" s="6"/>
    </row>
    <row r="1035" spans="1:10">
      <c r="A1035" s="6">
        <v>43436</v>
      </c>
      <c r="B1035" s="3" t="s">
        <v>650</v>
      </c>
      <c r="C1035" s="3" t="s">
        <v>651</v>
      </c>
      <c r="D1035" s="1" t="s">
        <v>652</v>
      </c>
      <c r="E1035" s="7">
        <v>0.72</v>
      </c>
      <c r="F1035" s="3">
        <v>1.54</v>
      </c>
      <c r="G1035" s="1" t="s">
        <v>11</v>
      </c>
      <c r="H1035" s="1" t="s">
        <v>1204</v>
      </c>
      <c r="I1035" s="2" t="s">
        <v>1153</v>
      </c>
      <c r="J1035" s="6"/>
    </row>
    <row r="1036" spans="1:10">
      <c r="A1036" s="6">
        <v>43476</v>
      </c>
      <c r="B1036" s="3" t="s">
        <v>1577</v>
      </c>
      <c r="C1036" s="3" t="s">
        <v>625</v>
      </c>
      <c r="D1036" s="1" t="s">
        <v>1044</v>
      </c>
      <c r="E1036" s="7">
        <v>0.72</v>
      </c>
      <c r="F1036" s="3">
        <v>1.53</v>
      </c>
      <c r="G1036" s="1" t="s">
        <v>11</v>
      </c>
      <c r="H1036" s="1" t="s">
        <v>1182</v>
      </c>
      <c r="I1036" s="3" t="s">
        <v>1154</v>
      </c>
      <c r="J1036" s="6"/>
    </row>
    <row r="1037" spans="1:10">
      <c r="A1037" s="6">
        <v>43445</v>
      </c>
      <c r="B1037" s="3" t="s">
        <v>487</v>
      </c>
      <c r="C1037" s="3" t="s">
        <v>916</v>
      </c>
      <c r="D1037" s="1" t="s">
        <v>449</v>
      </c>
      <c r="E1037" s="7">
        <v>0.71</v>
      </c>
      <c r="F1037" s="3">
        <v>1.69</v>
      </c>
      <c r="G1037" s="1" t="s">
        <v>22</v>
      </c>
      <c r="H1037" s="1" t="s">
        <v>1176</v>
      </c>
      <c r="I1037" s="2" t="s">
        <v>1154</v>
      </c>
      <c r="J1037" s="6"/>
    </row>
    <row r="1038" spans="1:10">
      <c r="A1038" s="6">
        <v>43449</v>
      </c>
      <c r="B1038" s="3" t="s">
        <v>953</v>
      </c>
      <c r="C1038" s="3" t="s">
        <v>226</v>
      </c>
      <c r="D1038" s="1" t="s">
        <v>569</v>
      </c>
      <c r="E1038" s="7">
        <v>0.71</v>
      </c>
      <c r="F1038" s="3">
        <v>1.69</v>
      </c>
      <c r="G1038" s="1" t="s">
        <v>22</v>
      </c>
      <c r="H1038" s="1" t="s">
        <v>1176</v>
      </c>
      <c r="I1038" s="2" t="s">
        <v>1154</v>
      </c>
      <c r="J1038" s="6"/>
    </row>
    <row r="1039" spans="1:10">
      <c r="A1039" s="6">
        <v>43457</v>
      </c>
      <c r="B1039" s="3" t="s">
        <v>313</v>
      </c>
      <c r="C1039" s="3" t="s">
        <v>1065</v>
      </c>
      <c r="D1039" s="1" t="s">
        <v>314</v>
      </c>
      <c r="E1039" s="7">
        <v>0.71</v>
      </c>
      <c r="F1039" s="3">
        <v>1.69</v>
      </c>
      <c r="G1039" s="1" t="s">
        <v>22</v>
      </c>
      <c r="H1039" s="1" t="s">
        <v>1178</v>
      </c>
      <c r="I1039" s="2" t="s">
        <v>1154</v>
      </c>
      <c r="J1039" s="6"/>
    </row>
    <row r="1040" spans="1:10">
      <c r="A1040" s="6">
        <v>43435</v>
      </c>
      <c r="B1040" s="3" t="s">
        <v>574</v>
      </c>
      <c r="C1040" s="3" t="s">
        <v>199</v>
      </c>
      <c r="D1040" s="1" t="s">
        <v>201</v>
      </c>
      <c r="E1040" s="7">
        <v>0.71</v>
      </c>
      <c r="F1040" s="3">
        <v>1.67</v>
      </c>
      <c r="G1040" s="1" t="s">
        <v>11</v>
      </c>
      <c r="H1040" s="1" t="s">
        <v>1176</v>
      </c>
      <c r="I1040" s="2" t="s">
        <v>1153</v>
      </c>
      <c r="J1040" s="6"/>
    </row>
    <row r="1041" spans="1:10">
      <c r="A1041" s="6">
        <v>43445</v>
      </c>
      <c r="B1041" s="3" t="s">
        <v>483</v>
      </c>
      <c r="C1041" s="3" t="s">
        <v>457</v>
      </c>
      <c r="D1041" s="1" t="s">
        <v>449</v>
      </c>
      <c r="E1041" s="7">
        <v>0.71</v>
      </c>
      <c r="F1041" s="3">
        <v>1.67</v>
      </c>
      <c r="G1041" s="1" t="s">
        <v>22</v>
      </c>
      <c r="H1041" s="1" t="s">
        <v>1172</v>
      </c>
      <c r="I1041" s="2" t="s">
        <v>1153</v>
      </c>
      <c r="J1041" s="6"/>
    </row>
    <row r="1042" spans="1:10">
      <c r="A1042" s="6">
        <v>43432</v>
      </c>
      <c r="B1042" s="3" t="s">
        <v>486</v>
      </c>
      <c r="C1042" s="3" t="s">
        <v>487</v>
      </c>
      <c r="D1042" s="1" t="s">
        <v>449</v>
      </c>
      <c r="E1042" s="7">
        <v>0.71</v>
      </c>
      <c r="F1042" s="3">
        <v>1.65</v>
      </c>
      <c r="G1042" s="1" t="s">
        <v>11</v>
      </c>
      <c r="H1042" s="1" t="s">
        <v>1201</v>
      </c>
      <c r="I1042" s="2" t="s">
        <v>1154</v>
      </c>
      <c r="J1042" s="6"/>
    </row>
    <row r="1043" spans="1:10">
      <c r="A1043" s="6">
        <v>43435</v>
      </c>
      <c r="B1043" s="3" t="s">
        <v>545</v>
      </c>
      <c r="C1043" s="3" t="s">
        <v>546</v>
      </c>
      <c r="D1043" s="1" t="s">
        <v>323</v>
      </c>
      <c r="E1043" s="7">
        <v>0.71</v>
      </c>
      <c r="F1043" s="3">
        <v>1.63</v>
      </c>
      <c r="G1043" s="1" t="s">
        <v>22</v>
      </c>
      <c r="H1043" s="1" t="s">
        <v>1184</v>
      </c>
      <c r="I1043" s="2" t="s">
        <v>1154</v>
      </c>
    </row>
    <row r="1044" spans="1:10">
      <c r="A1044" s="6">
        <v>43428</v>
      </c>
      <c r="B1044" s="3" t="s">
        <v>148</v>
      </c>
      <c r="C1044" s="3" t="s">
        <v>149</v>
      </c>
      <c r="D1044" s="1" t="s">
        <v>150</v>
      </c>
      <c r="E1044" s="7">
        <v>0.71</v>
      </c>
      <c r="F1044" s="3">
        <v>1.61</v>
      </c>
      <c r="G1044" s="1" t="s">
        <v>11</v>
      </c>
      <c r="H1044" s="1" t="s">
        <v>1186</v>
      </c>
      <c r="I1044" s="2" t="s">
        <v>1154</v>
      </c>
    </row>
    <row r="1045" spans="1:10">
      <c r="A1045" s="6">
        <v>43431</v>
      </c>
      <c r="B1045" s="3" t="s">
        <v>447</v>
      </c>
      <c r="C1045" s="3" t="s">
        <v>448</v>
      </c>
      <c r="D1045" s="1" t="s">
        <v>449</v>
      </c>
      <c r="E1045" s="7">
        <v>0.7</v>
      </c>
      <c r="F1045" s="3">
        <v>1.69</v>
      </c>
      <c r="G1045" s="1" t="s">
        <v>11</v>
      </c>
      <c r="H1045" s="1" t="s">
        <v>1182</v>
      </c>
      <c r="I1045" s="2" t="s">
        <v>1154</v>
      </c>
    </row>
    <row r="1046" spans="1:10">
      <c r="A1046" s="6">
        <v>43442</v>
      </c>
      <c r="B1046" s="3" t="s">
        <v>200</v>
      </c>
      <c r="C1046" s="3" t="s">
        <v>844</v>
      </c>
      <c r="D1046" s="1" t="s">
        <v>201</v>
      </c>
      <c r="E1046" s="7">
        <v>0.7</v>
      </c>
      <c r="F1046" s="3">
        <v>1.69</v>
      </c>
      <c r="G1046" s="1" t="s">
        <v>11</v>
      </c>
      <c r="H1046" s="1" t="s">
        <v>1176</v>
      </c>
      <c r="I1046" s="2" t="s">
        <v>1153</v>
      </c>
    </row>
    <row r="1047" spans="1:10">
      <c r="A1047" s="6">
        <v>43456</v>
      </c>
      <c r="B1047" s="3" t="s">
        <v>952</v>
      </c>
      <c r="C1047" s="3" t="s">
        <v>227</v>
      </c>
      <c r="D1047" s="1" t="s">
        <v>569</v>
      </c>
      <c r="E1047" s="7">
        <v>0.7</v>
      </c>
      <c r="F1047" s="3">
        <v>1.69</v>
      </c>
      <c r="G1047" s="1" t="s">
        <v>11</v>
      </c>
      <c r="H1047" s="1" t="s">
        <v>1176</v>
      </c>
      <c r="I1047" s="2" t="s">
        <v>1153</v>
      </c>
    </row>
    <row r="1048" spans="1:10">
      <c r="A1048" s="6">
        <v>43456</v>
      </c>
      <c r="B1048" s="3" t="s">
        <v>952</v>
      </c>
      <c r="C1048" s="3" t="s">
        <v>227</v>
      </c>
      <c r="D1048" s="1" t="s">
        <v>569</v>
      </c>
      <c r="E1048" s="7">
        <v>0.7</v>
      </c>
      <c r="F1048" s="3">
        <v>1.69</v>
      </c>
      <c r="G1048" s="1" t="s">
        <v>11</v>
      </c>
      <c r="H1048" s="1" t="s">
        <v>1176</v>
      </c>
      <c r="I1048" s="2" t="s">
        <v>1153</v>
      </c>
    </row>
    <row r="1049" spans="1:10">
      <c r="A1049" s="6">
        <v>43460</v>
      </c>
      <c r="B1049" s="3" t="s">
        <v>1084</v>
      </c>
      <c r="C1049" s="3" t="s">
        <v>1028</v>
      </c>
      <c r="D1049" s="1" t="s">
        <v>201</v>
      </c>
      <c r="E1049" s="7">
        <v>0.7</v>
      </c>
      <c r="F1049" s="3">
        <v>1.69</v>
      </c>
      <c r="G1049" s="1" t="s">
        <v>22</v>
      </c>
      <c r="H1049" s="1" t="s">
        <v>1173</v>
      </c>
      <c r="I1049" s="2" t="s">
        <v>1153</v>
      </c>
    </row>
    <row r="1050" spans="1:10">
      <c r="A1050" s="6">
        <v>43441</v>
      </c>
      <c r="B1050" s="3" t="s">
        <v>786</v>
      </c>
      <c r="C1050" s="3" t="s">
        <v>787</v>
      </c>
      <c r="D1050" s="1" t="s">
        <v>311</v>
      </c>
      <c r="E1050" s="7">
        <v>0.7</v>
      </c>
      <c r="F1050" s="3">
        <v>1.67</v>
      </c>
      <c r="G1050" s="1" t="s">
        <v>22</v>
      </c>
      <c r="H1050" s="1" t="s">
        <v>1199</v>
      </c>
      <c r="I1050" s="2" t="s">
        <v>1154</v>
      </c>
    </row>
    <row r="1051" spans="1:10">
      <c r="A1051" s="6">
        <v>43470</v>
      </c>
      <c r="B1051" s="3" t="s">
        <v>190</v>
      </c>
      <c r="C1051" s="3" t="s">
        <v>205</v>
      </c>
      <c r="D1051" s="1" t="s">
        <v>191</v>
      </c>
      <c r="E1051" s="7">
        <v>0.7</v>
      </c>
      <c r="F1051" s="3">
        <v>1.67</v>
      </c>
      <c r="G1051" s="1" t="s">
        <v>22</v>
      </c>
      <c r="H1051" s="1" t="s">
        <v>1184</v>
      </c>
      <c r="I1051" s="2" t="s">
        <v>1154</v>
      </c>
    </row>
    <row r="1052" spans="1:10">
      <c r="A1052" s="6">
        <v>43474</v>
      </c>
      <c r="B1052" s="3" t="s">
        <v>1238</v>
      </c>
      <c r="C1052" s="3" t="s">
        <v>1239</v>
      </c>
      <c r="D1052" s="1" t="s">
        <v>1240</v>
      </c>
      <c r="E1052" s="7">
        <v>0.7</v>
      </c>
      <c r="F1052" s="3">
        <v>1.67</v>
      </c>
      <c r="G1052" s="1" t="s">
        <v>22</v>
      </c>
      <c r="H1052" s="1" t="s">
        <v>1177</v>
      </c>
      <c r="I1052" s="3" t="s">
        <v>1153</v>
      </c>
    </row>
    <row r="1053" spans="1:10">
      <c r="A1053" s="6">
        <v>43445</v>
      </c>
      <c r="B1053" s="3" t="s">
        <v>625</v>
      </c>
      <c r="C1053" s="3" t="s">
        <v>777</v>
      </c>
      <c r="D1053" s="1" t="s">
        <v>626</v>
      </c>
      <c r="E1053" s="7">
        <v>0.7</v>
      </c>
      <c r="F1053" s="3">
        <v>1.65</v>
      </c>
      <c r="G1053" s="1" t="s">
        <v>11</v>
      </c>
      <c r="H1053" s="1" t="s">
        <v>1172</v>
      </c>
      <c r="I1053" s="2" t="s">
        <v>1154</v>
      </c>
    </row>
    <row r="1054" spans="1:10">
      <c r="A1054" s="6">
        <v>43441</v>
      </c>
      <c r="B1054" s="3" t="s">
        <v>78</v>
      </c>
      <c r="C1054" s="3" t="s">
        <v>794</v>
      </c>
      <c r="D1054" s="1" t="s">
        <v>80</v>
      </c>
      <c r="E1054" s="7">
        <v>0.7</v>
      </c>
      <c r="F1054" s="3">
        <v>1.63</v>
      </c>
      <c r="G1054" s="1" t="s">
        <v>11</v>
      </c>
      <c r="H1054" s="1" t="s">
        <v>1186</v>
      </c>
      <c r="I1054" s="2" t="s">
        <v>1154</v>
      </c>
    </row>
    <row r="1055" spans="1:10">
      <c r="A1055" s="6">
        <v>43470</v>
      </c>
      <c r="B1055" s="3" t="s">
        <v>1140</v>
      </c>
      <c r="C1055" s="3" t="s">
        <v>1141</v>
      </c>
      <c r="D1055" s="1" t="s">
        <v>201</v>
      </c>
      <c r="E1055" s="7">
        <v>0.7</v>
      </c>
      <c r="F1055" s="3">
        <v>1.63</v>
      </c>
      <c r="G1055" s="1" t="s">
        <v>11</v>
      </c>
      <c r="H1055" s="1" t="s">
        <v>1182</v>
      </c>
      <c r="I1055" s="2" t="s">
        <v>1154</v>
      </c>
    </row>
    <row r="1056" spans="1:10">
      <c r="A1056" s="6">
        <v>43427</v>
      </c>
      <c r="B1056" s="3" t="s">
        <v>78</v>
      </c>
      <c r="C1056" s="3" t="s">
        <v>79</v>
      </c>
      <c r="D1056" s="1" t="s">
        <v>80</v>
      </c>
      <c r="E1056" s="7">
        <v>0.69</v>
      </c>
      <c r="F1056" s="3">
        <v>1.69</v>
      </c>
      <c r="G1056" s="1" t="s">
        <v>11</v>
      </c>
      <c r="H1056" s="1" t="s">
        <v>1175</v>
      </c>
      <c r="I1056" s="2" t="s">
        <v>1152</v>
      </c>
    </row>
    <row r="1057" spans="1:9">
      <c r="A1057" s="6">
        <v>43429</v>
      </c>
      <c r="B1057" s="3" t="s">
        <v>415</v>
      </c>
      <c r="C1057" s="3" t="s">
        <v>416</v>
      </c>
      <c r="D1057" s="1" t="s">
        <v>128</v>
      </c>
      <c r="E1057" s="7">
        <v>0.69</v>
      </c>
      <c r="F1057" s="3">
        <v>1.69</v>
      </c>
      <c r="G1057" s="1" t="s">
        <v>11</v>
      </c>
      <c r="H1057" s="1" t="s">
        <v>1184</v>
      </c>
      <c r="I1057" s="2" t="s">
        <v>1153</v>
      </c>
    </row>
    <row r="1058" spans="1:9">
      <c r="A1058" s="6">
        <v>43429</v>
      </c>
      <c r="B1058" s="3" t="s">
        <v>415</v>
      </c>
      <c r="C1058" s="3" t="s">
        <v>416</v>
      </c>
      <c r="D1058" s="1" t="s">
        <v>128</v>
      </c>
      <c r="E1058" s="7">
        <v>0.69</v>
      </c>
      <c r="F1058" s="3">
        <v>1.69</v>
      </c>
      <c r="G1058" s="1" t="s">
        <v>11</v>
      </c>
      <c r="H1058" s="1" t="s">
        <v>1184</v>
      </c>
      <c r="I1058" s="2" t="s">
        <v>1153</v>
      </c>
    </row>
    <row r="1059" spans="1:9">
      <c r="A1059" s="6">
        <v>43469</v>
      </c>
      <c r="B1059" s="3" t="s">
        <v>1066</v>
      </c>
      <c r="C1059" s="3" t="s">
        <v>950</v>
      </c>
      <c r="D1059" s="1" t="s">
        <v>804</v>
      </c>
      <c r="E1059" s="7">
        <v>0.69</v>
      </c>
      <c r="F1059" s="3">
        <v>1.67</v>
      </c>
      <c r="G1059" s="1" t="s">
        <v>22</v>
      </c>
      <c r="H1059" s="1" t="s">
        <v>1199</v>
      </c>
      <c r="I1059" s="2" t="s">
        <v>1154</v>
      </c>
    </row>
    <row r="1060" spans="1:9">
      <c r="A1060" s="6">
        <v>43428</v>
      </c>
      <c r="B1060" s="3" t="s">
        <v>187</v>
      </c>
      <c r="C1060" s="3" t="s">
        <v>188</v>
      </c>
      <c r="D1060" s="1" t="s">
        <v>147</v>
      </c>
      <c r="E1060" s="7">
        <v>0.69</v>
      </c>
      <c r="F1060" s="3">
        <v>1.63</v>
      </c>
      <c r="G1060" s="1" t="s">
        <v>11</v>
      </c>
      <c r="H1060" s="1" t="s">
        <v>1190</v>
      </c>
      <c r="I1060" s="2" t="s">
        <v>1154</v>
      </c>
    </row>
    <row r="1061" spans="1:9">
      <c r="A1061" s="6">
        <v>43442</v>
      </c>
      <c r="B1061" s="3" t="s">
        <v>802</v>
      </c>
      <c r="C1061" s="3" t="s">
        <v>803</v>
      </c>
      <c r="D1061" s="1" t="s">
        <v>804</v>
      </c>
      <c r="E1061" s="7">
        <v>0.68</v>
      </c>
      <c r="F1061" s="3">
        <v>1.67</v>
      </c>
      <c r="G1061" s="1" t="s">
        <v>11</v>
      </c>
      <c r="H1061" s="1" t="s">
        <v>1173</v>
      </c>
      <c r="I1061" s="2" t="s">
        <v>1154</v>
      </c>
    </row>
  </sheetData>
  <autoFilter ref="A6:I1061">
    <sortState ref="A422:I1061">
      <sortCondition descending="1" ref="E7:E1061"/>
      <sortCondition descending="1" ref="F7:F1061"/>
    </sortState>
  </autoFilter>
  <sortState ref="A7:I1061">
    <sortCondition descending="1" ref="E7:E1061"/>
    <sortCondition descending="1" ref="F7:F106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L82"/>
  <sheetViews>
    <sheetView zoomScale="80" zoomScaleNormal="80" workbookViewId="0">
      <pane ySplit="3" topLeftCell="A4" activePane="bottomLeft" state="frozen"/>
      <selection pane="bottomLeft" activeCell="D35" sqref="D35"/>
    </sheetView>
  </sheetViews>
  <sheetFormatPr defaultRowHeight="12.75"/>
  <cols>
    <col min="1" max="1" width="11" style="3" bestFit="1" customWidth="1"/>
    <col min="2" max="2" width="23.85546875" style="3" bestFit="1" customWidth="1"/>
    <col min="3" max="3" width="30.140625" style="3" bestFit="1" customWidth="1"/>
    <col min="4" max="4" width="40.5703125" style="3" bestFit="1" customWidth="1"/>
    <col min="5" max="5" width="8.28515625" style="3" customWidth="1"/>
    <col min="6" max="6" width="5.42578125" style="3" bestFit="1" customWidth="1"/>
    <col min="7" max="7" width="10.7109375" style="3" bestFit="1" customWidth="1"/>
    <col min="8" max="8" width="19.85546875" style="3" bestFit="1" customWidth="1"/>
    <col min="9" max="9" width="2.85546875" style="3" customWidth="1"/>
    <col min="10" max="10" width="25.28515625" style="3" customWidth="1"/>
    <col min="11" max="11" width="34.5703125" style="3" bestFit="1" customWidth="1"/>
    <col min="12" max="16384" width="9.140625" style="3"/>
  </cols>
  <sheetData>
    <row r="1" spans="1:12" s="2" customFormat="1">
      <c r="A1" s="61" t="s">
        <v>1217</v>
      </c>
      <c r="B1" s="13"/>
    </row>
    <row r="2" spans="1:12" s="2" customFormat="1">
      <c r="J2" s="65" t="s">
        <v>1672</v>
      </c>
      <c r="K2" s="65"/>
      <c r="L2" s="65"/>
    </row>
    <row r="3" spans="1:12" s="2" customFormat="1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</row>
    <row r="4" spans="1:12" hidden="1">
      <c r="A4" s="1" t="s">
        <v>1636</v>
      </c>
      <c r="B4" s="3" t="s">
        <v>937</v>
      </c>
      <c r="C4" s="3" t="s">
        <v>1641</v>
      </c>
      <c r="D4" s="1" t="s">
        <v>938</v>
      </c>
      <c r="E4" s="7">
        <v>0.94</v>
      </c>
      <c r="F4" s="3">
        <v>1.07</v>
      </c>
      <c r="G4" s="1" t="s">
        <v>11</v>
      </c>
      <c r="H4" s="1" t="s">
        <v>12</v>
      </c>
      <c r="I4" s="62"/>
      <c r="J4" s="63" t="str">
        <f t="shared" ref="J4:J9" si="0">+D4</f>
        <v>Wales: Premier League</v>
      </c>
      <c r="K4" s="62" t="str">
        <f t="shared" ref="K4:K9" si="1">CONCATENATE(B4," vs ",C4)</f>
        <v>TNS vs Llanelli</v>
      </c>
      <c r="L4" s="62">
        <f>IF(G4="HOME WIN",1,IF(G4="AWAY WIN",2,X))</f>
        <v>1</v>
      </c>
    </row>
    <row r="5" spans="1:12" hidden="1">
      <c r="A5" s="1" t="s">
        <v>1644</v>
      </c>
      <c r="B5" s="3" t="s">
        <v>511</v>
      </c>
      <c r="C5" s="3" t="s">
        <v>30</v>
      </c>
      <c r="D5" s="1" t="s">
        <v>193</v>
      </c>
      <c r="E5" s="7">
        <v>0.93</v>
      </c>
      <c r="F5" s="3">
        <v>1.21</v>
      </c>
      <c r="G5" s="1" t="s">
        <v>11</v>
      </c>
      <c r="H5" s="1" t="s">
        <v>12</v>
      </c>
      <c r="I5" s="62"/>
      <c r="J5" s="63" t="str">
        <f t="shared" si="0"/>
        <v>England: Premier League</v>
      </c>
      <c r="K5" s="62" t="str">
        <f t="shared" si="1"/>
        <v>Chelsea vs Newcastle</v>
      </c>
      <c r="L5" s="62">
        <f>IF(G5="HOME WIN",1,IF(G5="AWAY WIN",2,X))</f>
        <v>1</v>
      </c>
    </row>
    <row r="6" spans="1:12" hidden="1">
      <c r="A6" s="1" t="s">
        <v>1235</v>
      </c>
      <c r="B6" s="3" t="s">
        <v>514</v>
      </c>
      <c r="C6" s="3" t="s">
        <v>887</v>
      </c>
      <c r="D6" s="1" t="s">
        <v>679</v>
      </c>
      <c r="E6" s="7">
        <v>0.92</v>
      </c>
      <c r="F6" s="3">
        <v>1.1599999999999999</v>
      </c>
      <c r="G6" s="1" t="s">
        <v>11</v>
      </c>
      <c r="H6" s="1" t="s">
        <v>12</v>
      </c>
      <c r="I6" s="62"/>
      <c r="J6" s="63" t="str">
        <f t="shared" si="0"/>
        <v>Italy: Coppa Italia</v>
      </c>
      <c r="K6" s="62" t="str">
        <f t="shared" si="1"/>
        <v>Lazio vs Novara</v>
      </c>
      <c r="L6" s="62">
        <f>IF(G6="HOME WIN",1,IF(G6="AWAY WIN",2,X))</f>
        <v>1</v>
      </c>
    </row>
    <row r="7" spans="1:12" hidden="1">
      <c r="A7" s="1" t="s">
        <v>1587</v>
      </c>
      <c r="B7" s="3" t="s">
        <v>132</v>
      </c>
      <c r="C7" s="3" t="s">
        <v>1162</v>
      </c>
      <c r="D7" s="1" t="s">
        <v>25</v>
      </c>
      <c r="E7" s="7">
        <v>0.91</v>
      </c>
      <c r="F7" s="3">
        <v>1.21</v>
      </c>
      <c r="G7" s="1" t="s">
        <v>22</v>
      </c>
      <c r="H7" s="1" t="s">
        <v>12</v>
      </c>
      <c r="I7" s="62"/>
      <c r="J7" s="63" t="str">
        <f t="shared" si="0"/>
        <v>Asia: Asian Cup</v>
      </c>
      <c r="K7" s="62" t="str">
        <f t="shared" si="1"/>
        <v>Vietnam vs Iran</v>
      </c>
      <c r="L7" s="62">
        <f>IF(G7="HOME WIN",1,IF(G7="AWAY WIN",2,X))</f>
        <v>2</v>
      </c>
    </row>
    <row r="8" spans="1:12" hidden="1">
      <c r="A8" s="1" t="s">
        <v>1661</v>
      </c>
      <c r="B8" s="3" t="s">
        <v>653</v>
      </c>
      <c r="C8" s="3" t="s">
        <v>1662</v>
      </c>
      <c r="D8" s="1" t="s">
        <v>1222</v>
      </c>
      <c r="E8" s="7">
        <v>0.91</v>
      </c>
      <c r="F8" s="3">
        <v>1.17</v>
      </c>
      <c r="G8" s="1" t="s">
        <v>11</v>
      </c>
      <c r="H8" s="1" t="s">
        <v>12</v>
      </c>
      <c r="I8" s="62"/>
      <c r="J8" s="63" t="str">
        <f t="shared" si="0"/>
        <v>World: Club Friendly</v>
      </c>
      <c r="K8" s="62" t="str">
        <f t="shared" si="1"/>
        <v>Plzen vs Sokolov</v>
      </c>
      <c r="L8" s="62">
        <f>IF(G8="HOME WIN",1,IF(G8="AWAY WIN",2,X))</f>
        <v>1</v>
      </c>
    </row>
    <row r="9" spans="1:12" hidden="1">
      <c r="A9" s="1" t="s">
        <v>1234</v>
      </c>
      <c r="B9" s="3" t="s">
        <v>1030</v>
      </c>
      <c r="C9" s="3" t="s">
        <v>251</v>
      </c>
      <c r="D9" s="1" t="s">
        <v>71</v>
      </c>
      <c r="E9" s="7">
        <v>0.9</v>
      </c>
      <c r="F9" s="3">
        <v>1.24</v>
      </c>
      <c r="G9" s="1" t="s">
        <v>22</v>
      </c>
      <c r="H9" s="1" t="s">
        <v>12</v>
      </c>
      <c r="I9" s="62"/>
      <c r="J9" s="63" t="str">
        <f t="shared" si="0"/>
        <v>France: Ligue 1</v>
      </c>
      <c r="K9" s="62" t="str">
        <f t="shared" si="1"/>
        <v>Amiens vs Paris SG</v>
      </c>
      <c r="L9" s="62">
        <f>IF(G9="HOME WIN",1,IF(G9="AWAY WIN",2,X))</f>
        <v>2</v>
      </c>
    </row>
    <row r="10" spans="1:12" hidden="1">
      <c r="A10" s="1" t="s">
        <v>1584</v>
      </c>
      <c r="B10" s="3" t="s">
        <v>1163</v>
      </c>
      <c r="C10" s="3" t="s">
        <v>1171</v>
      </c>
      <c r="D10" s="1" t="s">
        <v>25</v>
      </c>
      <c r="E10" s="7">
        <v>0.9</v>
      </c>
      <c r="F10" s="3">
        <v>1.24</v>
      </c>
      <c r="G10" s="1" t="s">
        <v>22</v>
      </c>
      <c r="H10" s="1" t="s">
        <v>12</v>
      </c>
      <c r="I10" s="62"/>
      <c r="J10" s="63"/>
      <c r="K10" s="62"/>
      <c r="L10" s="62"/>
    </row>
    <row r="11" spans="1:12" hidden="1">
      <c r="A11" s="1" t="s">
        <v>1578</v>
      </c>
      <c r="B11" s="3" t="s">
        <v>977</v>
      </c>
      <c r="C11" s="3" t="s">
        <v>198</v>
      </c>
      <c r="D11" s="1" t="s">
        <v>193</v>
      </c>
      <c r="E11" s="7">
        <v>0.89</v>
      </c>
      <c r="F11" s="3">
        <v>1.32</v>
      </c>
      <c r="G11" s="1" t="s">
        <v>22</v>
      </c>
      <c r="H11" s="1" t="s">
        <v>12</v>
      </c>
      <c r="I11" s="62"/>
      <c r="J11" s="64"/>
      <c r="K11" s="62"/>
      <c r="L11" s="62"/>
    </row>
    <row r="12" spans="1:12" hidden="1">
      <c r="A12" s="1" t="s">
        <v>1568</v>
      </c>
      <c r="B12" s="3" t="s">
        <v>444</v>
      </c>
      <c r="C12" s="3" t="s">
        <v>394</v>
      </c>
      <c r="D12" s="1" t="s">
        <v>1569</v>
      </c>
      <c r="E12" s="7">
        <v>0.87</v>
      </c>
      <c r="F12" s="3">
        <v>1.35</v>
      </c>
      <c r="G12" s="1" t="s">
        <v>11</v>
      </c>
      <c r="H12" s="1" t="s">
        <v>12</v>
      </c>
      <c r="I12" s="62"/>
      <c r="J12" s="64"/>
      <c r="K12" s="62"/>
      <c r="L12" s="62"/>
    </row>
    <row r="13" spans="1:12" hidden="1">
      <c r="A13" s="1" t="s">
        <v>1566</v>
      </c>
      <c r="B13" s="3" t="s">
        <v>677</v>
      </c>
      <c r="C13" s="3" t="s">
        <v>276</v>
      </c>
      <c r="D13" s="1" t="s">
        <v>679</v>
      </c>
      <c r="E13" s="7">
        <v>0.86</v>
      </c>
      <c r="F13" s="3">
        <v>1.33</v>
      </c>
      <c r="G13" s="1" t="s">
        <v>22</v>
      </c>
      <c r="H13" s="1" t="s">
        <v>12</v>
      </c>
      <c r="J13" s="15"/>
    </row>
    <row r="14" spans="1:12" hidden="1">
      <c r="A14" s="1" t="s">
        <v>1234</v>
      </c>
      <c r="B14" s="3" t="s">
        <v>1558</v>
      </c>
      <c r="C14" s="3" t="s">
        <v>1168</v>
      </c>
      <c r="D14" s="1" t="s">
        <v>25</v>
      </c>
      <c r="E14" s="7">
        <v>0.85</v>
      </c>
      <c r="F14" s="3">
        <v>1.42</v>
      </c>
      <c r="G14" s="1" t="s">
        <v>22</v>
      </c>
      <c r="H14" s="1" t="s">
        <v>12</v>
      </c>
      <c r="J14" s="15"/>
    </row>
    <row r="15" spans="1:12" hidden="1">
      <c r="A15" s="1" t="s">
        <v>1235</v>
      </c>
      <c r="B15" s="3" t="s">
        <v>1654</v>
      </c>
      <c r="C15" s="3" t="s">
        <v>1655</v>
      </c>
      <c r="D15" s="1" t="s">
        <v>1222</v>
      </c>
      <c r="E15" s="7">
        <v>0.85</v>
      </c>
      <c r="F15" s="3">
        <v>1.33</v>
      </c>
      <c r="G15" s="1" t="s">
        <v>11</v>
      </c>
      <c r="H15" s="1" t="s">
        <v>12</v>
      </c>
    </row>
    <row r="16" spans="1:12" hidden="1">
      <c r="A16" s="1" t="s">
        <v>1578</v>
      </c>
      <c r="B16" s="3" t="s">
        <v>966</v>
      </c>
      <c r="C16" s="3" t="s">
        <v>181</v>
      </c>
      <c r="D16" s="1" t="s">
        <v>571</v>
      </c>
      <c r="E16" s="7">
        <v>0.85</v>
      </c>
      <c r="F16" s="3">
        <v>1.3</v>
      </c>
      <c r="G16" s="1" t="s">
        <v>22</v>
      </c>
      <c r="H16" s="1" t="s">
        <v>12</v>
      </c>
    </row>
    <row r="17" spans="1:8" hidden="1">
      <c r="A17" s="1" t="s">
        <v>1578</v>
      </c>
      <c r="B17" s="3" t="s">
        <v>168</v>
      </c>
      <c r="C17" s="3" t="s">
        <v>572</v>
      </c>
      <c r="D17" s="1" t="s">
        <v>571</v>
      </c>
      <c r="E17" s="7">
        <v>0.84</v>
      </c>
      <c r="F17" s="3">
        <v>1.35</v>
      </c>
      <c r="G17" s="1" t="s">
        <v>22</v>
      </c>
      <c r="H17" s="1" t="s">
        <v>12</v>
      </c>
    </row>
    <row r="18" spans="1:8" hidden="1">
      <c r="A18" s="1" t="s">
        <v>1578</v>
      </c>
      <c r="B18" s="3" t="s">
        <v>178</v>
      </c>
      <c r="C18" s="3" t="s">
        <v>226</v>
      </c>
      <c r="D18" s="1" t="s">
        <v>569</v>
      </c>
      <c r="E18" s="7">
        <v>0.84</v>
      </c>
      <c r="F18" s="3">
        <v>1.34</v>
      </c>
      <c r="G18" s="1" t="s">
        <v>22</v>
      </c>
      <c r="H18" s="1" t="s">
        <v>12</v>
      </c>
    </row>
    <row r="19" spans="1:8" hidden="1">
      <c r="A19" s="1" t="s">
        <v>1645</v>
      </c>
      <c r="B19" s="3" t="s">
        <v>880</v>
      </c>
      <c r="C19" s="3" t="s">
        <v>854</v>
      </c>
      <c r="D19" s="1" t="s">
        <v>162</v>
      </c>
      <c r="E19" s="7">
        <v>0.83</v>
      </c>
      <c r="F19" s="3">
        <v>1.39</v>
      </c>
      <c r="G19" s="1" t="s">
        <v>11</v>
      </c>
      <c r="H19" s="1" t="s">
        <v>12</v>
      </c>
    </row>
    <row r="20" spans="1:8" hidden="1">
      <c r="A20" s="1" t="s">
        <v>1578</v>
      </c>
      <c r="B20" s="3" t="s">
        <v>468</v>
      </c>
      <c r="C20" s="3" t="s">
        <v>1652</v>
      </c>
      <c r="D20" s="1" t="s">
        <v>219</v>
      </c>
      <c r="E20" s="7">
        <v>0.82</v>
      </c>
      <c r="F20" s="3">
        <v>1.47</v>
      </c>
      <c r="G20" s="1" t="s">
        <v>11</v>
      </c>
      <c r="H20" s="1" t="s">
        <v>12</v>
      </c>
    </row>
    <row r="21" spans="1:8" hidden="1">
      <c r="A21" s="1" t="s">
        <v>1578</v>
      </c>
      <c r="B21" s="3" t="s">
        <v>840</v>
      </c>
      <c r="C21" s="3" t="s">
        <v>915</v>
      </c>
      <c r="D21" s="1" t="s">
        <v>580</v>
      </c>
      <c r="E21" s="7">
        <v>0.82</v>
      </c>
      <c r="F21" s="3">
        <v>1.39</v>
      </c>
      <c r="G21" s="1" t="s">
        <v>11</v>
      </c>
      <c r="H21" s="1" t="s">
        <v>12</v>
      </c>
    </row>
    <row r="22" spans="1:8" hidden="1">
      <c r="A22" s="1" t="s">
        <v>1578</v>
      </c>
      <c r="B22" s="3" t="s">
        <v>1085</v>
      </c>
      <c r="C22" s="3" t="s">
        <v>189</v>
      </c>
      <c r="D22" s="1" t="s">
        <v>191</v>
      </c>
      <c r="E22" s="7">
        <v>0.82</v>
      </c>
      <c r="F22" s="3">
        <v>1.37</v>
      </c>
      <c r="G22" s="1" t="s">
        <v>11</v>
      </c>
      <c r="H22" s="1" t="s">
        <v>12</v>
      </c>
    </row>
    <row r="23" spans="1:8" hidden="1">
      <c r="A23" s="1" t="s">
        <v>1659</v>
      </c>
      <c r="B23" s="3" t="s">
        <v>1660</v>
      </c>
      <c r="C23" s="3" t="s">
        <v>134</v>
      </c>
      <c r="D23" s="1" t="s">
        <v>1222</v>
      </c>
      <c r="E23" s="7">
        <v>0.82</v>
      </c>
      <c r="F23" s="3">
        <v>1.35</v>
      </c>
      <c r="G23" s="1" t="s">
        <v>11</v>
      </c>
      <c r="H23" s="1" t="s">
        <v>12</v>
      </c>
    </row>
    <row r="24" spans="1:8">
      <c r="A24" s="1" t="s">
        <v>1645</v>
      </c>
      <c r="B24" s="3" t="s">
        <v>467</v>
      </c>
      <c r="C24" s="3" t="s">
        <v>378</v>
      </c>
      <c r="D24" s="1" t="s">
        <v>92</v>
      </c>
      <c r="E24" s="7">
        <v>0.81</v>
      </c>
      <c r="F24" s="3">
        <v>1.56</v>
      </c>
      <c r="G24" s="1" t="s">
        <v>11</v>
      </c>
      <c r="H24" s="1" t="s">
        <v>12</v>
      </c>
    </row>
    <row r="25" spans="1:8">
      <c r="A25" s="1" t="s">
        <v>1578</v>
      </c>
      <c r="B25" s="3" t="s">
        <v>1103</v>
      </c>
      <c r="C25" s="3" t="s">
        <v>210</v>
      </c>
      <c r="D25" s="1" t="s">
        <v>211</v>
      </c>
      <c r="E25" s="7">
        <v>0.8</v>
      </c>
      <c r="F25" s="3">
        <v>1.57</v>
      </c>
      <c r="G25" s="1" t="s">
        <v>11</v>
      </c>
      <c r="H25" s="1" t="s">
        <v>12</v>
      </c>
    </row>
    <row r="26" spans="1:8">
      <c r="A26" s="1" t="s">
        <v>1663</v>
      </c>
      <c r="B26" s="3" t="s">
        <v>801</v>
      </c>
      <c r="C26" s="3" t="s">
        <v>313</v>
      </c>
      <c r="D26" s="1" t="s">
        <v>314</v>
      </c>
      <c r="E26" s="7">
        <v>0.8</v>
      </c>
      <c r="F26" s="3">
        <v>1.51</v>
      </c>
      <c r="G26" s="1" t="s">
        <v>11</v>
      </c>
      <c r="H26" s="1" t="s">
        <v>1664</v>
      </c>
    </row>
    <row r="27" spans="1:8">
      <c r="A27" s="1" t="s">
        <v>1578</v>
      </c>
      <c r="B27" s="3" t="s">
        <v>1089</v>
      </c>
      <c r="C27" s="3" t="s">
        <v>1093</v>
      </c>
      <c r="D27" s="1" t="s">
        <v>443</v>
      </c>
      <c r="E27" s="7">
        <v>0.8</v>
      </c>
      <c r="F27" s="3">
        <v>1.5</v>
      </c>
      <c r="G27" s="1" t="s">
        <v>11</v>
      </c>
      <c r="H27" s="1" t="s">
        <v>12</v>
      </c>
    </row>
    <row r="28" spans="1:8">
      <c r="A28" s="1" t="s">
        <v>1578</v>
      </c>
      <c r="B28" s="3" t="s">
        <v>441</v>
      </c>
      <c r="C28" s="3" t="s">
        <v>32</v>
      </c>
      <c r="D28" s="1" t="s">
        <v>443</v>
      </c>
      <c r="E28" s="7">
        <v>0.79</v>
      </c>
      <c r="F28" s="3">
        <v>1.59</v>
      </c>
      <c r="G28" s="1" t="s">
        <v>11</v>
      </c>
      <c r="H28" s="1" t="s">
        <v>12</v>
      </c>
    </row>
    <row r="29" spans="1:8">
      <c r="A29" s="1" t="s">
        <v>1636</v>
      </c>
      <c r="B29" s="3" t="s">
        <v>1642</v>
      </c>
      <c r="C29" s="3" t="s">
        <v>1643</v>
      </c>
      <c r="D29" s="1" t="s">
        <v>938</v>
      </c>
      <c r="E29" s="7">
        <v>0.79</v>
      </c>
      <c r="F29" s="3">
        <v>1.5</v>
      </c>
      <c r="G29" s="1" t="s">
        <v>22</v>
      </c>
      <c r="H29" s="1" t="s">
        <v>12</v>
      </c>
    </row>
    <row r="30" spans="1:8">
      <c r="A30" s="1" t="s">
        <v>1578</v>
      </c>
      <c r="B30" s="3" t="s">
        <v>13</v>
      </c>
      <c r="C30" s="3" t="s">
        <v>836</v>
      </c>
      <c r="D30" s="1" t="s">
        <v>211</v>
      </c>
      <c r="E30" s="7">
        <v>0.77</v>
      </c>
      <c r="F30" s="3">
        <v>1.65</v>
      </c>
      <c r="G30" s="1" t="s">
        <v>11</v>
      </c>
      <c r="H30" s="1" t="s">
        <v>12</v>
      </c>
    </row>
    <row r="31" spans="1:8">
      <c r="A31" s="1" t="s">
        <v>1235</v>
      </c>
      <c r="B31" s="3" t="s">
        <v>1653</v>
      </c>
      <c r="C31" s="3" t="s">
        <v>706</v>
      </c>
      <c r="D31" s="1" t="s">
        <v>590</v>
      </c>
      <c r="E31" s="7">
        <v>0.76</v>
      </c>
      <c r="F31" s="3">
        <v>1.65</v>
      </c>
      <c r="G31" s="1" t="s">
        <v>11</v>
      </c>
      <c r="H31" s="1" t="s">
        <v>12</v>
      </c>
    </row>
    <row r="32" spans="1:8">
      <c r="A32" s="1" t="s">
        <v>1636</v>
      </c>
      <c r="B32" s="3" t="s">
        <v>1637</v>
      </c>
      <c r="C32" s="3" t="s">
        <v>1638</v>
      </c>
      <c r="D32" s="1" t="s">
        <v>938</v>
      </c>
      <c r="E32" s="7">
        <v>0.76</v>
      </c>
      <c r="F32" s="3">
        <v>1.53</v>
      </c>
      <c r="G32" s="1" t="s">
        <v>11</v>
      </c>
      <c r="H32" s="1" t="s">
        <v>12</v>
      </c>
    </row>
    <row r="33" spans="1:8">
      <c r="A33" s="1" t="s">
        <v>1635</v>
      </c>
      <c r="B33" s="3" t="s">
        <v>315</v>
      </c>
      <c r="C33" s="3" t="s">
        <v>321</v>
      </c>
      <c r="D33" s="1" t="s">
        <v>1148</v>
      </c>
      <c r="E33" s="7">
        <v>0.75</v>
      </c>
      <c r="F33" s="3">
        <v>1.63</v>
      </c>
      <c r="G33" s="1" t="s">
        <v>11</v>
      </c>
      <c r="H33" s="1" t="s">
        <v>12</v>
      </c>
    </row>
    <row r="34" spans="1:8">
      <c r="A34" s="1" t="s">
        <v>1636</v>
      </c>
      <c r="B34" s="3" t="s">
        <v>1639</v>
      </c>
      <c r="C34" s="3" t="s">
        <v>1640</v>
      </c>
      <c r="D34" s="1" t="s">
        <v>938</v>
      </c>
      <c r="E34" s="7">
        <v>0.75</v>
      </c>
      <c r="F34" s="3">
        <v>1.61</v>
      </c>
      <c r="G34" s="1" t="s">
        <v>11</v>
      </c>
      <c r="H34" s="1" t="s">
        <v>12</v>
      </c>
    </row>
    <row r="35" spans="1:8">
      <c r="A35" s="1" t="s">
        <v>1578</v>
      </c>
      <c r="B35" s="3" t="s">
        <v>1026</v>
      </c>
      <c r="C35" s="3" t="s">
        <v>645</v>
      </c>
      <c r="D35" s="1" t="s">
        <v>443</v>
      </c>
      <c r="E35" s="7">
        <v>0.74</v>
      </c>
      <c r="F35" s="3">
        <v>1.69</v>
      </c>
      <c r="G35" s="1" t="s">
        <v>11</v>
      </c>
      <c r="H35" s="1" t="s">
        <v>12</v>
      </c>
    </row>
    <row r="36" spans="1:8">
      <c r="A36" s="1" t="s">
        <v>1578</v>
      </c>
      <c r="B36" s="3" t="s">
        <v>1648</v>
      </c>
      <c r="C36" s="3" t="s">
        <v>1144</v>
      </c>
      <c r="D36" s="1" t="s">
        <v>835</v>
      </c>
      <c r="E36" s="7">
        <v>0.74</v>
      </c>
      <c r="F36" s="3">
        <v>1.65</v>
      </c>
      <c r="G36" s="1" t="s">
        <v>11</v>
      </c>
      <c r="H36" s="1" t="s">
        <v>12</v>
      </c>
    </row>
    <row r="37" spans="1:8">
      <c r="A37" s="1" t="s">
        <v>1573</v>
      </c>
      <c r="B37" s="3" t="s">
        <v>898</v>
      </c>
      <c r="C37" s="3" t="s">
        <v>713</v>
      </c>
      <c r="D37" s="1" t="s">
        <v>235</v>
      </c>
      <c r="E37" s="7">
        <v>0.74</v>
      </c>
      <c r="F37" s="3">
        <v>1.63</v>
      </c>
      <c r="G37" s="1" t="s">
        <v>11</v>
      </c>
      <c r="H37" s="1" t="s">
        <v>12</v>
      </c>
    </row>
    <row r="38" spans="1:8">
      <c r="A38" s="1" t="s">
        <v>1578</v>
      </c>
      <c r="B38" s="3" t="s">
        <v>1064</v>
      </c>
      <c r="C38" s="3" t="s">
        <v>1647</v>
      </c>
      <c r="D38" s="1" t="s">
        <v>580</v>
      </c>
      <c r="E38" s="7">
        <v>0.73</v>
      </c>
      <c r="F38" s="3">
        <v>1.67</v>
      </c>
      <c r="G38" s="1" t="s">
        <v>11</v>
      </c>
      <c r="H38" s="1" t="s">
        <v>12</v>
      </c>
    </row>
    <row r="39" spans="1:8">
      <c r="A39" s="1" t="s">
        <v>1578</v>
      </c>
      <c r="B39" s="3" t="s">
        <v>1649</v>
      </c>
      <c r="C39" s="3" t="s">
        <v>1122</v>
      </c>
      <c r="D39" s="1" t="s">
        <v>835</v>
      </c>
      <c r="E39" s="7">
        <v>0.73</v>
      </c>
      <c r="F39" s="3">
        <v>1.63</v>
      </c>
      <c r="G39" s="1" t="s">
        <v>11</v>
      </c>
      <c r="H39" s="1" t="s">
        <v>12</v>
      </c>
    </row>
    <row r="40" spans="1:8">
      <c r="A40" s="1" t="s">
        <v>1656</v>
      </c>
      <c r="B40" s="3" t="s">
        <v>1657</v>
      </c>
      <c r="C40" s="3" t="s">
        <v>1658</v>
      </c>
      <c r="D40" s="1" t="s">
        <v>1222</v>
      </c>
      <c r="E40" s="7">
        <v>0.73</v>
      </c>
      <c r="F40" s="3">
        <v>1.56</v>
      </c>
      <c r="G40" s="1" t="s">
        <v>11</v>
      </c>
      <c r="H40" s="1" t="s">
        <v>12</v>
      </c>
    </row>
    <row r="41" spans="1:8">
      <c r="A41" s="1" t="s">
        <v>1578</v>
      </c>
      <c r="B41" s="3" t="s">
        <v>1646</v>
      </c>
      <c r="C41" s="3" t="s">
        <v>205</v>
      </c>
      <c r="D41" s="1" t="s">
        <v>191</v>
      </c>
      <c r="E41" s="7">
        <v>0.72</v>
      </c>
      <c r="F41" s="3">
        <v>1.67</v>
      </c>
      <c r="G41" s="1" t="s">
        <v>11</v>
      </c>
      <c r="H41" s="1" t="s">
        <v>12</v>
      </c>
    </row>
    <row r="42" spans="1:8">
      <c r="A42" s="1" t="s">
        <v>1578</v>
      </c>
      <c r="B42" s="3" t="s">
        <v>1027</v>
      </c>
      <c r="C42" s="3" t="s">
        <v>574</v>
      </c>
      <c r="D42" s="1" t="s">
        <v>201</v>
      </c>
      <c r="E42" s="7">
        <v>0.72</v>
      </c>
      <c r="F42" s="3">
        <v>1.65</v>
      </c>
      <c r="G42" s="1" t="s">
        <v>22</v>
      </c>
      <c r="H42" s="1" t="s">
        <v>12</v>
      </c>
    </row>
    <row r="43" spans="1:8">
      <c r="A43" s="1" t="s">
        <v>1578</v>
      </c>
      <c r="B43" s="3" t="s">
        <v>1650</v>
      </c>
      <c r="C43" s="3" t="s">
        <v>1651</v>
      </c>
      <c r="D43" s="1" t="s">
        <v>201</v>
      </c>
      <c r="E43" s="7">
        <v>0.72</v>
      </c>
      <c r="F43" s="3">
        <v>1.65</v>
      </c>
      <c r="G43" s="1" t="s">
        <v>11</v>
      </c>
      <c r="H43" s="1" t="s">
        <v>12</v>
      </c>
    </row>
    <row r="44" spans="1:8">
      <c r="A44" s="1"/>
      <c r="D44" s="1"/>
      <c r="E44" s="7"/>
      <c r="G44" s="1"/>
      <c r="H44" s="1"/>
    </row>
    <row r="45" spans="1:8">
      <c r="A45" s="1"/>
      <c r="D45" s="1"/>
      <c r="E45" s="7"/>
      <c r="G45" s="1"/>
      <c r="H45" s="1"/>
    </row>
    <row r="46" spans="1:8">
      <c r="A46" s="1"/>
      <c r="D46" s="1"/>
      <c r="E46" s="7"/>
      <c r="G46" s="1"/>
      <c r="H46" s="1"/>
    </row>
    <row r="47" spans="1:8">
      <c r="A47" s="1"/>
      <c r="D47" s="1"/>
      <c r="E47" s="7"/>
      <c r="G47" s="1"/>
      <c r="H47" s="1"/>
    </row>
    <row r="48" spans="1:8">
      <c r="A48" s="1"/>
      <c r="D48" s="1"/>
      <c r="E48" s="7"/>
      <c r="G48" s="1"/>
      <c r="H48" s="1"/>
    </row>
    <row r="49" spans="1:8">
      <c r="A49" s="1"/>
      <c r="D49" s="1"/>
      <c r="E49" s="7"/>
      <c r="G49" s="1"/>
      <c r="H49" s="1"/>
    </row>
    <row r="50" spans="1:8">
      <c r="A50" s="1"/>
      <c r="D50" s="1"/>
      <c r="E50" s="7"/>
      <c r="G50" s="1"/>
      <c r="H50" s="1"/>
    </row>
    <row r="51" spans="1:8">
      <c r="A51" s="1"/>
      <c r="D51" s="1"/>
      <c r="E51" s="7"/>
      <c r="G51" s="1"/>
      <c r="H51" s="1"/>
    </row>
    <row r="52" spans="1:8">
      <c r="A52" s="1"/>
      <c r="D52" s="1"/>
      <c r="E52" s="7"/>
      <c r="G52" s="1"/>
      <c r="H52" s="1"/>
    </row>
    <row r="53" spans="1:8">
      <c r="A53" s="1"/>
      <c r="D53" s="1"/>
      <c r="E53" s="7"/>
      <c r="G53" s="1"/>
      <c r="H53" s="1"/>
    </row>
    <row r="54" spans="1:8">
      <c r="A54" s="1"/>
      <c r="D54" s="1"/>
      <c r="E54" s="7"/>
      <c r="G54" s="1"/>
      <c r="H54" s="1"/>
    </row>
    <row r="55" spans="1:8">
      <c r="A55" s="1"/>
      <c r="D55" s="1"/>
      <c r="E55" s="7"/>
      <c r="G55" s="1"/>
      <c r="H55" s="1"/>
    </row>
    <row r="56" spans="1:8">
      <c r="A56" s="1"/>
      <c r="D56" s="1"/>
      <c r="E56" s="7"/>
      <c r="G56" s="1"/>
      <c r="H56" s="1"/>
    </row>
    <row r="57" spans="1:8">
      <c r="A57" s="1"/>
      <c r="D57" s="1"/>
      <c r="E57" s="7"/>
      <c r="G57" s="1"/>
      <c r="H57" s="1"/>
    </row>
    <row r="58" spans="1:8">
      <c r="A58" s="1"/>
      <c r="D58" s="1"/>
      <c r="E58" s="7"/>
      <c r="G58" s="1"/>
      <c r="H58" s="1"/>
    </row>
    <row r="59" spans="1:8">
      <c r="A59" s="1"/>
      <c r="D59" s="1"/>
      <c r="E59" s="7"/>
      <c r="G59" s="1"/>
      <c r="H59" s="1"/>
    </row>
    <row r="60" spans="1:8">
      <c r="A60" s="1"/>
      <c r="D60" s="1"/>
      <c r="E60" s="7"/>
      <c r="G60" s="1"/>
      <c r="H60" s="1"/>
    </row>
    <row r="61" spans="1:8">
      <c r="A61" s="1"/>
      <c r="D61" s="1"/>
      <c r="E61" s="7"/>
      <c r="G61" s="1"/>
      <c r="H61" s="1"/>
    </row>
    <row r="62" spans="1:8">
      <c r="A62" s="6"/>
      <c r="D62" s="1"/>
      <c r="E62" s="7"/>
      <c r="G62" s="1"/>
      <c r="H62" s="1"/>
    </row>
    <row r="63" spans="1:8">
      <c r="A63" s="6"/>
      <c r="D63" s="1"/>
      <c r="E63" s="7"/>
      <c r="G63" s="1"/>
      <c r="H63" s="1"/>
    </row>
    <row r="64" spans="1:8">
      <c r="A64" s="6"/>
      <c r="D64" s="1"/>
      <c r="E64" s="7"/>
      <c r="G64" s="1"/>
      <c r="H64" s="1"/>
    </row>
    <row r="65" spans="1:8">
      <c r="A65" s="6"/>
      <c r="D65" s="1"/>
      <c r="E65" s="7"/>
      <c r="G65" s="1"/>
      <c r="H65" s="1"/>
    </row>
    <row r="66" spans="1:8">
      <c r="A66" s="6"/>
      <c r="D66" s="1"/>
      <c r="E66" s="7"/>
      <c r="G66" s="1"/>
      <c r="H66" s="1"/>
    </row>
    <row r="67" spans="1:8">
      <c r="A67" s="6"/>
      <c r="D67" s="1"/>
      <c r="E67" s="7"/>
      <c r="G67" s="1"/>
      <c r="H67" s="1"/>
    </row>
    <row r="68" spans="1:8">
      <c r="A68" s="6"/>
      <c r="D68" s="1"/>
      <c r="E68" s="7"/>
      <c r="G68" s="1"/>
      <c r="H68" s="1"/>
    </row>
    <row r="69" spans="1:8">
      <c r="A69" s="6"/>
      <c r="D69" s="1"/>
      <c r="E69" s="7"/>
      <c r="G69" s="1"/>
      <c r="H69" s="1"/>
    </row>
    <row r="70" spans="1:8">
      <c r="A70" s="6"/>
      <c r="D70" s="1"/>
      <c r="E70" s="7"/>
      <c r="G70" s="1"/>
      <c r="H70" s="1"/>
    </row>
    <row r="71" spans="1:8">
      <c r="A71" s="6"/>
      <c r="D71" s="1"/>
      <c r="E71" s="7"/>
      <c r="G71" s="1"/>
      <c r="H71" s="1"/>
    </row>
    <row r="72" spans="1:8">
      <c r="A72" s="6"/>
      <c r="D72" s="1"/>
      <c r="E72" s="7"/>
      <c r="G72" s="1"/>
      <c r="H72" s="1"/>
    </row>
    <row r="73" spans="1:8">
      <c r="A73" s="6"/>
      <c r="D73" s="1"/>
      <c r="E73" s="7"/>
      <c r="G73" s="1"/>
      <c r="H73" s="1"/>
    </row>
    <row r="74" spans="1:8">
      <c r="A74" s="6"/>
      <c r="D74" s="1"/>
      <c r="E74" s="7"/>
      <c r="G74" s="1"/>
      <c r="H74" s="1"/>
    </row>
    <row r="75" spans="1:8">
      <c r="A75" s="6"/>
      <c r="D75" s="1"/>
      <c r="E75" s="7"/>
      <c r="G75" s="1"/>
      <c r="H75" s="1"/>
    </row>
    <row r="76" spans="1:8">
      <c r="A76" s="6"/>
      <c r="D76" s="1"/>
      <c r="E76" s="7"/>
      <c r="G76" s="1"/>
      <c r="H76" s="1"/>
    </row>
    <row r="77" spans="1:8">
      <c r="A77" s="6"/>
      <c r="D77" s="1"/>
      <c r="E77" s="7"/>
      <c r="G77" s="1"/>
      <c r="H77" s="1"/>
    </row>
    <row r="78" spans="1:8">
      <c r="A78" s="6"/>
      <c r="D78" s="1"/>
      <c r="E78" s="7"/>
      <c r="G78" s="1"/>
      <c r="H78" s="1"/>
    </row>
    <row r="79" spans="1:8">
      <c r="A79" s="6"/>
      <c r="D79" s="1"/>
      <c r="E79" s="7"/>
      <c r="G79" s="1"/>
      <c r="H79" s="1"/>
    </row>
    <row r="80" spans="1:8">
      <c r="A80" s="6"/>
      <c r="D80" s="1"/>
      <c r="E80" s="7"/>
      <c r="G80" s="1"/>
      <c r="H80" s="1"/>
    </row>
    <row r="81" spans="1:8">
      <c r="A81" s="6"/>
      <c r="D81" s="1"/>
      <c r="E81" s="7"/>
      <c r="G81" s="1"/>
      <c r="H81" s="1"/>
    </row>
    <row r="82" spans="1:8">
      <c r="A82" s="6"/>
      <c r="D82" s="1"/>
      <c r="E82" s="7"/>
      <c r="G82" s="1"/>
      <c r="H82" s="1"/>
    </row>
  </sheetData>
  <autoFilter ref="A3:H43">
    <filterColumn colId="5">
      <customFilters>
        <customFilter operator="greaterThanOrEqual" val="1.5"/>
      </customFilters>
    </filterColumn>
  </autoFilter>
  <sortState ref="A4:H43">
    <sortCondition descending="1" ref="E4:E43"/>
    <sortCondition descending="1" ref="F4:F43"/>
  </sortState>
  <hyperlinks>
    <hyperlink ref="A1" r:id="rId1"/>
  </hyperlinks>
  <pageMargins left="0.7" right="0.7" top="0.75" bottom="0.75" header="0.3" footer="0.3"/>
  <pageSetup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zoomScale="80" zoomScaleNormal="80" workbookViewId="0">
      <selection activeCell="A4" sqref="A4:E25"/>
    </sheetView>
  </sheetViews>
  <sheetFormatPr defaultRowHeight="12.75"/>
  <cols>
    <col min="1" max="1" width="42.7109375" style="2" bestFit="1" customWidth="1"/>
    <col min="2" max="2" width="26.140625" style="2" customWidth="1"/>
    <col min="3" max="3" width="42.7109375" style="2" bestFit="1" customWidth="1"/>
    <col min="4" max="4" width="8.85546875" style="23" customWidth="1"/>
    <col min="5" max="5" width="8.85546875" style="80" customWidth="1"/>
    <col min="6" max="6" width="3.28515625" style="80" customWidth="1"/>
    <col min="7" max="7" width="43.85546875" style="2" bestFit="1" customWidth="1"/>
    <col min="8" max="16384" width="9.140625" style="2"/>
  </cols>
  <sheetData>
    <row r="1" spans="1:7">
      <c r="A1" s="2" t="s">
        <v>1702</v>
      </c>
    </row>
    <row r="3" spans="1:7">
      <c r="A3" s="4" t="s">
        <v>1</v>
      </c>
      <c r="B3" s="4" t="s">
        <v>2</v>
      </c>
      <c r="C3" s="4" t="s">
        <v>3</v>
      </c>
      <c r="D3" s="4" t="s">
        <v>6</v>
      </c>
      <c r="E3" s="4" t="s">
        <v>5</v>
      </c>
      <c r="F3" s="81"/>
      <c r="G3" s="4" t="s">
        <v>1738</v>
      </c>
    </row>
    <row r="4" spans="1:7">
      <c r="A4" s="82" t="s">
        <v>1745</v>
      </c>
      <c r="B4" s="83" t="s">
        <v>1746</v>
      </c>
      <c r="C4" s="84" t="s">
        <v>1736</v>
      </c>
      <c r="D4" s="85">
        <v>1</v>
      </c>
      <c r="E4" s="85">
        <v>3.7</v>
      </c>
      <c r="G4" s="2" t="str">
        <f>CONCATENATE(A4," vs ",B4)</f>
        <v>Godoy Cruz de Mendoza  vs  River Plate</v>
      </c>
    </row>
    <row r="5" spans="1:7">
      <c r="A5" s="66" t="s">
        <v>1743</v>
      </c>
      <c r="B5" s="2" t="s">
        <v>1744</v>
      </c>
      <c r="C5" s="73" t="s">
        <v>1735</v>
      </c>
      <c r="D5" s="23" t="s">
        <v>1626</v>
      </c>
      <c r="E5" s="80">
        <v>3.8</v>
      </c>
      <c r="G5" s="2" t="str">
        <f t="shared" ref="G5:G25" si="0">CONCATENATE(A5," vs ",B5)</f>
        <v>Beijing Guoan  vs  SV Mattersburg</v>
      </c>
    </row>
    <row r="6" spans="1:7">
      <c r="A6" s="66" t="s">
        <v>1747</v>
      </c>
      <c r="B6" s="2" t="s">
        <v>1748</v>
      </c>
      <c r="C6" s="73" t="s">
        <v>1691</v>
      </c>
      <c r="D6" s="23" t="s">
        <v>1626</v>
      </c>
      <c r="E6" s="80">
        <v>3.75</v>
      </c>
      <c r="G6" s="2" t="str">
        <f t="shared" si="0"/>
        <v>KV Oostende  vs  AA Gent</v>
      </c>
    </row>
    <row r="7" spans="1:7">
      <c r="A7" s="66" t="s">
        <v>1739</v>
      </c>
      <c r="B7" s="2" t="s">
        <v>1740</v>
      </c>
      <c r="C7" s="73" t="s">
        <v>1690</v>
      </c>
      <c r="D7" s="23">
        <v>1</v>
      </c>
      <c r="E7" s="80">
        <v>1.78</v>
      </c>
      <c r="G7" s="2" t="str">
        <f t="shared" si="0"/>
        <v>Nacional Asuncion  vs  Delfin</v>
      </c>
    </row>
    <row r="8" spans="1:7">
      <c r="A8" s="66" t="s">
        <v>1741</v>
      </c>
      <c r="B8" s="2" t="s">
        <v>1742</v>
      </c>
      <c r="C8" s="73" t="s">
        <v>1690</v>
      </c>
      <c r="D8" s="23">
        <v>1</v>
      </c>
      <c r="E8" s="80">
        <v>1.58</v>
      </c>
      <c r="G8" s="2" t="str">
        <f t="shared" si="0"/>
        <v>Defensor Sporting  vs  Bolivar La Paz</v>
      </c>
    </row>
    <row r="9" spans="1:7">
      <c r="A9" s="66" t="s">
        <v>1749</v>
      </c>
      <c r="B9" s="2" t="s">
        <v>1750</v>
      </c>
      <c r="C9" s="73" t="s">
        <v>1737</v>
      </c>
      <c r="D9" s="23" t="s">
        <v>1626</v>
      </c>
      <c r="E9" s="80">
        <v>3.35</v>
      </c>
      <c r="G9" s="2" t="str">
        <f t="shared" si="0"/>
        <v>Slaven Koprivnica  vs  Rijeka</v>
      </c>
    </row>
    <row r="10" spans="1:7">
      <c r="A10" s="74" t="s">
        <v>1753</v>
      </c>
      <c r="B10" s="2" t="s">
        <v>1376</v>
      </c>
      <c r="C10" s="73" t="s">
        <v>1267</v>
      </c>
      <c r="D10" s="23">
        <v>2</v>
      </c>
      <c r="E10" s="80">
        <v>3.1</v>
      </c>
      <c r="G10" s="2" t="str">
        <f t="shared" si="0"/>
        <v>Southampton  vs  Crystal Palace</v>
      </c>
    </row>
    <row r="11" spans="1:7">
      <c r="A11" s="74" t="s">
        <v>1751</v>
      </c>
      <c r="B11" s="2" t="s">
        <v>1752</v>
      </c>
      <c r="C11" s="73" t="s">
        <v>1267</v>
      </c>
      <c r="D11" s="23">
        <v>2</v>
      </c>
      <c r="E11" s="80">
        <v>1.68</v>
      </c>
      <c r="G11" s="2" t="str">
        <f t="shared" si="0"/>
        <v>Bournemouth  vs  Chelsea</v>
      </c>
    </row>
    <row r="12" spans="1:7">
      <c r="A12" s="66" t="s">
        <v>1352</v>
      </c>
      <c r="B12" s="2" t="s">
        <v>1755</v>
      </c>
      <c r="C12" s="73" t="s">
        <v>1267</v>
      </c>
      <c r="D12" s="23">
        <v>1</v>
      </c>
      <c r="E12" s="80">
        <v>1.67</v>
      </c>
      <c r="G12" s="2" t="str">
        <f t="shared" si="0"/>
        <v>Tottenham Hotspur  vs  Watford</v>
      </c>
    </row>
    <row r="13" spans="1:7">
      <c r="A13" s="66" t="s">
        <v>1754</v>
      </c>
      <c r="B13" s="2" t="s">
        <v>1367</v>
      </c>
      <c r="C13" s="73" t="s">
        <v>1267</v>
      </c>
      <c r="D13" s="23">
        <v>1</v>
      </c>
      <c r="E13" s="80">
        <v>1.25</v>
      </c>
      <c r="G13" s="2" t="str">
        <f t="shared" si="0"/>
        <v>Liverpool  vs  Leicester City</v>
      </c>
    </row>
    <row r="14" spans="1:7">
      <c r="A14" s="82" t="s">
        <v>1756</v>
      </c>
      <c r="B14" s="83" t="s">
        <v>1757</v>
      </c>
      <c r="C14" s="86" t="s">
        <v>1259</v>
      </c>
      <c r="D14" s="85">
        <v>1</v>
      </c>
      <c r="E14" s="85">
        <v>2.33</v>
      </c>
      <c r="G14" s="2" t="str">
        <f t="shared" si="0"/>
        <v>Racing Club Strasbourg  vs  Girondins de Bordeaux</v>
      </c>
    </row>
    <row r="15" spans="1:7">
      <c r="A15" s="66" t="s">
        <v>1758</v>
      </c>
      <c r="B15" s="2" t="s">
        <v>1759</v>
      </c>
      <c r="C15" s="74" t="s">
        <v>1693</v>
      </c>
      <c r="D15" s="23" t="s">
        <v>1626</v>
      </c>
      <c r="E15" s="80">
        <v>3.7</v>
      </c>
      <c r="G15" s="2" t="str">
        <f t="shared" si="0"/>
        <v>Jahn Regenbsurg  vs  Paderborn 07</v>
      </c>
    </row>
    <row r="16" spans="1:7">
      <c r="A16" s="66" t="s">
        <v>1762</v>
      </c>
      <c r="B16" s="2" t="s">
        <v>1763</v>
      </c>
      <c r="C16" s="74" t="s">
        <v>1693</v>
      </c>
      <c r="D16" s="23" t="s">
        <v>1626</v>
      </c>
      <c r="E16" s="80">
        <v>3.5</v>
      </c>
      <c r="G16" s="2" t="str">
        <f t="shared" si="0"/>
        <v>Heidenheim  vs  Holsten Kiel</v>
      </c>
    </row>
    <row r="17" spans="1:7">
      <c r="A17" s="74" t="s">
        <v>1764</v>
      </c>
      <c r="B17" s="2" t="s">
        <v>1765</v>
      </c>
      <c r="C17" s="74" t="s">
        <v>1693</v>
      </c>
      <c r="D17" s="23">
        <v>2</v>
      </c>
      <c r="E17" s="80">
        <v>1.88</v>
      </c>
      <c r="G17" s="2" t="str">
        <f t="shared" si="0"/>
        <v>Dynamo Dresden  vs  Arminia Bielefeld</v>
      </c>
    </row>
    <row r="18" spans="1:7">
      <c r="A18" s="66" t="s">
        <v>1760</v>
      </c>
      <c r="B18" s="2" t="s">
        <v>1761</v>
      </c>
      <c r="C18" s="74" t="s">
        <v>1693</v>
      </c>
      <c r="D18" s="23">
        <v>1</v>
      </c>
      <c r="E18" s="80">
        <v>1.65</v>
      </c>
      <c r="G18" s="2" t="str">
        <f t="shared" si="0"/>
        <v>Hamburger SV  vs  SV Sandhausen</v>
      </c>
    </row>
    <row r="19" spans="1:7">
      <c r="A19" s="66" t="s">
        <v>1768</v>
      </c>
      <c r="B19" s="2" t="s">
        <v>1671</v>
      </c>
      <c r="C19" s="74" t="s">
        <v>1668</v>
      </c>
      <c r="D19" s="23" t="s">
        <v>1626</v>
      </c>
      <c r="E19" s="80">
        <v>3.4</v>
      </c>
      <c r="G19" s="2" t="str">
        <f t="shared" si="0"/>
        <v>Atalanta Bergamo  vs  Juventus</v>
      </c>
    </row>
    <row r="20" spans="1:7">
      <c r="A20" s="82" t="s">
        <v>1766</v>
      </c>
      <c r="B20" s="83" t="s">
        <v>1767</v>
      </c>
      <c r="C20" s="86" t="s">
        <v>1668</v>
      </c>
      <c r="D20" s="85">
        <v>1</v>
      </c>
      <c r="E20" s="85">
        <v>2.58</v>
      </c>
      <c r="G20" s="2" t="str">
        <f t="shared" si="0"/>
        <v>ACF Fiorentina  vs  AS Roma</v>
      </c>
    </row>
    <row r="21" spans="1:7">
      <c r="A21" s="74" t="s">
        <v>1769</v>
      </c>
      <c r="B21" s="2" t="s">
        <v>1770</v>
      </c>
      <c r="C21" s="74" t="s">
        <v>1242</v>
      </c>
      <c r="D21" s="23">
        <v>2</v>
      </c>
      <c r="E21" s="80">
        <v>1.67</v>
      </c>
      <c r="G21" s="2" t="str">
        <f t="shared" si="0"/>
        <v>Vitoria Setubal  vs  Sporting Clube de Portugal</v>
      </c>
    </row>
    <row r="22" spans="1:7">
      <c r="A22" s="66" t="s">
        <v>1348</v>
      </c>
      <c r="B22" s="2" t="s">
        <v>1394</v>
      </c>
      <c r="C22" s="74" t="s">
        <v>1242</v>
      </c>
      <c r="D22" s="23">
        <v>1</v>
      </c>
      <c r="E22" s="80">
        <v>1.19</v>
      </c>
      <c r="G22" s="2" t="str">
        <f t="shared" si="0"/>
        <v>FC Porto  vs  Belenenses</v>
      </c>
    </row>
    <row r="23" spans="1:7">
      <c r="A23" s="66" t="s">
        <v>1771</v>
      </c>
      <c r="B23" s="2" t="s">
        <v>1390</v>
      </c>
      <c r="C23" s="74" t="s">
        <v>1266</v>
      </c>
      <c r="D23" s="23">
        <v>1</v>
      </c>
      <c r="E23" s="80">
        <v>1.9</v>
      </c>
      <c r="G23" s="2" t="str">
        <f t="shared" si="0"/>
        <v>SL Benfica II  vs  Arouca</v>
      </c>
    </row>
    <row r="24" spans="1:7">
      <c r="A24" s="66" t="s">
        <v>1774</v>
      </c>
      <c r="B24" s="2" t="s">
        <v>1775</v>
      </c>
      <c r="C24" s="74" t="s">
        <v>1215</v>
      </c>
      <c r="D24" s="23">
        <v>1</v>
      </c>
      <c r="E24" s="80">
        <v>1.82</v>
      </c>
      <c r="G24" s="2" t="str">
        <f t="shared" si="0"/>
        <v>Real Betis Balompie  vs  RCD Espanyol</v>
      </c>
    </row>
    <row r="25" spans="1:7">
      <c r="A25" s="66" t="s">
        <v>1772</v>
      </c>
      <c r="B25" s="2" t="s">
        <v>1773</v>
      </c>
      <c r="C25" s="74" t="s">
        <v>1215</v>
      </c>
      <c r="D25" s="23">
        <v>1</v>
      </c>
      <c r="E25" s="80">
        <v>1.26</v>
      </c>
      <c r="G25" s="2" t="str">
        <f t="shared" si="0"/>
        <v>Barcelona CF  vs  Sevilla CF</v>
      </c>
    </row>
  </sheetData>
  <autoFilter ref="A3:E25">
    <sortState ref="A4:E25">
      <sortCondition ref="C4:C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8"/>
  <sheetViews>
    <sheetView zoomScale="80" zoomScaleNormal="80" workbookViewId="0">
      <selection activeCell="L5" sqref="L5:L17"/>
    </sheetView>
  </sheetViews>
  <sheetFormatPr defaultRowHeight="15"/>
  <cols>
    <col min="1" max="1" width="14.140625" bestFit="1" customWidth="1"/>
    <col min="2" max="2" width="16.7109375" bestFit="1" customWidth="1"/>
    <col min="3" max="3" width="6" customWidth="1"/>
    <col min="4" max="4" width="11.5703125" customWidth="1"/>
    <col min="5" max="5" width="11.5703125" bestFit="1" customWidth="1"/>
    <col min="9" max="9" width="12.7109375" bestFit="1" customWidth="1"/>
    <col min="10" max="15" width="14.140625" customWidth="1"/>
  </cols>
  <sheetData>
    <row r="1" spans="1:15">
      <c r="A1" s="100" t="s">
        <v>6</v>
      </c>
      <c r="B1" s="103">
        <v>1</v>
      </c>
    </row>
    <row r="3" spans="1:15">
      <c r="A3" s="100" t="s">
        <v>1813</v>
      </c>
      <c r="B3" s="100" t="s">
        <v>1814</v>
      </c>
    </row>
    <row r="4" spans="1:15">
      <c r="A4" s="100" t="s">
        <v>1811</v>
      </c>
      <c r="B4" t="s">
        <v>1153</v>
      </c>
      <c r="C4" t="s">
        <v>1154</v>
      </c>
      <c r="D4" t="s">
        <v>1812</v>
      </c>
      <c r="H4" t="s">
        <v>1811</v>
      </c>
      <c r="I4" t="s">
        <v>1153</v>
      </c>
      <c r="J4" s="111" t="s">
        <v>1154</v>
      </c>
      <c r="K4" s="111" t="s">
        <v>1812</v>
      </c>
      <c r="L4" s="111"/>
      <c r="M4" s="111"/>
      <c r="N4" s="111"/>
      <c r="O4" s="111"/>
    </row>
    <row r="5" spans="1:15">
      <c r="A5" s="101">
        <v>43466</v>
      </c>
      <c r="B5" s="102">
        <v>1</v>
      </c>
      <c r="C5" s="102">
        <v>1</v>
      </c>
      <c r="D5" s="102">
        <v>2</v>
      </c>
      <c r="H5">
        <v>43466</v>
      </c>
      <c r="I5" s="112">
        <v>1</v>
      </c>
      <c r="J5" s="112">
        <v>1</v>
      </c>
      <c r="K5" s="112">
        <v>2</v>
      </c>
      <c r="L5" s="104">
        <f>+J5/K5</f>
        <v>0.5</v>
      </c>
    </row>
    <row r="6" spans="1:15">
      <c r="A6" s="101">
        <v>43467</v>
      </c>
      <c r="B6" s="102">
        <v>5</v>
      </c>
      <c r="C6" s="102">
        <v>3</v>
      </c>
      <c r="D6" s="102">
        <v>8</v>
      </c>
      <c r="H6">
        <v>43467</v>
      </c>
      <c r="I6" s="112">
        <v>5</v>
      </c>
      <c r="J6" s="112">
        <v>3</v>
      </c>
      <c r="K6" s="112">
        <v>8</v>
      </c>
      <c r="L6" s="104">
        <f t="shared" ref="L6:L17" si="0">+J6/K6</f>
        <v>0.375</v>
      </c>
    </row>
    <row r="7" spans="1:15">
      <c r="A7" s="101">
        <v>43468</v>
      </c>
      <c r="B7" s="102">
        <v>1</v>
      </c>
      <c r="C7" s="102">
        <v>1</v>
      </c>
      <c r="D7" s="102">
        <v>2</v>
      </c>
      <c r="H7">
        <v>43468</v>
      </c>
      <c r="I7" s="112">
        <v>1</v>
      </c>
      <c r="J7" s="112">
        <v>1</v>
      </c>
      <c r="K7" s="112">
        <v>2</v>
      </c>
      <c r="L7" s="104">
        <f t="shared" si="0"/>
        <v>0.5</v>
      </c>
    </row>
    <row r="8" spans="1:15">
      <c r="A8" s="101">
        <v>43469</v>
      </c>
      <c r="B8" s="102"/>
      <c r="C8" s="102">
        <v>4</v>
      </c>
      <c r="D8" s="102">
        <v>4</v>
      </c>
      <c r="H8">
        <v>43469</v>
      </c>
      <c r="I8" s="112"/>
      <c r="J8" s="112">
        <v>4</v>
      </c>
      <c r="K8" s="112">
        <v>4</v>
      </c>
      <c r="L8" s="104">
        <f t="shared" si="0"/>
        <v>1</v>
      </c>
    </row>
    <row r="9" spans="1:15">
      <c r="A9" s="101">
        <v>43470</v>
      </c>
      <c r="B9" s="102">
        <v>2</v>
      </c>
      <c r="C9" s="102">
        <v>8</v>
      </c>
      <c r="D9" s="102">
        <v>10</v>
      </c>
      <c r="H9">
        <v>43470</v>
      </c>
      <c r="I9" s="112">
        <v>2</v>
      </c>
      <c r="J9" s="112">
        <v>8</v>
      </c>
      <c r="K9" s="112">
        <v>10</v>
      </c>
      <c r="L9" s="104">
        <f t="shared" si="0"/>
        <v>0.8</v>
      </c>
    </row>
    <row r="10" spans="1:15">
      <c r="A10" s="101">
        <v>43471</v>
      </c>
      <c r="B10" s="102">
        <v>8</v>
      </c>
      <c r="C10" s="102">
        <v>5</v>
      </c>
      <c r="D10" s="102">
        <v>13</v>
      </c>
      <c r="H10">
        <v>43471</v>
      </c>
      <c r="I10" s="112">
        <v>8</v>
      </c>
      <c r="J10" s="112">
        <v>5</v>
      </c>
      <c r="K10" s="112">
        <v>13</v>
      </c>
      <c r="L10" s="104">
        <f t="shared" si="0"/>
        <v>0.38461538461538464</v>
      </c>
    </row>
    <row r="11" spans="1:15">
      <c r="A11" s="101">
        <v>43472</v>
      </c>
      <c r="B11" s="102"/>
      <c r="C11" s="102">
        <v>6</v>
      </c>
      <c r="D11" s="102">
        <v>6</v>
      </c>
      <c r="H11">
        <v>43472</v>
      </c>
      <c r="I11" s="112"/>
      <c r="J11" s="112">
        <v>6</v>
      </c>
      <c r="K11" s="112">
        <v>6</v>
      </c>
      <c r="L11" s="104">
        <f t="shared" si="0"/>
        <v>1</v>
      </c>
    </row>
    <row r="12" spans="1:15">
      <c r="A12" s="101">
        <v>43473</v>
      </c>
      <c r="B12" s="102">
        <v>2</v>
      </c>
      <c r="C12" s="102">
        <v>2</v>
      </c>
      <c r="D12" s="102">
        <v>4</v>
      </c>
      <c r="H12">
        <v>43473</v>
      </c>
      <c r="I12" s="112">
        <v>2</v>
      </c>
      <c r="J12" s="112">
        <v>2</v>
      </c>
      <c r="K12" s="112">
        <v>4</v>
      </c>
      <c r="L12" s="104">
        <f t="shared" si="0"/>
        <v>0.5</v>
      </c>
    </row>
    <row r="13" spans="1:15">
      <c r="A13" s="101">
        <v>43474</v>
      </c>
      <c r="B13" s="102">
        <v>3</v>
      </c>
      <c r="C13" s="102">
        <v>9</v>
      </c>
      <c r="D13" s="102">
        <v>12</v>
      </c>
      <c r="H13">
        <v>43474</v>
      </c>
      <c r="I13" s="112">
        <v>3</v>
      </c>
      <c r="J13" s="112">
        <v>9</v>
      </c>
      <c r="K13" s="112">
        <v>12</v>
      </c>
      <c r="L13" s="104">
        <f t="shared" si="0"/>
        <v>0.75</v>
      </c>
    </row>
    <row r="14" spans="1:15">
      <c r="A14" s="101">
        <v>43475</v>
      </c>
      <c r="B14" s="102">
        <v>3</v>
      </c>
      <c r="C14" s="102"/>
      <c r="D14" s="102">
        <v>3</v>
      </c>
      <c r="H14">
        <v>43475</v>
      </c>
      <c r="I14" s="112">
        <v>3</v>
      </c>
      <c r="J14" s="112"/>
      <c r="K14" s="112">
        <v>3</v>
      </c>
      <c r="L14" s="104">
        <f t="shared" si="0"/>
        <v>0</v>
      </c>
    </row>
    <row r="15" spans="1:15">
      <c r="A15" s="101">
        <v>43476</v>
      </c>
      <c r="B15" s="102">
        <v>2</v>
      </c>
      <c r="C15" s="102">
        <v>2</v>
      </c>
      <c r="D15" s="102">
        <v>4</v>
      </c>
      <c r="H15">
        <v>43476</v>
      </c>
      <c r="I15" s="112">
        <v>2</v>
      </c>
      <c r="J15" s="112">
        <v>2</v>
      </c>
      <c r="K15" s="112">
        <v>4</v>
      </c>
      <c r="L15" s="104">
        <f t="shared" si="0"/>
        <v>0.5</v>
      </c>
    </row>
    <row r="16" spans="1:15">
      <c r="A16" s="101">
        <v>43494</v>
      </c>
      <c r="B16" s="102">
        <v>5</v>
      </c>
      <c r="C16" s="102">
        <v>10</v>
      </c>
      <c r="D16" s="102">
        <v>15</v>
      </c>
      <c r="H16">
        <v>43494</v>
      </c>
      <c r="I16" s="112">
        <v>5</v>
      </c>
      <c r="J16" s="112">
        <v>10</v>
      </c>
      <c r="K16" s="112">
        <v>15</v>
      </c>
      <c r="L16" s="104">
        <f t="shared" si="0"/>
        <v>0.66666666666666663</v>
      </c>
    </row>
    <row r="17" spans="1:12">
      <c r="A17" s="101">
        <v>43495</v>
      </c>
      <c r="B17" s="102">
        <v>4</v>
      </c>
      <c r="C17" s="102">
        <v>8</v>
      </c>
      <c r="D17" s="102">
        <v>12</v>
      </c>
      <c r="H17">
        <v>43495</v>
      </c>
      <c r="I17" s="112">
        <v>4</v>
      </c>
      <c r="J17" s="112">
        <v>8</v>
      </c>
      <c r="K17" s="112">
        <v>12</v>
      </c>
      <c r="L17" s="104">
        <f t="shared" si="0"/>
        <v>0.66666666666666663</v>
      </c>
    </row>
    <row r="18" spans="1:12">
      <c r="A18" s="101" t="s">
        <v>1812</v>
      </c>
      <c r="B18" s="102">
        <v>36</v>
      </c>
      <c r="C18" s="102">
        <v>59</v>
      </c>
      <c r="D18" s="102">
        <v>95</v>
      </c>
    </row>
    <row r="19" spans="1:12">
      <c r="K19" s="104"/>
      <c r="L19" s="104"/>
    </row>
    <row r="20" spans="1:12">
      <c r="B20" s="104">
        <f>+GETPIVOTDATA("TIME",$A$3,"BET","LOST")/GETPIVOTDATA("TIME",$A$3)</f>
        <v>0.37894736842105264</v>
      </c>
      <c r="C20" s="104">
        <f>+GETPIVOTDATA("TIME",$A$3,"BET","WON")/GETPIVOTDATA("TIME",$A$3)</f>
        <v>0.62105263157894741</v>
      </c>
    </row>
    <row r="24" spans="1:12">
      <c r="D24">
        <v>95</v>
      </c>
      <c r="E24">
        <f>+D24/D25*E25</f>
        <v>219.23076923076923</v>
      </c>
      <c r="F24">
        <f>+E24*0.75</f>
        <v>164.42307692307691</v>
      </c>
    </row>
    <row r="25" spans="1:12">
      <c r="D25">
        <v>13</v>
      </c>
      <c r="E25">
        <v>30</v>
      </c>
      <c r="F25">
        <f>+F24*C20</f>
        <v>102.11538461538461</v>
      </c>
    </row>
    <row r="26" spans="1:12">
      <c r="F26">
        <f>+F25*2.4</f>
        <v>245.07692307692307</v>
      </c>
    </row>
    <row r="27" spans="1:12">
      <c r="F27">
        <f>+F26*500</f>
        <v>122538.46153846153</v>
      </c>
    </row>
    <row r="28" spans="1:12">
      <c r="F28">
        <f>+F27*0.6</f>
        <v>73523.076923076922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109"/>
  <sheetViews>
    <sheetView zoomScale="80" zoomScaleNormal="80" workbookViewId="0">
      <pane ySplit="4650" topLeftCell="A97" activePane="bottomLeft"/>
      <selection activeCell="J16" sqref="J16"/>
      <selection pane="bottomLeft" activeCell="D102" sqref="D102"/>
    </sheetView>
  </sheetViews>
  <sheetFormatPr defaultRowHeight="12.75"/>
  <cols>
    <col min="1" max="1" width="4.140625" style="23" customWidth="1"/>
    <col min="2" max="2" width="10.85546875" style="3" bestFit="1" customWidth="1"/>
    <col min="3" max="3" width="9.140625" style="23"/>
    <col min="4" max="4" width="12" style="3" bestFit="1" customWidth="1"/>
    <col min="5" max="5" width="12.42578125" style="3" bestFit="1" customWidth="1"/>
    <col min="6" max="6" width="2.28515625" style="3" customWidth="1"/>
    <col min="7" max="7" width="9.140625" style="3"/>
    <col min="8" max="8" width="9.140625" style="3" customWidth="1"/>
    <col min="9" max="10" width="9.140625" style="3"/>
    <col min="11" max="11" width="10.85546875" style="3" bestFit="1" customWidth="1"/>
    <col min="12" max="16384" width="9.140625" style="3"/>
  </cols>
  <sheetData>
    <row r="1" spans="1:11">
      <c r="A1" s="94" t="s">
        <v>1604</v>
      </c>
      <c r="B1" s="95" t="s">
        <v>1613</v>
      </c>
      <c r="C1" s="95" t="s">
        <v>1616</v>
      </c>
      <c r="D1" s="95" t="s">
        <v>1785</v>
      </c>
      <c r="E1" s="95" t="s">
        <v>5</v>
      </c>
      <c r="G1" s="106" t="s">
        <v>1789</v>
      </c>
      <c r="H1" s="107"/>
      <c r="I1" s="23"/>
    </row>
    <row r="2" spans="1:11">
      <c r="A2" s="89">
        <v>1</v>
      </c>
      <c r="B2" s="92">
        <v>50</v>
      </c>
      <c r="C2" s="89" t="s">
        <v>1786</v>
      </c>
      <c r="D2" s="92">
        <f>IF(C2="w",+B2*E2,-B2)</f>
        <v>136.111111111111</v>
      </c>
      <c r="E2" s="91">
        <v>2.7222222222222201</v>
      </c>
      <c r="G2" s="89">
        <v>1</v>
      </c>
      <c r="H2" s="210" t="s">
        <v>1790</v>
      </c>
      <c r="I2" s="211"/>
      <c r="J2" s="212"/>
      <c r="K2" s="96">
        <f>+B102/C102</f>
        <v>9259.2592592592591</v>
      </c>
    </row>
    <row r="3" spans="1:11">
      <c r="A3" s="89">
        <v>2</v>
      </c>
      <c r="B3" s="92">
        <f>+B2</f>
        <v>50</v>
      </c>
      <c r="C3" s="89" t="s">
        <v>1786</v>
      </c>
      <c r="D3" s="92">
        <f t="shared" ref="D3:D11" si="0">IF(C3="w",+B3*E3,-B3)</f>
        <v>136.111111111111</v>
      </c>
      <c r="E3" s="91">
        <f>+E2</f>
        <v>2.7222222222222201</v>
      </c>
      <c r="G3" s="89">
        <v>2</v>
      </c>
      <c r="H3" s="210" t="s">
        <v>1792</v>
      </c>
      <c r="I3" s="211"/>
      <c r="J3" s="212"/>
      <c r="K3" s="98">
        <f>+B102</f>
        <v>5000</v>
      </c>
    </row>
    <row r="4" spans="1:11">
      <c r="A4" s="89">
        <v>3</v>
      </c>
      <c r="B4" s="92">
        <f t="shared" ref="B4:B67" si="1">+B3</f>
        <v>50</v>
      </c>
      <c r="C4" s="89" t="s">
        <v>1786</v>
      </c>
      <c r="D4" s="92">
        <f t="shared" si="0"/>
        <v>136.111111111111</v>
      </c>
      <c r="E4" s="91">
        <f t="shared" ref="E4:E67" si="2">+E3</f>
        <v>2.7222222222222201</v>
      </c>
      <c r="G4" s="89">
        <v>3</v>
      </c>
      <c r="H4" s="210" t="s">
        <v>1791</v>
      </c>
      <c r="I4" s="211"/>
      <c r="J4" s="212"/>
      <c r="K4" s="196">
        <f>+E2</f>
        <v>2.7222222222222201</v>
      </c>
    </row>
    <row r="5" spans="1:11">
      <c r="A5" s="89">
        <v>4</v>
      </c>
      <c r="B5" s="92">
        <f t="shared" si="1"/>
        <v>50</v>
      </c>
      <c r="C5" s="89" t="s">
        <v>1786</v>
      </c>
      <c r="D5" s="92">
        <f t="shared" si="0"/>
        <v>136.111111111111</v>
      </c>
      <c r="E5" s="91">
        <f t="shared" si="2"/>
        <v>2.7222222222222201</v>
      </c>
      <c r="G5" s="89">
        <v>4</v>
      </c>
      <c r="H5" s="213" t="s">
        <v>1788</v>
      </c>
      <c r="I5" s="214"/>
      <c r="J5" s="90">
        <f>+(D102-B102)/B102</f>
        <v>0.01</v>
      </c>
      <c r="K5" s="96">
        <f>+D102-B102</f>
        <v>50</v>
      </c>
    </row>
    <row r="6" spans="1:11">
      <c r="A6" s="89">
        <v>5</v>
      </c>
      <c r="B6" s="92">
        <f t="shared" si="1"/>
        <v>50</v>
      </c>
      <c r="C6" s="89" t="s">
        <v>1786</v>
      </c>
      <c r="D6" s="92">
        <f t="shared" si="0"/>
        <v>136.111111111111</v>
      </c>
      <c r="E6" s="91">
        <f t="shared" si="2"/>
        <v>2.7222222222222201</v>
      </c>
      <c r="G6" s="89">
        <v>5</v>
      </c>
      <c r="H6" s="210" t="s">
        <v>1808</v>
      </c>
      <c r="I6" s="211"/>
      <c r="J6" s="212"/>
      <c r="K6" s="96">
        <v>30</v>
      </c>
    </row>
    <row r="7" spans="1:11">
      <c r="A7" s="89">
        <v>6</v>
      </c>
      <c r="B7" s="92">
        <f t="shared" si="1"/>
        <v>50</v>
      </c>
      <c r="C7" s="89" t="s">
        <v>1786</v>
      </c>
      <c r="D7" s="92">
        <f t="shared" si="0"/>
        <v>136.111111111111</v>
      </c>
      <c r="E7" s="91">
        <f t="shared" si="2"/>
        <v>2.7222222222222201</v>
      </c>
      <c r="G7" s="89">
        <v>6</v>
      </c>
      <c r="H7" s="213" t="s">
        <v>1810</v>
      </c>
      <c r="I7" s="215"/>
      <c r="J7" s="214"/>
      <c r="K7" s="96">
        <f>+K5*K6</f>
        <v>1500</v>
      </c>
    </row>
    <row r="8" spans="1:11">
      <c r="A8" s="89">
        <v>7</v>
      </c>
      <c r="B8" s="92">
        <f t="shared" si="1"/>
        <v>50</v>
      </c>
      <c r="C8" s="89" t="s">
        <v>1786</v>
      </c>
      <c r="D8" s="92">
        <f t="shared" si="0"/>
        <v>136.111111111111</v>
      </c>
      <c r="E8" s="91">
        <f t="shared" si="2"/>
        <v>2.7222222222222201</v>
      </c>
      <c r="G8" s="89">
        <v>7</v>
      </c>
      <c r="H8" s="210" t="s">
        <v>1809</v>
      </c>
      <c r="I8" s="211"/>
      <c r="J8" s="212"/>
      <c r="K8" s="96">
        <f>+K7+B102</f>
        <v>6500</v>
      </c>
    </row>
    <row r="9" spans="1:11">
      <c r="A9" s="89">
        <v>8</v>
      </c>
      <c r="B9" s="92">
        <f t="shared" si="1"/>
        <v>50</v>
      </c>
      <c r="C9" s="89" t="s">
        <v>1786</v>
      </c>
      <c r="D9" s="92">
        <f t="shared" si="0"/>
        <v>136.111111111111</v>
      </c>
      <c r="E9" s="91">
        <f t="shared" si="2"/>
        <v>2.7222222222222201</v>
      </c>
    </row>
    <row r="10" spans="1:11">
      <c r="A10" s="89">
        <v>9</v>
      </c>
      <c r="B10" s="92">
        <f t="shared" si="1"/>
        <v>50</v>
      </c>
      <c r="C10" s="89" t="s">
        <v>1786</v>
      </c>
      <c r="D10" s="92">
        <f t="shared" si="0"/>
        <v>136.111111111111</v>
      </c>
      <c r="E10" s="91">
        <f t="shared" si="2"/>
        <v>2.7222222222222201</v>
      </c>
    </row>
    <row r="11" spans="1:11">
      <c r="A11" s="89">
        <v>10</v>
      </c>
      <c r="B11" s="92">
        <f t="shared" si="1"/>
        <v>50</v>
      </c>
      <c r="C11" s="89" t="s">
        <v>1786</v>
      </c>
      <c r="D11" s="92">
        <f t="shared" si="0"/>
        <v>136.111111111111</v>
      </c>
      <c r="E11" s="91">
        <f t="shared" si="2"/>
        <v>2.7222222222222201</v>
      </c>
    </row>
    <row r="12" spans="1:11">
      <c r="A12" s="89">
        <v>11</v>
      </c>
      <c r="B12" s="92">
        <f t="shared" si="1"/>
        <v>50</v>
      </c>
      <c r="C12" s="89" t="s">
        <v>1786</v>
      </c>
      <c r="D12" s="92">
        <f t="shared" ref="D12:D75" si="3">IF(C12="w",+B12*E12,-B12)</f>
        <v>136.111111111111</v>
      </c>
      <c r="E12" s="91">
        <f t="shared" si="2"/>
        <v>2.7222222222222201</v>
      </c>
    </row>
    <row r="13" spans="1:11">
      <c r="A13" s="89">
        <v>12</v>
      </c>
      <c r="B13" s="92">
        <f t="shared" si="1"/>
        <v>50</v>
      </c>
      <c r="C13" s="89" t="s">
        <v>1786</v>
      </c>
      <c r="D13" s="92">
        <f t="shared" si="3"/>
        <v>136.111111111111</v>
      </c>
      <c r="E13" s="91">
        <f t="shared" si="2"/>
        <v>2.7222222222222201</v>
      </c>
    </row>
    <row r="14" spans="1:11">
      <c r="A14" s="89">
        <v>13</v>
      </c>
      <c r="B14" s="92">
        <f t="shared" si="1"/>
        <v>50</v>
      </c>
      <c r="C14" s="89" t="s">
        <v>1786</v>
      </c>
      <c r="D14" s="92">
        <f t="shared" si="3"/>
        <v>136.111111111111</v>
      </c>
      <c r="E14" s="91">
        <f t="shared" si="2"/>
        <v>2.7222222222222201</v>
      </c>
    </row>
    <row r="15" spans="1:11">
      <c r="A15" s="89">
        <v>14</v>
      </c>
      <c r="B15" s="92">
        <f t="shared" si="1"/>
        <v>50</v>
      </c>
      <c r="C15" s="89" t="s">
        <v>1786</v>
      </c>
      <c r="D15" s="92">
        <f t="shared" si="3"/>
        <v>136.111111111111</v>
      </c>
      <c r="E15" s="91">
        <f t="shared" si="2"/>
        <v>2.7222222222222201</v>
      </c>
    </row>
    <row r="16" spans="1:11">
      <c r="A16" s="89">
        <v>15</v>
      </c>
      <c r="B16" s="92">
        <f t="shared" si="1"/>
        <v>50</v>
      </c>
      <c r="C16" s="89" t="s">
        <v>1786</v>
      </c>
      <c r="D16" s="92">
        <f t="shared" si="3"/>
        <v>136.111111111111</v>
      </c>
      <c r="E16" s="91">
        <f t="shared" si="2"/>
        <v>2.7222222222222201</v>
      </c>
    </row>
    <row r="17" spans="1:5">
      <c r="A17" s="89">
        <v>16</v>
      </c>
      <c r="B17" s="92">
        <f t="shared" si="1"/>
        <v>50</v>
      </c>
      <c r="C17" s="89" t="s">
        <v>1786</v>
      </c>
      <c r="D17" s="92">
        <f t="shared" si="3"/>
        <v>136.111111111111</v>
      </c>
      <c r="E17" s="91">
        <f t="shared" si="2"/>
        <v>2.7222222222222201</v>
      </c>
    </row>
    <row r="18" spans="1:5">
      <c r="A18" s="89">
        <v>17</v>
      </c>
      <c r="B18" s="92">
        <f t="shared" si="1"/>
        <v>50</v>
      </c>
      <c r="C18" s="89" t="s">
        <v>1786</v>
      </c>
      <c r="D18" s="92">
        <f t="shared" si="3"/>
        <v>136.111111111111</v>
      </c>
      <c r="E18" s="91">
        <f t="shared" si="2"/>
        <v>2.7222222222222201</v>
      </c>
    </row>
    <row r="19" spans="1:5">
      <c r="A19" s="89">
        <v>18</v>
      </c>
      <c r="B19" s="92">
        <f t="shared" si="1"/>
        <v>50</v>
      </c>
      <c r="C19" s="89" t="s">
        <v>1786</v>
      </c>
      <c r="D19" s="92">
        <f t="shared" si="3"/>
        <v>136.111111111111</v>
      </c>
      <c r="E19" s="91">
        <f t="shared" si="2"/>
        <v>2.7222222222222201</v>
      </c>
    </row>
    <row r="20" spans="1:5">
      <c r="A20" s="89">
        <v>19</v>
      </c>
      <c r="B20" s="92">
        <f t="shared" si="1"/>
        <v>50</v>
      </c>
      <c r="C20" s="89" t="s">
        <v>1786</v>
      </c>
      <c r="D20" s="92">
        <f t="shared" si="3"/>
        <v>136.111111111111</v>
      </c>
      <c r="E20" s="91">
        <f t="shared" si="2"/>
        <v>2.7222222222222201</v>
      </c>
    </row>
    <row r="21" spans="1:5">
      <c r="A21" s="89">
        <v>20</v>
      </c>
      <c r="B21" s="92">
        <f t="shared" si="1"/>
        <v>50</v>
      </c>
      <c r="C21" s="89" t="s">
        <v>1786</v>
      </c>
      <c r="D21" s="92">
        <f t="shared" si="3"/>
        <v>136.111111111111</v>
      </c>
      <c r="E21" s="91">
        <f t="shared" si="2"/>
        <v>2.7222222222222201</v>
      </c>
    </row>
    <row r="22" spans="1:5">
      <c r="A22" s="89">
        <v>21</v>
      </c>
      <c r="B22" s="92">
        <f t="shared" si="1"/>
        <v>50</v>
      </c>
      <c r="C22" s="89" t="s">
        <v>1786</v>
      </c>
      <c r="D22" s="92">
        <f t="shared" si="3"/>
        <v>136.111111111111</v>
      </c>
      <c r="E22" s="91">
        <f t="shared" si="2"/>
        <v>2.7222222222222201</v>
      </c>
    </row>
    <row r="23" spans="1:5">
      <c r="A23" s="89">
        <v>22</v>
      </c>
      <c r="B23" s="92">
        <f t="shared" si="1"/>
        <v>50</v>
      </c>
      <c r="C23" s="89" t="s">
        <v>1786</v>
      </c>
      <c r="D23" s="92">
        <f t="shared" si="3"/>
        <v>136.111111111111</v>
      </c>
      <c r="E23" s="91">
        <f t="shared" si="2"/>
        <v>2.7222222222222201</v>
      </c>
    </row>
    <row r="24" spans="1:5">
      <c r="A24" s="89">
        <v>23</v>
      </c>
      <c r="B24" s="92">
        <f t="shared" si="1"/>
        <v>50</v>
      </c>
      <c r="C24" s="89" t="s">
        <v>1786</v>
      </c>
      <c r="D24" s="92">
        <f t="shared" si="3"/>
        <v>136.111111111111</v>
      </c>
      <c r="E24" s="91">
        <f t="shared" si="2"/>
        <v>2.7222222222222201</v>
      </c>
    </row>
    <row r="25" spans="1:5">
      <c r="A25" s="89">
        <v>24</v>
      </c>
      <c r="B25" s="92">
        <f t="shared" si="1"/>
        <v>50</v>
      </c>
      <c r="C25" s="89" t="s">
        <v>1786</v>
      </c>
      <c r="D25" s="92">
        <f t="shared" si="3"/>
        <v>136.111111111111</v>
      </c>
      <c r="E25" s="91">
        <f t="shared" si="2"/>
        <v>2.7222222222222201</v>
      </c>
    </row>
    <row r="26" spans="1:5">
      <c r="A26" s="89">
        <v>25</v>
      </c>
      <c r="B26" s="92">
        <f t="shared" si="1"/>
        <v>50</v>
      </c>
      <c r="C26" s="89" t="s">
        <v>1786</v>
      </c>
      <c r="D26" s="92">
        <f t="shared" si="3"/>
        <v>136.111111111111</v>
      </c>
      <c r="E26" s="91">
        <f t="shared" si="2"/>
        <v>2.7222222222222201</v>
      </c>
    </row>
    <row r="27" spans="1:5">
      <c r="A27" s="89">
        <v>26</v>
      </c>
      <c r="B27" s="92">
        <f t="shared" si="1"/>
        <v>50</v>
      </c>
      <c r="C27" s="89" t="s">
        <v>1786</v>
      </c>
      <c r="D27" s="92">
        <f t="shared" si="3"/>
        <v>136.111111111111</v>
      </c>
      <c r="E27" s="91">
        <f t="shared" si="2"/>
        <v>2.7222222222222201</v>
      </c>
    </row>
    <row r="28" spans="1:5">
      <c r="A28" s="89">
        <v>27</v>
      </c>
      <c r="B28" s="92">
        <f t="shared" si="1"/>
        <v>50</v>
      </c>
      <c r="C28" s="89" t="s">
        <v>1786</v>
      </c>
      <c r="D28" s="92">
        <f t="shared" si="3"/>
        <v>136.111111111111</v>
      </c>
      <c r="E28" s="91">
        <f t="shared" si="2"/>
        <v>2.7222222222222201</v>
      </c>
    </row>
    <row r="29" spans="1:5">
      <c r="A29" s="89">
        <v>28</v>
      </c>
      <c r="B29" s="92">
        <f t="shared" si="1"/>
        <v>50</v>
      </c>
      <c r="C29" s="89" t="s">
        <v>1786</v>
      </c>
      <c r="D29" s="92">
        <f t="shared" si="3"/>
        <v>136.111111111111</v>
      </c>
      <c r="E29" s="91">
        <f t="shared" si="2"/>
        <v>2.7222222222222201</v>
      </c>
    </row>
    <row r="30" spans="1:5">
      <c r="A30" s="89">
        <v>29</v>
      </c>
      <c r="B30" s="92">
        <f t="shared" si="1"/>
        <v>50</v>
      </c>
      <c r="C30" s="89" t="s">
        <v>1786</v>
      </c>
      <c r="D30" s="92">
        <f t="shared" si="3"/>
        <v>136.111111111111</v>
      </c>
      <c r="E30" s="91">
        <f t="shared" si="2"/>
        <v>2.7222222222222201</v>
      </c>
    </row>
    <row r="31" spans="1:5">
      <c r="A31" s="89">
        <v>30</v>
      </c>
      <c r="B31" s="92">
        <f t="shared" si="1"/>
        <v>50</v>
      </c>
      <c r="C31" s="89" t="s">
        <v>1786</v>
      </c>
      <c r="D31" s="92">
        <f t="shared" si="3"/>
        <v>136.111111111111</v>
      </c>
      <c r="E31" s="91">
        <f t="shared" si="2"/>
        <v>2.7222222222222201</v>
      </c>
    </row>
    <row r="32" spans="1:5">
      <c r="A32" s="89">
        <v>31</v>
      </c>
      <c r="B32" s="92">
        <f t="shared" si="1"/>
        <v>50</v>
      </c>
      <c r="C32" s="89" t="s">
        <v>1786</v>
      </c>
      <c r="D32" s="92">
        <f t="shared" si="3"/>
        <v>136.111111111111</v>
      </c>
      <c r="E32" s="91">
        <f t="shared" si="2"/>
        <v>2.7222222222222201</v>
      </c>
    </row>
    <row r="33" spans="1:5">
      <c r="A33" s="89">
        <v>32</v>
      </c>
      <c r="B33" s="92">
        <f t="shared" si="1"/>
        <v>50</v>
      </c>
      <c r="C33" s="89" t="s">
        <v>1786</v>
      </c>
      <c r="D33" s="92">
        <f t="shared" si="3"/>
        <v>136.111111111111</v>
      </c>
      <c r="E33" s="91">
        <f t="shared" si="2"/>
        <v>2.7222222222222201</v>
      </c>
    </row>
    <row r="34" spans="1:5">
      <c r="A34" s="89">
        <v>33</v>
      </c>
      <c r="B34" s="92">
        <f t="shared" si="1"/>
        <v>50</v>
      </c>
      <c r="C34" s="89" t="s">
        <v>1786</v>
      </c>
      <c r="D34" s="92">
        <f t="shared" si="3"/>
        <v>136.111111111111</v>
      </c>
      <c r="E34" s="91">
        <f t="shared" si="2"/>
        <v>2.7222222222222201</v>
      </c>
    </row>
    <row r="35" spans="1:5">
      <c r="A35" s="89">
        <v>34</v>
      </c>
      <c r="B35" s="92">
        <f t="shared" si="1"/>
        <v>50</v>
      </c>
      <c r="C35" s="89" t="s">
        <v>1786</v>
      </c>
      <c r="D35" s="92">
        <f t="shared" si="3"/>
        <v>136.111111111111</v>
      </c>
      <c r="E35" s="91">
        <f t="shared" si="2"/>
        <v>2.7222222222222201</v>
      </c>
    </row>
    <row r="36" spans="1:5">
      <c r="A36" s="89">
        <v>35</v>
      </c>
      <c r="B36" s="92">
        <f t="shared" si="1"/>
        <v>50</v>
      </c>
      <c r="C36" s="89" t="s">
        <v>1786</v>
      </c>
      <c r="D36" s="92">
        <f t="shared" si="3"/>
        <v>136.111111111111</v>
      </c>
      <c r="E36" s="91">
        <f t="shared" si="2"/>
        <v>2.7222222222222201</v>
      </c>
    </row>
    <row r="37" spans="1:5">
      <c r="A37" s="89">
        <v>36</v>
      </c>
      <c r="B37" s="92">
        <f t="shared" si="1"/>
        <v>50</v>
      </c>
      <c r="C37" s="89" t="s">
        <v>1786</v>
      </c>
      <c r="D37" s="92">
        <f t="shared" si="3"/>
        <v>136.111111111111</v>
      </c>
      <c r="E37" s="91">
        <f t="shared" si="2"/>
        <v>2.7222222222222201</v>
      </c>
    </row>
    <row r="38" spans="1:5">
      <c r="A38" s="89">
        <v>37</v>
      </c>
      <c r="B38" s="92">
        <f t="shared" si="1"/>
        <v>50</v>
      </c>
      <c r="C38" s="89" t="s">
        <v>1786</v>
      </c>
      <c r="D38" s="92">
        <f t="shared" si="3"/>
        <v>136.111111111111</v>
      </c>
      <c r="E38" s="91">
        <f t="shared" si="2"/>
        <v>2.7222222222222201</v>
      </c>
    </row>
    <row r="39" spans="1:5">
      <c r="A39" s="89">
        <v>38</v>
      </c>
      <c r="B39" s="92">
        <f t="shared" si="1"/>
        <v>50</v>
      </c>
      <c r="C39" s="89" t="s">
        <v>1786</v>
      </c>
      <c r="D39" s="92">
        <f t="shared" si="3"/>
        <v>136.111111111111</v>
      </c>
      <c r="E39" s="91">
        <f t="shared" si="2"/>
        <v>2.7222222222222201</v>
      </c>
    </row>
    <row r="40" spans="1:5">
      <c r="A40" s="89">
        <v>39</v>
      </c>
      <c r="B40" s="92">
        <f t="shared" si="1"/>
        <v>50</v>
      </c>
      <c r="C40" s="89" t="s">
        <v>1786</v>
      </c>
      <c r="D40" s="92">
        <f t="shared" si="3"/>
        <v>136.111111111111</v>
      </c>
      <c r="E40" s="91">
        <f t="shared" si="2"/>
        <v>2.7222222222222201</v>
      </c>
    </row>
    <row r="41" spans="1:5">
      <c r="A41" s="89">
        <v>40</v>
      </c>
      <c r="B41" s="92">
        <f t="shared" si="1"/>
        <v>50</v>
      </c>
      <c r="C41" s="89" t="s">
        <v>1786</v>
      </c>
      <c r="D41" s="92">
        <f t="shared" si="3"/>
        <v>136.111111111111</v>
      </c>
      <c r="E41" s="91">
        <f t="shared" si="2"/>
        <v>2.7222222222222201</v>
      </c>
    </row>
    <row r="42" spans="1:5">
      <c r="A42" s="89">
        <v>41</v>
      </c>
      <c r="B42" s="92">
        <f t="shared" si="1"/>
        <v>50</v>
      </c>
      <c r="C42" s="89" t="s">
        <v>1786</v>
      </c>
      <c r="D42" s="92">
        <f t="shared" si="3"/>
        <v>136.111111111111</v>
      </c>
      <c r="E42" s="91">
        <f t="shared" si="2"/>
        <v>2.7222222222222201</v>
      </c>
    </row>
    <row r="43" spans="1:5">
      <c r="A43" s="89">
        <v>42</v>
      </c>
      <c r="B43" s="92">
        <f t="shared" si="1"/>
        <v>50</v>
      </c>
      <c r="C43" s="89" t="s">
        <v>1786</v>
      </c>
      <c r="D43" s="92">
        <f t="shared" si="3"/>
        <v>136.111111111111</v>
      </c>
      <c r="E43" s="91">
        <f t="shared" si="2"/>
        <v>2.7222222222222201</v>
      </c>
    </row>
    <row r="44" spans="1:5">
      <c r="A44" s="89">
        <v>43</v>
      </c>
      <c r="B44" s="92">
        <f t="shared" si="1"/>
        <v>50</v>
      </c>
      <c r="C44" s="89" t="s">
        <v>1786</v>
      </c>
      <c r="D44" s="92">
        <f t="shared" si="3"/>
        <v>136.111111111111</v>
      </c>
      <c r="E44" s="91">
        <f t="shared" si="2"/>
        <v>2.7222222222222201</v>
      </c>
    </row>
    <row r="45" spans="1:5">
      <c r="A45" s="89">
        <v>44</v>
      </c>
      <c r="B45" s="92">
        <f t="shared" si="1"/>
        <v>50</v>
      </c>
      <c r="C45" s="89" t="s">
        <v>1786</v>
      </c>
      <c r="D45" s="92">
        <f t="shared" si="3"/>
        <v>136.111111111111</v>
      </c>
      <c r="E45" s="91">
        <f t="shared" si="2"/>
        <v>2.7222222222222201</v>
      </c>
    </row>
    <row r="46" spans="1:5">
      <c r="A46" s="89">
        <v>45</v>
      </c>
      <c r="B46" s="92">
        <f t="shared" si="1"/>
        <v>50</v>
      </c>
      <c r="C46" s="89" t="s">
        <v>1786</v>
      </c>
      <c r="D46" s="92">
        <f t="shared" si="3"/>
        <v>136.111111111111</v>
      </c>
      <c r="E46" s="91">
        <f t="shared" si="2"/>
        <v>2.7222222222222201</v>
      </c>
    </row>
    <row r="47" spans="1:5">
      <c r="A47" s="89">
        <v>46</v>
      </c>
      <c r="B47" s="92">
        <f t="shared" si="1"/>
        <v>50</v>
      </c>
      <c r="C47" s="89" t="s">
        <v>1786</v>
      </c>
      <c r="D47" s="92">
        <f t="shared" si="3"/>
        <v>136.111111111111</v>
      </c>
      <c r="E47" s="91">
        <f t="shared" si="2"/>
        <v>2.7222222222222201</v>
      </c>
    </row>
    <row r="48" spans="1:5">
      <c r="A48" s="89">
        <v>47</v>
      </c>
      <c r="B48" s="92">
        <f t="shared" si="1"/>
        <v>50</v>
      </c>
      <c r="C48" s="89" t="s">
        <v>1786</v>
      </c>
      <c r="D48" s="92">
        <f t="shared" si="3"/>
        <v>136.111111111111</v>
      </c>
      <c r="E48" s="91">
        <f t="shared" si="2"/>
        <v>2.7222222222222201</v>
      </c>
    </row>
    <row r="49" spans="1:5">
      <c r="A49" s="89">
        <v>48</v>
      </c>
      <c r="B49" s="92">
        <f t="shared" si="1"/>
        <v>50</v>
      </c>
      <c r="C49" s="89" t="s">
        <v>1786</v>
      </c>
      <c r="D49" s="92">
        <f t="shared" si="3"/>
        <v>136.111111111111</v>
      </c>
      <c r="E49" s="91">
        <f t="shared" si="2"/>
        <v>2.7222222222222201</v>
      </c>
    </row>
    <row r="50" spans="1:5">
      <c r="A50" s="89">
        <v>49</v>
      </c>
      <c r="B50" s="92">
        <f t="shared" si="1"/>
        <v>50</v>
      </c>
      <c r="C50" s="89" t="s">
        <v>1786</v>
      </c>
      <c r="D50" s="92">
        <f t="shared" si="3"/>
        <v>136.111111111111</v>
      </c>
      <c r="E50" s="91">
        <f t="shared" si="2"/>
        <v>2.7222222222222201</v>
      </c>
    </row>
    <row r="51" spans="1:5">
      <c r="A51" s="89">
        <v>50</v>
      </c>
      <c r="B51" s="92">
        <f t="shared" si="1"/>
        <v>50</v>
      </c>
      <c r="C51" s="89" t="s">
        <v>1786</v>
      </c>
      <c r="D51" s="92">
        <f t="shared" si="3"/>
        <v>136.111111111111</v>
      </c>
      <c r="E51" s="91">
        <f t="shared" si="2"/>
        <v>2.7222222222222201</v>
      </c>
    </row>
    <row r="52" spans="1:5">
      <c r="A52" s="89">
        <v>51</v>
      </c>
      <c r="B52" s="92">
        <f t="shared" si="1"/>
        <v>50</v>
      </c>
      <c r="C52" s="89" t="s">
        <v>1786</v>
      </c>
      <c r="D52" s="92">
        <f t="shared" si="3"/>
        <v>136.111111111111</v>
      </c>
      <c r="E52" s="91">
        <f t="shared" si="2"/>
        <v>2.7222222222222201</v>
      </c>
    </row>
    <row r="53" spans="1:5">
      <c r="A53" s="89">
        <v>52</v>
      </c>
      <c r="B53" s="92">
        <f t="shared" si="1"/>
        <v>50</v>
      </c>
      <c r="C53" s="89" t="s">
        <v>1786</v>
      </c>
      <c r="D53" s="92">
        <f t="shared" si="3"/>
        <v>136.111111111111</v>
      </c>
      <c r="E53" s="91">
        <f t="shared" si="2"/>
        <v>2.7222222222222201</v>
      </c>
    </row>
    <row r="54" spans="1:5">
      <c r="A54" s="89">
        <v>53</v>
      </c>
      <c r="B54" s="92">
        <f t="shared" si="1"/>
        <v>50</v>
      </c>
      <c r="C54" s="89" t="s">
        <v>1786</v>
      </c>
      <c r="D54" s="92">
        <f t="shared" si="3"/>
        <v>136.111111111111</v>
      </c>
      <c r="E54" s="91">
        <f t="shared" si="2"/>
        <v>2.7222222222222201</v>
      </c>
    </row>
    <row r="55" spans="1:5">
      <c r="A55" s="89">
        <v>54</v>
      </c>
      <c r="B55" s="92">
        <f t="shared" si="1"/>
        <v>50</v>
      </c>
      <c r="C55" s="89" t="s">
        <v>1786</v>
      </c>
      <c r="D55" s="92">
        <f t="shared" si="3"/>
        <v>136.111111111111</v>
      </c>
      <c r="E55" s="91">
        <f t="shared" si="2"/>
        <v>2.7222222222222201</v>
      </c>
    </row>
    <row r="56" spans="1:5">
      <c r="A56" s="89">
        <v>55</v>
      </c>
      <c r="B56" s="92">
        <f t="shared" si="1"/>
        <v>50</v>
      </c>
      <c r="C56" s="89" t="s">
        <v>1787</v>
      </c>
      <c r="D56" s="92">
        <f t="shared" si="3"/>
        <v>-50</v>
      </c>
      <c r="E56" s="91">
        <f t="shared" si="2"/>
        <v>2.7222222222222201</v>
      </c>
    </row>
    <row r="57" spans="1:5">
      <c r="A57" s="89">
        <v>56</v>
      </c>
      <c r="B57" s="92">
        <f t="shared" si="1"/>
        <v>50</v>
      </c>
      <c r="C57" s="89" t="s">
        <v>1787</v>
      </c>
      <c r="D57" s="92">
        <f t="shared" si="3"/>
        <v>-50</v>
      </c>
      <c r="E57" s="91">
        <f t="shared" si="2"/>
        <v>2.7222222222222201</v>
      </c>
    </row>
    <row r="58" spans="1:5">
      <c r="A58" s="89">
        <v>57</v>
      </c>
      <c r="B58" s="92">
        <f t="shared" si="1"/>
        <v>50</v>
      </c>
      <c r="C58" s="89" t="s">
        <v>1787</v>
      </c>
      <c r="D58" s="92">
        <f t="shared" si="3"/>
        <v>-50</v>
      </c>
      <c r="E58" s="91">
        <f t="shared" si="2"/>
        <v>2.7222222222222201</v>
      </c>
    </row>
    <row r="59" spans="1:5">
      <c r="A59" s="89">
        <v>58</v>
      </c>
      <c r="B59" s="92">
        <f t="shared" si="1"/>
        <v>50</v>
      </c>
      <c r="C59" s="89" t="s">
        <v>1787</v>
      </c>
      <c r="D59" s="92">
        <f t="shared" si="3"/>
        <v>-50</v>
      </c>
      <c r="E59" s="91">
        <f t="shared" si="2"/>
        <v>2.7222222222222201</v>
      </c>
    </row>
    <row r="60" spans="1:5">
      <c r="A60" s="89">
        <v>59</v>
      </c>
      <c r="B60" s="92">
        <f t="shared" si="1"/>
        <v>50</v>
      </c>
      <c r="C60" s="89" t="s">
        <v>1787</v>
      </c>
      <c r="D60" s="92">
        <f t="shared" si="3"/>
        <v>-50</v>
      </c>
      <c r="E60" s="91">
        <f t="shared" si="2"/>
        <v>2.7222222222222201</v>
      </c>
    </row>
    <row r="61" spans="1:5">
      <c r="A61" s="89">
        <v>60</v>
      </c>
      <c r="B61" s="92">
        <f t="shared" si="1"/>
        <v>50</v>
      </c>
      <c r="C61" s="89" t="s">
        <v>1787</v>
      </c>
      <c r="D61" s="92">
        <f t="shared" si="3"/>
        <v>-50</v>
      </c>
      <c r="E61" s="91">
        <f t="shared" si="2"/>
        <v>2.7222222222222201</v>
      </c>
    </row>
    <row r="62" spans="1:5">
      <c r="A62" s="89">
        <v>61</v>
      </c>
      <c r="B62" s="92">
        <f t="shared" si="1"/>
        <v>50</v>
      </c>
      <c r="C62" s="89" t="s">
        <v>1787</v>
      </c>
      <c r="D62" s="92">
        <f t="shared" si="3"/>
        <v>-50</v>
      </c>
      <c r="E62" s="91">
        <f t="shared" si="2"/>
        <v>2.7222222222222201</v>
      </c>
    </row>
    <row r="63" spans="1:5">
      <c r="A63" s="89">
        <v>62</v>
      </c>
      <c r="B63" s="92">
        <f t="shared" si="1"/>
        <v>50</v>
      </c>
      <c r="C63" s="89" t="s">
        <v>1787</v>
      </c>
      <c r="D63" s="92">
        <f t="shared" si="3"/>
        <v>-50</v>
      </c>
      <c r="E63" s="91">
        <f t="shared" si="2"/>
        <v>2.7222222222222201</v>
      </c>
    </row>
    <row r="64" spans="1:5">
      <c r="A64" s="89">
        <v>63</v>
      </c>
      <c r="B64" s="92">
        <f t="shared" si="1"/>
        <v>50</v>
      </c>
      <c r="C64" s="89" t="s">
        <v>1787</v>
      </c>
      <c r="D64" s="92">
        <f t="shared" si="3"/>
        <v>-50</v>
      </c>
      <c r="E64" s="91">
        <f t="shared" si="2"/>
        <v>2.7222222222222201</v>
      </c>
    </row>
    <row r="65" spans="1:5">
      <c r="A65" s="89">
        <v>64</v>
      </c>
      <c r="B65" s="92">
        <f t="shared" si="1"/>
        <v>50</v>
      </c>
      <c r="C65" s="89" t="s">
        <v>1787</v>
      </c>
      <c r="D65" s="92">
        <f t="shared" si="3"/>
        <v>-50</v>
      </c>
      <c r="E65" s="91">
        <f t="shared" si="2"/>
        <v>2.7222222222222201</v>
      </c>
    </row>
    <row r="66" spans="1:5">
      <c r="A66" s="89">
        <v>65</v>
      </c>
      <c r="B66" s="92">
        <f t="shared" si="1"/>
        <v>50</v>
      </c>
      <c r="C66" s="89" t="s">
        <v>1787</v>
      </c>
      <c r="D66" s="92">
        <f t="shared" si="3"/>
        <v>-50</v>
      </c>
      <c r="E66" s="91">
        <f t="shared" si="2"/>
        <v>2.7222222222222201</v>
      </c>
    </row>
    <row r="67" spans="1:5">
      <c r="A67" s="89">
        <v>66</v>
      </c>
      <c r="B67" s="92">
        <f t="shared" si="1"/>
        <v>50</v>
      </c>
      <c r="C67" s="89" t="s">
        <v>1787</v>
      </c>
      <c r="D67" s="92">
        <f t="shared" si="3"/>
        <v>-50</v>
      </c>
      <c r="E67" s="91">
        <f t="shared" si="2"/>
        <v>2.7222222222222201</v>
      </c>
    </row>
    <row r="68" spans="1:5">
      <c r="A68" s="89">
        <v>67</v>
      </c>
      <c r="B68" s="92">
        <f t="shared" ref="B68:B101" si="4">+B67</f>
        <v>50</v>
      </c>
      <c r="C68" s="89" t="s">
        <v>1787</v>
      </c>
      <c r="D68" s="92">
        <f t="shared" si="3"/>
        <v>-50</v>
      </c>
      <c r="E68" s="91">
        <f t="shared" ref="E68:E101" si="5">+E67</f>
        <v>2.7222222222222201</v>
      </c>
    </row>
    <row r="69" spans="1:5">
      <c r="A69" s="89">
        <v>68</v>
      </c>
      <c r="B69" s="92">
        <f t="shared" si="4"/>
        <v>50</v>
      </c>
      <c r="C69" s="89" t="s">
        <v>1787</v>
      </c>
      <c r="D69" s="92">
        <f t="shared" si="3"/>
        <v>-50</v>
      </c>
      <c r="E69" s="91">
        <f t="shared" si="5"/>
        <v>2.7222222222222201</v>
      </c>
    </row>
    <row r="70" spans="1:5">
      <c r="A70" s="89">
        <v>69</v>
      </c>
      <c r="B70" s="92">
        <f t="shared" si="4"/>
        <v>50</v>
      </c>
      <c r="C70" s="89" t="s">
        <v>1787</v>
      </c>
      <c r="D70" s="92">
        <f t="shared" si="3"/>
        <v>-50</v>
      </c>
      <c r="E70" s="91">
        <f t="shared" si="5"/>
        <v>2.7222222222222201</v>
      </c>
    </row>
    <row r="71" spans="1:5">
      <c r="A71" s="89">
        <v>70</v>
      </c>
      <c r="B71" s="92">
        <f t="shared" si="4"/>
        <v>50</v>
      </c>
      <c r="C71" s="89" t="s">
        <v>1787</v>
      </c>
      <c r="D71" s="92">
        <f t="shared" si="3"/>
        <v>-50</v>
      </c>
      <c r="E71" s="91">
        <f t="shared" si="5"/>
        <v>2.7222222222222201</v>
      </c>
    </row>
    <row r="72" spans="1:5">
      <c r="A72" s="89">
        <v>71</v>
      </c>
      <c r="B72" s="92">
        <f t="shared" si="4"/>
        <v>50</v>
      </c>
      <c r="C72" s="89" t="s">
        <v>1787</v>
      </c>
      <c r="D72" s="92">
        <f t="shared" si="3"/>
        <v>-50</v>
      </c>
      <c r="E72" s="91">
        <f t="shared" si="5"/>
        <v>2.7222222222222201</v>
      </c>
    </row>
    <row r="73" spans="1:5">
      <c r="A73" s="89">
        <v>72</v>
      </c>
      <c r="B73" s="92">
        <f t="shared" si="4"/>
        <v>50</v>
      </c>
      <c r="C73" s="89" t="s">
        <v>1787</v>
      </c>
      <c r="D73" s="92">
        <f t="shared" si="3"/>
        <v>-50</v>
      </c>
      <c r="E73" s="91">
        <f t="shared" si="5"/>
        <v>2.7222222222222201</v>
      </c>
    </row>
    <row r="74" spans="1:5">
      <c r="A74" s="89">
        <v>73</v>
      </c>
      <c r="B74" s="92">
        <f t="shared" si="4"/>
        <v>50</v>
      </c>
      <c r="C74" s="89" t="s">
        <v>1787</v>
      </c>
      <c r="D74" s="92">
        <f t="shared" si="3"/>
        <v>-50</v>
      </c>
      <c r="E74" s="91">
        <f t="shared" si="5"/>
        <v>2.7222222222222201</v>
      </c>
    </row>
    <row r="75" spans="1:5">
      <c r="A75" s="89">
        <v>74</v>
      </c>
      <c r="B75" s="92">
        <f t="shared" si="4"/>
        <v>50</v>
      </c>
      <c r="C75" s="89" t="s">
        <v>1787</v>
      </c>
      <c r="D75" s="92">
        <f t="shared" si="3"/>
        <v>-50</v>
      </c>
      <c r="E75" s="91">
        <f t="shared" si="5"/>
        <v>2.7222222222222201</v>
      </c>
    </row>
    <row r="76" spans="1:5">
      <c r="A76" s="89">
        <v>75</v>
      </c>
      <c r="B76" s="92">
        <f t="shared" si="4"/>
        <v>50</v>
      </c>
      <c r="C76" s="89" t="s">
        <v>1787</v>
      </c>
      <c r="D76" s="92">
        <f t="shared" ref="D76:D101" si="6">IF(C76="w",+B76*E76,-B76)</f>
        <v>-50</v>
      </c>
      <c r="E76" s="91">
        <f t="shared" si="5"/>
        <v>2.7222222222222201</v>
      </c>
    </row>
    <row r="77" spans="1:5">
      <c r="A77" s="89">
        <v>76</v>
      </c>
      <c r="B77" s="92">
        <f t="shared" si="4"/>
        <v>50</v>
      </c>
      <c r="C77" s="89" t="s">
        <v>1787</v>
      </c>
      <c r="D77" s="92">
        <f t="shared" si="6"/>
        <v>-50</v>
      </c>
      <c r="E77" s="91">
        <f t="shared" si="5"/>
        <v>2.7222222222222201</v>
      </c>
    </row>
    <row r="78" spans="1:5">
      <c r="A78" s="89">
        <v>77</v>
      </c>
      <c r="B78" s="92">
        <f t="shared" si="4"/>
        <v>50</v>
      </c>
      <c r="C78" s="89" t="s">
        <v>1787</v>
      </c>
      <c r="D78" s="92">
        <f t="shared" si="6"/>
        <v>-50</v>
      </c>
      <c r="E78" s="91">
        <f t="shared" si="5"/>
        <v>2.7222222222222201</v>
      </c>
    </row>
    <row r="79" spans="1:5">
      <c r="A79" s="89">
        <v>78</v>
      </c>
      <c r="B79" s="92">
        <f t="shared" si="4"/>
        <v>50</v>
      </c>
      <c r="C79" s="89" t="s">
        <v>1787</v>
      </c>
      <c r="D79" s="92">
        <f t="shared" si="6"/>
        <v>-50</v>
      </c>
      <c r="E79" s="91">
        <f t="shared" si="5"/>
        <v>2.7222222222222201</v>
      </c>
    </row>
    <row r="80" spans="1:5">
      <c r="A80" s="89">
        <v>79</v>
      </c>
      <c r="B80" s="92">
        <f t="shared" si="4"/>
        <v>50</v>
      </c>
      <c r="C80" s="89" t="s">
        <v>1787</v>
      </c>
      <c r="D80" s="92">
        <f t="shared" si="6"/>
        <v>-50</v>
      </c>
      <c r="E80" s="91">
        <f t="shared" si="5"/>
        <v>2.7222222222222201</v>
      </c>
    </row>
    <row r="81" spans="1:5">
      <c r="A81" s="89">
        <v>80</v>
      </c>
      <c r="B81" s="92">
        <f t="shared" si="4"/>
        <v>50</v>
      </c>
      <c r="C81" s="89" t="s">
        <v>1787</v>
      </c>
      <c r="D81" s="92">
        <f t="shared" si="6"/>
        <v>-50</v>
      </c>
      <c r="E81" s="91">
        <f t="shared" si="5"/>
        <v>2.7222222222222201</v>
      </c>
    </row>
    <row r="82" spans="1:5">
      <c r="A82" s="89">
        <v>81</v>
      </c>
      <c r="B82" s="92">
        <f t="shared" si="4"/>
        <v>50</v>
      </c>
      <c r="C82" s="89" t="s">
        <v>1787</v>
      </c>
      <c r="D82" s="92">
        <f t="shared" si="6"/>
        <v>-50</v>
      </c>
      <c r="E82" s="91">
        <f t="shared" si="5"/>
        <v>2.7222222222222201</v>
      </c>
    </row>
    <row r="83" spans="1:5">
      <c r="A83" s="89">
        <v>82</v>
      </c>
      <c r="B83" s="92">
        <f t="shared" si="4"/>
        <v>50</v>
      </c>
      <c r="C83" s="89" t="s">
        <v>1787</v>
      </c>
      <c r="D83" s="92">
        <f t="shared" si="6"/>
        <v>-50</v>
      </c>
      <c r="E83" s="91">
        <f t="shared" si="5"/>
        <v>2.7222222222222201</v>
      </c>
    </row>
    <row r="84" spans="1:5">
      <c r="A84" s="89">
        <v>83</v>
      </c>
      <c r="B84" s="92">
        <f t="shared" si="4"/>
        <v>50</v>
      </c>
      <c r="C84" s="89" t="s">
        <v>1787</v>
      </c>
      <c r="D84" s="92">
        <f t="shared" si="6"/>
        <v>-50</v>
      </c>
      <c r="E84" s="91">
        <f t="shared" si="5"/>
        <v>2.7222222222222201</v>
      </c>
    </row>
    <row r="85" spans="1:5">
      <c r="A85" s="89">
        <v>84</v>
      </c>
      <c r="B85" s="92">
        <f t="shared" si="4"/>
        <v>50</v>
      </c>
      <c r="C85" s="89" t="s">
        <v>1787</v>
      </c>
      <c r="D85" s="92">
        <f t="shared" si="6"/>
        <v>-50</v>
      </c>
      <c r="E85" s="91">
        <f t="shared" si="5"/>
        <v>2.7222222222222201</v>
      </c>
    </row>
    <row r="86" spans="1:5">
      <c r="A86" s="89">
        <v>85</v>
      </c>
      <c r="B86" s="92">
        <f t="shared" si="4"/>
        <v>50</v>
      </c>
      <c r="C86" s="89" t="s">
        <v>1787</v>
      </c>
      <c r="D86" s="92">
        <f t="shared" si="6"/>
        <v>-50</v>
      </c>
      <c r="E86" s="91">
        <f t="shared" si="5"/>
        <v>2.7222222222222201</v>
      </c>
    </row>
    <row r="87" spans="1:5">
      <c r="A87" s="89">
        <v>86</v>
      </c>
      <c r="B87" s="92">
        <f t="shared" si="4"/>
        <v>50</v>
      </c>
      <c r="C87" s="89" t="s">
        <v>1787</v>
      </c>
      <c r="D87" s="92">
        <f t="shared" si="6"/>
        <v>-50</v>
      </c>
      <c r="E87" s="91">
        <f t="shared" si="5"/>
        <v>2.7222222222222201</v>
      </c>
    </row>
    <row r="88" spans="1:5">
      <c r="A88" s="89">
        <v>87</v>
      </c>
      <c r="B88" s="92">
        <f t="shared" si="4"/>
        <v>50</v>
      </c>
      <c r="C88" s="89" t="s">
        <v>1787</v>
      </c>
      <c r="D88" s="92">
        <f t="shared" si="6"/>
        <v>-50</v>
      </c>
      <c r="E88" s="91">
        <f t="shared" si="5"/>
        <v>2.7222222222222201</v>
      </c>
    </row>
    <row r="89" spans="1:5">
      <c r="A89" s="89">
        <v>88</v>
      </c>
      <c r="B89" s="92">
        <f t="shared" si="4"/>
        <v>50</v>
      </c>
      <c r="C89" s="89" t="s">
        <v>1787</v>
      </c>
      <c r="D89" s="92">
        <f t="shared" si="6"/>
        <v>-50</v>
      </c>
      <c r="E89" s="91">
        <f t="shared" si="5"/>
        <v>2.7222222222222201</v>
      </c>
    </row>
    <row r="90" spans="1:5">
      <c r="A90" s="89">
        <v>89</v>
      </c>
      <c r="B90" s="92">
        <f t="shared" si="4"/>
        <v>50</v>
      </c>
      <c r="C90" s="89" t="s">
        <v>1787</v>
      </c>
      <c r="D90" s="92">
        <f t="shared" si="6"/>
        <v>-50</v>
      </c>
      <c r="E90" s="91">
        <f t="shared" si="5"/>
        <v>2.7222222222222201</v>
      </c>
    </row>
    <row r="91" spans="1:5">
      <c r="A91" s="89">
        <v>90</v>
      </c>
      <c r="B91" s="92">
        <f t="shared" si="4"/>
        <v>50</v>
      </c>
      <c r="C91" s="89" t="s">
        <v>1787</v>
      </c>
      <c r="D91" s="92">
        <f t="shared" si="6"/>
        <v>-50</v>
      </c>
      <c r="E91" s="91">
        <f t="shared" si="5"/>
        <v>2.7222222222222201</v>
      </c>
    </row>
    <row r="92" spans="1:5">
      <c r="A92" s="89">
        <v>91</v>
      </c>
      <c r="B92" s="92">
        <f t="shared" si="4"/>
        <v>50</v>
      </c>
      <c r="C92" s="89" t="s">
        <v>1787</v>
      </c>
      <c r="D92" s="92">
        <f t="shared" si="6"/>
        <v>-50</v>
      </c>
      <c r="E92" s="91">
        <f t="shared" si="5"/>
        <v>2.7222222222222201</v>
      </c>
    </row>
    <row r="93" spans="1:5">
      <c r="A93" s="89">
        <v>92</v>
      </c>
      <c r="B93" s="92">
        <f t="shared" si="4"/>
        <v>50</v>
      </c>
      <c r="C93" s="89" t="s">
        <v>1787</v>
      </c>
      <c r="D93" s="92">
        <f t="shared" si="6"/>
        <v>-50</v>
      </c>
      <c r="E93" s="91">
        <f t="shared" si="5"/>
        <v>2.7222222222222201</v>
      </c>
    </row>
    <row r="94" spans="1:5">
      <c r="A94" s="89">
        <v>93</v>
      </c>
      <c r="B94" s="92">
        <f t="shared" si="4"/>
        <v>50</v>
      </c>
      <c r="C94" s="89" t="s">
        <v>1787</v>
      </c>
      <c r="D94" s="92">
        <f t="shared" si="6"/>
        <v>-50</v>
      </c>
      <c r="E94" s="91">
        <f t="shared" si="5"/>
        <v>2.7222222222222201</v>
      </c>
    </row>
    <row r="95" spans="1:5">
      <c r="A95" s="89">
        <v>94</v>
      </c>
      <c r="B95" s="92">
        <f t="shared" si="4"/>
        <v>50</v>
      </c>
      <c r="C95" s="89" t="s">
        <v>1787</v>
      </c>
      <c r="D95" s="92">
        <f t="shared" si="6"/>
        <v>-50</v>
      </c>
      <c r="E95" s="91">
        <f t="shared" si="5"/>
        <v>2.7222222222222201</v>
      </c>
    </row>
    <row r="96" spans="1:5">
      <c r="A96" s="89">
        <v>95</v>
      </c>
      <c r="B96" s="92">
        <f t="shared" si="4"/>
        <v>50</v>
      </c>
      <c r="C96" s="89" t="s">
        <v>1787</v>
      </c>
      <c r="D96" s="92">
        <f t="shared" si="6"/>
        <v>-50</v>
      </c>
      <c r="E96" s="91">
        <f t="shared" si="5"/>
        <v>2.7222222222222201</v>
      </c>
    </row>
    <row r="97" spans="1:5">
      <c r="A97" s="89">
        <v>96</v>
      </c>
      <c r="B97" s="92">
        <f t="shared" si="4"/>
        <v>50</v>
      </c>
      <c r="C97" s="89" t="s">
        <v>1787</v>
      </c>
      <c r="D97" s="92">
        <f t="shared" si="6"/>
        <v>-50</v>
      </c>
      <c r="E97" s="91">
        <f t="shared" si="5"/>
        <v>2.7222222222222201</v>
      </c>
    </row>
    <row r="98" spans="1:5">
      <c r="A98" s="89">
        <v>97</v>
      </c>
      <c r="B98" s="92">
        <f t="shared" si="4"/>
        <v>50</v>
      </c>
      <c r="C98" s="89" t="s">
        <v>1787</v>
      </c>
      <c r="D98" s="92">
        <f t="shared" si="6"/>
        <v>-50</v>
      </c>
      <c r="E98" s="91">
        <f t="shared" si="5"/>
        <v>2.7222222222222201</v>
      </c>
    </row>
    <row r="99" spans="1:5">
      <c r="A99" s="89">
        <v>98</v>
      </c>
      <c r="B99" s="92">
        <f t="shared" si="4"/>
        <v>50</v>
      </c>
      <c r="C99" s="89" t="s">
        <v>1787</v>
      </c>
      <c r="D99" s="92">
        <f t="shared" si="6"/>
        <v>-50</v>
      </c>
      <c r="E99" s="91">
        <f t="shared" si="5"/>
        <v>2.7222222222222201</v>
      </c>
    </row>
    <row r="100" spans="1:5">
      <c r="A100" s="89">
        <v>99</v>
      </c>
      <c r="B100" s="92">
        <f t="shared" si="4"/>
        <v>50</v>
      </c>
      <c r="C100" s="89" t="s">
        <v>1787</v>
      </c>
      <c r="D100" s="92">
        <f t="shared" si="6"/>
        <v>-50</v>
      </c>
      <c r="E100" s="91">
        <f t="shared" si="5"/>
        <v>2.7222222222222201</v>
      </c>
    </row>
    <row r="101" spans="1:5">
      <c r="A101" s="89">
        <v>100</v>
      </c>
      <c r="B101" s="92">
        <f t="shared" si="4"/>
        <v>50</v>
      </c>
      <c r="C101" s="89" t="s">
        <v>1787</v>
      </c>
      <c r="D101" s="92">
        <f t="shared" si="6"/>
        <v>-50</v>
      </c>
      <c r="E101" s="91">
        <f t="shared" si="5"/>
        <v>2.7222222222222201</v>
      </c>
    </row>
    <row r="102" spans="1:5">
      <c r="A102" s="99"/>
      <c r="B102" s="93">
        <f>SUM(B2:B101)</f>
        <v>5000</v>
      </c>
      <c r="C102" s="90">
        <f>COUNTIF(C2:C101,"w")/COUNT(B2:B101)</f>
        <v>0.54</v>
      </c>
      <c r="D102" s="93">
        <f>SUM(D2:D101)</f>
        <v>5050</v>
      </c>
      <c r="E102" s="97">
        <f>AVERAGE(E2:E101)</f>
        <v>2.7222222222222232</v>
      </c>
    </row>
    <row r="109" spans="1:5">
      <c r="D109" s="197"/>
    </row>
  </sheetData>
  <mergeCells count="7">
    <mergeCell ref="H8:J8"/>
    <mergeCell ref="H4:J4"/>
    <mergeCell ref="H3:J3"/>
    <mergeCell ref="H2:J2"/>
    <mergeCell ref="H5:I5"/>
    <mergeCell ref="H7:J7"/>
    <mergeCell ref="H6:J6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00"/>
  <sheetViews>
    <sheetView zoomScale="80" zoomScaleNormal="80" workbookViewId="0">
      <pane ySplit="5" topLeftCell="A73" activePane="bottomLeft" state="frozen"/>
      <selection pane="bottomLeft" activeCell="A101" sqref="A101"/>
    </sheetView>
  </sheetViews>
  <sheetFormatPr defaultRowHeight="12.75"/>
  <cols>
    <col min="1" max="1" width="10.140625" style="3" customWidth="1"/>
    <col min="2" max="2" width="26.7109375" style="3" customWidth="1"/>
    <col min="3" max="3" width="36.7109375" style="3" customWidth="1"/>
    <col min="4" max="6" width="12.85546875" style="3" bestFit="1" customWidth="1"/>
    <col min="7" max="8" width="10.85546875" style="3" bestFit="1" customWidth="1"/>
    <col min="9" max="9" width="9.42578125" style="3" bestFit="1" customWidth="1"/>
    <col min="10" max="10" width="12.85546875" style="3" bestFit="1" customWidth="1"/>
    <col min="11" max="11" width="10" style="3" bestFit="1" customWidth="1"/>
    <col min="12" max="12" width="7.42578125" style="3" bestFit="1" customWidth="1"/>
    <col min="13" max="13" width="8.5703125" style="3" bestFit="1" customWidth="1"/>
    <col min="14" max="16" width="10.5703125" style="3" customWidth="1"/>
    <col min="17" max="17" width="4.5703125" style="3" bestFit="1" customWidth="1"/>
    <col min="18" max="18" width="5.7109375" style="3" bestFit="1" customWidth="1"/>
    <col min="19" max="19" width="9.85546875" style="3" bestFit="1" customWidth="1"/>
    <col min="20" max="16384" width="9.140625" style="3"/>
  </cols>
  <sheetData>
    <row r="1" spans="1:19">
      <c r="P1" s="89"/>
      <c r="Q1" s="89" t="s">
        <v>3846</v>
      </c>
      <c r="R1" s="89" t="s">
        <v>3847</v>
      </c>
    </row>
    <row r="2" spans="1:19">
      <c r="P2" s="78" t="s">
        <v>1733</v>
      </c>
      <c r="Q2" s="208">
        <f>COUNT(D6:D84)</f>
        <v>79</v>
      </c>
      <c r="R2" s="208">
        <f>COUNT(E6:E84)</f>
        <v>79</v>
      </c>
    </row>
    <row r="3" spans="1:19">
      <c r="P3" s="208" t="s">
        <v>3677</v>
      </c>
      <c r="Q3" s="208">
        <f>COUNTIF(L6:L84,"WIN")</f>
        <v>20</v>
      </c>
      <c r="R3" s="208">
        <f>COUNTIF(M6:M84,"WIN")</f>
        <v>34</v>
      </c>
    </row>
    <row r="4" spans="1:19">
      <c r="K4" s="3">
        <f>+D6-AVERAGE(E6,F6)</f>
        <v>-1.1549999999999998</v>
      </c>
      <c r="P4" s="208" t="s">
        <v>3678</v>
      </c>
      <c r="Q4" s="208">
        <f>COUNTIF(L6:L84,"LOSS")</f>
        <v>59</v>
      </c>
      <c r="R4" s="208">
        <f>COUNTIF(M6:M84,"LOSS")</f>
        <v>45</v>
      </c>
    </row>
    <row r="5" spans="1:19">
      <c r="A5" s="199" t="s">
        <v>3103</v>
      </c>
      <c r="B5" s="199" t="s">
        <v>3104</v>
      </c>
      <c r="C5" s="199" t="s">
        <v>3105</v>
      </c>
      <c r="D5" s="202" t="s">
        <v>3106</v>
      </c>
      <c r="E5" s="199" t="s">
        <v>3107</v>
      </c>
      <c r="F5" s="199" t="s">
        <v>3108</v>
      </c>
      <c r="G5" s="204" t="s">
        <v>3848</v>
      </c>
      <c r="H5" s="204" t="s">
        <v>3849</v>
      </c>
      <c r="I5" s="203" t="s">
        <v>3674</v>
      </c>
      <c r="J5" s="203" t="s">
        <v>3675</v>
      </c>
      <c r="K5" s="201" t="s">
        <v>3676</v>
      </c>
      <c r="L5" s="2" t="s">
        <v>3846</v>
      </c>
      <c r="M5" s="2" t="s">
        <v>3847</v>
      </c>
      <c r="N5" s="3" t="s">
        <v>3850</v>
      </c>
      <c r="P5" s="208"/>
      <c r="Q5" s="208"/>
      <c r="R5" s="209">
        <f>+R3/R2</f>
        <v>0.43037974683544306</v>
      </c>
      <c r="S5" s="207">
        <f>SUM(N6:N84)</f>
        <v>-10.999999999999986</v>
      </c>
    </row>
    <row r="6" spans="1:19">
      <c r="A6" s="2" t="s">
        <v>3109</v>
      </c>
      <c r="B6" s="2" t="s">
        <v>3329</v>
      </c>
      <c r="C6" s="2" t="s">
        <v>3414</v>
      </c>
      <c r="D6" s="8">
        <v>2.1800000000000002</v>
      </c>
      <c r="E6" s="8">
        <v>3.15</v>
      </c>
      <c r="F6" s="8">
        <v>3.52</v>
      </c>
      <c r="G6" s="205">
        <v>1</v>
      </c>
      <c r="H6" s="205">
        <v>2</v>
      </c>
      <c r="I6" s="2">
        <v>-1</v>
      </c>
      <c r="J6" s="2">
        <v>1.3399999999999999</v>
      </c>
      <c r="K6" s="2">
        <f>+D6-AVERAGE(E6,F6)</f>
        <v>-1.1549999999999998</v>
      </c>
      <c r="L6" s="2" t="s">
        <v>3678</v>
      </c>
      <c r="M6" s="2" t="s">
        <v>3677</v>
      </c>
      <c r="N6" s="206">
        <f>IF(M6="WIN",(D6*50)-50,-50)</f>
        <v>59.000000000000014</v>
      </c>
    </row>
    <row r="7" spans="1:19">
      <c r="A7" s="2" t="s">
        <v>3109</v>
      </c>
      <c r="B7" s="2" t="s">
        <v>3297</v>
      </c>
      <c r="C7" s="2" t="s">
        <v>3453</v>
      </c>
      <c r="D7" s="8">
        <v>2.06</v>
      </c>
      <c r="E7" s="8">
        <v>2.7</v>
      </c>
      <c r="F7" s="8">
        <v>3.52</v>
      </c>
      <c r="G7" s="205">
        <v>1</v>
      </c>
      <c r="H7" s="205">
        <v>1</v>
      </c>
      <c r="I7" s="2">
        <v>0</v>
      </c>
      <c r="J7" s="2">
        <v>1.46</v>
      </c>
      <c r="K7" s="2">
        <f t="shared" ref="K7:K70" si="0">+D7-AVERAGE(E7,F7)</f>
        <v>-1.0500000000000003</v>
      </c>
      <c r="L7" s="2" t="s">
        <v>3678</v>
      </c>
      <c r="M7" s="2" t="s">
        <v>3677</v>
      </c>
      <c r="N7" s="206">
        <f t="shared" ref="N7:N70" si="1">IF(M7="WIN",(D7*50)-50,-50)</f>
        <v>53</v>
      </c>
    </row>
    <row r="8" spans="1:19">
      <c r="A8" s="2" t="s">
        <v>3109</v>
      </c>
      <c r="B8" s="2" t="s">
        <v>3257</v>
      </c>
      <c r="C8" s="2" t="s">
        <v>3388</v>
      </c>
      <c r="D8" s="8">
        <v>2.2599999999999998</v>
      </c>
      <c r="E8" s="8">
        <v>3.03</v>
      </c>
      <c r="F8" s="8">
        <v>3.48</v>
      </c>
      <c r="G8" s="205">
        <v>0</v>
      </c>
      <c r="H8" s="205">
        <v>1</v>
      </c>
      <c r="I8" s="2">
        <v>-1</v>
      </c>
      <c r="J8" s="2">
        <v>1.2200000000000002</v>
      </c>
      <c r="K8" s="2">
        <f t="shared" si="0"/>
        <v>-0.99500000000000011</v>
      </c>
      <c r="L8" s="2" t="s">
        <v>3678</v>
      </c>
      <c r="M8" s="2" t="s">
        <v>3677</v>
      </c>
      <c r="N8" s="206">
        <f t="shared" si="1"/>
        <v>62.999999999999986</v>
      </c>
    </row>
    <row r="9" spans="1:19">
      <c r="A9" s="2" t="s">
        <v>3109</v>
      </c>
      <c r="B9" s="2" t="s">
        <v>3211</v>
      </c>
      <c r="C9" s="2" t="s">
        <v>3442</v>
      </c>
      <c r="D9" s="8">
        <v>2.09</v>
      </c>
      <c r="E9" s="8">
        <v>2.9</v>
      </c>
      <c r="F9" s="8">
        <v>3.48</v>
      </c>
      <c r="G9" s="205">
        <v>0</v>
      </c>
      <c r="H9" s="205">
        <v>0</v>
      </c>
      <c r="I9" s="2">
        <v>0</v>
      </c>
      <c r="J9" s="2">
        <v>1.3900000000000001</v>
      </c>
      <c r="K9" s="2">
        <f t="shared" si="0"/>
        <v>-1.1000000000000001</v>
      </c>
      <c r="L9" s="2" t="s">
        <v>3678</v>
      </c>
      <c r="M9" s="2" t="s">
        <v>3678</v>
      </c>
      <c r="N9" s="206">
        <f t="shared" si="1"/>
        <v>-50</v>
      </c>
    </row>
    <row r="10" spans="1:19">
      <c r="A10" s="2" t="s">
        <v>3109</v>
      </c>
      <c r="B10" s="2" t="s">
        <v>3224</v>
      </c>
      <c r="C10" s="2" t="s">
        <v>3342</v>
      </c>
      <c r="D10" s="8">
        <v>2.44</v>
      </c>
      <c r="E10" s="8">
        <v>3.02</v>
      </c>
      <c r="F10" s="8">
        <v>3.47</v>
      </c>
      <c r="G10" s="205">
        <v>1</v>
      </c>
      <c r="H10" s="205">
        <v>1</v>
      </c>
      <c r="I10" s="2">
        <v>0</v>
      </c>
      <c r="J10" s="2">
        <v>1.0300000000000002</v>
      </c>
      <c r="K10" s="2">
        <f t="shared" si="0"/>
        <v>-0.80500000000000016</v>
      </c>
      <c r="L10" s="2" t="s">
        <v>3678</v>
      </c>
      <c r="M10" s="2" t="s">
        <v>3677</v>
      </c>
      <c r="N10" s="206">
        <f t="shared" si="1"/>
        <v>72</v>
      </c>
    </row>
    <row r="11" spans="1:19">
      <c r="A11" s="2" t="s">
        <v>3109</v>
      </c>
      <c r="B11" s="2" t="s">
        <v>3182</v>
      </c>
      <c r="C11" s="2" t="s">
        <v>3362</v>
      </c>
      <c r="D11" s="8">
        <v>2.35</v>
      </c>
      <c r="E11" s="8">
        <v>2.88</v>
      </c>
      <c r="F11" s="8">
        <v>3.47</v>
      </c>
      <c r="G11" s="205">
        <v>0</v>
      </c>
      <c r="H11" s="205">
        <v>2</v>
      </c>
      <c r="I11" s="2">
        <v>-2</v>
      </c>
      <c r="J11" s="2">
        <v>1.1200000000000001</v>
      </c>
      <c r="K11" s="2">
        <f t="shared" si="0"/>
        <v>-0.82499999999999973</v>
      </c>
      <c r="L11" s="2" t="s">
        <v>3678</v>
      </c>
      <c r="M11" s="2" t="s">
        <v>3677</v>
      </c>
      <c r="N11" s="206">
        <f t="shared" si="1"/>
        <v>67.5</v>
      </c>
    </row>
    <row r="12" spans="1:19">
      <c r="A12" s="2" t="s">
        <v>3109</v>
      </c>
      <c r="B12" s="2" t="s">
        <v>3182</v>
      </c>
      <c r="C12" s="2" t="s">
        <v>3399</v>
      </c>
      <c r="D12" s="8">
        <v>2.21</v>
      </c>
      <c r="E12" s="8">
        <v>3.13</v>
      </c>
      <c r="F12" s="8">
        <v>3.47</v>
      </c>
      <c r="G12" s="205">
        <v>0</v>
      </c>
      <c r="H12" s="205">
        <v>1</v>
      </c>
      <c r="I12" s="2">
        <v>-1</v>
      </c>
      <c r="J12" s="2">
        <v>1.2600000000000002</v>
      </c>
      <c r="K12" s="2">
        <f t="shared" si="0"/>
        <v>-1.0899999999999999</v>
      </c>
      <c r="L12" s="2" t="s">
        <v>3677</v>
      </c>
      <c r="M12" s="2" t="s">
        <v>3678</v>
      </c>
      <c r="N12" s="206">
        <f t="shared" si="1"/>
        <v>-50</v>
      </c>
    </row>
    <row r="13" spans="1:19">
      <c r="A13" s="2" t="s">
        <v>3109</v>
      </c>
      <c r="B13" s="2" t="s">
        <v>3422</v>
      </c>
      <c r="C13" s="2" t="s">
        <v>3423</v>
      </c>
      <c r="D13" s="8">
        <v>2.15</v>
      </c>
      <c r="E13" s="8">
        <v>3.62</v>
      </c>
      <c r="F13" s="8">
        <v>3.45</v>
      </c>
      <c r="G13" s="205">
        <v>0</v>
      </c>
      <c r="H13" s="205">
        <v>0</v>
      </c>
      <c r="I13" s="2">
        <v>0</v>
      </c>
      <c r="J13" s="2">
        <v>1.3000000000000003</v>
      </c>
      <c r="K13" s="2">
        <f t="shared" si="0"/>
        <v>-1.3850000000000002</v>
      </c>
      <c r="L13" s="2" t="s">
        <v>3678</v>
      </c>
      <c r="M13" s="2" t="s">
        <v>3678</v>
      </c>
      <c r="N13" s="206">
        <f t="shared" si="1"/>
        <v>-50</v>
      </c>
    </row>
    <row r="14" spans="1:19">
      <c r="A14" s="2" t="s">
        <v>3109</v>
      </c>
      <c r="B14" s="2" t="s">
        <v>3433</v>
      </c>
      <c r="C14" s="2" t="s">
        <v>3434</v>
      </c>
      <c r="D14" s="8">
        <v>2.12</v>
      </c>
      <c r="E14" s="8">
        <v>2.89</v>
      </c>
      <c r="F14" s="8">
        <v>3.43</v>
      </c>
      <c r="G14" s="205">
        <v>0</v>
      </c>
      <c r="H14" s="205">
        <v>2</v>
      </c>
      <c r="I14" s="2">
        <v>-2</v>
      </c>
      <c r="J14" s="2">
        <v>1.31</v>
      </c>
      <c r="K14" s="2">
        <f t="shared" si="0"/>
        <v>-1.04</v>
      </c>
      <c r="L14" s="2" t="s">
        <v>3678</v>
      </c>
      <c r="M14" s="2" t="s">
        <v>3678</v>
      </c>
      <c r="N14" s="206">
        <f t="shared" si="1"/>
        <v>-50</v>
      </c>
    </row>
    <row r="15" spans="1:19">
      <c r="A15" s="2" t="s">
        <v>3109</v>
      </c>
      <c r="B15" s="2" t="s">
        <v>3329</v>
      </c>
      <c r="C15" s="2" t="s">
        <v>3425</v>
      </c>
      <c r="D15" s="8">
        <v>2.14</v>
      </c>
      <c r="E15" s="8">
        <v>3.42</v>
      </c>
      <c r="F15" s="8">
        <v>3.33</v>
      </c>
      <c r="G15" s="205">
        <v>0</v>
      </c>
      <c r="H15" s="205">
        <v>2</v>
      </c>
      <c r="I15" s="2">
        <v>-2</v>
      </c>
      <c r="J15" s="2">
        <v>1.19</v>
      </c>
      <c r="K15" s="2">
        <f t="shared" si="0"/>
        <v>-1.2349999999999999</v>
      </c>
      <c r="L15" s="2" t="s">
        <v>3677</v>
      </c>
      <c r="M15" s="2" t="s">
        <v>3678</v>
      </c>
      <c r="N15" s="206">
        <f t="shared" si="1"/>
        <v>-50</v>
      </c>
    </row>
    <row r="16" spans="1:19">
      <c r="A16" s="2" t="s">
        <v>3109</v>
      </c>
      <c r="B16" s="2" t="s">
        <v>3189</v>
      </c>
      <c r="C16" s="2" t="s">
        <v>3385</v>
      </c>
      <c r="D16" s="8">
        <v>2.2799999999999998</v>
      </c>
      <c r="E16" s="8">
        <v>2.73</v>
      </c>
      <c r="F16" s="8">
        <v>3.28</v>
      </c>
      <c r="G16" s="205">
        <v>0</v>
      </c>
      <c r="H16" s="205">
        <v>0</v>
      </c>
      <c r="I16" s="2">
        <v>0</v>
      </c>
      <c r="J16" s="2">
        <v>1</v>
      </c>
      <c r="K16" s="2">
        <f t="shared" si="0"/>
        <v>-0.72500000000000009</v>
      </c>
      <c r="L16" s="2" t="s">
        <v>3678</v>
      </c>
      <c r="M16" s="2" t="s">
        <v>3678</v>
      </c>
      <c r="N16" s="206">
        <f t="shared" si="1"/>
        <v>-50</v>
      </c>
    </row>
    <row r="17" spans="1:14">
      <c r="A17" s="2" t="s">
        <v>3109</v>
      </c>
      <c r="B17" s="2" t="s">
        <v>3252</v>
      </c>
      <c r="C17" s="2" t="s">
        <v>3461</v>
      </c>
      <c r="D17" s="8">
        <v>2.02</v>
      </c>
      <c r="E17" s="8">
        <v>3.2</v>
      </c>
      <c r="F17" s="8">
        <v>3.28</v>
      </c>
      <c r="G17" s="205">
        <v>0</v>
      </c>
      <c r="H17" s="205">
        <v>0</v>
      </c>
      <c r="I17" s="2">
        <v>0</v>
      </c>
      <c r="J17" s="2">
        <v>1.2599999999999998</v>
      </c>
      <c r="K17" s="2">
        <f t="shared" si="0"/>
        <v>-1.2200000000000002</v>
      </c>
      <c r="L17" s="2" t="s">
        <v>3678</v>
      </c>
      <c r="M17" s="2" t="s">
        <v>3677</v>
      </c>
      <c r="N17" s="206">
        <f t="shared" si="1"/>
        <v>51</v>
      </c>
    </row>
    <row r="18" spans="1:14">
      <c r="A18" s="2" t="s">
        <v>3109</v>
      </c>
      <c r="B18" s="2" t="s">
        <v>3336</v>
      </c>
      <c r="C18" s="2" t="s">
        <v>3337</v>
      </c>
      <c r="D18" s="8">
        <v>2.4500000000000002</v>
      </c>
      <c r="E18" s="8">
        <v>3.1</v>
      </c>
      <c r="F18" s="8">
        <v>3.23</v>
      </c>
      <c r="G18" s="205">
        <v>0</v>
      </c>
      <c r="H18" s="205">
        <v>1</v>
      </c>
      <c r="I18" s="2">
        <v>-1</v>
      </c>
      <c r="J18" s="2">
        <v>0.7799999999999998</v>
      </c>
      <c r="K18" s="2">
        <f t="shared" si="0"/>
        <v>-0.71499999999999986</v>
      </c>
      <c r="L18" s="2" t="s">
        <v>3678</v>
      </c>
      <c r="M18" s="2" t="s">
        <v>3677</v>
      </c>
      <c r="N18" s="206">
        <f t="shared" si="1"/>
        <v>72.500000000000014</v>
      </c>
    </row>
    <row r="19" spans="1:14">
      <c r="A19" s="2" t="s">
        <v>3109</v>
      </c>
      <c r="B19" s="2" t="s">
        <v>3363</v>
      </c>
      <c r="C19" s="2" t="s">
        <v>3364</v>
      </c>
      <c r="D19" s="8">
        <v>2.35</v>
      </c>
      <c r="E19" s="8">
        <v>2.66</v>
      </c>
      <c r="F19" s="8">
        <v>3.23</v>
      </c>
      <c r="G19" s="205">
        <v>1</v>
      </c>
      <c r="H19" s="205">
        <v>2</v>
      </c>
      <c r="I19" s="2">
        <v>-1</v>
      </c>
      <c r="J19" s="2">
        <v>0.87999999999999989</v>
      </c>
      <c r="K19" s="2">
        <f t="shared" si="0"/>
        <v>-0.5950000000000002</v>
      </c>
      <c r="L19" s="2" t="s">
        <v>3678</v>
      </c>
      <c r="M19" s="2" t="s">
        <v>3677</v>
      </c>
      <c r="N19" s="206">
        <f t="shared" si="1"/>
        <v>67.5</v>
      </c>
    </row>
    <row r="20" spans="1:14">
      <c r="A20" s="2" t="s">
        <v>3109</v>
      </c>
      <c r="B20" s="2" t="s">
        <v>3213</v>
      </c>
      <c r="C20" s="2" t="s">
        <v>3389</v>
      </c>
      <c r="D20" s="8">
        <v>2.25</v>
      </c>
      <c r="E20" s="8">
        <v>2.93</v>
      </c>
      <c r="F20" s="8">
        <v>3.2</v>
      </c>
      <c r="G20" s="205">
        <v>0</v>
      </c>
      <c r="H20" s="205">
        <v>1</v>
      </c>
      <c r="I20" s="2">
        <v>-1</v>
      </c>
      <c r="J20" s="2">
        <v>0.95000000000000018</v>
      </c>
      <c r="K20" s="2">
        <f t="shared" si="0"/>
        <v>-0.81500000000000039</v>
      </c>
      <c r="L20" s="2" t="s">
        <v>3678</v>
      </c>
      <c r="M20" s="2" t="s">
        <v>3678</v>
      </c>
      <c r="N20" s="206">
        <f t="shared" si="1"/>
        <v>-50</v>
      </c>
    </row>
    <row r="21" spans="1:14">
      <c r="A21" s="2" t="s">
        <v>3109</v>
      </c>
      <c r="B21" s="2" t="s">
        <v>3152</v>
      </c>
      <c r="C21" s="2" t="s">
        <v>3447</v>
      </c>
      <c r="D21" s="8">
        <v>2.08</v>
      </c>
      <c r="E21" s="8">
        <v>2.88</v>
      </c>
      <c r="F21" s="8">
        <v>3.2</v>
      </c>
      <c r="G21" s="205">
        <v>1</v>
      </c>
      <c r="H21" s="205">
        <v>1</v>
      </c>
      <c r="I21" s="2">
        <v>0</v>
      </c>
      <c r="J21" s="2">
        <v>1.1200000000000001</v>
      </c>
      <c r="K21" s="2">
        <f t="shared" si="0"/>
        <v>-0.96</v>
      </c>
      <c r="L21" s="2" t="s">
        <v>3678</v>
      </c>
      <c r="M21" s="2" t="s">
        <v>3678</v>
      </c>
      <c r="N21" s="206">
        <f t="shared" si="1"/>
        <v>-50</v>
      </c>
    </row>
    <row r="22" spans="1:14">
      <c r="A22" s="2" t="s">
        <v>3109</v>
      </c>
      <c r="B22" s="2" t="s">
        <v>3228</v>
      </c>
      <c r="C22" s="2" t="s">
        <v>3347</v>
      </c>
      <c r="D22" s="8">
        <v>2.4300000000000002</v>
      </c>
      <c r="E22" s="8">
        <v>2.98</v>
      </c>
      <c r="F22" s="8">
        <v>3.18</v>
      </c>
      <c r="G22" s="205">
        <v>1</v>
      </c>
      <c r="H22" s="205">
        <v>1</v>
      </c>
      <c r="I22" s="2">
        <v>0</v>
      </c>
      <c r="J22" s="2">
        <v>0.75</v>
      </c>
      <c r="K22" s="2">
        <f t="shared" si="0"/>
        <v>-0.64999999999999991</v>
      </c>
      <c r="L22" s="2" t="s">
        <v>3678</v>
      </c>
      <c r="M22" s="2" t="s">
        <v>3678</v>
      </c>
      <c r="N22" s="206">
        <f t="shared" si="1"/>
        <v>-50</v>
      </c>
    </row>
    <row r="23" spans="1:14">
      <c r="A23" s="2" t="s">
        <v>3109</v>
      </c>
      <c r="B23" s="2" t="s">
        <v>3213</v>
      </c>
      <c r="C23" s="2" t="s">
        <v>3393</v>
      </c>
      <c r="D23" s="8">
        <v>2.2400000000000002</v>
      </c>
      <c r="E23" s="8">
        <v>2.94</v>
      </c>
      <c r="F23" s="8">
        <v>3.18</v>
      </c>
      <c r="G23" s="205">
        <v>0</v>
      </c>
      <c r="H23" s="205">
        <v>2</v>
      </c>
      <c r="I23" s="2">
        <v>-2</v>
      </c>
      <c r="J23" s="2">
        <v>0.94</v>
      </c>
      <c r="K23" s="2">
        <f t="shared" si="0"/>
        <v>-0.81999999999999984</v>
      </c>
      <c r="L23" s="2" t="s">
        <v>3678</v>
      </c>
      <c r="M23" s="2" t="s">
        <v>3678</v>
      </c>
      <c r="N23" s="206">
        <f t="shared" si="1"/>
        <v>-50</v>
      </c>
    </row>
    <row r="24" spans="1:14">
      <c r="A24" s="2" t="s">
        <v>3109</v>
      </c>
      <c r="B24" s="2" t="s">
        <v>3274</v>
      </c>
      <c r="C24" s="2" t="s">
        <v>3275</v>
      </c>
      <c r="D24" s="8">
        <v>2.79</v>
      </c>
      <c r="E24" s="8">
        <v>2.81</v>
      </c>
      <c r="F24" s="8">
        <v>3.17</v>
      </c>
      <c r="G24" s="205">
        <v>1</v>
      </c>
      <c r="H24" s="205">
        <v>1</v>
      </c>
      <c r="I24" s="2">
        <v>0</v>
      </c>
      <c r="J24" s="2">
        <v>0.37999999999999989</v>
      </c>
      <c r="K24" s="2">
        <f t="shared" si="0"/>
        <v>-0.20000000000000018</v>
      </c>
      <c r="L24" s="2" t="s">
        <v>3678</v>
      </c>
      <c r="M24" s="2" t="s">
        <v>3677</v>
      </c>
      <c r="N24" s="206">
        <f t="shared" si="1"/>
        <v>89.5</v>
      </c>
    </row>
    <row r="25" spans="1:14">
      <c r="A25" s="2" t="s">
        <v>3109</v>
      </c>
      <c r="B25" s="2" t="s">
        <v>3257</v>
      </c>
      <c r="C25" s="2" t="s">
        <v>3327</v>
      </c>
      <c r="D25" s="8">
        <v>2.48</v>
      </c>
      <c r="E25" s="8">
        <v>2.94</v>
      </c>
      <c r="F25" s="8">
        <v>3.17</v>
      </c>
      <c r="G25" s="205">
        <v>1</v>
      </c>
      <c r="H25" s="205">
        <v>2</v>
      </c>
      <c r="I25" s="2">
        <v>-1</v>
      </c>
      <c r="J25" s="2">
        <v>0.69</v>
      </c>
      <c r="K25" s="2">
        <f t="shared" si="0"/>
        <v>-0.57499999999999973</v>
      </c>
      <c r="L25" s="2" t="s">
        <v>3678</v>
      </c>
      <c r="M25" s="2" t="s">
        <v>3678</v>
      </c>
      <c r="N25" s="206">
        <f t="shared" si="1"/>
        <v>-50</v>
      </c>
    </row>
    <row r="26" spans="1:14">
      <c r="A26" s="2" t="s">
        <v>3109</v>
      </c>
      <c r="B26" s="2" t="s">
        <v>3359</v>
      </c>
      <c r="C26" s="2" t="s">
        <v>3429</v>
      </c>
      <c r="D26" s="8">
        <v>2.13</v>
      </c>
      <c r="E26" s="8">
        <v>2.82</v>
      </c>
      <c r="F26" s="8">
        <v>3.17</v>
      </c>
      <c r="G26" s="205">
        <v>1</v>
      </c>
      <c r="H26" s="205">
        <v>1</v>
      </c>
      <c r="I26" s="2">
        <v>0</v>
      </c>
      <c r="J26" s="2">
        <v>1.04</v>
      </c>
      <c r="K26" s="2">
        <f t="shared" si="0"/>
        <v>-0.86500000000000021</v>
      </c>
      <c r="L26" s="2" t="s">
        <v>3678</v>
      </c>
      <c r="M26" s="2" t="s">
        <v>3677</v>
      </c>
      <c r="N26" s="206">
        <f t="shared" si="1"/>
        <v>56.5</v>
      </c>
    </row>
    <row r="27" spans="1:14">
      <c r="A27" s="2" t="s">
        <v>3109</v>
      </c>
      <c r="B27" s="2" t="s">
        <v>3110</v>
      </c>
      <c r="C27" s="2" t="s">
        <v>3459</v>
      </c>
      <c r="D27" s="8">
        <v>2.0299999999999998</v>
      </c>
      <c r="E27" s="8">
        <v>3.03</v>
      </c>
      <c r="F27" s="8">
        <v>3.15</v>
      </c>
      <c r="G27" s="205">
        <v>0</v>
      </c>
      <c r="H27" s="205">
        <v>2</v>
      </c>
      <c r="I27" s="2">
        <v>-2</v>
      </c>
      <c r="J27" s="2">
        <v>1.1200000000000001</v>
      </c>
      <c r="K27" s="2">
        <f t="shared" si="0"/>
        <v>-1.06</v>
      </c>
      <c r="L27" s="2" t="s">
        <v>3678</v>
      </c>
      <c r="M27" s="2" t="s">
        <v>3678</v>
      </c>
      <c r="N27" s="206">
        <f t="shared" si="1"/>
        <v>-50</v>
      </c>
    </row>
    <row r="28" spans="1:14">
      <c r="A28" s="2" t="s">
        <v>3109</v>
      </c>
      <c r="B28" s="2" t="s">
        <v>3309</v>
      </c>
      <c r="C28" s="2" t="s">
        <v>3415</v>
      </c>
      <c r="D28" s="8">
        <v>2.17</v>
      </c>
      <c r="E28" s="8">
        <v>3.05</v>
      </c>
      <c r="F28" s="8">
        <v>3.12</v>
      </c>
      <c r="G28" s="205">
        <v>0</v>
      </c>
      <c r="H28" s="205">
        <v>2</v>
      </c>
      <c r="I28" s="2">
        <v>-2</v>
      </c>
      <c r="J28" s="2">
        <v>0.95000000000000018</v>
      </c>
      <c r="K28" s="2">
        <f t="shared" si="0"/>
        <v>-0.91500000000000004</v>
      </c>
      <c r="L28" s="2" t="s">
        <v>3677</v>
      </c>
      <c r="M28" s="2" t="s">
        <v>3678</v>
      </c>
      <c r="N28" s="206">
        <f t="shared" si="1"/>
        <v>-50</v>
      </c>
    </row>
    <row r="29" spans="1:14">
      <c r="A29" s="2" t="s">
        <v>3109</v>
      </c>
      <c r="B29" s="2" t="s">
        <v>3169</v>
      </c>
      <c r="C29" s="2" t="s">
        <v>3384</v>
      </c>
      <c r="D29" s="8">
        <v>2.2799999999999998</v>
      </c>
      <c r="E29" s="8">
        <v>2.95</v>
      </c>
      <c r="F29" s="8">
        <v>3.1</v>
      </c>
      <c r="G29" s="205">
        <v>1</v>
      </c>
      <c r="H29" s="205">
        <v>2</v>
      </c>
      <c r="I29" s="2">
        <v>-1</v>
      </c>
      <c r="J29" s="2">
        <v>0.82000000000000028</v>
      </c>
      <c r="K29" s="2">
        <f t="shared" si="0"/>
        <v>-0.74500000000000055</v>
      </c>
      <c r="L29" s="2" t="s">
        <v>3678</v>
      </c>
      <c r="M29" s="2" t="s">
        <v>3678</v>
      </c>
      <c r="N29" s="206">
        <f t="shared" si="1"/>
        <v>-50</v>
      </c>
    </row>
    <row r="30" spans="1:14">
      <c r="A30" s="2" t="s">
        <v>3109</v>
      </c>
      <c r="B30" s="2" t="s">
        <v>3167</v>
      </c>
      <c r="C30" s="2" t="s">
        <v>3432</v>
      </c>
      <c r="D30" s="8">
        <v>2.12</v>
      </c>
      <c r="E30" s="8">
        <v>2.9</v>
      </c>
      <c r="F30" s="8">
        <v>3.1</v>
      </c>
      <c r="G30" s="205">
        <v>1</v>
      </c>
      <c r="H30" s="205">
        <v>1</v>
      </c>
      <c r="I30" s="2">
        <v>0</v>
      </c>
      <c r="J30" s="2">
        <v>0.98</v>
      </c>
      <c r="K30" s="2">
        <f t="shared" si="0"/>
        <v>-0.87999999999999989</v>
      </c>
      <c r="L30" s="2" t="s">
        <v>3678</v>
      </c>
      <c r="M30" s="2" t="s">
        <v>3678</v>
      </c>
      <c r="N30" s="206">
        <f t="shared" si="1"/>
        <v>-50</v>
      </c>
    </row>
    <row r="31" spans="1:14">
      <c r="A31" s="2" t="s">
        <v>3109</v>
      </c>
      <c r="B31" s="2" t="s">
        <v>3309</v>
      </c>
      <c r="C31" s="2" t="s">
        <v>3452</v>
      </c>
      <c r="D31" s="8">
        <v>2.06</v>
      </c>
      <c r="E31" s="8">
        <v>3.35</v>
      </c>
      <c r="F31" s="8">
        <v>3.08</v>
      </c>
      <c r="G31" s="205">
        <v>0</v>
      </c>
      <c r="H31" s="205">
        <v>2</v>
      </c>
      <c r="I31" s="2">
        <v>-2</v>
      </c>
      <c r="J31" s="2">
        <v>1.02</v>
      </c>
      <c r="K31" s="2">
        <f t="shared" si="0"/>
        <v>-1.1549999999999998</v>
      </c>
      <c r="L31" s="2" t="s">
        <v>3678</v>
      </c>
      <c r="M31" s="2" t="s">
        <v>3677</v>
      </c>
      <c r="N31" s="206">
        <f t="shared" si="1"/>
        <v>53</v>
      </c>
    </row>
    <row r="32" spans="1:14">
      <c r="A32" s="2" t="s">
        <v>3109</v>
      </c>
      <c r="B32" s="2" t="s">
        <v>3333</v>
      </c>
      <c r="C32" s="2" t="s">
        <v>3334</v>
      </c>
      <c r="D32" s="8">
        <v>2.4700000000000002</v>
      </c>
      <c r="E32" s="8">
        <v>3.03</v>
      </c>
      <c r="F32" s="8">
        <v>3.07</v>
      </c>
      <c r="G32" s="205">
        <v>0</v>
      </c>
      <c r="H32" s="205">
        <v>2</v>
      </c>
      <c r="I32" s="2">
        <v>-2</v>
      </c>
      <c r="J32" s="2">
        <v>0.59999999999999964</v>
      </c>
      <c r="K32" s="2">
        <f t="shared" si="0"/>
        <v>-0.57999999999999963</v>
      </c>
      <c r="L32" s="2" t="s">
        <v>3678</v>
      </c>
      <c r="M32" s="2" t="s">
        <v>3677</v>
      </c>
      <c r="N32" s="206">
        <f t="shared" si="1"/>
        <v>73.500000000000014</v>
      </c>
    </row>
    <row r="33" spans="1:14">
      <c r="A33" s="2" t="s">
        <v>3109</v>
      </c>
      <c r="B33" s="2" t="s">
        <v>3184</v>
      </c>
      <c r="C33" s="2" t="s">
        <v>3331</v>
      </c>
      <c r="D33" s="8">
        <v>2.4700000000000002</v>
      </c>
      <c r="E33" s="8">
        <v>3.37</v>
      </c>
      <c r="F33" s="8">
        <v>3.05</v>
      </c>
      <c r="G33" s="205">
        <v>1</v>
      </c>
      <c r="H33" s="205">
        <v>2</v>
      </c>
      <c r="I33" s="2">
        <v>-1</v>
      </c>
      <c r="J33" s="2">
        <v>0.57999999999999963</v>
      </c>
      <c r="K33" s="2">
        <f t="shared" si="0"/>
        <v>-0.73999999999999977</v>
      </c>
      <c r="L33" s="2" t="s">
        <v>3678</v>
      </c>
      <c r="M33" s="2" t="s">
        <v>3677</v>
      </c>
      <c r="N33" s="206">
        <f t="shared" si="1"/>
        <v>73.500000000000014</v>
      </c>
    </row>
    <row r="34" spans="1:14">
      <c r="A34" s="2" t="s">
        <v>3109</v>
      </c>
      <c r="B34" s="2" t="s">
        <v>3309</v>
      </c>
      <c r="C34" s="2" t="s">
        <v>3382</v>
      </c>
      <c r="D34" s="8">
        <v>2.2799999999999998</v>
      </c>
      <c r="E34" s="8">
        <v>2.92</v>
      </c>
      <c r="F34" s="8">
        <v>3.05</v>
      </c>
      <c r="G34" s="205">
        <v>1</v>
      </c>
      <c r="H34" s="205">
        <v>3</v>
      </c>
      <c r="I34" s="2">
        <v>-2</v>
      </c>
      <c r="J34" s="2">
        <v>0.77</v>
      </c>
      <c r="K34" s="2">
        <f t="shared" si="0"/>
        <v>-0.70500000000000007</v>
      </c>
      <c r="L34" s="2" t="s">
        <v>3678</v>
      </c>
      <c r="M34" s="2" t="s">
        <v>3677</v>
      </c>
      <c r="N34" s="206">
        <f t="shared" si="1"/>
        <v>63.999999999999986</v>
      </c>
    </row>
    <row r="35" spans="1:14">
      <c r="A35" s="2" t="s">
        <v>3109</v>
      </c>
      <c r="B35" s="2" t="s">
        <v>3340</v>
      </c>
      <c r="C35" s="2" t="s">
        <v>3341</v>
      </c>
      <c r="D35" s="8">
        <v>2.4500000000000002</v>
      </c>
      <c r="E35" s="8">
        <v>3.12</v>
      </c>
      <c r="F35" s="8">
        <v>3.03</v>
      </c>
      <c r="G35" s="205">
        <v>0</v>
      </c>
      <c r="H35" s="205">
        <v>0</v>
      </c>
      <c r="I35" s="2">
        <v>0</v>
      </c>
      <c r="J35" s="2">
        <v>0.57999999999999963</v>
      </c>
      <c r="K35" s="2">
        <f t="shared" si="0"/>
        <v>-0.625</v>
      </c>
      <c r="L35" s="2" t="s">
        <v>3678</v>
      </c>
      <c r="M35" s="2" t="s">
        <v>3677</v>
      </c>
      <c r="N35" s="206">
        <f t="shared" si="1"/>
        <v>72.500000000000014</v>
      </c>
    </row>
    <row r="36" spans="1:14">
      <c r="A36" s="2" t="s">
        <v>3109</v>
      </c>
      <c r="B36" s="2" t="s">
        <v>3267</v>
      </c>
      <c r="C36" s="2" t="s">
        <v>3418</v>
      </c>
      <c r="D36" s="8">
        <v>2.16</v>
      </c>
      <c r="E36" s="8">
        <v>2.91</v>
      </c>
      <c r="F36" s="8">
        <v>3</v>
      </c>
      <c r="G36" s="205">
        <v>0</v>
      </c>
      <c r="H36" s="205">
        <v>1</v>
      </c>
      <c r="I36" s="2">
        <v>-1</v>
      </c>
      <c r="J36" s="2">
        <v>0.83999999999999986</v>
      </c>
      <c r="K36" s="2">
        <f t="shared" si="0"/>
        <v>-0.79499999999999993</v>
      </c>
      <c r="L36" s="2" t="s">
        <v>3678</v>
      </c>
      <c r="M36" s="2" t="s">
        <v>3678</v>
      </c>
      <c r="N36" s="206">
        <f t="shared" si="1"/>
        <v>-50</v>
      </c>
    </row>
    <row r="37" spans="1:14">
      <c r="A37" s="2" t="s">
        <v>3109</v>
      </c>
      <c r="B37" s="2" t="s">
        <v>3444</v>
      </c>
      <c r="C37" s="2" t="s">
        <v>3445</v>
      </c>
      <c r="D37" s="8">
        <v>2.08</v>
      </c>
      <c r="E37" s="8">
        <v>3.58</v>
      </c>
      <c r="F37" s="8">
        <v>2.94</v>
      </c>
      <c r="G37" s="205">
        <v>1</v>
      </c>
      <c r="H37" s="205">
        <v>1</v>
      </c>
      <c r="I37" s="2">
        <v>0</v>
      </c>
      <c r="J37" s="2">
        <v>0.85999999999999988</v>
      </c>
      <c r="K37" s="2">
        <f t="shared" si="0"/>
        <v>-1.1799999999999997</v>
      </c>
      <c r="L37" s="2" t="s">
        <v>3678</v>
      </c>
      <c r="M37" s="2" t="s">
        <v>3678</v>
      </c>
      <c r="N37" s="206">
        <f t="shared" si="1"/>
        <v>-50</v>
      </c>
    </row>
    <row r="38" spans="1:14">
      <c r="A38" s="2" t="s">
        <v>3109</v>
      </c>
      <c r="B38" s="2" t="s">
        <v>3117</v>
      </c>
      <c r="C38" s="2" t="s">
        <v>3308</v>
      </c>
      <c r="D38" s="8">
        <v>2.61</v>
      </c>
      <c r="E38" s="8">
        <v>3.4</v>
      </c>
      <c r="F38" s="8">
        <v>2.92</v>
      </c>
      <c r="G38" s="205">
        <v>1</v>
      </c>
      <c r="H38" s="205">
        <v>2</v>
      </c>
      <c r="I38" s="2">
        <v>-1</v>
      </c>
      <c r="J38" s="2">
        <v>0.31000000000000005</v>
      </c>
      <c r="K38" s="2">
        <f t="shared" si="0"/>
        <v>-0.55000000000000027</v>
      </c>
      <c r="L38" s="2" t="s">
        <v>3678</v>
      </c>
      <c r="M38" s="2" t="s">
        <v>3677</v>
      </c>
      <c r="N38" s="206">
        <f t="shared" si="1"/>
        <v>80.5</v>
      </c>
    </row>
    <row r="39" spans="1:14">
      <c r="A39" s="2" t="s">
        <v>3109</v>
      </c>
      <c r="B39" s="2" t="s">
        <v>3367</v>
      </c>
      <c r="C39" s="2" t="s">
        <v>3448</v>
      </c>
      <c r="D39" s="8">
        <v>2.0699999999999998</v>
      </c>
      <c r="E39" s="8">
        <v>3.17</v>
      </c>
      <c r="F39" s="8">
        <v>2.92</v>
      </c>
      <c r="G39" s="205">
        <v>1</v>
      </c>
      <c r="H39" s="205">
        <v>1</v>
      </c>
      <c r="I39" s="2">
        <v>0</v>
      </c>
      <c r="J39" s="2">
        <v>0.85000000000000009</v>
      </c>
      <c r="K39" s="2">
        <f t="shared" si="0"/>
        <v>-0.97500000000000009</v>
      </c>
      <c r="L39" s="2" t="s">
        <v>3678</v>
      </c>
      <c r="M39" s="2" t="s">
        <v>3678</v>
      </c>
      <c r="N39" s="206">
        <f t="shared" si="1"/>
        <v>-50</v>
      </c>
    </row>
    <row r="40" spans="1:14">
      <c r="A40" s="2" t="s">
        <v>3109</v>
      </c>
      <c r="B40" s="2" t="s">
        <v>3146</v>
      </c>
      <c r="C40" s="2" t="s">
        <v>3353</v>
      </c>
      <c r="D40" s="8">
        <v>2.39</v>
      </c>
      <c r="E40" s="8">
        <v>2.65</v>
      </c>
      <c r="F40" s="8">
        <v>2.91</v>
      </c>
      <c r="G40" s="205">
        <v>1</v>
      </c>
      <c r="H40" s="205">
        <v>3</v>
      </c>
      <c r="I40" s="2">
        <v>-2</v>
      </c>
      <c r="J40" s="2">
        <v>0.52</v>
      </c>
      <c r="K40" s="2">
        <f t="shared" si="0"/>
        <v>-0.39000000000000012</v>
      </c>
      <c r="L40" s="2" t="s">
        <v>3678</v>
      </c>
      <c r="M40" s="2" t="s">
        <v>3678</v>
      </c>
      <c r="N40" s="206">
        <f t="shared" si="1"/>
        <v>-50</v>
      </c>
    </row>
    <row r="41" spans="1:14">
      <c r="A41" s="2" t="s">
        <v>3109</v>
      </c>
      <c r="B41" s="2" t="s">
        <v>3110</v>
      </c>
      <c r="C41" s="2" t="s">
        <v>3437</v>
      </c>
      <c r="D41" s="8">
        <v>2.11</v>
      </c>
      <c r="E41" s="8">
        <v>3.1</v>
      </c>
      <c r="F41" s="8">
        <v>2.91</v>
      </c>
      <c r="G41" s="205">
        <v>0</v>
      </c>
      <c r="H41" s="205">
        <v>1</v>
      </c>
      <c r="I41" s="2">
        <v>-1</v>
      </c>
      <c r="J41" s="2">
        <v>0.80000000000000027</v>
      </c>
      <c r="K41" s="2">
        <f t="shared" si="0"/>
        <v>-0.89500000000000002</v>
      </c>
      <c r="L41" s="2" t="s">
        <v>3678</v>
      </c>
      <c r="M41" s="2" t="s">
        <v>3678</v>
      </c>
      <c r="N41" s="206">
        <f t="shared" si="1"/>
        <v>-50</v>
      </c>
    </row>
    <row r="42" spans="1:14">
      <c r="A42" s="2" t="s">
        <v>3109</v>
      </c>
      <c r="B42" s="2" t="s">
        <v>3294</v>
      </c>
      <c r="C42" s="2" t="s">
        <v>3443</v>
      </c>
      <c r="D42" s="8">
        <v>2.09</v>
      </c>
      <c r="E42" s="8">
        <v>3.15</v>
      </c>
      <c r="F42" s="8">
        <v>2.91</v>
      </c>
      <c r="G42" s="205">
        <v>1</v>
      </c>
      <c r="H42" s="205">
        <v>1</v>
      </c>
      <c r="I42" s="2">
        <v>0</v>
      </c>
      <c r="J42" s="2">
        <v>0.82000000000000028</v>
      </c>
      <c r="K42" s="2">
        <f t="shared" si="0"/>
        <v>-0.94000000000000039</v>
      </c>
      <c r="L42" s="2" t="s">
        <v>3678</v>
      </c>
      <c r="M42" s="2" t="s">
        <v>3677</v>
      </c>
      <c r="N42" s="206">
        <f t="shared" si="1"/>
        <v>54.5</v>
      </c>
    </row>
    <row r="43" spans="1:14">
      <c r="A43" s="2" t="s">
        <v>3109</v>
      </c>
      <c r="B43" s="2" t="s">
        <v>3144</v>
      </c>
      <c r="C43" s="2" t="s">
        <v>3460</v>
      </c>
      <c r="D43" s="8">
        <v>2.0299999999999998</v>
      </c>
      <c r="E43" s="8">
        <v>3.3</v>
      </c>
      <c r="F43" s="8">
        <v>2.91</v>
      </c>
      <c r="G43" s="205">
        <v>1</v>
      </c>
      <c r="H43" s="205">
        <v>1</v>
      </c>
      <c r="I43" s="2">
        <v>0</v>
      </c>
      <c r="J43" s="2">
        <v>0.88000000000000034</v>
      </c>
      <c r="K43" s="2">
        <f t="shared" si="0"/>
        <v>-1.0750000000000002</v>
      </c>
      <c r="L43" s="2" t="s">
        <v>3678</v>
      </c>
      <c r="M43" s="2" t="s">
        <v>3677</v>
      </c>
      <c r="N43" s="206">
        <f t="shared" si="1"/>
        <v>51.499999999999986</v>
      </c>
    </row>
    <row r="44" spans="1:14">
      <c r="A44" s="2" t="s">
        <v>3109</v>
      </c>
      <c r="B44" s="2" t="s">
        <v>3236</v>
      </c>
      <c r="C44" s="2" t="s">
        <v>3311</v>
      </c>
      <c r="D44" s="8">
        <v>2.6</v>
      </c>
      <c r="E44" s="8">
        <v>2.63</v>
      </c>
      <c r="F44" s="8">
        <v>2.9</v>
      </c>
      <c r="G44" s="205">
        <v>1</v>
      </c>
      <c r="H44" s="205">
        <v>1</v>
      </c>
      <c r="I44" s="2">
        <v>0</v>
      </c>
      <c r="J44" s="2">
        <v>0.29999999999999982</v>
      </c>
      <c r="K44" s="2">
        <f t="shared" si="0"/>
        <v>-0.16499999999999959</v>
      </c>
      <c r="L44" s="2" t="s">
        <v>3678</v>
      </c>
      <c r="M44" s="2" t="s">
        <v>3678</v>
      </c>
      <c r="N44" s="206">
        <f t="shared" si="1"/>
        <v>-50</v>
      </c>
    </row>
    <row r="45" spans="1:14">
      <c r="A45" s="2" t="s">
        <v>3109</v>
      </c>
      <c r="B45" s="2" t="s">
        <v>3252</v>
      </c>
      <c r="C45" s="2" t="s">
        <v>3439</v>
      </c>
      <c r="D45" s="8">
        <v>2.11</v>
      </c>
      <c r="E45" s="8">
        <v>3.43</v>
      </c>
      <c r="F45" s="8">
        <v>2.89</v>
      </c>
      <c r="G45" s="205">
        <v>0</v>
      </c>
      <c r="H45" s="205">
        <v>0</v>
      </c>
      <c r="I45" s="2">
        <v>0</v>
      </c>
      <c r="J45" s="2">
        <v>0.78000000000000025</v>
      </c>
      <c r="K45" s="2">
        <f t="shared" si="0"/>
        <v>-1.0500000000000003</v>
      </c>
      <c r="L45" s="2" t="s">
        <v>3677</v>
      </c>
      <c r="M45" s="2" t="s">
        <v>3678</v>
      </c>
      <c r="N45" s="206">
        <f t="shared" si="1"/>
        <v>-50</v>
      </c>
    </row>
    <row r="46" spans="1:14">
      <c r="A46" s="2" t="s">
        <v>3109</v>
      </c>
      <c r="B46" s="2" t="s">
        <v>3110</v>
      </c>
      <c r="C46" s="2" t="s">
        <v>3427</v>
      </c>
      <c r="D46" s="8">
        <v>2.14</v>
      </c>
      <c r="E46" s="8">
        <v>3.07</v>
      </c>
      <c r="F46" s="8">
        <v>2.88</v>
      </c>
      <c r="G46" s="205">
        <v>0</v>
      </c>
      <c r="H46" s="205">
        <v>2</v>
      </c>
      <c r="I46" s="2">
        <v>-2</v>
      </c>
      <c r="J46" s="2">
        <v>0.73999999999999977</v>
      </c>
      <c r="K46" s="2">
        <f t="shared" si="0"/>
        <v>-0.83499999999999952</v>
      </c>
      <c r="L46" s="2" t="s">
        <v>3677</v>
      </c>
      <c r="M46" s="2" t="s">
        <v>3678</v>
      </c>
      <c r="N46" s="206">
        <f t="shared" si="1"/>
        <v>-50</v>
      </c>
    </row>
    <row r="47" spans="1:14">
      <c r="A47" s="2" t="s">
        <v>3109</v>
      </c>
      <c r="B47" s="2" t="s">
        <v>3323</v>
      </c>
      <c r="C47" s="2" t="s">
        <v>3335</v>
      </c>
      <c r="D47" s="8">
        <v>2.46</v>
      </c>
      <c r="E47" s="8">
        <v>3.65</v>
      </c>
      <c r="F47" s="8">
        <v>2.86</v>
      </c>
      <c r="G47" s="205">
        <v>0</v>
      </c>
      <c r="H47" s="205">
        <v>1</v>
      </c>
      <c r="I47" s="2">
        <v>-1</v>
      </c>
      <c r="J47" s="2">
        <v>0.39999999999999991</v>
      </c>
      <c r="K47" s="2">
        <f t="shared" si="0"/>
        <v>-0.79499999999999993</v>
      </c>
      <c r="L47" s="2" t="s">
        <v>3677</v>
      </c>
      <c r="M47" s="2" t="s">
        <v>3678</v>
      </c>
      <c r="N47" s="206">
        <f t="shared" si="1"/>
        <v>-50</v>
      </c>
    </row>
    <row r="48" spans="1:14">
      <c r="A48" s="2" t="s">
        <v>3109</v>
      </c>
      <c r="B48" s="2" t="s">
        <v>3203</v>
      </c>
      <c r="C48" s="2" t="s">
        <v>3379</v>
      </c>
      <c r="D48" s="8">
        <v>2.2999999999999998</v>
      </c>
      <c r="E48" s="8">
        <v>2.81</v>
      </c>
      <c r="F48" s="8">
        <v>2.86</v>
      </c>
      <c r="G48" s="205">
        <v>0</v>
      </c>
      <c r="H48" s="205">
        <v>1</v>
      </c>
      <c r="I48" s="2">
        <v>-1</v>
      </c>
      <c r="J48" s="2">
        <v>0.56000000000000005</v>
      </c>
      <c r="K48" s="2">
        <f t="shared" si="0"/>
        <v>-0.53500000000000014</v>
      </c>
      <c r="L48" s="2" t="s">
        <v>3677</v>
      </c>
      <c r="M48" s="2" t="s">
        <v>3678</v>
      </c>
      <c r="N48" s="206">
        <f t="shared" si="1"/>
        <v>-50</v>
      </c>
    </row>
    <row r="49" spans="1:14">
      <c r="A49" s="2" t="s">
        <v>3109</v>
      </c>
      <c r="B49" s="2" t="s">
        <v>3297</v>
      </c>
      <c r="C49" s="2" t="s">
        <v>3332</v>
      </c>
      <c r="D49" s="8">
        <v>2.4700000000000002</v>
      </c>
      <c r="E49" s="8">
        <v>2.61</v>
      </c>
      <c r="F49" s="8">
        <v>2.83</v>
      </c>
      <c r="G49" s="205">
        <v>0</v>
      </c>
      <c r="H49" s="205">
        <v>0</v>
      </c>
      <c r="I49" s="2">
        <v>0</v>
      </c>
      <c r="J49" s="2">
        <v>0.35999999999999988</v>
      </c>
      <c r="K49" s="2">
        <f t="shared" si="0"/>
        <v>-0.24999999999999956</v>
      </c>
      <c r="L49" s="2" t="s">
        <v>3678</v>
      </c>
      <c r="M49" s="2" t="s">
        <v>3677</v>
      </c>
      <c r="N49" s="206">
        <f t="shared" si="1"/>
        <v>73.500000000000014</v>
      </c>
    </row>
    <row r="50" spans="1:14">
      <c r="A50" s="2" t="s">
        <v>3109</v>
      </c>
      <c r="B50" s="2" t="s">
        <v>3146</v>
      </c>
      <c r="C50" s="2" t="s">
        <v>3303</v>
      </c>
      <c r="D50" s="8">
        <v>2.64</v>
      </c>
      <c r="E50" s="8">
        <v>2.73</v>
      </c>
      <c r="F50" s="8">
        <v>2.82</v>
      </c>
      <c r="G50" s="205">
        <v>1</v>
      </c>
      <c r="H50" s="205">
        <v>1</v>
      </c>
      <c r="I50" s="2">
        <v>0</v>
      </c>
      <c r="J50" s="2">
        <v>0.17999999999999972</v>
      </c>
      <c r="K50" s="2">
        <f t="shared" si="0"/>
        <v>-0.13499999999999979</v>
      </c>
      <c r="L50" s="2" t="s">
        <v>3678</v>
      </c>
      <c r="M50" s="2" t="s">
        <v>3677</v>
      </c>
      <c r="N50" s="206">
        <f t="shared" si="1"/>
        <v>82</v>
      </c>
    </row>
    <row r="51" spans="1:14">
      <c r="A51" s="2" t="s">
        <v>3109</v>
      </c>
      <c r="B51" s="2" t="s">
        <v>3248</v>
      </c>
      <c r="C51" s="2" t="s">
        <v>3394</v>
      </c>
      <c r="D51" s="8">
        <v>2.23</v>
      </c>
      <c r="E51" s="8">
        <v>2.99</v>
      </c>
      <c r="F51" s="8">
        <v>2.81</v>
      </c>
      <c r="G51" s="205">
        <v>1</v>
      </c>
      <c r="H51" s="205">
        <v>1</v>
      </c>
      <c r="I51" s="2">
        <v>0</v>
      </c>
      <c r="J51" s="2">
        <v>0.58000000000000007</v>
      </c>
      <c r="K51" s="2">
        <f t="shared" si="0"/>
        <v>-0.67000000000000037</v>
      </c>
      <c r="L51" s="2" t="s">
        <v>3678</v>
      </c>
      <c r="M51" s="2" t="s">
        <v>3678</v>
      </c>
      <c r="N51" s="206">
        <f t="shared" si="1"/>
        <v>-50</v>
      </c>
    </row>
    <row r="52" spans="1:14">
      <c r="A52" s="2" t="s">
        <v>3109</v>
      </c>
      <c r="B52" s="2" t="s">
        <v>3112</v>
      </c>
      <c r="C52" s="2" t="s">
        <v>3383</v>
      </c>
      <c r="D52" s="8">
        <v>2.2799999999999998</v>
      </c>
      <c r="E52" s="8">
        <v>3.3</v>
      </c>
      <c r="F52" s="8">
        <v>2.79</v>
      </c>
      <c r="G52" s="205">
        <v>0</v>
      </c>
      <c r="H52" s="205">
        <v>0</v>
      </c>
      <c r="I52" s="2">
        <v>0</v>
      </c>
      <c r="J52" s="2">
        <v>0.51000000000000023</v>
      </c>
      <c r="K52" s="2">
        <f t="shared" si="0"/>
        <v>-0.76500000000000012</v>
      </c>
      <c r="L52" s="2" t="s">
        <v>3678</v>
      </c>
      <c r="M52" s="2" t="s">
        <v>3678</v>
      </c>
      <c r="N52" s="206">
        <f t="shared" si="1"/>
        <v>-50</v>
      </c>
    </row>
    <row r="53" spans="1:14">
      <c r="A53" s="2" t="s">
        <v>3109</v>
      </c>
      <c r="B53" s="2" t="s">
        <v>1686</v>
      </c>
      <c r="C53" s="2" t="s">
        <v>3276</v>
      </c>
      <c r="D53" s="8">
        <v>2.78</v>
      </c>
      <c r="E53" s="8">
        <v>3.22</v>
      </c>
      <c r="F53" s="8">
        <v>2.78</v>
      </c>
      <c r="G53" s="205">
        <v>1</v>
      </c>
      <c r="H53" s="205">
        <v>2</v>
      </c>
      <c r="I53" s="2">
        <v>-1</v>
      </c>
      <c r="J53" s="2">
        <v>0</v>
      </c>
      <c r="K53" s="2">
        <f t="shared" si="0"/>
        <v>-0.2200000000000002</v>
      </c>
      <c r="L53" s="2" t="s">
        <v>3677</v>
      </c>
      <c r="M53" s="2" t="s">
        <v>3678</v>
      </c>
      <c r="N53" s="206">
        <f t="shared" si="1"/>
        <v>-50</v>
      </c>
    </row>
    <row r="54" spans="1:14">
      <c r="A54" s="2" t="s">
        <v>3109</v>
      </c>
      <c r="B54" s="2" t="s">
        <v>3201</v>
      </c>
      <c r="C54" s="2" t="s">
        <v>3313</v>
      </c>
      <c r="D54" s="8">
        <v>2.58</v>
      </c>
      <c r="E54" s="8">
        <v>3.25</v>
      </c>
      <c r="F54" s="8">
        <v>2.74</v>
      </c>
      <c r="G54" s="205">
        <v>1</v>
      </c>
      <c r="H54" s="205">
        <v>3</v>
      </c>
      <c r="I54" s="2">
        <v>-2</v>
      </c>
      <c r="J54" s="2">
        <v>0.16000000000000014</v>
      </c>
      <c r="K54" s="2">
        <f t="shared" si="0"/>
        <v>-0.41500000000000004</v>
      </c>
      <c r="L54" s="2" t="s">
        <v>3678</v>
      </c>
      <c r="M54" s="2" t="s">
        <v>3677</v>
      </c>
      <c r="N54" s="206">
        <f t="shared" si="1"/>
        <v>79</v>
      </c>
    </row>
    <row r="55" spans="1:14">
      <c r="A55" s="2" t="s">
        <v>3109</v>
      </c>
      <c r="B55" s="2" t="s">
        <v>3124</v>
      </c>
      <c r="C55" s="2" t="s">
        <v>3369</v>
      </c>
      <c r="D55" s="8">
        <v>2.3199999999999998</v>
      </c>
      <c r="E55" s="8">
        <v>2.92</v>
      </c>
      <c r="F55" s="8">
        <v>2.74</v>
      </c>
      <c r="G55" s="205">
        <v>1</v>
      </c>
      <c r="H55" s="205">
        <v>1</v>
      </c>
      <c r="I55" s="2">
        <v>0</v>
      </c>
      <c r="J55" s="2">
        <v>0.42000000000000037</v>
      </c>
      <c r="K55" s="2">
        <f t="shared" si="0"/>
        <v>-0.51000000000000023</v>
      </c>
      <c r="L55" s="2" t="s">
        <v>3678</v>
      </c>
      <c r="M55" s="2" t="s">
        <v>3677</v>
      </c>
      <c r="N55" s="206">
        <f t="shared" si="1"/>
        <v>65.999999999999986</v>
      </c>
    </row>
    <row r="56" spans="1:14">
      <c r="A56" s="2" t="s">
        <v>3109</v>
      </c>
      <c r="B56" s="2" t="s">
        <v>3187</v>
      </c>
      <c r="C56" s="2" t="s">
        <v>3351</v>
      </c>
      <c r="D56" s="8">
        <v>2.39</v>
      </c>
      <c r="E56" s="8">
        <v>3.17</v>
      </c>
      <c r="F56" s="8">
        <v>2.73</v>
      </c>
      <c r="G56" s="205">
        <v>0</v>
      </c>
      <c r="H56" s="205">
        <v>2</v>
      </c>
      <c r="I56" s="2">
        <v>-2</v>
      </c>
      <c r="J56" s="2">
        <v>0.33999999999999986</v>
      </c>
      <c r="K56" s="2">
        <f t="shared" si="0"/>
        <v>-0.56000000000000005</v>
      </c>
      <c r="L56" s="2" t="s">
        <v>3678</v>
      </c>
      <c r="M56" s="2" t="s">
        <v>3678</v>
      </c>
      <c r="N56" s="206">
        <f t="shared" si="1"/>
        <v>-50</v>
      </c>
    </row>
    <row r="57" spans="1:14">
      <c r="A57" s="2" t="s">
        <v>3109</v>
      </c>
      <c r="B57" s="2" t="s">
        <v>3359</v>
      </c>
      <c r="C57" s="2" t="s">
        <v>3360</v>
      </c>
      <c r="D57" s="8">
        <v>2.37</v>
      </c>
      <c r="E57" s="8">
        <v>2.85</v>
      </c>
      <c r="F57" s="8">
        <v>2.73</v>
      </c>
      <c r="G57" s="205">
        <v>1</v>
      </c>
      <c r="H57" s="205">
        <v>2</v>
      </c>
      <c r="I57" s="2">
        <v>-1</v>
      </c>
      <c r="J57" s="2">
        <v>0.35999999999999988</v>
      </c>
      <c r="K57" s="2">
        <f t="shared" si="0"/>
        <v>-0.41999999999999993</v>
      </c>
      <c r="L57" s="2" t="s">
        <v>3678</v>
      </c>
      <c r="M57" s="2" t="s">
        <v>3677</v>
      </c>
      <c r="N57" s="206">
        <f t="shared" si="1"/>
        <v>68.5</v>
      </c>
    </row>
    <row r="58" spans="1:14">
      <c r="A58" s="2" t="s">
        <v>3109</v>
      </c>
      <c r="B58" s="2" t="s">
        <v>3110</v>
      </c>
      <c r="C58" s="2" t="s">
        <v>3400</v>
      </c>
      <c r="D58" s="8">
        <v>2.21</v>
      </c>
      <c r="E58" s="8">
        <v>3.13</v>
      </c>
      <c r="F58" s="8">
        <v>2.72</v>
      </c>
      <c r="G58" s="205">
        <v>0</v>
      </c>
      <c r="H58" s="205">
        <v>1</v>
      </c>
      <c r="I58" s="2">
        <v>-1</v>
      </c>
      <c r="J58" s="2">
        <v>0.51000000000000023</v>
      </c>
      <c r="K58" s="2">
        <f t="shared" si="0"/>
        <v>-0.71499999999999986</v>
      </c>
      <c r="L58" s="2" t="s">
        <v>3678</v>
      </c>
      <c r="M58" s="2" t="s">
        <v>3678</v>
      </c>
      <c r="N58" s="206">
        <f t="shared" si="1"/>
        <v>-50</v>
      </c>
    </row>
    <row r="59" spans="1:14">
      <c r="A59" s="2" t="s">
        <v>3109</v>
      </c>
      <c r="B59" s="2" t="s">
        <v>3124</v>
      </c>
      <c r="C59" s="2" t="s">
        <v>3370</v>
      </c>
      <c r="D59" s="8">
        <v>2.3199999999999998</v>
      </c>
      <c r="E59" s="8">
        <v>2.95</v>
      </c>
      <c r="F59" s="8">
        <v>2.71</v>
      </c>
      <c r="G59" s="205">
        <v>1</v>
      </c>
      <c r="H59" s="205">
        <v>1</v>
      </c>
      <c r="I59" s="2">
        <v>0</v>
      </c>
      <c r="J59" s="2">
        <v>0.39000000000000012</v>
      </c>
      <c r="K59" s="2">
        <f t="shared" si="0"/>
        <v>-0.51000000000000023</v>
      </c>
      <c r="L59" s="2" t="s">
        <v>3678</v>
      </c>
      <c r="M59" s="2" t="s">
        <v>3678</v>
      </c>
      <c r="N59" s="206">
        <f t="shared" si="1"/>
        <v>-50</v>
      </c>
    </row>
    <row r="60" spans="1:14">
      <c r="A60" s="2" t="s">
        <v>3109</v>
      </c>
      <c r="B60" s="2" t="s">
        <v>3162</v>
      </c>
      <c r="C60" s="2" t="s">
        <v>3305</v>
      </c>
      <c r="D60" s="8">
        <v>2.63</v>
      </c>
      <c r="E60" s="8">
        <v>3.23</v>
      </c>
      <c r="F60" s="8">
        <v>2.7</v>
      </c>
      <c r="G60" s="205">
        <v>1</v>
      </c>
      <c r="H60" s="205">
        <v>1</v>
      </c>
      <c r="I60" s="2">
        <v>0</v>
      </c>
      <c r="J60" s="2">
        <v>7.0000000000000284E-2</v>
      </c>
      <c r="K60" s="2">
        <f t="shared" si="0"/>
        <v>-0.33499999999999996</v>
      </c>
      <c r="L60" s="2" t="s">
        <v>3677</v>
      </c>
      <c r="M60" s="2" t="s">
        <v>3678</v>
      </c>
      <c r="N60" s="206">
        <f t="shared" si="1"/>
        <v>-50</v>
      </c>
    </row>
    <row r="61" spans="1:14">
      <c r="A61" s="2" t="s">
        <v>3109</v>
      </c>
      <c r="B61" s="2" t="s">
        <v>3213</v>
      </c>
      <c r="C61" s="2" t="s">
        <v>3349</v>
      </c>
      <c r="D61" s="8">
        <v>2.4</v>
      </c>
      <c r="E61" s="8">
        <v>2.85</v>
      </c>
      <c r="F61" s="8">
        <v>2.69</v>
      </c>
      <c r="G61" s="205">
        <v>1</v>
      </c>
      <c r="H61" s="205">
        <v>2</v>
      </c>
      <c r="I61" s="2">
        <v>-1</v>
      </c>
      <c r="J61" s="2">
        <v>0.29000000000000004</v>
      </c>
      <c r="K61" s="2">
        <f t="shared" si="0"/>
        <v>-0.37000000000000011</v>
      </c>
      <c r="L61" s="2" t="s">
        <v>3677</v>
      </c>
      <c r="M61" s="2" t="s">
        <v>3678</v>
      </c>
      <c r="N61" s="206">
        <f t="shared" si="1"/>
        <v>-50</v>
      </c>
    </row>
    <row r="62" spans="1:14">
      <c r="A62" s="2" t="s">
        <v>3109</v>
      </c>
      <c r="B62" s="2" t="s">
        <v>3318</v>
      </c>
      <c r="C62" s="2" t="s">
        <v>3398</v>
      </c>
      <c r="D62" s="8">
        <v>2.2200000000000002</v>
      </c>
      <c r="E62" s="8">
        <v>3.15</v>
      </c>
      <c r="F62" s="8">
        <v>2.69</v>
      </c>
      <c r="G62" s="205">
        <v>0</v>
      </c>
      <c r="H62" s="205">
        <v>2</v>
      </c>
      <c r="I62" s="2">
        <v>-2</v>
      </c>
      <c r="J62" s="2">
        <v>0.46999999999999975</v>
      </c>
      <c r="K62" s="2">
        <f t="shared" si="0"/>
        <v>-0.69999999999999973</v>
      </c>
      <c r="L62" s="2" t="s">
        <v>3677</v>
      </c>
      <c r="M62" s="2" t="s">
        <v>3678</v>
      </c>
      <c r="N62" s="206">
        <f t="shared" si="1"/>
        <v>-50</v>
      </c>
    </row>
    <row r="63" spans="1:14">
      <c r="A63" s="2" t="s">
        <v>3109</v>
      </c>
      <c r="B63" s="2" t="s">
        <v>3152</v>
      </c>
      <c r="C63" s="2" t="s">
        <v>3320</v>
      </c>
      <c r="D63" s="8">
        <v>2.5299999999999998</v>
      </c>
      <c r="E63" s="8">
        <v>3.02</v>
      </c>
      <c r="F63" s="8">
        <v>2.68</v>
      </c>
      <c r="G63" s="205">
        <v>0</v>
      </c>
      <c r="H63" s="205">
        <v>1</v>
      </c>
      <c r="I63" s="2">
        <v>-1</v>
      </c>
      <c r="J63" s="2">
        <v>0.15000000000000036</v>
      </c>
      <c r="K63" s="2">
        <f t="shared" si="0"/>
        <v>-0.32000000000000028</v>
      </c>
      <c r="L63" s="2" t="s">
        <v>3677</v>
      </c>
      <c r="M63" s="2" t="s">
        <v>3678</v>
      </c>
      <c r="N63" s="206">
        <f t="shared" si="1"/>
        <v>-50</v>
      </c>
    </row>
    <row r="64" spans="1:14">
      <c r="A64" s="2" t="s">
        <v>3109</v>
      </c>
      <c r="B64" s="2" t="s">
        <v>3110</v>
      </c>
      <c r="C64" s="2" t="s">
        <v>3395</v>
      </c>
      <c r="D64" s="8">
        <v>2.23</v>
      </c>
      <c r="E64" s="8">
        <v>3.18</v>
      </c>
      <c r="F64" s="8">
        <v>2.66</v>
      </c>
      <c r="G64" s="205">
        <v>0</v>
      </c>
      <c r="H64" s="205">
        <v>1</v>
      </c>
      <c r="I64" s="2">
        <v>-1</v>
      </c>
      <c r="J64" s="2">
        <v>0.43000000000000016</v>
      </c>
      <c r="K64" s="2">
        <f t="shared" si="0"/>
        <v>-0.69</v>
      </c>
      <c r="L64" s="2" t="s">
        <v>3677</v>
      </c>
      <c r="M64" s="2" t="s">
        <v>3678</v>
      </c>
      <c r="N64" s="206">
        <f t="shared" si="1"/>
        <v>-50</v>
      </c>
    </row>
    <row r="65" spans="1:14">
      <c r="A65" s="2" t="s">
        <v>3109</v>
      </c>
      <c r="B65" s="2" t="s">
        <v>3110</v>
      </c>
      <c r="C65" s="2" t="s">
        <v>3375</v>
      </c>
      <c r="D65" s="8">
        <v>2.2999999999999998</v>
      </c>
      <c r="E65" s="8">
        <v>3.1</v>
      </c>
      <c r="F65" s="8">
        <v>2.62</v>
      </c>
      <c r="G65" s="205">
        <v>0</v>
      </c>
      <c r="H65" s="205">
        <v>0</v>
      </c>
      <c r="I65" s="2">
        <v>0</v>
      </c>
      <c r="J65" s="2">
        <v>0.32000000000000028</v>
      </c>
      <c r="K65" s="2">
        <f t="shared" si="0"/>
        <v>-0.5600000000000005</v>
      </c>
      <c r="L65" s="2" t="s">
        <v>3678</v>
      </c>
      <c r="M65" s="2" t="s">
        <v>3677</v>
      </c>
      <c r="N65" s="206">
        <f t="shared" si="1"/>
        <v>64.999999999999986</v>
      </c>
    </row>
    <row r="66" spans="1:14">
      <c r="A66" s="2" t="s">
        <v>3109</v>
      </c>
      <c r="B66" s="2" t="s">
        <v>3373</v>
      </c>
      <c r="C66" s="2" t="s">
        <v>3374</v>
      </c>
      <c r="D66" s="8">
        <v>2.31</v>
      </c>
      <c r="E66" s="8">
        <v>3.1</v>
      </c>
      <c r="F66" s="8">
        <v>2.61</v>
      </c>
      <c r="G66" s="205">
        <v>1</v>
      </c>
      <c r="H66" s="205">
        <v>2</v>
      </c>
      <c r="I66" s="2">
        <v>-1</v>
      </c>
      <c r="J66" s="2">
        <v>0.29999999999999982</v>
      </c>
      <c r="K66" s="2">
        <f t="shared" si="0"/>
        <v>-0.54499999999999993</v>
      </c>
      <c r="L66" s="2" t="s">
        <v>3678</v>
      </c>
      <c r="M66" s="2" t="s">
        <v>3678</v>
      </c>
      <c r="N66" s="206">
        <f t="shared" si="1"/>
        <v>-50</v>
      </c>
    </row>
    <row r="67" spans="1:14">
      <c r="A67" s="2" t="s">
        <v>3109</v>
      </c>
      <c r="B67" s="2" t="s">
        <v>3110</v>
      </c>
      <c r="C67" s="2" t="s">
        <v>3366</v>
      </c>
      <c r="D67" s="8">
        <v>2.35</v>
      </c>
      <c r="E67" s="8">
        <v>3.05</v>
      </c>
      <c r="F67" s="8">
        <v>2.58</v>
      </c>
      <c r="G67" s="205">
        <v>0</v>
      </c>
      <c r="H67" s="205">
        <v>2</v>
      </c>
      <c r="I67" s="2">
        <v>-2</v>
      </c>
      <c r="J67" s="2">
        <v>0.22999999999999998</v>
      </c>
      <c r="K67" s="2">
        <f t="shared" si="0"/>
        <v>-0.46499999999999986</v>
      </c>
      <c r="L67" s="2" t="s">
        <v>3678</v>
      </c>
      <c r="M67" s="2" t="s">
        <v>3677</v>
      </c>
      <c r="N67" s="206">
        <f t="shared" si="1"/>
        <v>67.5</v>
      </c>
    </row>
    <row r="68" spans="1:14">
      <c r="A68" s="2" t="s">
        <v>3109</v>
      </c>
      <c r="B68" s="2" t="s">
        <v>3144</v>
      </c>
      <c r="C68" s="2" t="s">
        <v>3365</v>
      </c>
      <c r="D68" s="8">
        <v>2.35</v>
      </c>
      <c r="E68" s="8">
        <v>3.08</v>
      </c>
      <c r="F68" s="8">
        <v>2.57</v>
      </c>
      <c r="G68" s="205">
        <v>0</v>
      </c>
      <c r="H68" s="205">
        <v>2</v>
      </c>
      <c r="I68" s="2">
        <v>-2</v>
      </c>
      <c r="J68" s="2">
        <v>0.21999999999999975</v>
      </c>
      <c r="K68" s="2">
        <f t="shared" si="0"/>
        <v>-0.47500000000000009</v>
      </c>
      <c r="L68" s="2" t="s">
        <v>3677</v>
      </c>
      <c r="M68" s="2" t="s">
        <v>3678</v>
      </c>
      <c r="N68" s="206">
        <f t="shared" si="1"/>
        <v>-50</v>
      </c>
    </row>
    <row r="69" spans="1:14">
      <c r="A69" s="2" t="s">
        <v>3109</v>
      </c>
      <c r="B69" s="2" t="s">
        <v>3154</v>
      </c>
      <c r="C69" s="2" t="s">
        <v>3387</v>
      </c>
      <c r="D69" s="8">
        <v>2.27</v>
      </c>
      <c r="E69" s="8">
        <v>3.22</v>
      </c>
      <c r="F69" s="8">
        <v>2.57</v>
      </c>
      <c r="G69" s="205">
        <v>0</v>
      </c>
      <c r="H69" s="205">
        <v>2</v>
      </c>
      <c r="I69" s="2">
        <v>-2</v>
      </c>
      <c r="J69" s="2">
        <v>0.29999999999999982</v>
      </c>
      <c r="K69" s="2">
        <f t="shared" si="0"/>
        <v>-0.625</v>
      </c>
      <c r="L69" s="2" t="s">
        <v>3678</v>
      </c>
      <c r="M69" s="2" t="s">
        <v>3677</v>
      </c>
      <c r="N69" s="206">
        <f t="shared" si="1"/>
        <v>63.5</v>
      </c>
    </row>
    <row r="70" spans="1:14">
      <c r="A70" s="2" t="s">
        <v>3109</v>
      </c>
      <c r="B70" s="2" t="s">
        <v>3144</v>
      </c>
      <c r="C70" s="2" t="s">
        <v>3356</v>
      </c>
      <c r="D70" s="8">
        <v>2.37</v>
      </c>
      <c r="E70" s="8">
        <v>3.05</v>
      </c>
      <c r="F70" s="8">
        <v>2.56</v>
      </c>
      <c r="G70" s="205">
        <v>1</v>
      </c>
      <c r="H70" s="205">
        <v>1</v>
      </c>
      <c r="I70" s="2">
        <v>0</v>
      </c>
      <c r="J70" s="2">
        <v>0.18999999999999995</v>
      </c>
      <c r="K70" s="2">
        <f t="shared" si="0"/>
        <v>-0.43499999999999961</v>
      </c>
      <c r="L70" s="2" t="s">
        <v>3678</v>
      </c>
      <c r="M70" s="2" t="s">
        <v>3677</v>
      </c>
      <c r="N70" s="206">
        <f t="shared" si="1"/>
        <v>68.5</v>
      </c>
    </row>
    <row r="71" spans="1:14">
      <c r="A71" s="2" t="s">
        <v>3109</v>
      </c>
      <c r="B71" s="2" t="s">
        <v>3192</v>
      </c>
      <c r="C71" s="2" t="s">
        <v>3361</v>
      </c>
      <c r="D71" s="8">
        <v>2.36</v>
      </c>
      <c r="E71" s="8">
        <v>3.4</v>
      </c>
      <c r="F71" s="8">
        <v>2.5499999999999998</v>
      </c>
      <c r="G71" s="205">
        <v>1</v>
      </c>
      <c r="H71" s="205">
        <v>2</v>
      </c>
      <c r="I71" s="2">
        <v>-1</v>
      </c>
      <c r="J71" s="2">
        <v>0.18999999999999995</v>
      </c>
      <c r="K71" s="2">
        <f t="shared" ref="K71:K84" si="2">+D71-AVERAGE(E71,F71)</f>
        <v>-0.61499999999999977</v>
      </c>
      <c r="L71" s="2" t="s">
        <v>3677</v>
      </c>
      <c r="M71" s="2" t="s">
        <v>3678</v>
      </c>
      <c r="N71" s="206">
        <f t="shared" ref="N71:N100" si="3">IF(M71="WIN",(D71*50)-50,-50)</f>
        <v>-50</v>
      </c>
    </row>
    <row r="72" spans="1:14">
      <c r="A72" s="2" t="s">
        <v>3109</v>
      </c>
      <c r="B72" s="2" t="s">
        <v>3391</v>
      </c>
      <c r="C72" s="2" t="s">
        <v>3392</v>
      </c>
      <c r="D72" s="8">
        <v>2.2400000000000002</v>
      </c>
      <c r="E72" s="8">
        <v>3.93</v>
      </c>
      <c r="F72" s="8">
        <v>2.5099999999999998</v>
      </c>
      <c r="G72" s="205">
        <v>0</v>
      </c>
      <c r="H72" s="205">
        <v>0</v>
      </c>
      <c r="I72" s="2">
        <v>0</v>
      </c>
      <c r="J72" s="2">
        <v>0.26999999999999957</v>
      </c>
      <c r="K72" s="2">
        <f t="shared" si="2"/>
        <v>-0.97999999999999954</v>
      </c>
      <c r="L72" s="2" t="s">
        <v>3677</v>
      </c>
      <c r="M72" s="2" t="s">
        <v>3678</v>
      </c>
      <c r="N72" s="206">
        <f t="shared" si="3"/>
        <v>-50</v>
      </c>
    </row>
    <row r="73" spans="1:14">
      <c r="A73" s="2" t="s">
        <v>3109</v>
      </c>
      <c r="B73" s="2" t="s">
        <v>3110</v>
      </c>
      <c r="C73" s="2" t="s">
        <v>3345</v>
      </c>
      <c r="D73" s="8">
        <v>2.4300000000000002</v>
      </c>
      <c r="E73" s="8">
        <v>3.05</v>
      </c>
      <c r="F73" s="8">
        <v>2.4900000000000002</v>
      </c>
      <c r="G73" s="205">
        <v>1</v>
      </c>
      <c r="H73" s="205">
        <v>1</v>
      </c>
      <c r="I73" s="2">
        <v>0</v>
      </c>
      <c r="J73" s="2">
        <v>6.0000000000000053E-2</v>
      </c>
      <c r="K73" s="2">
        <f t="shared" si="2"/>
        <v>-0.33999999999999986</v>
      </c>
      <c r="L73" s="2" t="s">
        <v>3678</v>
      </c>
      <c r="M73" s="2" t="s">
        <v>3677</v>
      </c>
      <c r="N73" s="206">
        <f t="shared" si="3"/>
        <v>71.500000000000014</v>
      </c>
    </row>
    <row r="74" spans="1:14">
      <c r="A74" s="2" t="s">
        <v>3109</v>
      </c>
      <c r="B74" s="2" t="s">
        <v>3306</v>
      </c>
      <c r="C74" s="2" t="s">
        <v>3350</v>
      </c>
      <c r="D74" s="8">
        <v>2.4</v>
      </c>
      <c r="E74" s="8">
        <v>3.23</v>
      </c>
      <c r="F74" s="8">
        <v>2.41</v>
      </c>
      <c r="G74" s="205">
        <v>1</v>
      </c>
      <c r="H74" s="205">
        <v>1</v>
      </c>
      <c r="I74" s="2">
        <v>0</v>
      </c>
      <c r="J74" s="2">
        <v>1.0000000000000231E-2</v>
      </c>
      <c r="K74" s="2">
        <f t="shared" si="2"/>
        <v>-0.42000000000000037</v>
      </c>
      <c r="L74" s="2" t="s">
        <v>3678</v>
      </c>
      <c r="M74" s="2" t="s">
        <v>3677</v>
      </c>
      <c r="N74" s="206">
        <f t="shared" si="3"/>
        <v>70</v>
      </c>
    </row>
    <row r="75" spans="1:14">
      <c r="A75" s="2" t="s">
        <v>3679</v>
      </c>
      <c r="B75" s="2" t="s">
        <v>3560</v>
      </c>
      <c r="C75" s="2" t="s">
        <v>3684</v>
      </c>
      <c r="D75" s="8">
        <v>2.23</v>
      </c>
      <c r="E75" s="8">
        <v>3.53</v>
      </c>
      <c r="F75" s="8">
        <v>2.72</v>
      </c>
      <c r="G75" s="205">
        <v>2</v>
      </c>
      <c r="H75" s="205">
        <v>0</v>
      </c>
      <c r="I75" s="2">
        <v>2</v>
      </c>
      <c r="J75" s="2">
        <v>0.49000000000000021</v>
      </c>
      <c r="K75" s="2">
        <f t="shared" si="2"/>
        <v>-0.89500000000000002</v>
      </c>
      <c r="L75" s="2" t="s">
        <v>3678</v>
      </c>
      <c r="M75" s="2" t="s">
        <v>3678</v>
      </c>
      <c r="N75" s="206">
        <f t="shared" si="3"/>
        <v>-50</v>
      </c>
    </row>
    <row r="76" spans="1:14">
      <c r="A76" s="2" t="s">
        <v>3679</v>
      </c>
      <c r="B76" s="2" t="s">
        <v>3560</v>
      </c>
      <c r="C76" s="2" t="s">
        <v>3685</v>
      </c>
      <c r="D76" s="8">
        <v>2.0299999999999998</v>
      </c>
      <c r="E76" s="8">
        <v>3.45</v>
      </c>
      <c r="F76" s="8">
        <v>3.13</v>
      </c>
      <c r="G76" s="205">
        <v>2</v>
      </c>
      <c r="H76" s="205">
        <v>1</v>
      </c>
      <c r="I76" s="2">
        <v>1</v>
      </c>
      <c r="J76" s="2">
        <v>1.1000000000000001</v>
      </c>
      <c r="K76" s="2">
        <f t="shared" si="2"/>
        <v>-1.2600000000000002</v>
      </c>
      <c r="L76" s="2" t="s">
        <v>3678</v>
      </c>
      <c r="M76" s="2" t="s">
        <v>3678</v>
      </c>
      <c r="N76" s="206">
        <f t="shared" si="3"/>
        <v>-50</v>
      </c>
    </row>
    <row r="77" spans="1:14">
      <c r="A77" s="2" t="s">
        <v>3679</v>
      </c>
      <c r="B77" s="2" t="s">
        <v>3692</v>
      </c>
      <c r="C77" s="2" t="s">
        <v>3693</v>
      </c>
      <c r="D77" s="8">
        <v>2.11</v>
      </c>
      <c r="E77" s="8">
        <v>3.72</v>
      </c>
      <c r="F77" s="8">
        <v>2.81</v>
      </c>
      <c r="G77" s="205">
        <v>1</v>
      </c>
      <c r="H77" s="205">
        <v>0</v>
      </c>
      <c r="I77" s="2">
        <v>1</v>
      </c>
      <c r="J77" s="2">
        <v>0.70000000000000018</v>
      </c>
      <c r="K77" s="2">
        <f t="shared" si="2"/>
        <v>-1.1550000000000002</v>
      </c>
      <c r="L77" s="2" t="s">
        <v>3677</v>
      </c>
      <c r="M77" s="2" t="s">
        <v>3677</v>
      </c>
      <c r="N77" s="206">
        <f t="shared" si="3"/>
        <v>55.5</v>
      </c>
    </row>
    <row r="78" spans="1:14">
      <c r="A78" s="2" t="s">
        <v>3679</v>
      </c>
      <c r="B78" s="2" t="s">
        <v>3701</v>
      </c>
      <c r="C78" s="2" t="s">
        <v>3702</v>
      </c>
      <c r="D78" s="8">
        <v>2.2200000000000002</v>
      </c>
      <c r="E78" s="8">
        <v>3.52</v>
      </c>
      <c r="F78" s="8">
        <v>2.74</v>
      </c>
      <c r="G78" s="205">
        <v>0</v>
      </c>
      <c r="H78" s="205">
        <v>1</v>
      </c>
      <c r="I78" s="2">
        <v>-1</v>
      </c>
      <c r="J78" s="2">
        <v>0.52</v>
      </c>
      <c r="K78" s="2">
        <f t="shared" si="2"/>
        <v>-0.9099999999999997</v>
      </c>
      <c r="L78" s="2" t="s">
        <v>3678</v>
      </c>
      <c r="M78" s="2" t="s">
        <v>3677</v>
      </c>
      <c r="N78" s="206">
        <f t="shared" si="3"/>
        <v>61.000000000000014</v>
      </c>
    </row>
    <row r="79" spans="1:14">
      <c r="A79" s="2" t="s">
        <v>3679</v>
      </c>
      <c r="B79" s="2" t="s">
        <v>3701</v>
      </c>
      <c r="C79" s="2" t="s">
        <v>3703</v>
      </c>
      <c r="D79" s="8">
        <v>2.02</v>
      </c>
      <c r="E79" s="8">
        <v>3.62</v>
      </c>
      <c r="F79" s="8">
        <v>3.03</v>
      </c>
      <c r="G79" s="205">
        <v>2</v>
      </c>
      <c r="H79" s="205">
        <v>1</v>
      </c>
      <c r="I79" s="2">
        <v>1</v>
      </c>
      <c r="J79" s="2">
        <v>1.0099999999999998</v>
      </c>
      <c r="K79" s="2">
        <f t="shared" si="2"/>
        <v>-1.3050000000000002</v>
      </c>
      <c r="L79" s="2" t="s">
        <v>3678</v>
      </c>
      <c r="M79" s="2" t="s">
        <v>3678</v>
      </c>
      <c r="N79" s="206">
        <f t="shared" si="3"/>
        <v>-50</v>
      </c>
    </row>
    <row r="80" spans="1:14">
      <c r="A80" s="2" t="s">
        <v>3679</v>
      </c>
      <c r="B80" s="2" t="s">
        <v>3169</v>
      </c>
      <c r="C80" s="2" t="s">
        <v>3713</v>
      </c>
      <c r="D80" s="8">
        <v>2.12</v>
      </c>
      <c r="E80" s="8">
        <v>3.05</v>
      </c>
      <c r="F80" s="8">
        <v>2.94</v>
      </c>
      <c r="G80" s="205">
        <v>1</v>
      </c>
      <c r="H80" s="205">
        <v>2</v>
      </c>
      <c r="I80" s="2">
        <v>-1</v>
      </c>
      <c r="J80" s="2">
        <v>0.81999999999999984</v>
      </c>
      <c r="K80" s="2">
        <f t="shared" si="2"/>
        <v>-0.875</v>
      </c>
      <c r="L80" s="2" t="s">
        <v>3678</v>
      </c>
      <c r="M80" s="2" t="s">
        <v>3677</v>
      </c>
      <c r="N80" s="206">
        <f t="shared" si="3"/>
        <v>56</v>
      </c>
    </row>
    <row r="81" spans="1:14">
      <c r="A81" s="2" t="s">
        <v>3679</v>
      </c>
      <c r="B81" s="2" t="s">
        <v>3402</v>
      </c>
      <c r="C81" s="2" t="s">
        <v>3715</v>
      </c>
      <c r="D81" s="8">
        <v>2.25</v>
      </c>
      <c r="E81" s="8">
        <v>3.23</v>
      </c>
      <c r="F81" s="8">
        <v>2.58</v>
      </c>
      <c r="G81" s="205">
        <v>1</v>
      </c>
      <c r="H81" s="205">
        <v>0</v>
      </c>
      <c r="I81" s="2">
        <v>1</v>
      </c>
      <c r="J81" s="2">
        <v>0.33000000000000007</v>
      </c>
      <c r="K81" s="2">
        <f t="shared" si="2"/>
        <v>-0.65500000000000025</v>
      </c>
      <c r="L81" s="2" t="s">
        <v>3677</v>
      </c>
      <c r="M81" s="2" t="s">
        <v>3677</v>
      </c>
      <c r="N81" s="206">
        <f t="shared" si="3"/>
        <v>62.5</v>
      </c>
    </row>
    <row r="82" spans="1:14">
      <c r="A82" s="2" t="s">
        <v>3679</v>
      </c>
      <c r="B82" s="2" t="s">
        <v>3333</v>
      </c>
      <c r="C82" s="2" t="s">
        <v>3760</v>
      </c>
      <c r="D82" s="8">
        <v>2.1800000000000002</v>
      </c>
      <c r="E82" s="8">
        <v>3.15</v>
      </c>
      <c r="F82" s="8">
        <v>3.53</v>
      </c>
      <c r="G82" s="205">
        <v>2</v>
      </c>
      <c r="H82" s="205">
        <v>1</v>
      </c>
      <c r="I82" s="2">
        <v>1</v>
      </c>
      <c r="J82" s="2">
        <v>1.3499999999999996</v>
      </c>
      <c r="K82" s="2">
        <f t="shared" si="2"/>
        <v>-1.1599999999999997</v>
      </c>
      <c r="L82" s="2" t="s">
        <v>3678</v>
      </c>
      <c r="M82" s="2" t="s">
        <v>3678</v>
      </c>
      <c r="N82" s="206">
        <f t="shared" si="3"/>
        <v>-50</v>
      </c>
    </row>
    <row r="83" spans="1:14">
      <c r="A83" s="2" t="s">
        <v>3679</v>
      </c>
      <c r="B83" s="2" t="s">
        <v>3765</v>
      </c>
      <c r="C83" s="2" t="s">
        <v>3766</v>
      </c>
      <c r="D83" s="8">
        <v>2.2000000000000002</v>
      </c>
      <c r="E83" s="8">
        <v>3.45</v>
      </c>
      <c r="F83" s="8">
        <v>3.18</v>
      </c>
      <c r="G83" s="205">
        <v>1</v>
      </c>
      <c r="H83" s="205">
        <v>1</v>
      </c>
      <c r="I83" s="2">
        <v>0</v>
      </c>
      <c r="J83" s="2">
        <v>0.98</v>
      </c>
      <c r="K83" s="2">
        <f t="shared" si="2"/>
        <v>-1.1150000000000002</v>
      </c>
      <c r="L83" s="2" t="s">
        <v>3677</v>
      </c>
      <c r="M83" s="2" t="s">
        <v>3678</v>
      </c>
      <c r="N83" s="206">
        <f t="shared" si="3"/>
        <v>-50</v>
      </c>
    </row>
    <row r="84" spans="1:14">
      <c r="A84" s="2" t="s">
        <v>3679</v>
      </c>
      <c r="B84" s="2" t="s">
        <v>3410</v>
      </c>
      <c r="C84" s="2" t="s">
        <v>3770</v>
      </c>
      <c r="D84" s="8">
        <v>2.09</v>
      </c>
      <c r="E84" s="8">
        <v>3.45</v>
      </c>
      <c r="F84" s="8">
        <v>3.45</v>
      </c>
      <c r="G84" s="205">
        <v>2</v>
      </c>
      <c r="H84" s="205">
        <v>1</v>
      </c>
      <c r="I84" s="2">
        <v>1</v>
      </c>
      <c r="J84" s="2">
        <v>1.3600000000000003</v>
      </c>
      <c r="K84" s="2">
        <f t="shared" si="2"/>
        <v>-1.3600000000000003</v>
      </c>
      <c r="L84" s="2" t="s">
        <v>3677</v>
      </c>
      <c r="M84" s="2" t="s">
        <v>3677</v>
      </c>
      <c r="N84" s="206">
        <f t="shared" si="3"/>
        <v>54.5</v>
      </c>
    </row>
    <row r="85" spans="1:14">
      <c r="A85" s="2" t="s">
        <v>3771</v>
      </c>
      <c r="B85" s="2" t="s">
        <v>3257</v>
      </c>
      <c r="C85" s="2" t="s">
        <v>3775</v>
      </c>
      <c r="D85" s="2">
        <v>2.37</v>
      </c>
      <c r="E85" s="2">
        <v>2.97</v>
      </c>
      <c r="F85" s="2">
        <v>3.33</v>
      </c>
      <c r="G85" s="205">
        <v>2</v>
      </c>
      <c r="H85" s="205">
        <v>0</v>
      </c>
      <c r="I85" s="2">
        <v>2</v>
      </c>
      <c r="J85" s="2">
        <v>0.96</v>
      </c>
      <c r="K85" s="2">
        <v>-0.96</v>
      </c>
      <c r="L85" s="2" t="s">
        <v>3678</v>
      </c>
      <c r="M85" s="2" t="s">
        <v>3678</v>
      </c>
      <c r="N85" s="206">
        <f t="shared" si="3"/>
        <v>-50</v>
      </c>
    </row>
    <row r="86" spans="1:14">
      <c r="A86" s="2" t="s">
        <v>3771</v>
      </c>
      <c r="B86" s="2" t="s">
        <v>3250</v>
      </c>
      <c r="C86" s="2" t="s">
        <v>3777</v>
      </c>
      <c r="D86" s="2">
        <v>2.25</v>
      </c>
      <c r="E86" s="2">
        <v>3.33</v>
      </c>
      <c r="F86" s="2">
        <v>3.38</v>
      </c>
      <c r="G86" s="205">
        <v>0</v>
      </c>
      <c r="H86" s="205">
        <v>2</v>
      </c>
      <c r="I86" s="2">
        <v>-2</v>
      </c>
      <c r="J86" s="2">
        <v>1.1299999999999999</v>
      </c>
      <c r="K86" s="2">
        <v>-1.1299999999999999</v>
      </c>
      <c r="L86" s="2" t="s">
        <v>3678</v>
      </c>
      <c r="M86" s="2" t="s">
        <v>3677</v>
      </c>
      <c r="N86" s="206">
        <f t="shared" si="3"/>
        <v>62.5</v>
      </c>
    </row>
    <row r="87" spans="1:14">
      <c r="A87" s="2" t="s">
        <v>3771</v>
      </c>
      <c r="B87" s="2" t="s">
        <v>3589</v>
      </c>
      <c r="C87" s="2" t="s">
        <v>3782</v>
      </c>
      <c r="D87" s="2">
        <v>2.4700000000000002</v>
      </c>
      <c r="E87" s="2">
        <v>3.13</v>
      </c>
      <c r="F87" s="2">
        <v>2.66</v>
      </c>
      <c r="G87" s="205">
        <v>0</v>
      </c>
      <c r="H87" s="205">
        <v>2</v>
      </c>
      <c r="I87" s="2">
        <v>-2</v>
      </c>
      <c r="J87" s="2">
        <v>0.18999999999999995</v>
      </c>
      <c r="K87" s="2">
        <v>-0.18999999999999995</v>
      </c>
      <c r="L87" s="2" t="s">
        <v>3677</v>
      </c>
      <c r="M87" s="2" t="s">
        <v>3678</v>
      </c>
      <c r="N87" s="206">
        <f t="shared" si="3"/>
        <v>-50</v>
      </c>
    </row>
    <row r="88" spans="1:14">
      <c r="A88" s="2" t="s">
        <v>3771</v>
      </c>
      <c r="B88" s="2" t="s">
        <v>3784</v>
      </c>
      <c r="C88" s="2" t="s">
        <v>3785</v>
      </c>
      <c r="D88" s="2">
        <v>2.35</v>
      </c>
      <c r="E88" s="2">
        <v>3.12</v>
      </c>
      <c r="F88" s="2">
        <v>2.54</v>
      </c>
      <c r="G88" s="205">
        <v>2</v>
      </c>
      <c r="H88" s="205">
        <v>0</v>
      </c>
      <c r="I88" s="2">
        <v>2</v>
      </c>
      <c r="J88" s="2">
        <v>0.18999999999999995</v>
      </c>
      <c r="K88" s="2">
        <v>-0.18999999999999995</v>
      </c>
      <c r="L88" s="2" t="s">
        <v>3678</v>
      </c>
      <c r="M88" s="2" t="s">
        <v>3678</v>
      </c>
      <c r="N88" s="206">
        <f t="shared" si="3"/>
        <v>-50</v>
      </c>
    </row>
    <row r="89" spans="1:14">
      <c r="A89" s="2" t="s">
        <v>3771</v>
      </c>
      <c r="B89" s="2" t="s">
        <v>3705</v>
      </c>
      <c r="C89" s="2" t="s">
        <v>3795</v>
      </c>
      <c r="D89" s="2">
        <v>2.06</v>
      </c>
      <c r="E89" s="2">
        <v>2.72</v>
      </c>
      <c r="F89" s="2">
        <v>3.48</v>
      </c>
      <c r="G89" s="205">
        <v>1</v>
      </c>
      <c r="H89" s="205">
        <v>2</v>
      </c>
      <c r="I89" s="2">
        <v>-1</v>
      </c>
      <c r="J89" s="2">
        <v>1.42</v>
      </c>
      <c r="K89" s="2">
        <v>-1.42</v>
      </c>
      <c r="L89" s="2" t="s">
        <v>3678</v>
      </c>
      <c r="M89" s="2" t="s">
        <v>3678</v>
      </c>
      <c r="N89" s="206">
        <f t="shared" si="3"/>
        <v>-50</v>
      </c>
    </row>
    <row r="90" spans="1:14">
      <c r="A90" s="2" t="s">
        <v>3771</v>
      </c>
      <c r="B90" s="2" t="s">
        <v>3692</v>
      </c>
      <c r="C90" s="2" t="s">
        <v>3797</v>
      </c>
      <c r="D90" s="2">
        <v>2.25</v>
      </c>
      <c r="E90" s="2">
        <v>3.12</v>
      </c>
      <c r="F90" s="2">
        <v>2.68</v>
      </c>
      <c r="G90" s="205">
        <v>2</v>
      </c>
      <c r="H90" s="205">
        <v>0</v>
      </c>
      <c r="I90" s="2">
        <v>2</v>
      </c>
      <c r="J90" s="2">
        <v>0.43000000000000016</v>
      </c>
      <c r="K90" s="2">
        <v>-0.43000000000000016</v>
      </c>
      <c r="L90" s="2" t="s">
        <v>3678</v>
      </c>
      <c r="M90" s="2" t="s">
        <v>3678</v>
      </c>
      <c r="N90" s="206">
        <f t="shared" si="3"/>
        <v>-50</v>
      </c>
    </row>
    <row r="91" spans="1:14">
      <c r="A91" s="2" t="s">
        <v>3771</v>
      </c>
      <c r="B91" s="2" t="s">
        <v>3705</v>
      </c>
      <c r="C91" s="2" t="s">
        <v>3798</v>
      </c>
      <c r="D91" s="2">
        <v>2.54</v>
      </c>
      <c r="E91" s="2">
        <v>2.68</v>
      </c>
      <c r="F91" s="2">
        <v>2.68</v>
      </c>
      <c r="G91" s="205">
        <v>0</v>
      </c>
      <c r="H91" s="205">
        <v>3</v>
      </c>
      <c r="I91" s="2">
        <v>-3</v>
      </c>
      <c r="J91" s="2">
        <v>0.14000000000000012</v>
      </c>
      <c r="K91" s="2">
        <v>-0.14000000000000012</v>
      </c>
      <c r="L91" s="2" t="s">
        <v>3677</v>
      </c>
      <c r="M91" s="2" t="s">
        <v>3678</v>
      </c>
      <c r="N91" s="206">
        <f t="shared" si="3"/>
        <v>-50</v>
      </c>
    </row>
    <row r="92" spans="1:14">
      <c r="A92" s="2" t="s">
        <v>3771</v>
      </c>
      <c r="B92" s="2" t="s">
        <v>3224</v>
      </c>
      <c r="C92" s="2" t="s">
        <v>3802</v>
      </c>
      <c r="D92" s="2">
        <v>2.54</v>
      </c>
      <c r="E92" s="2">
        <v>3.02</v>
      </c>
      <c r="F92" s="2">
        <v>3.28</v>
      </c>
      <c r="G92" s="205">
        <v>2</v>
      </c>
      <c r="H92" s="205">
        <v>0</v>
      </c>
      <c r="I92" s="2">
        <v>2</v>
      </c>
      <c r="J92" s="2">
        <v>0.73999999999999977</v>
      </c>
      <c r="K92" s="2">
        <v>-0.73999999999999977</v>
      </c>
      <c r="L92" s="2" t="s">
        <v>3678</v>
      </c>
      <c r="M92" s="2" t="s">
        <v>3678</v>
      </c>
      <c r="N92" s="206">
        <f t="shared" si="3"/>
        <v>-50</v>
      </c>
    </row>
    <row r="93" spans="1:14">
      <c r="A93" s="2" t="s">
        <v>3771</v>
      </c>
      <c r="B93" s="2" t="s">
        <v>3812</v>
      </c>
      <c r="C93" s="2" t="s">
        <v>3814</v>
      </c>
      <c r="D93" s="2">
        <v>2.21</v>
      </c>
      <c r="E93" s="2">
        <v>3.05</v>
      </c>
      <c r="F93" s="2">
        <v>2.79</v>
      </c>
      <c r="G93" s="205">
        <v>1</v>
      </c>
      <c r="H93" s="205">
        <v>2</v>
      </c>
      <c r="I93" s="2">
        <v>-1</v>
      </c>
      <c r="J93" s="2">
        <v>0.58000000000000007</v>
      </c>
      <c r="K93" s="2">
        <v>-0.58000000000000007</v>
      </c>
      <c r="L93" s="2" t="s">
        <v>3677</v>
      </c>
      <c r="M93" s="2" t="s">
        <v>3678</v>
      </c>
      <c r="N93" s="206">
        <f t="shared" si="3"/>
        <v>-50</v>
      </c>
    </row>
    <row r="94" spans="1:14">
      <c r="A94" s="2" t="s">
        <v>3771</v>
      </c>
      <c r="B94" s="2" t="s">
        <v>3742</v>
      </c>
      <c r="C94" s="2" t="s">
        <v>3818</v>
      </c>
      <c r="D94" s="2">
        <v>2.44</v>
      </c>
      <c r="E94" s="2">
        <v>3.42</v>
      </c>
      <c r="F94" s="2">
        <v>2.4500000000000002</v>
      </c>
      <c r="G94" s="205">
        <v>0</v>
      </c>
      <c r="H94" s="205">
        <v>2</v>
      </c>
      <c r="I94" s="2">
        <v>-2</v>
      </c>
      <c r="J94" s="2">
        <v>1.0000000000000231E-2</v>
      </c>
      <c r="K94" s="2">
        <v>-1.0000000000000231E-2</v>
      </c>
      <c r="L94" s="2" t="s">
        <v>3677</v>
      </c>
      <c r="M94" s="2" t="s">
        <v>3678</v>
      </c>
      <c r="N94" s="206">
        <f t="shared" si="3"/>
        <v>-50</v>
      </c>
    </row>
    <row r="95" spans="1:14">
      <c r="A95" s="2" t="s">
        <v>3771</v>
      </c>
      <c r="B95" s="2" t="s">
        <v>3820</v>
      </c>
      <c r="C95" s="2" t="s">
        <v>3821</v>
      </c>
      <c r="D95" s="2">
        <v>2.35</v>
      </c>
      <c r="E95" s="2">
        <v>3.22</v>
      </c>
      <c r="F95" s="2">
        <v>3.1</v>
      </c>
      <c r="G95" s="205">
        <v>1</v>
      </c>
      <c r="H95" s="205">
        <v>2</v>
      </c>
      <c r="I95" s="2">
        <v>-1</v>
      </c>
      <c r="J95" s="2">
        <v>0.75</v>
      </c>
      <c r="K95" s="2">
        <v>-0.75</v>
      </c>
      <c r="L95" s="2" t="s">
        <v>3677</v>
      </c>
      <c r="M95" s="2" t="s">
        <v>3678</v>
      </c>
      <c r="N95" s="206">
        <f t="shared" si="3"/>
        <v>-50</v>
      </c>
    </row>
    <row r="96" spans="1:14">
      <c r="A96" s="2" t="s">
        <v>3771</v>
      </c>
      <c r="B96" s="2" t="s">
        <v>3824</v>
      </c>
      <c r="C96" s="2" t="s">
        <v>3829</v>
      </c>
      <c r="D96" s="2">
        <v>2.17</v>
      </c>
      <c r="E96" s="2">
        <v>3.12</v>
      </c>
      <c r="F96" s="2">
        <v>2.8</v>
      </c>
      <c r="G96" s="205">
        <v>0</v>
      </c>
      <c r="H96" s="205">
        <v>1</v>
      </c>
      <c r="I96" s="2">
        <v>-1</v>
      </c>
      <c r="J96" s="2">
        <v>0.62999999999999989</v>
      </c>
      <c r="K96" s="2">
        <v>-0.62999999999999989</v>
      </c>
      <c r="L96" s="2" t="s">
        <v>3678</v>
      </c>
      <c r="M96" s="2" t="s">
        <v>3678</v>
      </c>
      <c r="N96" s="206">
        <f t="shared" si="3"/>
        <v>-50</v>
      </c>
    </row>
    <row r="97" spans="1:14">
      <c r="A97" s="2" t="s">
        <v>3771</v>
      </c>
      <c r="B97" s="2" t="s">
        <v>3745</v>
      </c>
      <c r="C97" s="2" t="s">
        <v>3831</v>
      </c>
      <c r="D97" s="2">
        <v>2.06</v>
      </c>
      <c r="E97" s="2">
        <v>3.15</v>
      </c>
      <c r="F97" s="2">
        <v>2.96</v>
      </c>
      <c r="G97" s="205">
        <v>2</v>
      </c>
      <c r="H97" s="205">
        <v>0</v>
      </c>
      <c r="I97" s="2">
        <v>2</v>
      </c>
      <c r="J97" s="2">
        <v>0.89999999999999991</v>
      </c>
      <c r="K97" s="2">
        <v>-0.89999999999999991</v>
      </c>
      <c r="L97" s="2" t="s">
        <v>1564</v>
      </c>
      <c r="M97" s="2" t="s">
        <v>1564</v>
      </c>
      <c r="N97" s="206">
        <f t="shared" si="3"/>
        <v>-50</v>
      </c>
    </row>
    <row r="98" spans="1:14">
      <c r="A98" s="2" t="s">
        <v>3771</v>
      </c>
      <c r="B98" s="2" t="s">
        <v>3575</v>
      </c>
      <c r="C98" s="2" t="s">
        <v>3837</v>
      </c>
      <c r="D98" s="2">
        <v>2.2000000000000002</v>
      </c>
      <c r="E98" s="2">
        <v>2.92</v>
      </c>
      <c r="F98" s="2">
        <v>2.91</v>
      </c>
      <c r="G98" s="205">
        <v>0</v>
      </c>
      <c r="H98" s="205">
        <v>1</v>
      </c>
      <c r="I98" s="2">
        <v>-1</v>
      </c>
      <c r="J98" s="2">
        <v>0.71</v>
      </c>
      <c r="K98" s="2">
        <v>-0.71</v>
      </c>
      <c r="L98" s="2" t="s">
        <v>3678</v>
      </c>
      <c r="M98" s="2" t="s">
        <v>3677</v>
      </c>
      <c r="N98" s="206">
        <f t="shared" si="3"/>
        <v>60.000000000000014</v>
      </c>
    </row>
    <row r="99" spans="1:14">
      <c r="A99" s="2" t="s">
        <v>3771</v>
      </c>
      <c r="B99" s="2" t="s">
        <v>3838</v>
      </c>
      <c r="C99" s="2" t="s">
        <v>3840</v>
      </c>
      <c r="D99" s="2">
        <v>2</v>
      </c>
      <c r="E99" s="2">
        <v>3.95</v>
      </c>
      <c r="F99" s="2">
        <v>3.8</v>
      </c>
      <c r="G99" s="205">
        <v>2</v>
      </c>
      <c r="H99" s="205">
        <v>1</v>
      </c>
      <c r="I99" s="2">
        <v>1</v>
      </c>
      <c r="J99" s="2">
        <v>1.7999999999999998</v>
      </c>
      <c r="K99" s="2">
        <v>-1.7999999999999998</v>
      </c>
      <c r="L99" s="2" t="s">
        <v>3678</v>
      </c>
      <c r="M99" s="2" t="s">
        <v>3678</v>
      </c>
      <c r="N99" s="206">
        <f t="shared" si="3"/>
        <v>-50</v>
      </c>
    </row>
    <row r="100" spans="1:14">
      <c r="A100" s="2" t="s">
        <v>3771</v>
      </c>
      <c r="B100" s="2" t="s">
        <v>3309</v>
      </c>
      <c r="C100" s="2" t="s">
        <v>3845</v>
      </c>
      <c r="D100" s="2">
        <v>2.31</v>
      </c>
      <c r="E100" s="2">
        <v>3.22</v>
      </c>
      <c r="F100" s="2">
        <v>2.74</v>
      </c>
      <c r="G100" s="205">
        <v>2</v>
      </c>
      <c r="H100" s="205">
        <v>0</v>
      </c>
      <c r="I100" s="2">
        <v>2</v>
      </c>
      <c r="J100" s="2">
        <v>0.43000000000000016</v>
      </c>
      <c r="K100" s="2">
        <v>-0.43000000000000016</v>
      </c>
      <c r="L100" s="2" t="s">
        <v>3677</v>
      </c>
      <c r="M100" s="2" t="s">
        <v>3677</v>
      </c>
      <c r="N100" s="206">
        <f t="shared" si="3"/>
        <v>65.5</v>
      </c>
    </row>
  </sheetData>
  <autoFilter ref="A5:N84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M752"/>
  <sheetViews>
    <sheetView showGridLines="0" zoomScale="80" zoomScaleNormal="80" workbookViewId="0">
      <pane ySplit="1" topLeftCell="A53" activePane="bottomLeft" state="frozen"/>
      <selection pane="bottomLeft" activeCell="B540" sqref="B540"/>
    </sheetView>
  </sheetViews>
  <sheetFormatPr defaultRowHeight="12.75" outlineLevelCol="1"/>
  <cols>
    <col min="1" max="1" width="24.42578125" style="2" bestFit="1" customWidth="1"/>
    <col min="2" max="2" width="33" style="2" bestFit="1" customWidth="1"/>
    <col min="3" max="3" width="50.7109375" style="2" bestFit="1" customWidth="1"/>
    <col min="4" max="6" width="12.85546875" style="2" customWidth="1" outlineLevel="1"/>
    <col min="7" max="7" width="9.28515625" style="205" bestFit="1" customWidth="1"/>
    <col min="8" max="8" width="10.85546875" style="205" bestFit="1" customWidth="1"/>
    <col min="9" max="9" width="9.42578125" style="2" bestFit="1" customWidth="1"/>
    <col min="10" max="10" width="12.85546875" style="2" bestFit="1" customWidth="1"/>
    <col min="11" max="11" width="10" style="2" bestFit="1" customWidth="1"/>
    <col min="12" max="12" width="7.42578125" style="2" bestFit="1" customWidth="1"/>
    <col min="13" max="13" width="8.5703125" style="2" bestFit="1" customWidth="1"/>
    <col min="14" max="16384" width="9.140625" style="2"/>
  </cols>
  <sheetData>
    <row r="1" spans="1:13">
      <c r="A1" s="199" t="s">
        <v>3103</v>
      </c>
      <c r="B1" s="199" t="s">
        <v>3104</v>
      </c>
      <c r="C1" s="199" t="s">
        <v>3105</v>
      </c>
      <c r="D1" s="202" t="s">
        <v>3106</v>
      </c>
      <c r="E1" s="199" t="s">
        <v>3107</v>
      </c>
      <c r="F1" s="199" t="s">
        <v>3108</v>
      </c>
      <c r="G1" s="204" t="s">
        <v>3848</v>
      </c>
      <c r="H1" s="204" t="s">
        <v>3849</v>
      </c>
      <c r="I1" s="203" t="s">
        <v>3674</v>
      </c>
      <c r="J1" s="203" t="s">
        <v>3675</v>
      </c>
      <c r="K1" s="201" t="s">
        <v>3676</v>
      </c>
      <c r="L1" s="2" t="s">
        <v>3846</v>
      </c>
      <c r="M1" s="2" t="s">
        <v>3847</v>
      </c>
    </row>
    <row r="2" spans="1:13" hidden="1">
      <c r="A2" s="2" t="s">
        <v>3109</v>
      </c>
      <c r="B2" s="2" t="s">
        <v>3169</v>
      </c>
      <c r="C2" s="2" t="s">
        <v>3673</v>
      </c>
      <c r="D2" s="8">
        <v>1.05</v>
      </c>
      <c r="E2" s="8">
        <v>11</v>
      </c>
      <c r="F2" s="8">
        <v>19</v>
      </c>
      <c r="G2" s="205">
        <v>5</v>
      </c>
      <c r="H2" s="205">
        <v>1</v>
      </c>
      <c r="I2" s="2">
        <f t="shared" ref="I2" si="0">+G2-H2</f>
        <v>4</v>
      </c>
      <c r="J2" s="2">
        <f t="shared" ref="J2" si="1">ABS(+D2-F2)</f>
        <v>17.95</v>
      </c>
      <c r="K2" s="2">
        <f t="shared" ref="K2:K65" si="2">+D2-F2</f>
        <v>-17.95</v>
      </c>
    </row>
    <row r="3" spans="1:13" hidden="1">
      <c r="A3" s="2" t="s">
        <v>3109</v>
      </c>
      <c r="B3" s="2" t="s">
        <v>3135</v>
      </c>
      <c r="C3" s="2" t="s">
        <v>3666</v>
      </c>
      <c r="D3" s="8">
        <v>1.1599999999999999</v>
      </c>
      <c r="E3" s="8">
        <v>7.05</v>
      </c>
      <c r="F3" s="8">
        <v>17.75</v>
      </c>
      <c r="G3" s="205">
        <v>4</v>
      </c>
      <c r="H3" s="205">
        <v>1</v>
      </c>
      <c r="I3" s="2">
        <f t="shared" ref="I3:I66" si="3">+G3-H3</f>
        <v>3</v>
      </c>
      <c r="J3" s="2">
        <f t="shared" ref="J3:J66" si="4">ABS(+D3-F3)</f>
        <v>16.59</v>
      </c>
      <c r="K3" s="2">
        <f t="shared" si="2"/>
        <v>-16.59</v>
      </c>
    </row>
    <row r="4" spans="1:13" hidden="1">
      <c r="A4" s="2" t="s">
        <v>3109</v>
      </c>
      <c r="B4" s="2" t="s">
        <v>3184</v>
      </c>
      <c r="C4" s="2" t="s">
        <v>3665</v>
      </c>
      <c r="D4" s="8">
        <v>1.18</v>
      </c>
      <c r="E4" s="8">
        <v>7.95</v>
      </c>
      <c r="F4" s="8">
        <v>17.5</v>
      </c>
      <c r="G4" s="205">
        <v>4</v>
      </c>
      <c r="H4" s="205">
        <v>1</v>
      </c>
      <c r="I4" s="2">
        <f t="shared" si="3"/>
        <v>3</v>
      </c>
      <c r="J4" s="2">
        <f t="shared" si="4"/>
        <v>16.32</v>
      </c>
      <c r="K4" s="2">
        <f t="shared" si="2"/>
        <v>-16.32</v>
      </c>
    </row>
    <row r="5" spans="1:13" hidden="1">
      <c r="A5" s="2" t="s">
        <v>3109</v>
      </c>
      <c r="B5" s="2" t="s">
        <v>3325</v>
      </c>
      <c r="C5" s="2" t="s">
        <v>3669</v>
      </c>
      <c r="D5" s="8">
        <v>1.1399999999999999</v>
      </c>
      <c r="E5" s="8">
        <v>8.85</v>
      </c>
      <c r="F5" s="8">
        <v>15</v>
      </c>
      <c r="G5" s="205">
        <v>5</v>
      </c>
      <c r="H5" s="205">
        <v>0</v>
      </c>
      <c r="I5" s="2">
        <f t="shared" si="3"/>
        <v>5</v>
      </c>
      <c r="J5" s="2">
        <f t="shared" si="4"/>
        <v>13.86</v>
      </c>
      <c r="K5" s="2">
        <f t="shared" si="2"/>
        <v>-13.86</v>
      </c>
    </row>
    <row r="6" spans="1:13" hidden="1">
      <c r="A6" s="2" t="s">
        <v>3109</v>
      </c>
      <c r="B6" s="2" t="s">
        <v>3502</v>
      </c>
      <c r="C6" s="2" t="s">
        <v>3664</v>
      </c>
      <c r="D6" s="8">
        <v>1.2</v>
      </c>
      <c r="E6" s="8">
        <v>7.5</v>
      </c>
      <c r="F6" s="8">
        <v>13</v>
      </c>
      <c r="G6" s="205">
        <v>4</v>
      </c>
      <c r="H6" s="205">
        <v>1</v>
      </c>
      <c r="I6" s="2">
        <f t="shared" si="3"/>
        <v>3</v>
      </c>
      <c r="J6" s="2">
        <f t="shared" si="4"/>
        <v>11.8</v>
      </c>
      <c r="K6" s="2">
        <f t="shared" si="2"/>
        <v>-11.8</v>
      </c>
    </row>
    <row r="7" spans="1:13" hidden="1">
      <c r="A7" s="2" t="s">
        <v>3109</v>
      </c>
      <c r="B7" s="2" t="s">
        <v>3502</v>
      </c>
      <c r="C7" s="2" t="s">
        <v>3662</v>
      </c>
      <c r="D7" s="8">
        <v>1.23</v>
      </c>
      <c r="E7" s="8">
        <v>7.05</v>
      </c>
      <c r="F7" s="8">
        <v>11.5</v>
      </c>
      <c r="G7" s="205">
        <v>3</v>
      </c>
      <c r="H7" s="205">
        <v>0</v>
      </c>
      <c r="I7" s="2">
        <f t="shared" si="3"/>
        <v>3</v>
      </c>
      <c r="J7" s="2">
        <f t="shared" si="4"/>
        <v>10.27</v>
      </c>
      <c r="K7" s="2">
        <f t="shared" si="2"/>
        <v>-10.27</v>
      </c>
    </row>
    <row r="8" spans="1:13" hidden="1">
      <c r="A8" s="2" t="s">
        <v>3109</v>
      </c>
      <c r="B8" s="2" t="s">
        <v>3267</v>
      </c>
      <c r="C8" s="2" t="s">
        <v>3672</v>
      </c>
      <c r="D8" s="8">
        <v>1.1299999999999999</v>
      </c>
      <c r="E8" s="8">
        <v>6.1</v>
      </c>
      <c r="F8" s="8">
        <v>11.25</v>
      </c>
      <c r="G8" s="205">
        <v>5</v>
      </c>
      <c r="H8" s="205">
        <v>1</v>
      </c>
      <c r="I8" s="2">
        <f t="shared" si="3"/>
        <v>4</v>
      </c>
      <c r="J8" s="2">
        <f t="shared" si="4"/>
        <v>10.120000000000001</v>
      </c>
      <c r="K8" s="2">
        <f t="shared" si="2"/>
        <v>-10.120000000000001</v>
      </c>
    </row>
    <row r="9" spans="1:13" hidden="1">
      <c r="A9" s="2" t="s">
        <v>3109</v>
      </c>
      <c r="B9" s="2" t="s">
        <v>3670</v>
      </c>
      <c r="C9" s="2" t="s">
        <v>3671</v>
      </c>
      <c r="D9" s="8">
        <v>1.1399999999999999</v>
      </c>
      <c r="E9" s="8">
        <v>6.3</v>
      </c>
      <c r="F9" s="8">
        <v>9.9</v>
      </c>
      <c r="G9" s="205">
        <v>3</v>
      </c>
      <c r="H9" s="205">
        <v>1</v>
      </c>
      <c r="I9" s="2">
        <f t="shared" si="3"/>
        <v>2</v>
      </c>
      <c r="J9" s="2">
        <f t="shared" si="4"/>
        <v>8.76</v>
      </c>
      <c r="K9" s="2">
        <f t="shared" si="2"/>
        <v>-8.76</v>
      </c>
    </row>
    <row r="10" spans="1:13" hidden="1">
      <c r="A10" s="2" t="s">
        <v>3109</v>
      </c>
      <c r="B10" s="2" t="s">
        <v>3224</v>
      </c>
      <c r="C10" s="2" t="s">
        <v>3653</v>
      </c>
      <c r="D10" s="8">
        <v>1.31</v>
      </c>
      <c r="E10" s="8">
        <v>6</v>
      </c>
      <c r="F10" s="8">
        <v>9.8000000000000007</v>
      </c>
      <c r="G10" s="205">
        <v>2</v>
      </c>
      <c r="H10" s="205">
        <v>1</v>
      </c>
      <c r="I10" s="2">
        <f t="shared" si="3"/>
        <v>1</v>
      </c>
      <c r="J10" s="2">
        <f t="shared" si="4"/>
        <v>8.49</v>
      </c>
      <c r="K10" s="2">
        <f t="shared" si="2"/>
        <v>-8.49</v>
      </c>
    </row>
    <row r="11" spans="1:13" hidden="1">
      <c r="A11" s="2" t="s">
        <v>3109</v>
      </c>
      <c r="B11" s="2" t="s">
        <v>3110</v>
      </c>
      <c r="C11" s="2" t="s">
        <v>3663</v>
      </c>
      <c r="D11" s="8">
        <v>1.21</v>
      </c>
      <c r="E11" s="8">
        <v>4.9800000000000004</v>
      </c>
      <c r="F11" s="8">
        <v>9.0500000000000007</v>
      </c>
      <c r="G11" s="205">
        <v>4</v>
      </c>
      <c r="H11" s="205">
        <v>0</v>
      </c>
      <c r="I11" s="2">
        <f t="shared" si="3"/>
        <v>4</v>
      </c>
      <c r="J11" s="2">
        <f t="shared" si="4"/>
        <v>7.8400000000000007</v>
      </c>
      <c r="K11" s="2">
        <f t="shared" si="2"/>
        <v>-7.8400000000000007</v>
      </c>
    </row>
    <row r="12" spans="1:13" hidden="1">
      <c r="A12" s="2" t="s">
        <v>3109</v>
      </c>
      <c r="B12" s="2" t="s">
        <v>3124</v>
      </c>
      <c r="C12" s="2" t="s">
        <v>3657</v>
      </c>
      <c r="D12" s="8">
        <v>1.27</v>
      </c>
      <c r="E12" s="8">
        <v>5</v>
      </c>
      <c r="F12" s="8">
        <v>9</v>
      </c>
      <c r="G12" s="205">
        <v>5</v>
      </c>
      <c r="H12" s="205">
        <v>0</v>
      </c>
      <c r="I12" s="2">
        <f t="shared" si="3"/>
        <v>5</v>
      </c>
      <c r="J12" s="2">
        <f t="shared" si="4"/>
        <v>7.73</v>
      </c>
      <c r="K12" s="2">
        <f t="shared" si="2"/>
        <v>-7.73</v>
      </c>
    </row>
    <row r="13" spans="1:13" hidden="1">
      <c r="A13" s="2" t="s">
        <v>3109</v>
      </c>
      <c r="B13" s="2" t="s">
        <v>3110</v>
      </c>
      <c r="C13" s="2" t="s">
        <v>3660</v>
      </c>
      <c r="D13" s="8">
        <v>1.24</v>
      </c>
      <c r="E13" s="8">
        <v>4.6500000000000004</v>
      </c>
      <c r="F13" s="8">
        <v>8.5500000000000007</v>
      </c>
      <c r="G13" s="205">
        <v>2</v>
      </c>
      <c r="H13" s="205">
        <v>1</v>
      </c>
      <c r="I13" s="2">
        <f t="shared" si="3"/>
        <v>1</v>
      </c>
      <c r="J13" s="2">
        <f t="shared" si="4"/>
        <v>7.3100000000000005</v>
      </c>
      <c r="K13" s="2">
        <f t="shared" si="2"/>
        <v>-7.3100000000000005</v>
      </c>
    </row>
    <row r="14" spans="1:13" hidden="1">
      <c r="A14" s="2" t="s">
        <v>3109</v>
      </c>
      <c r="B14" s="2" t="s">
        <v>3667</v>
      </c>
      <c r="C14" s="2" t="s">
        <v>3668</v>
      </c>
      <c r="D14" s="8">
        <v>1.1499999999999999</v>
      </c>
      <c r="E14" s="8">
        <v>6.6</v>
      </c>
      <c r="F14" s="8">
        <v>8.5</v>
      </c>
      <c r="G14" s="205">
        <v>2</v>
      </c>
      <c r="H14" s="205">
        <v>1</v>
      </c>
      <c r="I14" s="2">
        <f t="shared" si="3"/>
        <v>1</v>
      </c>
      <c r="J14" s="2">
        <f t="shared" si="4"/>
        <v>7.35</v>
      </c>
      <c r="K14" s="2">
        <f t="shared" si="2"/>
        <v>-7.35</v>
      </c>
    </row>
    <row r="15" spans="1:13" hidden="1">
      <c r="A15" s="2" t="s">
        <v>3109</v>
      </c>
      <c r="B15" s="2" t="s">
        <v>3158</v>
      </c>
      <c r="C15" s="2" t="s">
        <v>3645</v>
      </c>
      <c r="D15" s="8">
        <v>1.37</v>
      </c>
      <c r="E15" s="8">
        <v>5.25</v>
      </c>
      <c r="F15" s="8">
        <v>8.35</v>
      </c>
      <c r="G15" s="205">
        <v>4</v>
      </c>
      <c r="H15" s="205">
        <v>1</v>
      </c>
      <c r="I15" s="2">
        <f t="shared" si="3"/>
        <v>3</v>
      </c>
      <c r="J15" s="2">
        <f t="shared" si="4"/>
        <v>6.9799999999999995</v>
      </c>
      <c r="K15" s="2">
        <f t="shared" si="2"/>
        <v>-6.9799999999999995</v>
      </c>
    </row>
    <row r="16" spans="1:13" hidden="1">
      <c r="A16" s="2" t="s">
        <v>3109</v>
      </c>
      <c r="B16" s="2" t="s">
        <v>3340</v>
      </c>
      <c r="C16" s="2" t="s">
        <v>3640</v>
      </c>
      <c r="D16" s="8">
        <v>1.38</v>
      </c>
      <c r="E16" s="8">
        <v>4.68</v>
      </c>
      <c r="F16" s="8">
        <v>8.25</v>
      </c>
      <c r="G16" s="205">
        <v>3</v>
      </c>
      <c r="H16" s="205">
        <v>0</v>
      </c>
      <c r="I16" s="2">
        <f t="shared" si="3"/>
        <v>3</v>
      </c>
      <c r="J16" s="2">
        <f t="shared" si="4"/>
        <v>6.87</v>
      </c>
      <c r="K16" s="2">
        <f t="shared" si="2"/>
        <v>-6.87</v>
      </c>
    </row>
    <row r="17" spans="1:12" hidden="1">
      <c r="A17" s="2" t="s">
        <v>3109</v>
      </c>
      <c r="B17" s="2" t="s">
        <v>1686</v>
      </c>
      <c r="C17" s="2" t="s">
        <v>3620</v>
      </c>
      <c r="D17" s="8">
        <v>1.48</v>
      </c>
      <c r="E17" s="8">
        <v>4.43</v>
      </c>
      <c r="F17" s="8">
        <v>7.7</v>
      </c>
      <c r="G17" s="205">
        <v>2</v>
      </c>
      <c r="H17" s="205">
        <v>0</v>
      </c>
      <c r="I17" s="2">
        <f t="shared" si="3"/>
        <v>2</v>
      </c>
      <c r="J17" s="2">
        <f t="shared" si="4"/>
        <v>6.2200000000000006</v>
      </c>
      <c r="K17" s="2">
        <f t="shared" si="2"/>
        <v>-6.2200000000000006</v>
      </c>
    </row>
    <row r="18" spans="1:12" hidden="1">
      <c r="A18" s="2" t="s">
        <v>3109</v>
      </c>
      <c r="B18" s="2" t="s">
        <v>3333</v>
      </c>
      <c r="C18" s="2" t="s">
        <v>3630</v>
      </c>
      <c r="D18" s="8">
        <v>1.43</v>
      </c>
      <c r="E18" s="8">
        <v>4.37</v>
      </c>
      <c r="F18" s="8">
        <v>7.7</v>
      </c>
      <c r="G18" s="205">
        <v>2</v>
      </c>
      <c r="H18" s="205">
        <v>0</v>
      </c>
      <c r="I18" s="2">
        <f t="shared" si="3"/>
        <v>2</v>
      </c>
      <c r="J18" s="2">
        <f t="shared" si="4"/>
        <v>6.2700000000000005</v>
      </c>
      <c r="K18" s="2">
        <f t="shared" si="2"/>
        <v>-6.2700000000000005</v>
      </c>
    </row>
    <row r="19" spans="1:12" hidden="1">
      <c r="A19" s="2" t="s">
        <v>3109</v>
      </c>
      <c r="B19" s="2" t="s">
        <v>3150</v>
      </c>
      <c r="C19" s="2" t="s">
        <v>3619</v>
      </c>
      <c r="D19" s="8">
        <v>1.49</v>
      </c>
      <c r="E19" s="8">
        <v>3.9</v>
      </c>
      <c r="F19" s="8">
        <v>7.45</v>
      </c>
      <c r="G19" s="205">
        <v>2</v>
      </c>
      <c r="H19" s="205">
        <v>0</v>
      </c>
      <c r="I19" s="2">
        <f t="shared" si="3"/>
        <v>2</v>
      </c>
      <c r="J19" s="2">
        <f t="shared" si="4"/>
        <v>5.96</v>
      </c>
      <c r="K19" s="2">
        <f t="shared" si="2"/>
        <v>-5.96</v>
      </c>
    </row>
    <row r="20" spans="1:12" hidden="1">
      <c r="A20" s="2" t="s">
        <v>3109</v>
      </c>
      <c r="B20" s="2" t="s">
        <v>3110</v>
      </c>
      <c r="C20" s="2" t="s">
        <v>3661</v>
      </c>
      <c r="D20" s="8">
        <v>1.23</v>
      </c>
      <c r="E20" s="8">
        <v>5.15</v>
      </c>
      <c r="F20" s="8">
        <v>7.35</v>
      </c>
      <c r="G20" s="205">
        <v>4</v>
      </c>
      <c r="H20" s="205">
        <v>1</v>
      </c>
      <c r="I20" s="2">
        <f t="shared" si="3"/>
        <v>3</v>
      </c>
      <c r="J20" s="2">
        <f t="shared" si="4"/>
        <v>6.1199999999999992</v>
      </c>
      <c r="K20" s="2">
        <f t="shared" si="2"/>
        <v>-6.1199999999999992</v>
      </c>
    </row>
    <row r="21" spans="1:12" hidden="1">
      <c r="A21" s="2" t="s">
        <v>3109</v>
      </c>
      <c r="B21" s="2" t="s">
        <v>3172</v>
      </c>
      <c r="C21" s="2" t="s">
        <v>3637</v>
      </c>
      <c r="D21" s="8">
        <v>1.39</v>
      </c>
      <c r="E21" s="8">
        <v>4.13</v>
      </c>
      <c r="F21" s="8">
        <v>7.3</v>
      </c>
      <c r="G21" s="205">
        <v>3</v>
      </c>
      <c r="H21" s="205">
        <v>0</v>
      </c>
      <c r="I21" s="2">
        <f t="shared" si="3"/>
        <v>3</v>
      </c>
      <c r="J21" s="2">
        <f t="shared" si="4"/>
        <v>5.91</v>
      </c>
      <c r="K21" s="2">
        <f t="shared" si="2"/>
        <v>-5.91</v>
      </c>
    </row>
    <row r="22" spans="1:12" hidden="1">
      <c r="A22" s="2" t="s">
        <v>3109</v>
      </c>
      <c r="B22" s="2" t="s">
        <v>3373</v>
      </c>
      <c r="C22" s="2" t="s">
        <v>3652</v>
      </c>
      <c r="D22" s="8">
        <v>1.31</v>
      </c>
      <c r="E22" s="8">
        <v>4.18</v>
      </c>
      <c r="F22" s="8">
        <v>7.3</v>
      </c>
      <c r="G22" s="205">
        <v>1</v>
      </c>
      <c r="H22" s="205">
        <v>0</v>
      </c>
      <c r="I22" s="2">
        <f t="shared" si="3"/>
        <v>1</v>
      </c>
      <c r="J22" s="2">
        <f t="shared" si="4"/>
        <v>5.99</v>
      </c>
      <c r="K22" s="2">
        <f t="shared" si="2"/>
        <v>-5.99</v>
      </c>
    </row>
    <row r="23" spans="1:12" hidden="1">
      <c r="A23" s="2" t="s">
        <v>3109</v>
      </c>
      <c r="B23" s="2" t="s">
        <v>3658</v>
      </c>
      <c r="C23" s="2" t="s">
        <v>3659</v>
      </c>
      <c r="D23" s="8">
        <v>1.27</v>
      </c>
      <c r="E23" s="8">
        <v>4.62</v>
      </c>
      <c r="F23" s="8">
        <v>7.25</v>
      </c>
      <c r="G23" s="205">
        <v>5</v>
      </c>
      <c r="H23" s="205">
        <v>0</v>
      </c>
      <c r="I23" s="2">
        <f t="shared" si="3"/>
        <v>5</v>
      </c>
      <c r="J23" s="2">
        <f t="shared" si="4"/>
        <v>5.98</v>
      </c>
      <c r="K23" s="2">
        <f t="shared" si="2"/>
        <v>-5.98</v>
      </c>
    </row>
    <row r="24" spans="1:12" hidden="1">
      <c r="A24" s="2" t="s">
        <v>3109</v>
      </c>
      <c r="B24" s="2" t="s">
        <v>3325</v>
      </c>
      <c r="C24" s="2" t="s">
        <v>3639</v>
      </c>
      <c r="D24" s="8">
        <v>1.39</v>
      </c>
      <c r="E24" s="8">
        <v>4.9800000000000004</v>
      </c>
      <c r="F24" s="8">
        <v>7.2</v>
      </c>
      <c r="G24" s="205">
        <v>2</v>
      </c>
      <c r="H24" s="205">
        <v>0</v>
      </c>
      <c r="I24" s="2">
        <f t="shared" si="3"/>
        <v>2</v>
      </c>
      <c r="J24" s="2">
        <f t="shared" si="4"/>
        <v>5.8100000000000005</v>
      </c>
      <c r="K24" s="2">
        <f t="shared" si="2"/>
        <v>-5.8100000000000005</v>
      </c>
    </row>
    <row r="25" spans="1:12" hidden="1">
      <c r="A25" s="2" t="s">
        <v>3109</v>
      </c>
      <c r="B25" s="2" t="s">
        <v>3205</v>
      </c>
      <c r="C25" s="2" t="s">
        <v>3655</v>
      </c>
      <c r="D25" s="8">
        <v>1.29</v>
      </c>
      <c r="E25" s="8">
        <v>4.45</v>
      </c>
      <c r="F25" s="8">
        <v>7.2</v>
      </c>
      <c r="G25" s="205">
        <v>3</v>
      </c>
      <c r="H25" s="205">
        <v>1</v>
      </c>
      <c r="I25" s="2">
        <f t="shared" si="3"/>
        <v>2</v>
      </c>
      <c r="J25" s="2">
        <f t="shared" si="4"/>
        <v>5.91</v>
      </c>
      <c r="K25" s="2">
        <f t="shared" si="2"/>
        <v>-5.91</v>
      </c>
    </row>
    <row r="26" spans="1:12" hidden="1">
      <c r="A26" s="2" t="s">
        <v>3109</v>
      </c>
      <c r="B26" s="2" t="s">
        <v>3647</v>
      </c>
      <c r="C26" s="2" t="s">
        <v>3648</v>
      </c>
      <c r="D26" s="8">
        <v>1.35</v>
      </c>
      <c r="E26" s="8">
        <v>5.5</v>
      </c>
      <c r="F26" s="8">
        <v>7.15</v>
      </c>
      <c r="G26" s="205">
        <v>3</v>
      </c>
      <c r="H26" s="205">
        <v>0</v>
      </c>
      <c r="I26" s="2">
        <f t="shared" si="3"/>
        <v>3</v>
      </c>
      <c r="J26" s="2">
        <f t="shared" si="4"/>
        <v>5.8000000000000007</v>
      </c>
      <c r="K26" s="2">
        <f t="shared" si="2"/>
        <v>-5.8000000000000007</v>
      </c>
    </row>
    <row r="27" spans="1:12" hidden="1">
      <c r="A27" s="2" t="s">
        <v>3109</v>
      </c>
      <c r="B27" s="2" t="s">
        <v>3250</v>
      </c>
      <c r="C27" s="2" t="s">
        <v>3624</v>
      </c>
      <c r="D27" s="8">
        <v>1.46</v>
      </c>
      <c r="E27" s="8">
        <v>4.2300000000000004</v>
      </c>
      <c r="F27" s="8">
        <v>7.1</v>
      </c>
      <c r="G27" s="205">
        <v>2</v>
      </c>
      <c r="H27" s="205">
        <v>1</v>
      </c>
      <c r="I27" s="2">
        <f t="shared" si="3"/>
        <v>1</v>
      </c>
      <c r="J27" s="2">
        <f t="shared" si="4"/>
        <v>5.64</v>
      </c>
      <c r="K27" s="2">
        <f t="shared" si="2"/>
        <v>-5.64</v>
      </c>
    </row>
    <row r="28" spans="1:12" hidden="1">
      <c r="A28" s="2" t="s">
        <v>3109</v>
      </c>
      <c r="B28" s="2" t="s">
        <v>3152</v>
      </c>
      <c r="C28" s="2" t="s">
        <v>3656</v>
      </c>
      <c r="D28" s="8">
        <v>1.28</v>
      </c>
      <c r="E28" s="8">
        <v>4.63</v>
      </c>
      <c r="F28" s="8">
        <v>6.9</v>
      </c>
      <c r="G28" s="205">
        <v>4</v>
      </c>
      <c r="H28" s="205">
        <v>1</v>
      </c>
      <c r="I28" s="2">
        <f t="shared" si="3"/>
        <v>3</v>
      </c>
      <c r="J28" s="2">
        <f t="shared" si="4"/>
        <v>5.62</v>
      </c>
      <c r="K28" s="2">
        <f t="shared" si="2"/>
        <v>-5.62</v>
      </c>
    </row>
    <row r="29" spans="1:12" hidden="1">
      <c r="A29" s="2" t="s">
        <v>3109</v>
      </c>
      <c r="B29" s="2" t="s">
        <v>3146</v>
      </c>
      <c r="C29" s="2" t="s">
        <v>3627</v>
      </c>
      <c r="D29" s="8">
        <v>1.44</v>
      </c>
      <c r="E29" s="8">
        <v>3.87</v>
      </c>
      <c r="F29" s="8">
        <v>6.8</v>
      </c>
      <c r="G29" s="205">
        <v>0</v>
      </c>
      <c r="H29" s="205">
        <v>1</v>
      </c>
      <c r="I29" s="2">
        <f t="shared" si="3"/>
        <v>-1</v>
      </c>
      <c r="J29" s="2">
        <f t="shared" si="4"/>
        <v>5.3599999999999994</v>
      </c>
      <c r="K29" s="2">
        <f t="shared" si="2"/>
        <v>-5.3599999999999994</v>
      </c>
      <c r="L29" s="2" t="s">
        <v>3677</v>
      </c>
    </row>
    <row r="30" spans="1:12" hidden="1">
      <c r="A30" s="2" t="s">
        <v>3109</v>
      </c>
      <c r="B30" s="2" t="s">
        <v>3325</v>
      </c>
      <c r="C30" s="2" t="s">
        <v>3632</v>
      </c>
      <c r="D30" s="8">
        <v>1.41</v>
      </c>
      <c r="E30" s="8">
        <v>4.88</v>
      </c>
      <c r="F30" s="8">
        <v>6.75</v>
      </c>
      <c r="G30" s="205">
        <v>1</v>
      </c>
      <c r="H30" s="205">
        <v>0</v>
      </c>
      <c r="I30" s="2">
        <f t="shared" si="3"/>
        <v>1</v>
      </c>
      <c r="J30" s="2">
        <f t="shared" si="4"/>
        <v>5.34</v>
      </c>
      <c r="K30" s="2">
        <f t="shared" si="2"/>
        <v>-5.34</v>
      </c>
    </row>
    <row r="31" spans="1:12" hidden="1">
      <c r="A31" s="2" t="s">
        <v>3109</v>
      </c>
      <c r="B31" s="2" t="s">
        <v>3243</v>
      </c>
      <c r="C31" s="2" t="s">
        <v>3654</v>
      </c>
      <c r="D31" s="8">
        <v>1.31</v>
      </c>
      <c r="E31" s="8">
        <v>4.42</v>
      </c>
      <c r="F31" s="8">
        <v>6.75</v>
      </c>
      <c r="G31" s="205">
        <v>3</v>
      </c>
      <c r="H31" s="205">
        <v>1</v>
      </c>
      <c r="I31" s="2">
        <f t="shared" si="3"/>
        <v>2</v>
      </c>
      <c r="J31" s="2">
        <f t="shared" si="4"/>
        <v>5.4399999999999995</v>
      </c>
      <c r="K31" s="2">
        <f t="shared" si="2"/>
        <v>-5.4399999999999995</v>
      </c>
    </row>
    <row r="32" spans="1:12" hidden="1">
      <c r="A32" s="2" t="s">
        <v>3109</v>
      </c>
      <c r="B32" s="2" t="s">
        <v>3294</v>
      </c>
      <c r="C32" s="2" t="s">
        <v>3651</v>
      </c>
      <c r="D32" s="8">
        <v>1.32</v>
      </c>
      <c r="E32" s="8">
        <v>4.33</v>
      </c>
      <c r="F32" s="8">
        <v>6.7</v>
      </c>
      <c r="G32" s="205">
        <v>1</v>
      </c>
      <c r="H32" s="205">
        <v>1</v>
      </c>
      <c r="I32" s="2">
        <f t="shared" si="3"/>
        <v>0</v>
      </c>
      <c r="J32" s="2">
        <f t="shared" si="4"/>
        <v>5.38</v>
      </c>
      <c r="K32" s="2">
        <f t="shared" si="2"/>
        <v>-5.38</v>
      </c>
    </row>
    <row r="33" spans="1:11" hidden="1">
      <c r="A33" s="2" t="s">
        <v>3109</v>
      </c>
      <c r="B33" s="2" t="s">
        <v>3239</v>
      </c>
      <c r="C33" s="2" t="s">
        <v>3593</v>
      </c>
      <c r="D33" s="8">
        <v>1.59</v>
      </c>
      <c r="E33" s="8">
        <v>3.58</v>
      </c>
      <c r="F33" s="8">
        <v>6.65</v>
      </c>
      <c r="G33" s="205">
        <v>3</v>
      </c>
      <c r="H33" s="205">
        <v>1</v>
      </c>
      <c r="I33" s="2">
        <f t="shared" si="3"/>
        <v>2</v>
      </c>
      <c r="J33" s="2">
        <f t="shared" si="4"/>
        <v>5.0600000000000005</v>
      </c>
      <c r="K33" s="2">
        <f t="shared" si="2"/>
        <v>-5.0600000000000005</v>
      </c>
    </row>
    <row r="34" spans="1:11" hidden="1">
      <c r="A34" s="2" t="s">
        <v>3109</v>
      </c>
      <c r="B34" s="2" t="s">
        <v>3224</v>
      </c>
      <c r="C34" s="2" t="s">
        <v>3604</v>
      </c>
      <c r="D34" s="8">
        <v>1.54</v>
      </c>
      <c r="E34" s="8">
        <v>4.37</v>
      </c>
      <c r="F34" s="8">
        <v>6.6</v>
      </c>
      <c r="G34" s="205">
        <v>2</v>
      </c>
      <c r="H34" s="205">
        <v>1</v>
      </c>
      <c r="I34" s="2">
        <f t="shared" si="3"/>
        <v>1</v>
      </c>
      <c r="J34" s="2">
        <f t="shared" si="4"/>
        <v>5.0599999999999996</v>
      </c>
      <c r="K34" s="2">
        <f t="shared" si="2"/>
        <v>-5.0599999999999996</v>
      </c>
    </row>
    <row r="35" spans="1:11" hidden="1">
      <c r="A35" s="2" t="s">
        <v>3109</v>
      </c>
      <c r="B35" s="2" t="s">
        <v>3110</v>
      </c>
      <c r="C35" s="2" t="s">
        <v>3642</v>
      </c>
      <c r="D35" s="8">
        <v>1.38</v>
      </c>
      <c r="E35" s="8">
        <v>3.75</v>
      </c>
      <c r="F35" s="8">
        <v>6.6</v>
      </c>
      <c r="G35" s="205">
        <v>4</v>
      </c>
      <c r="H35" s="205">
        <v>1</v>
      </c>
      <c r="I35" s="2">
        <f t="shared" si="3"/>
        <v>3</v>
      </c>
      <c r="J35" s="2">
        <f t="shared" si="4"/>
        <v>5.22</v>
      </c>
      <c r="K35" s="2">
        <f t="shared" si="2"/>
        <v>-5.22</v>
      </c>
    </row>
    <row r="36" spans="1:11" hidden="1">
      <c r="A36" s="2" t="s">
        <v>3109</v>
      </c>
      <c r="B36" s="2" t="s">
        <v>3367</v>
      </c>
      <c r="C36" s="2" t="s">
        <v>3633</v>
      </c>
      <c r="D36" s="8">
        <v>1.4</v>
      </c>
      <c r="E36" s="8">
        <v>4.25</v>
      </c>
      <c r="F36" s="8">
        <v>6.55</v>
      </c>
      <c r="G36" s="205">
        <v>3</v>
      </c>
      <c r="H36" s="205">
        <v>0</v>
      </c>
      <c r="I36" s="2">
        <f t="shared" si="3"/>
        <v>3</v>
      </c>
      <c r="J36" s="2">
        <f t="shared" si="4"/>
        <v>5.15</v>
      </c>
      <c r="K36" s="2">
        <f t="shared" si="2"/>
        <v>-5.15</v>
      </c>
    </row>
    <row r="37" spans="1:11" hidden="1">
      <c r="A37" s="2" t="s">
        <v>3109</v>
      </c>
      <c r="B37" s="2" t="s">
        <v>3211</v>
      </c>
      <c r="C37" s="2" t="s">
        <v>3611</v>
      </c>
      <c r="D37" s="8">
        <v>1.51</v>
      </c>
      <c r="E37" s="8">
        <v>3.42</v>
      </c>
      <c r="F37" s="8">
        <v>6.5</v>
      </c>
      <c r="G37" s="205">
        <v>2</v>
      </c>
      <c r="H37" s="205">
        <v>0</v>
      </c>
      <c r="I37" s="2">
        <f t="shared" si="3"/>
        <v>2</v>
      </c>
      <c r="J37" s="2">
        <f t="shared" si="4"/>
        <v>4.99</v>
      </c>
      <c r="K37" s="2">
        <f t="shared" si="2"/>
        <v>-4.99</v>
      </c>
    </row>
    <row r="38" spans="1:11" hidden="1">
      <c r="A38" s="2" t="s">
        <v>3109</v>
      </c>
      <c r="B38" s="2" t="s">
        <v>3211</v>
      </c>
      <c r="C38" s="2" t="s">
        <v>3612</v>
      </c>
      <c r="D38" s="8">
        <v>1.51</v>
      </c>
      <c r="E38" s="8">
        <v>3.42</v>
      </c>
      <c r="F38" s="8">
        <v>6.5</v>
      </c>
      <c r="G38" s="205">
        <v>0</v>
      </c>
      <c r="H38" s="205">
        <v>0</v>
      </c>
      <c r="I38" s="2">
        <f t="shared" si="3"/>
        <v>0</v>
      </c>
      <c r="J38" s="2">
        <f t="shared" si="4"/>
        <v>4.99</v>
      </c>
      <c r="K38" s="2">
        <f t="shared" si="2"/>
        <v>-4.99</v>
      </c>
    </row>
    <row r="39" spans="1:11" hidden="1">
      <c r="A39" s="2" t="s">
        <v>3109</v>
      </c>
      <c r="B39" s="2" t="s">
        <v>3211</v>
      </c>
      <c r="C39" s="2" t="s">
        <v>3626</v>
      </c>
      <c r="D39" s="8">
        <v>1.45</v>
      </c>
      <c r="E39" s="8">
        <v>3.75</v>
      </c>
      <c r="F39" s="8">
        <v>6.5</v>
      </c>
      <c r="G39" s="205">
        <v>1</v>
      </c>
      <c r="H39" s="205">
        <v>0</v>
      </c>
      <c r="I39" s="2">
        <f t="shared" si="3"/>
        <v>1</v>
      </c>
      <c r="J39" s="2">
        <f t="shared" si="4"/>
        <v>5.05</v>
      </c>
      <c r="K39" s="2">
        <f t="shared" si="2"/>
        <v>-5.05</v>
      </c>
    </row>
    <row r="40" spans="1:11" hidden="1">
      <c r="A40" s="2" t="s">
        <v>3109</v>
      </c>
      <c r="B40" s="2" t="s">
        <v>3635</v>
      </c>
      <c r="C40" s="2" t="s">
        <v>3636</v>
      </c>
      <c r="D40" s="8">
        <v>1.39</v>
      </c>
      <c r="E40" s="8">
        <v>4.4000000000000004</v>
      </c>
      <c r="F40" s="8">
        <v>6.45</v>
      </c>
      <c r="G40" s="205">
        <v>4</v>
      </c>
      <c r="H40" s="205">
        <v>0</v>
      </c>
      <c r="I40" s="2">
        <f t="shared" si="3"/>
        <v>4</v>
      </c>
      <c r="J40" s="2">
        <f t="shared" si="4"/>
        <v>5.0600000000000005</v>
      </c>
      <c r="K40" s="2">
        <f t="shared" si="2"/>
        <v>-5.0600000000000005</v>
      </c>
    </row>
    <row r="41" spans="1:11" hidden="1">
      <c r="A41" s="2" t="s">
        <v>3109</v>
      </c>
      <c r="B41" s="2" t="s">
        <v>3148</v>
      </c>
      <c r="C41" s="2" t="s">
        <v>3646</v>
      </c>
      <c r="D41" s="8">
        <v>1.35</v>
      </c>
      <c r="E41" s="8">
        <v>4.2</v>
      </c>
      <c r="F41" s="8">
        <v>6.3</v>
      </c>
      <c r="G41" s="205">
        <v>4</v>
      </c>
      <c r="H41" s="205">
        <v>0</v>
      </c>
      <c r="I41" s="2">
        <f t="shared" si="3"/>
        <v>4</v>
      </c>
      <c r="J41" s="2">
        <f t="shared" si="4"/>
        <v>4.9499999999999993</v>
      </c>
      <c r="K41" s="2">
        <f t="shared" si="2"/>
        <v>-4.9499999999999993</v>
      </c>
    </row>
    <row r="42" spans="1:11" hidden="1">
      <c r="A42" s="2" t="s">
        <v>3109</v>
      </c>
      <c r="B42" s="2" t="s">
        <v>3267</v>
      </c>
      <c r="C42" s="2" t="s">
        <v>3641</v>
      </c>
      <c r="D42" s="8">
        <v>1.38</v>
      </c>
      <c r="E42" s="8">
        <v>3.9</v>
      </c>
      <c r="F42" s="8">
        <v>6.25</v>
      </c>
      <c r="G42" s="205">
        <v>4</v>
      </c>
      <c r="H42" s="205">
        <v>0</v>
      </c>
      <c r="I42" s="2">
        <f t="shared" si="3"/>
        <v>4</v>
      </c>
      <c r="J42" s="2">
        <f t="shared" si="4"/>
        <v>4.87</v>
      </c>
      <c r="K42" s="2">
        <f t="shared" si="2"/>
        <v>-4.87</v>
      </c>
    </row>
    <row r="43" spans="1:11" hidden="1">
      <c r="A43" s="2" t="s">
        <v>3109</v>
      </c>
      <c r="B43" s="2" t="s">
        <v>3228</v>
      </c>
      <c r="C43" s="2" t="s">
        <v>3596</v>
      </c>
      <c r="D43" s="8">
        <v>1.58</v>
      </c>
      <c r="E43" s="8">
        <v>3.77</v>
      </c>
      <c r="F43" s="8">
        <v>6.2</v>
      </c>
      <c r="G43" s="205">
        <v>0</v>
      </c>
      <c r="H43" s="205">
        <v>0</v>
      </c>
      <c r="I43" s="2">
        <f t="shared" si="3"/>
        <v>0</v>
      </c>
      <c r="J43" s="2">
        <f t="shared" si="4"/>
        <v>4.62</v>
      </c>
      <c r="K43" s="2">
        <f t="shared" si="2"/>
        <v>-4.62</v>
      </c>
    </row>
    <row r="44" spans="1:11" hidden="1">
      <c r="A44" s="2" t="s">
        <v>3109</v>
      </c>
      <c r="B44" s="2" t="s">
        <v>3110</v>
      </c>
      <c r="C44" s="2" t="s">
        <v>3634</v>
      </c>
      <c r="D44" s="8">
        <v>1.4</v>
      </c>
      <c r="E44" s="8">
        <v>3.8</v>
      </c>
      <c r="F44" s="8">
        <v>6.15</v>
      </c>
      <c r="G44" s="205">
        <v>1</v>
      </c>
      <c r="H44" s="205">
        <v>0</v>
      </c>
      <c r="I44" s="2">
        <f t="shared" si="3"/>
        <v>1</v>
      </c>
      <c r="J44" s="2">
        <f t="shared" si="4"/>
        <v>4.75</v>
      </c>
      <c r="K44" s="2">
        <f t="shared" si="2"/>
        <v>-4.75</v>
      </c>
    </row>
    <row r="45" spans="1:11" hidden="1">
      <c r="A45" s="2" t="s">
        <v>3109</v>
      </c>
      <c r="B45" s="2" t="s">
        <v>3232</v>
      </c>
      <c r="C45" s="2" t="s">
        <v>3650</v>
      </c>
      <c r="D45" s="8">
        <v>1.34</v>
      </c>
      <c r="E45" s="8">
        <v>4.3499999999999996</v>
      </c>
      <c r="F45" s="8">
        <v>6.15</v>
      </c>
      <c r="G45" s="205">
        <v>4</v>
      </c>
      <c r="H45" s="205">
        <v>0</v>
      </c>
      <c r="I45" s="2">
        <f t="shared" si="3"/>
        <v>4</v>
      </c>
      <c r="J45" s="2">
        <f t="shared" si="4"/>
        <v>4.8100000000000005</v>
      </c>
      <c r="K45" s="2">
        <f t="shared" si="2"/>
        <v>-4.8100000000000005</v>
      </c>
    </row>
    <row r="46" spans="1:11" hidden="1">
      <c r="A46" s="2" t="s">
        <v>3109</v>
      </c>
      <c r="B46" s="2" t="s">
        <v>3128</v>
      </c>
      <c r="C46" s="2" t="s">
        <v>3594</v>
      </c>
      <c r="D46" s="8">
        <v>1.59</v>
      </c>
      <c r="E46" s="8">
        <v>4.08</v>
      </c>
      <c r="F46" s="8">
        <v>6.1</v>
      </c>
      <c r="G46" s="205">
        <v>3</v>
      </c>
      <c r="H46" s="205">
        <v>0</v>
      </c>
      <c r="I46" s="2">
        <f t="shared" si="3"/>
        <v>3</v>
      </c>
      <c r="J46" s="2">
        <f t="shared" si="4"/>
        <v>4.51</v>
      </c>
      <c r="K46" s="2">
        <f t="shared" si="2"/>
        <v>-4.51</v>
      </c>
    </row>
    <row r="47" spans="1:11" hidden="1">
      <c r="A47" s="2" t="s">
        <v>3109</v>
      </c>
      <c r="B47" s="2" t="s">
        <v>3126</v>
      </c>
      <c r="C47" s="2" t="s">
        <v>3605</v>
      </c>
      <c r="D47" s="8">
        <v>1.54</v>
      </c>
      <c r="E47" s="8">
        <v>4.0199999999999996</v>
      </c>
      <c r="F47" s="8">
        <v>6.1</v>
      </c>
      <c r="G47" s="205">
        <v>2</v>
      </c>
      <c r="H47" s="205">
        <v>0</v>
      </c>
      <c r="I47" s="2">
        <f t="shared" si="3"/>
        <v>2</v>
      </c>
      <c r="J47" s="2">
        <f t="shared" si="4"/>
        <v>4.5599999999999996</v>
      </c>
      <c r="K47" s="2">
        <f t="shared" si="2"/>
        <v>-4.5599999999999996</v>
      </c>
    </row>
    <row r="48" spans="1:11" hidden="1">
      <c r="A48" s="2" t="s">
        <v>3109</v>
      </c>
      <c r="B48" s="2" t="s">
        <v>3306</v>
      </c>
      <c r="C48" s="2" t="s">
        <v>3649</v>
      </c>
      <c r="D48" s="8">
        <v>1.35</v>
      </c>
      <c r="E48" s="8">
        <v>4.28</v>
      </c>
      <c r="F48" s="8">
        <v>6.05</v>
      </c>
      <c r="G48" s="205">
        <v>2</v>
      </c>
      <c r="H48" s="205">
        <v>1</v>
      </c>
      <c r="I48" s="2">
        <f t="shared" si="3"/>
        <v>1</v>
      </c>
      <c r="J48" s="2">
        <f t="shared" si="4"/>
        <v>4.6999999999999993</v>
      </c>
      <c r="K48" s="2">
        <f t="shared" si="2"/>
        <v>-4.6999999999999993</v>
      </c>
    </row>
    <row r="49" spans="1:11" hidden="1">
      <c r="A49" s="2" t="s">
        <v>3109</v>
      </c>
      <c r="B49" s="2" t="s">
        <v>3222</v>
      </c>
      <c r="C49" s="2" t="s">
        <v>3616</v>
      </c>
      <c r="D49" s="8">
        <v>1.5</v>
      </c>
      <c r="E49" s="8">
        <v>3.32</v>
      </c>
      <c r="F49" s="8">
        <v>5.85</v>
      </c>
      <c r="G49" s="205">
        <v>2</v>
      </c>
      <c r="H49" s="205">
        <v>1</v>
      </c>
      <c r="I49" s="2">
        <f t="shared" si="3"/>
        <v>1</v>
      </c>
      <c r="J49" s="2">
        <f t="shared" si="4"/>
        <v>4.3499999999999996</v>
      </c>
      <c r="K49" s="2">
        <f t="shared" si="2"/>
        <v>-4.3499999999999996</v>
      </c>
    </row>
    <row r="50" spans="1:11" hidden="1">
      <c r="A50" s="2" t="s">
        <v>3109</v>
      </c>
      <c r="B50" s="2" t="s">
        <v>3232</v>
      </c>
      <c r="C50" s="2" t="s">
        <v>3644</v>
      </c>
      <c r="D50" s="8">
        <v>1.37</v>
      </c>
      <c r="E50" s="8">
        <v>4.25</v>
      </c>
      <c r="F50" s="8">
        <v>5.8</v>
      </c>
      <c r="G50" s="205">
        <v>4</v>
      </c>
      <c r="H50" s="205">
        <v>1</v>
      </c>
      <c r="I50" s="2">
        <f t="shared" si="3"/>
        <v>3</v>
      </c>
      <c r="J50" s="2">
        <f t="shared" si="4"/>
        <v>4.43</v>
      </c>
      <c r="K50" s="2">
        <f t="shared" si="2"/>
        <v>-4.43</v>
      </c>
    </row>
    <row r="51" spans="1:11" hidden="1">
      <c r="A51" s="2" t="s">
        <v>3109</v>
      </c>
      <c r="B51" s="2" t="s">
        <v>1686</v>
      </c>
      <c r="C51" s="2" t="s">
        <v>3554</v>
      </c>
      <c r="D51" s="8">
        <v>1.7</v>
      </c>
      <c r="E51" s="8">
        <v>3.75</v>
      </c>
      <c r="F51" s="8">
        <v>5.75</v>
      </c>
      <c r="G51" s="205">
        <v>3</v>
      </c>
      <c r="H51" s="205">
        <v>0</v>
      </c>
      <c r="I51" s="2">
        <f t="shared" si="3"/>
        <v>3</v>
      </c>
      <c r="J51" s="2">
        <f t="shared" si="4"/>
        <v>4.05</v>
      </c>
      <c r="K51" s="2">
        <f t="shared" si="2"/>
        <v>-4.05</v>
      </c>
    </row>
    <row r="52" spans="1:11" hidden="1">
      <c r="A52" s="2" t="s">
        <v>3109</v>
      </c>
      <c r="B52" s="2" t="s">
        <v>3323</v>
      </c>
      <c r="C52" s="2" t="s">
        <v>3584</v>
      </c>
      <c r="D52" s="8">
        <v>1.6</v>
      </c>
      <c r="E52" s="8">
        <v>4.3499999999999996</v>
      </c>
      <c r="F52" s="8">
        <v>5.75</v>
      </c>
      <c r="G52" s="205">
        <v>1</v>
      </c>
      <c r="H52" s="205">
        <v>1</v>
      </c>
      <c r="I52" s="2">
        <f t="shared" si="3"/>
        <v>0</v>
      </c>
      <c r="J52" s="2">
        <f t="shared" si="4"/>
        <v>4.1500000000000004</v>
      </c>
      <c r="K52" s="2">
        <f t="shared" si="2"/>
        <v>-4.1500000000000004</v>
      </c>
    </row>
    <row r="53" spans="1:11">
      <c r="A53" s="2" t="s">
        <v>3109</v>
      </c>
      <c r="B53" s="2" t="s">
        <v>3589</v>
      </c>
      <c r="C53" s="2" t="s">
        <v>3610</v>
      </c>
      <c r="D53" s="8">
        <v>1.51</v>
      </c>
      <c r="E53" s="8">
        <v>3.77</v>
      </c>
      <c r="F53" s="8">
        <v>5.75</v>
      </c>
      <c r="G53" s="205">
        <v>3</v>
      </c>
      <c r="H53" s="205">
        <v>1</v>
      </c>
      <c r="I53" s="2">
        <f t="shared" si="3"/>
        <v>2</v>
      </c>
      <c r="J53" s="2">
        <f t="shared" si="4"/>
        <v>4.24</v>
      </c>
      <c r="K53" s="2">
        <f t="shared" si="2"/>
        <v>-4.24</v>
      </c>
    </row>
    <row r="54" spans="1:11" hidden="1">
      <c r="A54" s="2" t="s">
        <v>3109</v>
      </c>
      <c r="B54" s="2" t="s">
        <v>3142</v>
      </c>
      <c r="C54" s="2" t="s">
        <v>3631</v>
      </c>
      <c r="D54" s="8">
        <v>1.42</v>
      </c>
      <c r="E54" s="8">
        <v>3.85</v>
      </c>
      <c r="F54" s="8">
        <v>5.75</v>
      </c>
      <c r="G54" s="205">
        <v>0</v>
      </c>
      <c r="H54" s="205">
        <v>1</v>
      </c>
      <c r="I54" s="2">
        <f t="shared" si="3"/>
        <v>-1</v>
      </c>
      <c r="J54" s="2">
        <f t="shared" si="4"/>
        <v>4.33</v>
      </c>
      <c r="K54" s="2">
        <f t="shared" si="2"/>
        <v>-4.33</v>
      </c>
    </row>
    <row r="55" spans="1:11" hidden="1">
      <c r="A55" s="2" t="s">
        <v>3109</v>
      </c>
      <c r="B55" s="2" t="s">
        <v>3194</v>
      </c>
      <c r="C55" s="2" t="s">
        <v>3585</v>
      </c>
      <c r="D55" s="8">
        <v>1.6</v>
      </c>
      <c r="E55" s="8">
        <v>4.2300000000000004</v>
      </c>
      <c r="F55" s="8">
        <v>5.65</v>
      </c>
      <c r="G55" s="205">
        <v>0</v>
      </c>
      <c r="H55" s="205">
        <v>1</v>
      </c>
      <c r="I55" s="2">
        <f t="shared" si="3"/>
        <v>-1</v>
      </c>
      <c r="J55" s="2">
        <f t="shared" si="4"/>
        <v>4.0500000000000007</v>
      </c>
      <c r="K55" s="2">
        <f t="shared" si="2"/>
        <v>-4.0500000000000007</v>
      </c>
    </row>
    <row r="56" spans="1:11" hidden="1">
      <c r="A56" s="2" t="s">
        <v>3109</v>
      </c>
      <c r="B56" s="2" t="s">
        <v>3124</v>
      </c>
      <c r="C56" s="2" t="s">
        <v>3643</v>
      </c>
      <c r="D56" s="8">
        <v>1.38</v>
      </c>
      <c r="E56" s="8">
        <v>4.1500000000000004</v>
      </c>
      <c r="F56" s="8">
        <v>5.65</v>
      </c>
      <c r="G56" s="205">
        <v>4</v>
      </c>
      <c r="H56" s="205">
        <v>0</v>
      </c>
      <c r="I56" s="2">
        <f t="shared" si="3"/>
        <v>4</v>
      </c>
      <c r="J56" s="2">
        <f t="shared" si="4"/>
        <v>4.2700000000000005</v>
      </c>
      <c r="K56" s="2">
        <f t="shared" si="2"/>
        <v>-4.2700000000000005</v>
      </c>
    </row>
    <row r="57" spans="1:11" hidden="1">
      <c r="A57" s="2" t="s">
        <v>3109</v>
      </c>
      <c r="B57" s="2" t="s">
        <v>3146</v>
      </c>
      <c r="C57" s="2" t="s">
        <v>3618</v>
      </c>
      <c r="D57" s="8">
        <v>1.49</v>
      </c>
      <c r="E57" s="8">
        <v>3.43</v>
      </c>
      <c r="F57" s="8">
        <v>5.6</v>
      </c>
      <c r="G57" s="205">
        <v>0</v>
      </c>
      <c r="H57" s="205">
        <v>1</v>
      </c>
      <c r="I57" s="2">
        <f t="shared" si="3"/>
        <v>-1</v>
      </c>
      <c r="J57" s="2">
        <f t="shared" si="4"/>
        <v>4.1099999999999994</v>
      </c>
      <c r="K57" s="2">
        <f t="shared" si="2"/>
        <v>-4.1099999999999994</v>
      </c>
    </row>
    <row r="58" spans="1:11" hidden="1">
      <c r="A58" s="2" t="s">
        <v>3109</v>
      </c>
      <c r="B58" s="2" t="s">
        <v>3150</v>
      </c>
      <c r="C58" s="2" t="s">
        <v>3556</v>
      </c>
      <c r="D58" s="8">
        <v>1.7</v>
      </c>
      <c r="E58" s="8">
        <v>3.47</v>
      </c>
      <c r="F58" s="8">
        <v>5.5</v>
      </c>
      <c r="G58" s="205">
        <v>1</v>
      </c>
      <c r="H58" s="205">
        <v>2</v>
      </c>
      <c r="I58" s="2">
        <f t="shared" si="3"/>
        <v>-1</v>
      </c>
      <c r="J58" s="2">
        <f t="shared" si="4"/>
        <v>3.8</v>
      </c>
      <c r="K58" s="2">
        <f t="shared" si="2"/>
        <v>-3.8</v>
      </c>
    </row>
    <row r="59" spans="1:11" hidden="1">
      <c r="A59" s="2" t="s">
        <v>3109</v>
      </c>
      <c r="B59" s="2" t="s">
        <v>3250</v>
      </c>
      <c r="C59" s="2" t="s">
        <v>3571</v>
      </c>
      <c r="D59" s="8">
        <v>1.64</v>
      </c>
      <c r="E59" s="8">
        <v>4.05</v>
      </c>
      <c r="F59" s="8">
        <v>5.5</v>
      </c>
      <c r="G59" s="205">
        <v>1</v>
      </c>
      <c r="H59" s="205">
        <v>0</v>
      </c>
      <c r="I59" s="2">
        <f t="shared" si="3"/>
        <v>1</v>
      </c>
      <c r="J59" s="2">
        <f t="shared" si="4"/>
        <v>3.8600000000000003</v>
      </c>
      <c r="K59" s="2">
        <f t="shared" si="2"/>
        <v>-3.8600000000000003</v>
      </c>
    </row>
    <row r="60" spans="1:11" hidden="1">
      <c r="A60" s="2" t="s">
        <v>3109</v>
      </c>
      <c r="B60" s="2" t="s">
        <v>3577</v>
      </c>
      <c r="C60" s="2" t="s">
        <v>3625</v>
      </c>
      <c r="D60" s="8">
        <v>1.46</v>
      </c>
      <c r="E60" s="8">
        <v>3.62</v>
      </c>
      <c r="F60" s="8">
        <v>5.5</v>
      </c>
      <c r="G60" s="205">
        <v>4</v>
      </c>
      <c r="H60" s="205">
        <v>1</v>
      </c>
      <c r="I60" s="2">
        <f t="shared" si="3"/>
        <v>3</v>
      </c>
      <c r="J60" s="2">
        <f t="shared" si="4"/>
        <v>4.04</v>
      </c>
      <c r="K60" s="2">
        <f t="shared" si="2"/>
        <v>-4.04</v>
      </c>
    </row>
    <row r="61" spans="1:11" hidden="1">
      <c r="A61" s="2" t="s">
        <v>3109</v>
      </c>
      <c r="B61" s="2" t="s">
        <v>3333</v>
      </c>
      <c r="C61" s="2" t="s">
        <v>3557</v>
      </c>
      <c r="D61" s="8">
        <v>1.69</v>
      </c>
      <c r="E61" s="8">
        <v>3.8</v>
      </c>
      <c r="F61" s="8">
        <v>5.45</v>
      </c>
      <c r="G61" s="205">
        <v>1</v>
      </c>
      <c r="H61" s="205">
        <v>2</v>
      </c>
      <c r="I61" s="2">
        <f t="shared" si="3"/>
        <v>-1</v>
      </c>
      <c r="J61" s="2">
        <f t="shared" si="4"/>
        <v>3.7600000000000002</v>
      </c>
      <c r="K61" s="2">
        <f t="shared" si="2"/>
        <v>-3.7600000000000002</v>
      </c>
    </row>
    <row r="62" spans="1:11" hidden="1">
      <c r="A62" s="2" t="s">
        <v>3109</v>
      </c>
      <c r="B62" s="2" t="s">
        <v>3575</v>
      </c>
      <c r="C62" s="2" t="s">
        <v>3576</v>
      </c>
      <c r="D62" s="8">
        <v>1.63</v>
      </c>
      <c r="E62" s="8">
        <v>2.95</v>
      </c>
      <c r="F62" s="8">
        <v>5.4</v>
      </c>
      <c r="G62" s="205">
        <v>0</v>
      </c>
      <c r="H62" s="205">
        <v>1</v>
      </c>
      <c r="I62" s="2">
        <f t="shared" si="3"/>
        <v>-1</v>
      </c>
      <c r="J62" s="2">
        <f t="shared" si="4"/>
        <v>3.7700000000000005</v>
      </c>
      <c r="K62" s="2">
        <f t="shared" si="2"/>
        <v>-3.7700000000000005</v>
      </c>
    </row>
    <row r="63" spans="1:11" hidden="1">
      <c r="A63" s="2" t="s">
        <v>3109</v>
      </c>
      <c r="B63" s="2" t="s">
        <v>3197</v>
      </c>
      <c r="C63" s="2" t="s">
        <v>3562</v>
      </c>
      <c r="D63" s="8">
        <v>1.68</v>
      </c>
      <c r="E63" s="8">
        <v>3.88</v>
      </c>
      <c r="F63" s="8">
        <v>5.35</v>
      </c>
      <c r="G63" s="205">
        <v>1</v>
      </c>
      <c r="H63" s="205">
        <v>1</v>
      </c>
      <c r="I63" s="2">
        <f t="shared" si="3"/>
        <v>0</v>
      </c>
      <c r="J63" s="2">
        <f t="shared" si="4"/>
        <v>3.67</v>
      </c>
      <c r="K63" s="2">
        <f t="shared" si="2"/>
        <v>-3.67</v>
      </c>
    </row>
    <row r="64" spans="1:11" hidden="1">
      <c r="A64" s="2" t="s">
        <v>3109</v>
      </c>
      <c r="B64" s="2" t="s">
        <v>3144</v>
      </c>
      <c r="C64" s="2" t="s">
        <v>3629</v>
      </c>
      <c r="D64" s="8">
        <v>1.43</v>
      </c>
      <c r="E64" s="8">
        <v>3.92</v>
      </c>
      <c r="F64" s="8">
        <v>5.35</v>
      </c>
      <c r="G64" s="205">
        <v>2</v>
      </c>
      <c r="H64" s="205">
        <v>1</v>
      </c>
      <c r="I64" s="2">
        <f t="shared" si="3"/>
        <v>1</v>
      </c>
      <c r="J64" s="2">
        <f t="shared" si="4"/>
        <v>3.92</v>
      </c>
      <c r="K64" s="2">
        <f t="shared" si="2"/>
        <v>-3.92</v>
      </c>
    </row>
    <row r="65" spans="1:11" hidden="1">
      <c r="A65" s="2" t="s">
        <v>3109</v>
      </c>
      <c r="B65" s="2" t="s">
        <v>3110</v>
      </c>
      <c r="C65" s="2" t="s">
        <v>3615</v>
      </c>
      <c r="D65" s="8">
        <v>1.5</v>
      </c>
      <c r="E65" s="8">
        <v>3.5</v>
      </c>
      <c r="F65" s="8">
        <v>5.25</v>
      </c>
      <c r="G65" s="205">
        <v>1</v>
      </c>
      <c r="H65" s="205">
        <v>1</v>
      </c>
      <c r="I65" s="2">
        <f t="shared" si="3"/>
        <v>0</v>
      </c>
      <c r="J65" s="2">
        <f t="shared" si="4"/>
        <v>3.75</v>
      </c>
      <c r="K65" s="2">
        <f t="shared" si="2"/>
        <v>-3.75</v>
      </c>
    </row>
    <row r="66" spans="1:11" hidden="1">
      <c r="A66" s="2" t="s">
        <v>3109</v>
      </c>
      <c r="B66" s="2" t="s">
        <v>3144</v>
      </c>
      <c r="C66" s="2" t="s">
        <v>3628</v>
      </c>
      <c r="D66" s="8">
        <v>1.44</v>
      </c>
      <c r="E66" s="8">
        <v>3.93</v>
      </c>
      <c r="F66" s="8">
        <v>5.25</v>
      </c>
      <c r="G66" s="205">
        <v>3</v>
      </c>
      <c r="H66" s="205">
        <v>0</v>
      </c>
      <c r="I66" s="2">
        <f t="shared" si="3"/>
        <v>3</v>
      </c>
      <c r="J66" s="2">
        <f t="shared" si="4"/>
        <v>3.81</v>
      </c>
      <c r="K66" s="2">
        <f t="shared" ref="K66:K129" si="5">+D66-F66</f>
        <v>-3.81</v>
      </c>
    </row>
    <row r="67" spans="1:11" hidden="1">
      <c r="A67" s="2" t="s">
        <v>3109</v>
      </c>
      <c r="B67" s="2" t="s">
        <v>3502</v>
      </c>
      <c r="C67" s="2" t="s">
        <v>3563</v>
      </c>
      <c r="D67" s="8">
        <v>1.67</v>
      </c>
      <c r="E67" s="8">
        <v>4</v>
      </c>
      <c r="F67" s="8">
        <v>5.2</v>
      </c>
      <c r="G67" s="205">
        <v>1</v>
      </c>
      <c r="H67" s="205">
        <v>0</v>
      </c>
      <c r="I67" s="2">
        <f t="shared" ref="I67:I130" si="6">+G67-H67</f>
        <v>1</v>
      </c>
      <c r="J67" s="2">
        <f t="shared" ref="J67:J130" si="7">ABS(+D67-F67)</f>
        <v>3.5300000000000002</v>
      </c>
      <c r="K67" s="2">
        <f t="shared" si="5"/>
        <v>-3.5300000000000002</v>
      </c>
    </row>
    <row r="68" spans="1:11" hidden="1">
      <c r="A68" s="2" t="s">
        <v>3109</v>
      </c>
      <c r="B68" s="2" t="s">
        <v>3325</v>
      </c>
      <c r="C68" s="2" t="s">
        <v>3592</v>
      </c>
      <c r="D68" s="8">
        <v>1.59</v>
      </c>
      <c r="E68" s="8">
        <v>4.2</v>
      </c>
      <c r="F68" s="8">
        <v>5.2</v>
      </c>
      <c r="G68" s="205">
        <v>0</v>
      </c>
      <c r="H68" s="205">
        <v>0</v>
      </c>
      <c r="I68" s="2">
        <f t="shared" si="6"/>
        <v>0</v>
      </c>
      <c r="J68" s="2">
        <f t="shared" si="7"/>
        <v>3.6100000000000003</v>
      </c>
      <c r="K68" s="2">
        <f t="shared" si="5"/>
        <v>-3.6100000000000003</v>
      </c>
    </row>
    <row r="69" spans="1:11" hidden="1">
      <c r="A69" s="2" t="s">
        <v>3109</v>
      </c>
      <c r="B69" s="2" t="s">
        <v>3492</v>
      </c>
      <c r="C69" s="2" t="s">
        <v>3583</v>
      </c>
      <c r="D69" s="8">
        <v>1.6</v>
      </c>
      <c r="E69" s="8">
        <v>3.58</v>
      </c>
      <c r="F69" s="8">
        <v>5.15</v>
      </c>
      <c r="G69" s="205">
        <v>1</v>
      </c>
      <c r="H69" s="205">
        <v>2</v>
      </c>
      <c r="I69" s="2">
        <f t="shared" si="6"/>
        <v>-1</v>
      </c>
      <c r="J69" s="2">
        <f t="shared" si="7"/>
        <v>3.5500000000000003</v>
      </c>
      <c r="K69" s="2">
        <f t="shared" si="5"/>
        <v>-3.5500000000000003</v>
      </c>
    </row>
    <row r="70" spans="1:11" hidden="1">
      <c r="A70" s="2" t="s">
        <v>3109</v>
      </c>
      <c r="B70" s="2" t="s">
        <v>3110</v>
      </c>
      <c r="C70" s="2" t="s">
        <v>3609</v>
      </c>
      <c r="D70" s="8">
        <v>1.52</v>
      </c>
      <c r="E70" s="8">
        <v>3.5</v>
      </c>
      <c r="F70" s="8">
        <v>5.15</v>
      </c>
      <c r="G70" s="205">
        <v>2</v>
      </c>
      <c r="H70" s="205">
        <v>1</v>
      </c>
      <c r="I70" s="2">
        <f t="shared" si="6"/>
        <v>1</v>
      </c>
      <c r="J70" s="2">
        <f t="shared" si="7"/>
        <v>3.6300000000000003</v>
      </c>
      <c r="K70" s="2">
        <f t="shared" si="5"/>
        <v>-3.6300000000000003</v>
      </c>
    </row>
    <row r="71" spans="1:11" hidden="1">
      <c r="A71" s="2" t="s">
        <v>3109</v>
      </c>
      <c r="B71" s="2" t="s">
        <v>3228</v>
      </c>
      <c r="C71" s="2" t="s">
        <v>3534</v>
      </c>
      <c r="D71" s="8">
        <v>1.74</v>
      </c>
      <c r="E71" s="8">
        <v>3.43</v>
      </c>
      <c r="F71" s="8">
        <v>5.0999999999999996</v>
      </c>
      <c r="G71" s="205">
        <v>1</v>
      </c>
      <c r="H71" s="205">
        <v>1</v>
      </c>
      <c r="I71" s="2">
        <f t="shared" si="6"/>
        <v>0</v>
      </c>
      <c r="J71" s="2">
        <f t="shared" si="7"/>
        <v>3.3599999999999994</v>
      </c>
      <c r="K71" s="2">
        <f t="shared" si="5"/>
        <v>-3.3599999999999994</v>
      </c>
    </row>
    <row r="72" spans="1:11" hidden="1">
      <c r="A72" s="2" t="s">
        <v>3109</v>
      </c>
      <c r="B72" s="2" t="s">
        <v>3124</v>
      </c>
      <c r="C72" s="2" t="s">
        <v>3623</v>
      </c>
      <c r="D72" s="8">
        <v>1.48</v>
      </c>
      <c r="E72" s="8">
        <v>3.7</v>
      </c>
      <c r="F72" s="8">
        <v>5.0999999999999996</v>
      </c>
      <c r="G72" s="205">
        <v>1</v>
      </c>
      <c r="H72" s="205">
        <v>1</v>
      </c>
      <c r="I72" s="2">
        <f t="shared" si="6"/>
        <v>0</v>
      </c>
      <c r="J72" s="2">
        <f t="shared" si="7"/>
        <v>3.6199999999999997</v>
      </c>
      <c r="K72" s="2">
        <f t="shared" si="5"/>
        <v>-3.6199999999999997</v>
      </c>
    </row>
    <row r="73" spans="1:11" hidden="1">
      <c r="A73" s="2" t="s">
        <v>3109</v>
      </c>
      <c r="B73" s="2" t="s">
        <v>3110</v>
      </c>
      <c r="C73" s="2" t="s">
        <v>3638</v>
      </c>
      <c r="D73" s="8">
        <v>1.39</v>
      </c>
      <c r="E73" s="8">
        <v>4.43</v>
      </c>
      <c r="F73" s="8">
        <v>5.0999999999999996</v>
      </c>
      <c r="G73" s="205">
        <v>2</v>
      </c>
      <c r="H73" s="205">
        <v>1</v>
      </c>
      <c r="I73" s="2">
        <f t="shared" si="6"/>
        <v>1</v>
      </c>
      <c r="J73" s="2">
        <f t="shared" si="7"/>
        <v>3.71</v>
      </c>
      <c r="K73" s="2">
        <f t="shared" si="5"/>
        <v>-3.71</v>
      </c>
    </row>
    <row r="74" spans="1:11" hidden="1">
      <c r="A74" s="2" t="s">
        <v>3109</v>
      </c>
      <c r="B74" s="2" t="s">
        <v>3257</v>
      </c>
      <c r="C74" s="2" t="s">
        <v>3518</v>
      </c>
      <c r="D74" s="8">
        <v>1.79</v>
      </c>
      <c r="E74" s="8">
        <v>3.3</v>
      </c>
      <c r="F74" s="8">
        <v>5.05</v>
      </c>
      <c r="G74" s="205">
        <v>3</v>
      </c>
      <c r="H74" s="205">
        <v>1</v>
      </c>
      <c r="I74" s="2">
        <f t="shared" si="6"/>
        <v>2</v>
      </c>
      <c r="J74" s="2">
        <f t="shared" si="7"/>
        <v>3.26</v>
      </c>
      <c r="K74" s="2">
        <f t="shared" si="5"/>
        <v>-3.26</v>
      </c>
    </row>
    <row r="75" spans="1:11" hidden="1">
      <c r="A75" s="2" t="s">
        <v>3109</v>
      </c>
      <c r="B75" s="2" t="s">
        <v>3201</v>
      </c>
      <c r="C75" s="2" t="s">
        <v>3547</v>
      </c>
      <c r="D75" s="8">
        <v>1.72</v>
      </c>
      <c r="E75" s="8">
        <v>3.57</v>
      </c>
      <c r="F75" s="8">
        <v>5.05</v>
      </c>
      <c r="G75" s="205">
        <v>0</v>
      </c>
      <c r="H75" s="205">
        <v>2</v>
      </c>
      <c r="I75" s="2">
        <f t="shared" si="6"/>
        <v>-2</v>
      </c>
      <c r="J75" s="2">
        <f t="shared" si="7"/>
        <v>3.33</v>
      </c>
      <c r="K75" s="2">
        <f t="shared" si="5"/>
        <v>-3.33</v>
      </c>
    </row>
    <row r="76" spans="1:11" hidden="1">
      <c r="A76" s="2" t="s">
        <v>3109</v>
      </c>
      <c r="B76" s="2" t="s">
        <v>3199</v>
      </c>
      <c r="C76" s="2" t="s">
        <v>3607</v>
      </c>
      <c r="D76" s="8">
        <v>1.52</v>
      </c>
      <c r="E76" s="8">
        <v>3.98</v>
      </c>
      <c r="F76" s="8">
        <v>5</v>
      </c>
      <c r="G76" s="205">
        <v>2</v>
      </c>
      <c r="H76" s="205">
        <v>1</v>
      </c>
      <c r="I76" s="2">
        <f t="shared" si="6"/>
        <v>1</v>
      </c>
      <c r="J76" s="2">
        <f t="shared" si="7"/>
        <v>3.48</v>
      </c>
      <c r="K76" s="2">
        <f t="shared" si="5"/>
        <v>-3.48</v>
      </c>
    </row>
    <row r="77" spans="1:11" hidden="1">
      <c r="A77" s="2" t="s">
        <v>3109</v>
      </c>
      <c r="B77" s="2" t="s">
        <v>3422</v>
      </c>
      <c r="C77" s="2" t="s">
        <v>3546</v>
      </c>
      <c r="D77" s="8">
        <v>1.72</v>
      </c>
      <c r="E77" s="8">
        <v>4.03</v>
      </c>
      <c r="F77" s="8">
        <v>4.97</v>
      </c>
      <c r="G77" s="205">
        <v>0</v>
      </c>
      <c r="H77" s="205">
        <v>0</v>
      </c>
      <c r="I77" s="2">
        <f t="shared" si="6"/>
        <v>0</v>
      </c>
      <c r="J77" s="2">
        <f t="shared" si="7"/>
        <v>3.25</v>
      </c>
      <c r="K77" s="2">
        <f t="shared" si="5"/>
        <v>-3.25</v>
      </c>
    </row>
    <row r="78" spans="1:11">
      <c r="A78" s="2" t="s">
        <v>3109</v>
      </c>
      <c r="B78" s="2" t="s">
        <v>3589</v>
      </c>
      <c r="C78" s="2" t="s">
        <v>3590</v>
      </c>
      <c r="D78" s="8">
        <v>1.59</v>
      </c>
      <c r="E78" s="8">
        <v>3.68</v>
      </c>
      <c r="F78" s="8">
        <v>4.97</v>
      </c>
      <c r="G78" s="205">
        <v>3</v>
      </c>
      <c r="H78" s="205">
        <v>1</v>
      </c>
      <c r="I78" s="2">
        <f t="shared" si="6"/>
        <v>2</v>
      </c>
      <c r="J78" s="2">
        <f t="shared" si="7"/>
        <v>3.38</v>
      </c>
      <c r="K78" s="2">
        <f t="shared" si="5"/>
        <v>-3.38</v>
      </c>
    </row>
    <row r="79" spans="1:11" hidden="1">
      <c r="A79" s="2" t="s">
        <v>3109</v>
      </c>
      <c r="B79" s="2" t="s">
        <v>3110</v>
      </c>
      <c r="C79" s="2" t="s">
        <v>3580</v>
      </c>
      <c r="D79" s="8">
        <v>1.62</v>
      </c>
      <c r="E79" s="8">
        <v>3.1</v>
      </c>
      <c r="F79" s="8">
        <v>4.93</v>
      </c>
      <c r="G79" s="205">
        <v>0</v>
      </c>
      <c r="H79" s="205">
        <v>2</v>
      </c>
      <c r="I79" s="2">
        <f t="shared" si="6"/>
        <v>-2</v>
      </c>
      <c r="J79" s="2">
        <f t="shared" si="7"/>
        <v>3.3099999999999996</v>
      </c>
      <c r="K79" s="2">
        <f t="shared" si="5"/>
        <v>-3.3099999999999996</v>
      </c>
    </row>
    <row r="80" spans="1:11" hidden="1">
      <c r="A80" s="2" t="s">
        <v>3109</v>
      </c>
      <c r="B80" s="2" t="s">
        <v>3110</v>
      </c>
      <c r="C80" s="2" t="s">
        <v>3591</v>
      </c>
      <c r="D80" s="8">
        <v>1.59</v>
      </c>
      <c r="E80" s="8">
        <v>3.23</v>
      </c>
      <c r="F80" s="8">
        <v>4.93</v>
      </c>
      <c r="G80" s="205">
        <v>3</v>
      </c>
      <c r="H80" s="205">
        <v>1</v>
      </c>
      <c r="I80" s="2">
        <f t="shared" si="6"/>
        <v>2</v>
      </c>
      <c r="J80" s="2">
        <f t="shared" si="7"/>
        <v>3.34</v>
      </c>
      <c r="K80" s="2">
        <f t="shared" si="5"/>
        <v>-3.34</v>
      </c>
    </row>
    <row r="81" spans="1:11" hidden="1">
      <c r="A81" s="2" t="s">
        <v>3109</v>
      </c>
      <c r="B81" s="2" t="s">
        <v>3167</v>
      </c>
      <c r="C81" s="2" t="s">
        <v>3602</v>
      </c>
      <c r="D81" s="8">
        <v>1.55</v>
      </c>
      <c r="E81" s="8">
        <v>3.42</v>
      </c>
      <c r="F81" s="8">
        <v>4.93</v>
      </c>
      <c r="G81" s="205">
        <v>3</v>
      </c>
      <c r="H81" s="205">
        <v>1</v>
      </c>
      <c r="I81" s="2">
        <f t="shared" si="6"/>
        <v>2</v>
      </c>
      <c r="J81" s="2">
        <f t="shared" si="7"/>
        <v>3.38</v>
      </c>
      <c r="K81" s="2">
        <f t="shared" si="5"/>
        <v>-3.38</v>
      </c>
    </row>
    <row r="82" spans="1:11" hidden="1">
      <c r="A82" s="2" t="s">
        <v>3109</v>
      </c>
      <c r="B82" s="2" t="s">
        <v>3621</v>
      </c>
      <c r="C82" s="2" t="s">
        <v>3622</v>
      </c>
      <c r="D82" s="8">
        <v>1.48</v>
      </c>
      <c r="E82" s="8">
        <v>3.83</v>
      </c>
      <c r="F82" s="8">
        <v>4.93</v>
      </c>
      <c r="G82" s="205">
        <v>1</v>
      </c>
      <c r="H82" s="205">
        <v>1</v>
      </c>
      <c r="I82" s="2">
        <f t="shared" si="6"/>
        <v>0</v>
      </c>
      <c r="J82" s="2">
        <f t="shared" si="7"/>
        <v>3.4499999999999997</v>
      </c>
      <c r="K82" s="2">
        <f t="shared" si="5"/>
        <v>-3.4499999999999997</v>
      </c>
    </row>
    <row r="83" spans="1:11" hidden="1">
      <c r="A83" s="2" t="s">
        <v>3109</v>
      </c>
      <c r="B83" s="2" t="s">
        <v>3239</v>
      </c>
      <c r="C83" s="2" t="s">
        <v>3514</v>
      </c>
      <c r="D83" s="8">
        <v>1.8</v>
      </c>
      <c r="E83" s="8">
        <v>3.33</v>
      </c>
      <c r="F83" s="8">
        <v>4.88</v>
      </c>
      <c r="G83" s="205">
        <v>1</v>
      </c>
      <c r="H83" s="205">
        <v>1</v>
      </c>
      <c r="I83" s="2">
        <f t="shared" si="6"/>
        <v>0</v>
      </c>
      <c r="J83" s="2">
        <f t="shared" si="7"/>
        <v>3.08</v>
      </c>
      <c r="K83" s="2">
        <f t="shared" si="5"/>
        <v>-3.08</v>
      </c>
    </row>
    <row r="84" spans="1:11" hidden="1">
      <c r="A84" s="2" t="s">
        <v>3109</v>
      </c>
      <c r="B84" s="2" t="s">
        <v>3182</v>
      </c>
      <c r="C84" s="2" t="s">
        <v>3531</v>
      </c>
      <c r="D84" s="8">
        <v>1.74</v>
      </c>
      <c r="E84" s="8">
        <v>3.58</v>
      </c>
      <c r="F84" s="8">
        <v>4.87</v>
      </c>
      <c r="G84" s="205">
        <v>3</v>
      </c>
      <c r="H84" s="205">
        <v>0</v>
      </c>
      <c r="I84" s="2">
        <f t="shared" si="6"/>
        <v>3</v>
      </c>
      <c r="J84" s="2">
        <f t="shared" si="7"/>
        <v>3.13</v>
      </c>
      <c r="K84" s="2">
        <f t="shared" si="5"/>
        <v>-3.13</v>
      </c>
    </row>
    <row r="85" spans="1:11" hidden="1">
      <c r="A85" s="2" t="s">
        <v>3109</v>
      </c>
      <c r="B85" s="2" t="s">
        <v>3306</v>
      </c>
      <c r="C85" s="2" t="s">
        <v>3613</v>
      </c>
      <c r="D85" s="8">
        <v>1.51</v>
      </c>
      <c r="E85" s="8">
        <v>3.67</v>
      </c>
      <c r="F85" s="8">
        <v>4.8499999999999996</v>
      </c>
      <c r="G85" s="205">
        <v>1</v>
      </c>
      <c r="H85" s="205">
        <v>0</v>
      </c>
      <c r="I85" s="2">
        <f t="shared" si="6"/>
        <v>1</v>
      </c>
      <c r="J85" s="2">
        <f t="shared" si="7"/>
        <v>3.34</v>
      </c>
      <c r="K85" s="2">
        <f t="shared" si="5"/>
        <v>-3.34</v>
      </c>
    </row>
    <row r="86" spans="1:11" hidden="1">
      <c r="A86" s="2" t="s">
        <v>3109</v>
      </c>
      <c r="B86" s="2" t="s">
        <v>3220</v>
      </c>
      <c r="C86" s="2" t="s">
        <v>3617</v>
      </c>
      <c r="D86" s="8">
        <v>1.49</v>
      </c>
      <c r="E86" s="8">
        <v>3.83</v>
      </c>
      <c r="F86" s="8">
        <v>4.83</v>
      </c>
      <c r="G86" s="205">
        <v>2</v>
      </c>
      <c r="H86" s="205">
        <v>1</v>
      </c>
      <c r="I86" s="2">
        <f t="shared" si="6"/>
        <v>1</v>
      </c>
      <c r="J86" s="2">
        <f t="shared" si="7"/>
        <v>3.34</v>
      </c>
      <c r="K86" s="2">
        <f t="shared" si="5"/>
        <v>-3.34</v>
      </c>
    </row>
    <row r="87" spans="1:11" hidden="1">
      <c r="A87" s="2" t="s">
        <v>3109</v>
      </c>
      <c r="B87" s="2" t="s">
        <v>3174</v>
      </c>
      <c r="C87" s="2" t="s">
        <v>3521</v>
      </c>
      <c r="D87" s="8">
        <v>1.77</v>
      </c>
      <c r="E87" s="8">
        <v>3.88</v>
      </c>
      <c r="F87" s="8">
        <v>4.82</v>
      </c>
      <c r="G87" s="205">
        <v>2</v>
      </c>
      <c r="H87" s="205">
        <v>0</v>
      </c>
      <c r="I87" s="2">
        <f t="shared" si="6"/>
        <v>2</v>
      </c>
      <c r="J87" s="2">
        <f t="shared" si="7"/>
        <v>3.0500000000000003</v>
      </c>
      <c r="K87" s="2">
        <f t="shared" si="5"/>
        <v>-3.0500000000000003</v>
      </c>
    </row>
    <row r="88" spans="1:11" hidden="1">
      <c r="A88" s="2" t="s">
        <v>3109</v>
      </c>
      <c r="B88" s="2" t="s">
        <v>3110</v>
      </c>
      <c r="C88" s="2" t="s">
        <v>3608</v>
      </c>
      <c r="D88" s="8">
        <v>1.52</v>
      </c>
      <c r="E88" s="8">
        <v>3.67</v>
      </c>
      <c r="F88" s="8">
        <v>4.82</v>
      </c>
      <c r="G88" s="205">
        <v>3</v>
      </c>
      <c r="H88" s="205">
        <v>0</v>
      </c>
      <c r="I88" s="2">
        <f t="shared" si="6"/>
        <v>3</v>
      </c>
      <c r="J88" s="2">
        <f t="shared" si="7"/>
        <v>3.3000000000000003</v>
      </c>
      <c r="K88" s="2">
        <f t="shared" si="5"/>
        <v>-3.3000000000000003</v>
      </c>
    </row>
    <row r="89" spans="1:11" hidden="1">
      <c r="A89" s="2" t="s">
        <v>3109</v>
      </c>
      <c r="B89" s="2" t="s">
        <v>3450</v>
      </c>
      <c r="C89" s="2" t="s">
        <v>3541</v>
      </c>
      <c r="D89" s="8">
        <v>1.73</v>
      </c>
      <c r="E89" s="8">
        <v>4.0999999999999996</v>
      </c>
      <c r="F89" s="8">
        <v>4.8</v>
      </c>
      <c r="G89" s="205">
        <v>0</v>
      </c>
      <c r="H89" s="205">
        <v>2</v>
      </c>
      <c r="I89" s="2">
        <f t="shared" si="6"/>
        <v>-2</v>
      </c>
      <c r="J89" s="2">
        <f t="shared" si="7"/>
        <v>3.07</v>
      </c>
      <c r="K89" s="2">
        <f t="shared" si="5"/>
        <v>-3.07</v>
      </c>
    </row>
    <row r="90" spans="1:11" hidden="1">
      <c r="A90" s="2" t="s">
        <v>3109</v>
      </c>
      <c r="B90" s="2" t="s">
        <v>3167</v>
      </c>
      <c r="C90" s="2" t="s">
        <v>3579</v>
      </c>
      <c r="D90" s="8">
        <v>1.62</v>
      </c>
      <c r="E90" s="8">
        <v>3.18</v>
      </c>
      <c r="F90" s="8">
        <v>4.8</v>
      </c>
      <c r="G90" s="205">
        <v>2</v>
      </c>
      <c r="H90" s="205">
        <v>0</v>
      </c>
      <c r="I90" s="2">
        <f t="shared" si="6"/>
        <v>2</v>
      </c>
      <c r="J90" s="2">
        <f t="shared" si="7"/>
        <v>3.1799999999999997</v>
      </c>
      <c r="K90" s="2">
        <f t="shared" si="5"/>
        <v>-3.1799999999999997</v>
      </c>
    </row>
    <row r="91" spans="1:11" hidden="1">
      <c r="A91" s="2" t="s">
        <v>3109</v>
      </c>
      <c r="B91" s="2" t="s">
        <v>3158</v>
      </c>
      <c r="C91" s="2" t="s">
        <v>3510</v>
      </c>
      <c r="D91" s="8">
        <v>1.83</v>
      </c>
      <c r="E91" s="8">
        <v>3.55</v>
      </c>
      <c r="F91" s="8">
        <v>4.7699999999999996</v>
      </c>
      <c r="G91" s="205">
        <v>0</v>
      </c>
      <c r="H91" s="205">
        <v>2</v>
      </c>
      <c r="I91" s="2">
        <f t="shared" si="6"/>
        <v>-2</v>
      </c>
      <c r="J91" s="2">
        <f t="shared" si="7"/>
        <v>2.9399999999999995</v>
      </c>
      <c r="K91" s="2">
        <f t="shared" si="5"/>
        <v>-2.9399999999999995</v>
      </c>
    </row>
    <row r="92" spans="1:11" hidden="1">
      <c r="A92" s="2" t="s">
        <v>3109</v>
      </c>
      <c r="B92" s="2" t="s">
        <v>3586</v>
      </c>
      <c r="C92" s="2" t="s">
        <v>3587</v>
      </c>
      <c r="D92" s="8">
        <v>1.6</v>
      </c>
      <c r="E92" s="8">
        <v>3.27</v>
      </c>
      <c r="F92" s="8">
        <v>4.75</v>
      </c>
      <c r="G92" s="205">
        <v>1</v>
      </c>
      <c r="H92" s="205">
        <v>1</v>
      </c>
      <c r="I92" s="2">
        <f t="shared" si="6"/>
        <v>0</v>
      </c>
      <c r="J92" s="2">
        <f t="shared" si="7"/>
        <v>3.15</v>
      </c>
      <c r="K92" s="2">
        <f t="shared" si="5"/>
        <v>-3.15</v>
      </c>
    </row>
    <row r="93" spans="1:11" hidden="1">
      <c r="A93" s="2" t="s">
        <v>3109</v>
      </c>
      <c r="B93" s="2" t="s">
        <v>3340</v>
      </c>
      <c r="C93" s="2" t="s">
        <v>3550</v>
      </c>
      <c r="D93" s="8">
        <v>1.71</v>
      </c>
      <c r="E93" s="8">
        <v>3.77</v>
      </c>
      <c r="F93" s="8">
        <v>4.7300000000000004</v>
      </c>
      <c r="G93" s="205">
        <v>3</v>
      </c>
      <c r="H93" s="205">
        <v>1</v>
      </c>
      <c r="I93" s="2">
        <f t="shared" si="6"/>
        <v>2</v>
      </c>
      <c r="J93" s="2">
        <f t="shared" si="7"/>
        <v>3.0200000000000005</v>
      </c>
      <c r="K93" s="2">
        <f t="shared" si="5"/>
        <v>-3.0200000000000005</v>
      </c>
    </row>
    <row r="94" spans="1:11" hidden="1">
      <c r="A94" s="2" t="s">
        <v>3109</v>
      </c>
      <c r="B94" s="2" t="s">
        <v>3492</v>
      </c>
      <c r="C94" s="2" t="s">
        <v>3599</v>
      </c>
      <c r="D94" s="8">
        <v>1.56</v>
      </c>
      <c r="E94" s="8">
        <v>3.48</v>
      </c>
      <c r="F94" s="8">
        <v>4.7300000000000004</v>
      </c>
      <c r="G94" s="205">
        <v>3</v>
      </c>
      <c r="H94" s="205">
        <v>1</v>
      </c>
      <c r="I94" s="2">
        <f t="shared" si="6"/>
        <v>2</v>
      </c>
      <c r="J94" s="2">
        <f t="shared" si="7"/>
        <v>3.1700000000000004</v>
      </c>
      <c r="K94" s="2">
        <f t="shared" si="5"/>
        <v>-3.1700000000000004</v>
      </c>
    </row>
    <row r="95" spans="1:11" hidden="1">
      <c r="A95" s="2" t="s">
        <v>3109</v>
      </c>
      <c r="B95" s="2" t="s">
        <v>3309</v>
      </c>
      <c r="C95" s="2" t="s">
        <v>3567</v>
      </c>
      <c r="D95" s="8">
        <v>1.66</v>
      </c>
      <c r="E95" s="8">
        <v>3.4</v>
      </c>
      <c r="F95" s="8">
        <v>4.7</v>
      </c>
      <c r="G95" s="205">
        <v>2</v>
      </c>
      <c r="H95" s="205">
        <v>1</v>
      </c>
      <c r="I95" s="2">
        <f t="shared" si="6"/>
        <v>1</v>
      </c>
      <c r="J95" s="2">
        <f t="shared" si="7"/>
        <v>3.04</v>
      </c>
      <c r="K95" s="2">
        <f t="shared" si="5"/>
        <v>-3.04</v>
      </c>
    </row>
    <row r="96" spans="1:11" hidden="1">
      <c r="A96" s="2" t="s">
        <v>3109</v>
      </c>
      <c r="B96" s="2" t="s">
        <v>3477</v>
      </c>
      <c r="C96" s="2" t="s">
        <v>3606</v>
      </c>
      <c r="D96" s="8">
        <v>1.53</v>
      </c>
      <c r="E96" s="8">
        <v>3.63</v>
      </c>
      <c r="F96" s="8">
        <v>4.68</v>
      </c>
      <c r="G96" s="205">
        <v>3</v>
      </c>
      <c r="H96" s="205">
        <v>0</v>
      </c>
      <c r="I96" s="2">
        <f t="shared" si="6"/>
        <v>3</v>
      </c>
      <c r="J96" s="2">
        <f t="shared" si="7"/>
        <v>3.1499999999999995</v>
      </c>
      <c r="K96" s="2">
        <f t="shared" si="5"/>
        <v>-3.1499999999999995</v>
      </c>
    </row>
    <row r="97" spans="1:11" hidden="1">
      <c r="A97" s="2" t="s">
        <v>3109</v>
      </c>
      <c r="B97" s="2" t="s">
        <v>3377</v>
      </c>
      <c r="C97" s="2" t="s">
        <v>3486</v>
      </c>
      <c r="D97" s="8">
        <v>1.9</v>
      </c>
      <c r="E97" s="8">
        <v>3.33</v>
      </c>
      <c r="F97" s="8">
        <v>4.6500000000000004</v>
      </c>
      <c r="G97" s="205">
        <v>2</v>
      </c>
      <c r="H97" s="205">
        <v>0</v>
      </c>
      <c r="I97" s="2">
        <f t="shared" si="6"/>
        <v>2</v>
      </c>
      <c r="J97" s="2">
        <f t="shared" si="7"/>
        <v>2.7500000000000004</v>
      </c>
      <c r="K97" s="2">
        <f t="shared" si="5"/>
        <v>-2.7500000000000004</v>
      </c>
    </row>
    <row r="98" spans="1:11" hidden="1">
      <c r="A98" s="2" t="s">
        <v>3109</v>
      </c>
      <c r="B98" s="2" t="s">
        <v>3325</v>
      </c>
      <c r="C98" s="2" t="s">
        <v>3555</v>
      </c>
      <c r="D98" s="8">
        <v>1.7</v>
      </c>
      <c r="E98" s="8">
        <v>3.88</v>
      </c>
      <c r="F98" s="8">
        <v>4.63</v>
      </c>
      <c r="G98" s="205">
        <v>1</v>
      </c>
      <c r="H98" s="205">
        <v>1</v>
      </c>
      <c r="I98" s="2">
        <f t="shared" si="6"/>
        <v>0</v>
      </c>
      <c r="J98" s="2">
        <f t="shared" si="7"/>
        <v>2.9299999999999997</v>
      </c>
      <c r="K98" s="2">
        <f t="shared" si="5"/>
        <v>-2.9299999999999997</v>
      </c>
    </row>
    <row r="99" spans="1:11" hidden="1">
      <c r="A99" s="2" t="s">
        <v>3109</v>
      </c>
      <c r="B99" s="2" t="s">
        <v>3203</v>
      </c>
      <c r="C99" s="2" t="s">
        <v>3565</v>
      </c>
      <c r="D99" s="8">
        <v>1.67</v>
      </c>
      <c r="E99" s="8">
        <v>3.1</v>
      </c>
      <c r="F99" s="8">
        <v>4.58</v>
      </c>
      <c r="G99" s="205">
        <v>2</v>
      </c>
      <c r="H99" s="205">
        <v>0</v>
      </c>
      <c r="I99" s="2">
        <f t="shared" si="6"/>
        <v>2</v>
      </c>
      <c r="J99" s="2">
        <f t="shared" si="7"/>
        <v>2.91</v>
      </c>
      <c r="K99" s="2">
        <f t="shared" si="5"/>
        <v>-2.91</v>
      </c>
    </row>
    <row r="100" spans="1:11" hidden="1">
      <c r="A100" s="2" t="s">
        <v>3109</v>
      </c>
      <c r="B100" s="2" t="s">
        <v>3246</v>
      </c>
      <c r="C100" s="2" t="s">
        <v>3552</v>
      </c>
      <c r="D100" s="8">
        <v>1.7</v>
      </c>
      <c r="E100" s="8">
        <v>3.93</v>
      </c>
      <c r="F100" s="8">
        <v>4.55</v>
      </c>
      <c r="G100" s="205">
        <v>0</v>
      </c>
      <c r="H100" s="205">
        <v>0</v>
      </c>
      <c r="I100" s="2">
        <f t="shared" si="6"/>
        <v>0</v>
      </c>
      <c r="J100" s="2">
        <f t="shared" si="7"/>
        <v>2.8499999999999996</v>
      </c>
      <c r="K100" s="2">
        <f t="shared" si="5"/>
        <v>-2.8499999999999996</v>
      </c>
    </row>
    <row r="101" spans="1:11" hidden="1">
      <c r="A101" s="2" t="s">
        <v>3109</v>
      </c>
      <c r="B101" s="2" t="s">
        <v>3164</v>
      </c>
      <c r="C101" s="2" t="s">
        <v>3582</v>
      </c>
      <c r="D101" s="8">
        <v>1.62</v>
      </c>
      <c r="E101" s="8">
        <v>3.28</v>
      </c>
      <c r="F101" s="8">
        <v>4.55</v>
      </c>
      <c r="G101" s="205">
        <v>2</v>
      </c>
      <c r="H101" s="205">
        <v>0</v>
      </c>
      <c r="I101" s="2">
        <f t="shared" si="6"/>
        <v>2</v>
      </c>
      <c r="J101" s="2">
        <f t="shared" si="7"/>
        <v>2.9299999999999997</v>
      </c>
      <c r="K101" s="2">
        <f t="shared" si="5"/>
        <v>-2.9299999999999997</v>
      </c>
    </row>
    <row r="102" spans="1:11" hidden="1">
      <c r="A102" s="2" t="s">
        <v>3109</v>
      </c>
      <c r="B102" s="2" t="s">
        <v>3110</v>
      </c>
      <c r="C102" s="2" t="s">
        <v>3595</v>
      </c>
      <c r="D102" s="8">
        <v>1.58</v>
      </c>
      <c r="E102" s="8">
        <v>3.5</v>
      </c>
      <c r="F102" s="8">
        <v>4.55</v>
      </c>
      <c r="G102" s="205">
        <v>0</v>
      </c>
      <c r="H102" s="205">
        <v>2</v>
      </c>
      <c r="I102" s="2">
        <f t="shared" si="6"/>
        <v>-2</v>
      </c>
      <c r="J102" s="2">
        <f t="shared" si="7"/>
        <v>2.9699999999999998</v>
      </c>
      <c r="K102" s="2">
        <f t="shared" si="5"/>
        <v>-2.9699999999999998</v>
      </c>
    </row>
    <row r="103" spans="1:11" hidden="1">
      <c r="A103" s="2" t="s">
        <v>3109</v>
      </c>
      <c r="B103" s="2" t="s">
        <v>3396</v>
      </c>
      <c r="C103" s="2" t="s">
        <v>3549</v>
      </c>
      <c r="D103" s="8">
        <v>1.71</v>
      </c>
      <c r="E103" s="8">
        <v>3</v>
      </c>
      <c r="F103" s="8">
        <v>4.5199999999999996</v>
      </c>
      <c r="G103" s="205">
        <v>1</v>
      </c>
      <c r="H103" s="205">
        <v>0</v>
      </c>
      <c r="I103" s="2">
        <f t="shared" si="6"/>
        <v>1</v>
      </c>
      <c r="J103" s="2">
        <f t="shared" si="7"/>
        <v>2.8099999999999996</v>
      </c>
      <c r="K103" s="2">
        <f t="shared" si="5"/>
        <v>-2.8099999999999996</v>
      </c>
    </row>
    <row r="104" spans="1:11" hidden="1">
      <c r="A104" s="2" t="s">
        <v>3109</v>
      </c>
      <c r="B104" s="2" t="s">
        <v>3115</v>
      </c>
      <c r="C104" s="2" t="s">
        <v>3524</v>
      </c>
      <c r="D104" s="8">
        <v>1.77</v>
      </c>
      <c r="E104" s="8">
        <v>3.68</v>
      </c>
      <c r="F104" s="8">
        <v>4.5</v>
      </c>
      <c r="G104" s="205">
        <v>2</v>
      </c>
      <c r="H104" s="205">
        <v>1</v>
      </c>
      <c r="I104" s="2">
        <f t="shared" si="6"/>
        <v>1</v>
      </c>
      <c r="J104" s="2">
        <f t="shared" si="7"/>
        <v>2.73</v>
      </c>
      <c r="K104" s="2">
        <f t="shared" si="5"/>
        <v>-2.73</v>
      </c>
    </row>
    <row r="105" spans="1:11" hidden="1">
      <c r="A105" s="2" t="s">
        <v>3109</v>
      </c>
      <c r="B105" s="2" t="s">
        <v>3154</v>
      </c>
      <c r="C105" s="2" t="s">
        <v>3597</v>
      </c>
      <c r="D105" s="8">
        <v>1.57</v>
      </c>
      <c r="E105" s="8">
        <v>3.55</v>
      </c>
      <c r="F105" s="8">
        <v>4.4800000000000004</v>
      </c>
      <c r="G105" s="205">
        <v>0</v>
      </c>
      <c r="H105" s="205">
        <v>0</v>
      </c>
      <c r="I105" s="2">
        <f t="shared" si="6"/>
        <v>0</v>
      </c>
      <c r="J105" s="2">
        <f t="shared" si="7"/>
        <v>2.91</v>
      </c>
      <c r="K105" s="2">
        <f t="shared" si="5"/>
        <v>-2.91</v>
      </c>
    </row>
    <row r="106" spans="1:11" hidden="1">
      <c r="A106" s="2" t="s">
        <v>3109</v>
      </c>
      <c r="B106" s="2" t="s">
        <v>3150</v>
      </c>
      <c r="C106" s="2" t="s">
        <v>3479</v>
      </c>
      <c r="D106" s="8">
        <v>1.94</v>
      </c>
      <c r="E106" s="8">
        <v>3.13</v>
      </c>
      <c r="F106" s="8">
        <v>4.45</v>
      </c>
      <c r="G106" s="205">
        <v>2</v>
      </c>
      <c r="H106" s="205">
        <v>0</v>
      </c>
      <c r="I106" s="2">
        <f t="shared" si="6"/>
        <v>2</v>
      </c>
      <c r="J106" s="2">
        <f t="shared" si="7"/>
        <v>2.5100000000000002</v>
      </c>
      <c r="K106" s="2">
        <f t="shared" si="5"/>
        <v>-2.5100000000000002</v>
      </c>
    </row>
    <row r="107" spans="1:11" hidden="1">
      <c r="A107" s="2" t="s">
        <v>3109</v>
      </c>
      <c r="B107" s="2" t="s">
        <v>3600</v>
      </c>
      <c r="C107" s="2" t="s">
        <v>3601</v>
      </c>
      <c r="D107" s="8">
        <v>1.55</v>
      </c>
      <c r="E107" s="8">
        <v>3.68</v>
      </c>
      <c r="F107" s="8">
        <v>4.45</v>
      </c>
      <c r="G107" s="205">
        <v>3</v>
      </c>
      <c r="H107" s="205">
        <v>0</v>
      </c>
      <c r="I107" s="2">
        <f t="shared" si="6"/>
        <v>3</v>
      </c>
      <c r="J107" s="2">
        <f t="shared" si="7"/>
        <v>2.9000000000000004</v>
      </c>
      <c r="K107" s="2">
        <f t="shared" si="5"/>
        <v>-2.9000000000000004</v>
      </c>
    </row>
    <row r="108" spans="1:11" hidden="1">
      <c r="A108" s="2" t="s">
        <v>3109</v>
      </c>
      <c r="B108" s="2" t="s">
        <v>3299</v>
      </c>
      <c r="C108" s="2" t="s">
        <v>3614</v>
      </c>
      <c r="D108" s="8">
        <v>1.5</v>
      </c>
      <c r="E108" s="8">
        <v>4.55</v>
      </c>
      <c r="F108" s="8">
        <v>4.43</v>
      </c>
      <c r="G108" s="205">
        <v>2</v>
      </c>
      <c r="H108" s="205">
        <v>1</v>
      </c>
      <c r="I108" s="2">
        <f t="shared" si="6"/>
        <v>1</v>
      </c>
      <c r="J108" s="2">
        <f t="shared" si="7"/>
        <v>2.9299999999999997</v>
      </c>
      <c r="K108" s="2">
        <f t="shared" si="5"/>
        <v>-2.9299999999999997</v>
      </c>
    </row>
    <row r="109" spans="1:11" hidden="1">
      <c r="A109" s="2" t="s">
        <v>3109</v>
      </c>
      <c r="B109" s="2" t="s">
        <v>3224</v>
      </c>
      <c r="C109" s="2" t="s">
        <v>3506</v>
      </c>
      <c r="D109" s="8">
        <v>1.85</v>
      </c>
      <c r="E109" s="8">
        <v>3.8</v>
      </c>
      <c r="F109" s="8">
        <v>4.42</v>
      </c>
      <c r="G109" s="205">
        <v>1</v>
      </c>
      <c r="H109" s="205">
        <v>1</v>
      </c>
      <c r="I109" s="2">
        <f t="shared" si="6"/>
        <v>0</v>
      </c>
      <c r="J109" s="2">
        <f t="shared" si="7"/>
        <v>2.57</v>
      </c>
      <c r="K109" s="2">
        <f t="shared" si="5"/>
        <v>-2.57</v>
      </c>
    </row>
    <row r="110" spans="1:11" hidden="1">
      <c r="A110" s="2" t="s">
        <v>3109</v>
      </c>
      <c r="B110" s="2" t="s">
        <v>3560</v>
      </c>
      <c r="C110" s="2" t="s">
        <v>3561</v>
      </c>
      <c r="D110" s="8">
        <v>1.68</v>
      </c>
      <c r="E110" s="8">
        <v>3.58</v>
      </c>
      <c r="F110" s="8">
        <v>4.4000000000000004</v>
      </c>
      <c r="G110" s="205">
        <v>2</v>
      </c>
      <c r="H110" s="205">
        <v>1</v>
      </c>
      <c r="I110" s="2">
        <f t="shared" si="6"/>
        <v>1</v>
      </c>
      <c r="J110" s="2">
        <f t="shared" si="7"/>
        <v>2.7200000000000006</v>
      </c>
      <c r="K110" s="2">
        <f t="shared" si="5"/>
        <v>-2.7200000000000006</v>
      </c>
    </row>
    <row r="111" spans="1:11" hidden="1">
      <c r="A111" s="2" t="s">
        <v>3109</v>
      </c>
      <c r="B111" s="2" t="s">
        <v>3243</v>
      </c>
      <c r="C111" s="2" t="s">
        <v>3598</v>
      </c>
      <c r="D111" s="8">
        <v>1.57</v>
      </c>
      <c r="E111" s="8">
        <v>3.62</v>
      </c>
      <c r="F111" s="8">
        <v>4.4000000000000004</v>
      </c>
      <c r="G111" s="205">
        <v>3</v>
      </c>
      <c r="H111" s="205">
        <v>0</v>
      </c>
      <c r="I111" s="2">
        <f t="shared" si="6"/>
        <v>3</v>
      </c>
      <c r="J111" s="2">
        <f t="shared" si="7"/>
        <v>2.83</v>
      </c>
      <c r="K111" s="2">
        <f t="shared" si="5"/>
        <v>-2.83</v>
      </c>
    </row>
    <row r="112" spans="1:11" hidden="1">
      <c r="A112" s="2" t="s">
        <v>3109</v>
      </c>
      <c r="B112" s="2" t="s">
        <v>3228</v>
      </c>
      <c r="C112" s="2" t="s">
        <v>3465</v>
      </c>
      <c r="D112" s="8">
        <v>1.99</v>
      </c>
      <c r="E112" s="8">
        <v>3.22</v>
      </c>
      <c r="F112" s="8">
        <v>4.38</v>
      </c>
      <c r="G112" s="205">
        <v>1</v>
      </c>
      <c r="H112" s="205">
        <v>2</v>
      </c>
      <c r="I112" s="2">
        <f t="shared" si="6"/>
        <v>-1</v>
      </c>
      <c r="J112" s="2">
        <f t="shared" si="7"/>
        <v>2.3899999999999997</v>
      </c>
      <c r="K112" s="2">
        <f t="shared" si="5"/>
        <v>-2.3899999999999997</v>
      </c>
    </row>
    <row r="113" spans="1:13" hidden="1">
      <c r="A113" s="2" t="s">
        <v>3109</v>
      </c>
      <c r="B113" s="2" t="s">
        <v>3110</v>
      </c>
      <c r="C113" s="2" t="s">
        <v>3569</v>
      </c>
      <c r="D113" s="8">
        <v>1.65</v>
      </c>
      <c r="E113" s="8">
        <v>3.27</v>
      </c>
      <c r="F113" s="8">
        <v>4.38</v>
      </c>
      <c r="G113" s="205">
        <v>2</v>
      </c>
      <c r="H113" s="205">
        <v>1</v>
      </c>
      <c r="I113" s="2">
        <f t="shared" si="6"/>
        <v>1</v>
      </c>
      <c r="J113" s="2">
        <f t="shared" si="7"/>
        <v>2.73</v>
      </c>
      <c r="K113" s="2">
        <f t="shared" si="5"/>
        <v>-2.73</v>
      </c>
    </row>
    <row r="114" spans="1:13" hidden="1">
      <c r="A114" s="2" t="s">
        <v>3109</v>
      </c>
      <c r="B114" s="2" t="s">
        <v>3110</v>
      </c>
      <c r="C114" s="2" t="s">
        <v>3573</v>
      </c>
      <c r="D114" s="8">
        <v>1.64</v>
      </c>
      <c r="E114" s="8">
        <v>3.33</v>
      </c>
      <c r="F114" s="8">
        <v>4.38</v>
      </c>
      <c r="G114" s="205">
        <v>2</v>
      </c>
      <c r="H114" s="205">
        <v>1</v>
      </c>
      <c r="I114" s="2">
        <f t="shared" si="6"/>
        <v>1</v>
      </c>
      <c r="J114" s="2">
        <f t="shared" si="7"/>
        <v>2.74</v>
      </c>
      <c r="K114" s="2">
        <f t="shared" si="5"/>
        <v>-2.74</v>
      </c>
    </row>
    <row r="115" spans="1:13" hidden="1">
      <c r="A115" s="2" t="s">
        <v>3109</v>
      </c>
      <c r="B115" s="2" t="s">
        <v>3110</v>
      </c>
      <c r="C115" s="2" t="s">
        <v>3574</v>
      </c>
      <c r="D115" s="8">
        <v>1.64</v>
      </c>
      <c r="E115" s="8">
        <v>3.33</v>
      </c>
      <c r="F115" s="8">
        <v>4.38</v>
      </c>
      <c r="G115" s="205">
        <v>3</v>
      </c>
      <c r="H115" s="205">
        <v>0</v>
      </c>
      <c r="I115" s="2">
        <f t="shared" si="6"/>
        <v>3</v>
      </c>
      <c r="J115" s="2">
        <f t="shared" si="7"/>
        <v>2.74</v>
      </c>
      <c r="K115" s="2">
        <f t="shared" si="5"/>
        <v>-2.74</v>
      </c>
    </row>
    <row r="116" spans="1:13" hidden="1">
      <c r="A116" s="2" t="s">
        <v>3109</v>
      </c>
      <c r="B116" s="2" t="s">
        <v>3174</v>
      </c>
      <c r="C116" s="2" t="s">
        <v>3462</v>
      </c>
      <c r="D116" s="8">
        <v>2.0099999999999998</v>
      </c>
      <c r="E116" s="8">
        <v>3.28</v>
      </c>
      <c r="F116" s="8">
        <v>4.37</v>
      </c>
      <c r="G116" s="205">
        <v>2</v>
      </c>
      <c r="H116" s="205">
        <v>0</v>
      </c>
      <c r="I116" s="2">
        <f t="shared" si="6"/>
        <v>2</v>
      </c>
      <c r="J116" s="2">
        <f t="shared" si="7"/>
        <v>2.3600000000000003</v>
      </c>
      <c r="K116" s="2">
        <f t="shared" si="5"/>
        <v>-2.3600000000000003</v>
      </c>
      <c r="L116" s="2" t="s">
        <v>3677</v>
      </c>
      <c r="M116" s="2" t="s">
        <v>3677</v>
      </c>
    </row>
    <row r="117" spans="1:13" hidden="1">
      <c r="A117" s="2" t="s">
        <v>3109</v>
      </c>
      <c r="B117" s="2" t="s">
        <v>3477</v>
      </c>
      <c r="C117" s="2" t="s">
        <v>3588</v>
      </c>
      <c r="D117" s="8">
        <v>1.6</v>
      </c>
      <c r="E117" s="8">
        <v>3.5</v>
      </c>
      <c r="F117" s="8">
        <v>4.3499999999999996</v>
      </c>
      <c r="G117" s="205">
        <v>1</v>
      </c>
      <c r="H117" s="205">
        <v>2</v>
      </c>
      <c r="I117" s="2">
        <f t="shared" si="6"/>
        <v>-1</v>
      </c>
      <c r="J117" s="2">
        <f t="shared" si="7"/>
        <v>2.7499999999999996</v>
      </c>
      <c r="K117" s="2">
        <f t="shared" si="5"/>
        <v>-2.7499999999999996</v>
      </c>
    </row>
    <row r="118" spans="1:13" hidden="1">
      <c r="A118" s="2" t="s">
        <v>3109</v>
      </c>
      <c r="B118" s="2" t="s">
        <v>3110</v>
      </c>
      <c r="C118" s="2" t="s">
        <v>3564</v>
      </c>
      <c r="D118" s="8">
        <v>1.67</v>
      </c>
      <c r="E118" s="8">
        <v>3.23</v>
      </c>
      <c r="F118" s="8">
        <v>4.33</v>
      </c>
      <c r="G118" s="205">
        <v>1</v>
      </c>
      <c r="H118" s="205">
        <v>1</v>
      </c>
      <c r="I118" s="2">
        <f t="shared" si="6"/>
        <v>0</v>
      </c>
      <c r="J118" s="2">
        <f t="shared" si="7"/>
        <v>2.66</v>
      </c>
      <c r="K118" s="2">
        <f t="shared" si="5"/>
        <v>-2.66</v>
      </c>
    </row>
    <row r="119" spans="1:13" hidden="1">
      <c r="A119" s="2" t="s">
        <v>3109</v>
      </c>
      <c r="B119" s="2" t="s">
        <v>3110</v>
      </c>
      <c r="C119" s="2" t="s">
        <v>3572</v>
      </c>
      <c r="D119" s="8">
        <v>1.64</v>
      </c>
      <c r="E119" s="8">
        <v>3.32</v>
      </c>
      <c r="F119" s="8">
        <v>4.33</v>
      </c>
      <c r="G119" s="205">
        <v>1</v>
      </c>
      <c r="H119" s="205">
        <v>2</v>
      </c>
      <c r="I119" s="2">
        <f t="shared" si="6"/>
        <v>-1</v>
      </c>
      <c r="J119" s="2">
        <f t="shared" si="7"/>
        <v>2.6900000000000004</v>
      </c>
      <c r="K119" s="2">
        <f t="shared" si="5"/>
        <v>-2.6900000000000004</v>
      </c>
    </row>
    <row r="120" spans="1:13" hidden="1">
      <c r="A120" s="2" t="s">
        <v>3109</v>
      </c>
      <c r="B120" s="2" t="s">
        <v>3329</v>
      </c>
      <c r="C120" s="2" t="s">
        <v>3488</v>
      </c>
      <c r="D120" s="8">
        <v>1.89</v>
      </c>
      <c r="E120" s="8">
        <v>3.33</v>
      </c>
      <c r="F120" s="8">
        <v>4.32</v>
      </c>
      <c r="G120" s="205">
        <v>2</v>
      </c>
      <c r="H120" s="205">
        <v>1</v>
      </c>
      <c r="I120" s="2">
        <f t="shared" si="6"/>
        <v>1</v>
      </c>
      <c r="J120" s="2">
        <f t="shared" si="7"/>
        <v>2.4300000000000006</v>
      </c>
      <c r="K120" s="2">
        <f t="shared" si="5"/>
        <v>-2.4300000000000006</v>
      </c>
    </row>
    <row r="121" spans="1:13" hidden="1">
      <c r="A121" s="2" t="s">
        <v>3109</v>
      </c>
      <c r="B121" s="2" t="s">
        <v>3189</v>
      </c>
      <c r="C121" s="2" t="s">
        <v>3504</v>
      </c>
      <c r="D121" s="8">
        <v>1.85</v>
      </c>
      <c r="E121" s="8">
        <v>2.97</v>
      </c>
      <c r="F121" s="8">
        <v>4.32</v>
      </c>
      <c r="G121" s="205">
        <v>2</v>
      </c>
      <c r="H121" s="205">
        <v>0</v>
      </c>
      <c r="I121" s="2">
        <f t="shared" si="6"/>
        <v>2</v>
      </c>
      <c r="J121" s="2">
        <f t="shared" si="7"/>
        <v>2.4700000000000002</v>
      </c>
      <c r="K121" s="2">
        <f t="shared" si="5"/>
        <v>-2.4700000000000002</v>
      </c>
    </row>
    <row r="122" spans="1:13" hidden="1">
      <c r="A122" s="2" t="s">
        <v>3109</v>
      </c>
      <c r="B122" s="2" t="s">
        <v>3110</v>
      </c>
      <c r="C122" s="2" t="s">
        <v>3553</v>
      </c>
      <c r="D122" s="8">
        <v>1.7</v>
      </c>
      <c r="E122" s="8">
        <v>3.13</v>
      </c>
      <c r="F122" s="8">
        <v>4.32</v>
      </c>
      <c r="G122" s="205">
        <v>3</v>
      </c>
      <c r="H122" s="205">
        <v>0</v>
      </c>
      <c r="I122" s="2">
        <f t="shared" si="6"/>
        <v>3</v>
      </c>
      <c r="J122" s="2">
        <f t="shared" si="7"/>
        <v>2.62</v>
      </c>
      <c r="K122" s="2">
        <f t="shared" si="5"/>
        <v>-2.62</v>
      </c>
    </row>
    <row r="123" spans="1:13" hidden="1">
      <c r="A123" s="2" t="s">
        <v>3109</v>
      </c>
      <c r="B123" s="2" t="s">
        <v>3213</v>
      </c>
      <c r="C123" s="2" t="s">
        <v>3566</v>
      </c>
      <c r="D123" s="8">
        <v>1.67</v>
      </c>
      <c r="E123" s="8">
        <v>3.25</v>
      </c>
      <c r="F123" s="8">
        <v>4.3</v>
      </c>
      <c r="G123" s="205">
        <v>1</v>
      </c>
      <c r="H123" s="205">
        <v>2</v>
      </c>
      <c r="I123" s="2">
        <f t="shared" si="6"/>
        <v>-1</v>
      </c>
      <c r="J123" s="2">
        <f t="shared" si="7"/>
        <v>2.63</v>
      </c>
      <c r="K123" s="2">
        <f t="shared" si="5"/>
        <v>-2.63</v>
      </c>
    </row>
    <row r="124" spans="1:13" hidden="1">
      <c r="A124" s="2" t="s">
        <v>3109</v>
      </c>
      <c r="B124" s="2" t="s">
        <v>3527</v>
      </c>
      <c r="C124" s="2" t="s">
        <v>3581</v>
      </c>
      <c r="D124" s="8">
        <v>1.62</v>
      </c>
      <c r="E124" s="8">
        <v>3.47</v>
      </c>
      <c r="F124" s="8">
        <v>4.3</v>
      </c>
      <c r="G124" s="205">
        <v>0</v>
      </c>
      <c r="H124" s="205">
        <v>0</v>
      </c>
      <c r="I124" s="2">
        <f t="shared" si="6"/>
        <v>0</v>
      </c>
      <c r="J124" s="2">
        <f t="shared" si="7"/>
        <v>2.6799999999999997</v>
      </c>
      <c r="K124" s="2">
        <f t="shared" si="5"/>
        <v>-2.6799999999999997</v>
      </c>
    </row>
    <row r="125" spans="1:13" hidden="1">
      <c r="A125" s="2" t="s">
        <v>3109</v>
      </c>
      <c r="B125" s="2" t="s">
        <v>3323</v>
      </c>
      <c r="C125" s="2" t="s">
        <v>3511</v>
      </c>
      <c r="D125" s="8">
        <v>1.82</v>
      </c>
      <c r="E125" s="8">
        <v>4.05</v>
      </c>
      <c r="F125" s="8">
        <v>4.28</v>
      </c>
      <c r="G125" s="205">
        <v>2</v>
      </c>
      <c r="H125" s="205">
        <v>1</v>
      </c>
      <c r="I125" s="2">
        <f t="shared" si="6"/>
        <v>1</v>
      </c>
      <c r="J125" s="2">
        <f t="shared" si="7"/>
        <v>2.46</v>
      </c>
      <c r="K125" s="2">
        <f t="shared" si="5"/>
        <v>-2.46</v>
      </c>
    </row>
    <row r="126" spans="1:13" hidden="1">
      <c r="A126" s="2" t="s">
        <v>3109</v>
      </c>
      <c r="B126" s="2" t="s">
        <v>3257</v>
      </c>
      <c r="C126" s="200" t="s">
        <v>3463</v>
      </c>
      <c r="D126" s="8">
        <v>2</v>
      </c>
      <c r="E126" s="8">
        <v>3.1</v>
      </c>
      <c r="F126" s="8">
        <v>4.25</v>
      </c>
      <c r="G126" s="205">
        <v>1</v>
      </c>
      <c r="H126" s="205">
        <v>0</v>
      </c>
      <c r="I126" s="2">
        <f t="shared" si="6"/>
        <v>1</v>
      </c>
      <c r="J126" s="2">
        <f t="shared" si="7"/>
        <v>2.25</v>
      </c>
      <c r="K126" s="2">
        <f t="shared" si="5"/>
        <v>-2.25</v>
      </c>
      <c r="L126" s="2" t="s">
        <v>3677</v>
      </c>
      <c r="M126" s="2" t="s">
        <v>3677</v>
      </c>
    </row>
    <row r="127" spans="1:13" hidden="1">
      <c r="A127" s="2" t="s">
        <v>3109</v>
      </c>
      <c r="B127" s="2" t="s">
        <v>3377</v>
      </c>
      <c r="C127" s="2" t="s">
        <v>3440</v>
      </c>
      <c r="D127" s="8">
        <v>2.1</v>
      </c>
      <c r="E127" s="8">
        <v>3.07</v>
      </c>
      <c r="F127" s="8">
        <v>4.22</v>
      </c>
      <c r="G127" s="205">
        <v>1</v>
      </c>
      <c r="H127" s="205">
        <v>2</v>
      </c>
      <c r="I127" s="2">
        <f t="shared" si="6"/>
        <v>-1</v>
      </c>
      <c r="J127" s="2">
        <f t="shared" si="7"/>
        <v>2.1199999999999997</v>
      </c>
      <c r="K127" s="2">
        <f t="shared" si="5"/>
        <v>-2.1199999999999997</v>
      </c>
      <c r="L127" s="2" t="s">
        <v>3678</v>
      </c>
      <c r="M127" s="2" t="s">
        <v>3677</v>
      </c>
    </row>
    <row r="128" spans="1:13" hidden="1">
      <c r="A128" s="2" t="s">
        <v>3109</v>
      </c>
      <c r="B128" s="2" t="s">
        <v>3189</v>
      </c>
      <c r="C128" s="2" t="s">
        <v>3482</v>
      </c>
      <c r="D128" s="8">
        <v>1.92</v>
      </c>
      <c r="E128" s="8">
        <v>2.86</v>
      </c>
      <c r="F128" s="8">
        <v>4.18</v>
      </c>
      <c r="G128" s="205">
        <v>1</v>
      </c>
      <c r="H128" s="205">
        <v>0</v>
      </c>
      <c r="I128" s="2">
        <f t="shared" si="6"/>
        <v>1</v>
      </c>
      <c r="J128" s="2">
        <f t="shared" si="7"/>
        <v>2.2599999999999998</v>
      </c>
      <c r="K128" s="2">
        <f t="shared" si="5"/>
        <v>-2.2599999999999998</v>
      </c>
    </row>
    <row r="129" spans="1:13" hidden="1">
      <c r="A129" s="2" t="s">
        <v>3109</v>
      </c>
      <c r="B129" s="2" t="s">
        <v>1686</v>
      </c>
      <c r="C129" s="2" t="s">
        <v>3491</v>
      </c>
      <c r="D129" s="8">
        <v>1.88</v>
      </c>
      <c r="E129" s="8">
        <v>3.87</v>
      </c>
      <c r="F129" s="8">
        <v>4.17</v>
      </c>
      <c r="G129" s="205">
        <v>1</v>
      </c>
      <c r="H129" s="205">
        <v>1</v>
      </c>
      <c r="I129" s="2">
        <f t="shared" si="6"/>
        <v>0</v>
      </c>
      <c r="J129" s="2">
        <f t="shared" si="7"/>
        <v>2.29</v>
      </c>
      <c r="K129" s="2">
        <f t="shared" si="5"/>
        <v>-2.29</v>
      </c>
    </row>
    <row r="130" spans="1:13" hidden="1">
      <c r="A130" s="2" t="s">
        <v>3109</v>
      </c>
      <c r="B130" s="2" t="s">
        <v>3199</v>
      </c>
      <c r="C130" s="2" t="s">
        <v>3548</v>
      </c>
      <c r="D130" s="8">
        <v>1.71</v>
      </c>
      <c r="E130" s="8">
        <v>3.5</v>
      </c>
      <c r="F130" s="8">
        <v>4.17</v>
      </c>
      <c r="G130" s="205">
        <v>1</v>
      </c>
      <c r="H130" s="205">
        <v>1</v>
      </c>
      <c r="I130" s="2">
        <f t="shared" si="6"/>
        <v>0</v>
      </c>
      <c r="J130" s="2">
        <f t="shared" si="7"/>
        <v>2.46</v>
      </c>
      <c r="K130" s="2">
        <f t="shared" ref="K130:K193" si="8">+D130-F130</f>
        <v>-2.46</v>
      </c>
    </row>
    <row r="131" spans="1:13" hidden="1">
      <c r="A131" s="2" t="s">
        <v>3109</v>
      </c>
      <c r="B131" s="2" t="s">
        <v>3297</v>
      </c>
      <c r="C131" s="2" t="s">
        <v>3505</v>
      </c>
      <c r="D131" s="8">
        <v>1.85</v>
      </c>
      <c r="E131" s="8">
        <v>2.79</v>
      </c>
      <c r="F131" s="8">
        <v>4.1500000000000004</v>
      </c>
      <c r="G131" s="205">
        <v>1</v>
      </c>
      <c r="H131" s="205">
        <v>0</v>
      </c>
      <c r="I131" s="2">
        <f t="shared" ref="I131:I194" si="9">+G131-H131</f>
        <v>1</v>
      </c>
      <c r="J131" s="2">
        <f t="shared" ref="J131:J194" si="10">ABS(+D131-F131)</f>
        <v>2.3000000000000003</v>
      </c>
      <c r="K131" s="2">
        <f t="shared" si="8"/>
        <v>-2.3000000000000003</v>
      </c>
    </row>
    <row r="132" spans="1:13" hidden="1">
      <c r="A132" s="2" t="s">
        <v>3109</v>
      </c>
      <c r="B132" s="2" t="s">
        <v>3502</v>
      </c>
      <c r="C132" s="2" t="s">
        <v>3503</v>
      </c>
      <c r="D132" s="8">
        <v>1.85</v>
      </c>
      <c r="E132" s="8">
        <v>3.93</v>
      </c>
      <c r="F132" s="8">
        <v>4.0999999999999996</v>
      </c>
      <c r="G132" s="205">
        <v>2</v>
      </c>
      <c r="H132" s="205">
        <v>1</v>
      </c>
      <c r="I132" s="2">
        <f t="shared" si="9"/>
        <v>1</v>
      </c>
      <c r="J132" s="2">
        <f t="shared" si="10"/>
        <v>2.2499999999999996</v>
      </c>
      <c r="K132" s="2">
        <f t="shared" si="8"/>
        <v>-2.2499999999999996</v>
      </c>
    </row>
    <row r="133" spans="1:13" hidden="1">
      <c r="A133" s="2" t="s">
        <v>3109</v>
      </c>
      <c r="B133" s="2" t="s">
        <v>3363</v>
      </c>
      <c r="C133" s="2" t="s">
        <v>3507</v>
      </c>
      <c r="D133" s="8">
        <v>1.83</v>
      </c>
      <c r="E133" s="8">
        <v>3.12</v>
      </c>
      <c r="F133" s="8">
        <v>4.0999999999999996</v>
      </c>
      <c r="G133" s="205">
        <v>1</v>
      </c>
      <c r="H133" s="205">
        <v>0</v>
      </c>
      <c r="I133" s="2">
        <f t="shared" si="9"/>
        <v>1</v>
      </c>
      <c r="J133" s="2">
        <f t="shared" si="10"/>
        <v>2.2699999999999996</v>
      </c>
      <c r="K133" s="2">
        <f t="shared" si="8"/>
        <v>-2.2699999999999996</v>
      </c>
    </row>
    <row r="134" spans="1:13" hidden="1">
      <c r="A134" s="2" t="s">
        <v>3109</v>
      </c>
      <c r="B134" s="2" t="s">
        <v>3110</v>
      </c>
      <c r="C134" s="2" t="s">
        <v>3537</v>
      </c>
      <c r="D134" s="8">
        <v>1.73</v>
      </c>
      <c r="E134" s="8">
        <v>3.13</v>
      </c>
      <c r="F134" s="8">
        <v>4.0999999999999996</v>
      </c>
      <c r="G134" s="205">
        <v>1</v>
      </c>
      <c r="H134" s="205">
        <v>1</v>
      </c>
      <c r="I134" s="2">
        <f t="shared" si="9"/>
        <v>0</v>
      </c>
      <c r="J134" s="2">
        <f t="shared" si="10"/>
        <v>2.3699999999999997</v>
      </c>
      <c r="K134" s="2">
        <f t="shared" si="8"/>
        <v>-2.3699999999999997</v>
      </c>
    </row>
    <row r="135" spans="1:13" hidden="1">
      <c r="A135" s="2" t="s">
        <v>3109</v>
      </c>
      <c r="B135" s="2" t="s">
        <v>3189</v>
      </c>
      <c r="C135" s="2" t="s">
        <v>3476</v>
      </c>
      <c r="D135" s="8">
        <v>1.95</v>
      </c>
      <c r="E135" s="8">
        <v>2.84</v>
      </c>
      <c r="F135" s="8">
        <v>4.08</v>
      </c>
      <c r="G135" s="205">
        <v>1</v>
      </c>
      <c r="H135" s="205">
        <v>0</v>
      </c>
      <c r="I135" s="2">
        <f t="shared" si="9"/>
        <v>1</v>
      </c>
      <c r="J135" s="2">
        <f t="shared" si="10"/>
        <v>2.13</v>
      </c>
      <c r="K135" s="2">
        <f t="shared" si="8"/>
        <v>-2.13</v>
      </c>
    </row>
    <row r="136" spans="1:13" hidden="1">
      <c r="A136" s="2" t="s">
        <v>3109</v>
      </c>
      <c r="B136" s="2" t="s">
        <v>3267</v>
      </c>
      <c r="C136" s="2" t="s">
        <v>3558</v>
      </c>
      <c r="D136" s="8">
        <v>1.69</v>
      </c>
      <c r="E136" s="8">
        <v>3.3</v>
      </c>
      <c r="F136" s="8">
        <v>4.07</v>
      </c>
      <c r="G136" s="205">
        <v>3</v>
      </c>
      <c r="H136" s="205">
        <v>0</v>
      </c>
      <c r="I136" s="2">
        <f t="shared" si="9"/>
        <v>3</v>
      </c>
      <c r="J136" s="2">
        <f t="shared" si="10"/>
        <v>2.3800000000000003</v>
      </c>
      <c r="K136" s="2">
        <f t="shared" si="8"/>
        <v>-2.3800000000000003</v>
      </c>
    </row>
    <row r="137" spans="1:13" hidden="1">
      <c r="A137" s="2" t="s">
        <v>3109</v>
      </c>
      <c r="B137" s="2" t="s">
        <v>3110</v>
      </c>
      <c r="C137" s="2" t="s">
        <v>3538</v>
      </c>
      <c r="D137" s="8">
        <v>1.73</v>
      </c>
      <c r="E137" s="8">
        <v>3.18</v>
      </c>
      <c r="F137" s="8">
        <v>4.05</v>
      </c>
      <c r="G137" s="205">
        <v>2</v>
      </c>
      <c r="H137" s="205">
        <v>0</v>
      </c>
      <c r="I137" s="2">
        <f t="shared" si="9"/>
        <v>2</v>
      </c>
      <c r="J137" s="2">
        <f t="shared" si="10"/>
        <v>2.3199999999999998</v>
      </c>
      <c r="K137" s="2">
        <f t="shared" si="8"/>
        <v>-2.3199999999999998</v>
      </c>
    </row>
    <row r="138" spans="1:13" hidden="1">
      <c r="A138" s="2" t="s">
        <v>3109</v>
      </c>
      <c r="B138" s="2" t="s">
        <v>3150</v>
      </c>
      <c r="C138" s="2" t="s">
        <v>3420</v>
      </c>
      <c r="D138" s="8">
        <v>2.15</v>
      </c>
      <c r="E138" s="8">
        <v>2.88</v>
      </c>
      <c r="F138" s="8">
        <v>4.03</v>
      </c>
      <c r="G138" s="205">
        <v>1</v>
      </c>
      <c r="H138" s="205">
        <v>1</v>
      </c>
      <c r="I138" s="2">
        <f t="shared" si="9"/>
        <v>0</v>
      </c>
      <c r="J138" s="2">
        <f t="shared" si="10"/>
        <v>1.8800000000000003</v>
      </c>
      <c r="K138" s="2">
        <f t="shared" si="8"/>
        <v>-1.8800000000000003</v>
      </c>
      <c r="L138" s="2" t="s">
        <v>3677</v>
      </c>
      <c r="M138" s="2" t="s">
        <v>3678</v>
      </c>
    </row>
    <row r="139" spans="1:13" hidden="1">
      <c r="A139" s="2" t="s">
        <v>3109</v>
      </c>
      <c r="B139" s="2" t="s">
        <v>3243</v>
      </c>
      <c r="C139" s="2" t="s">
        <v>3570</v>
      </c>
      <c r="D139" s="8">
        <v>1.65</v>
      </c>
      <c r="E139" s="8">
        <v>3.48</v>
      </c>
      <c r="F139" s="8">
        <v>4.03</v>
      </c>
      <c r="G139" s="205">
        <v>2</v>
      </c>
      <c r="H139" s="205">
        <v>0</v>
      </c>
      <c r="I139" s="2">
        <f t="shared" si="9"/>
        <v>2</v>
      </c>
      <c r="J139" s="2">
        <f t="shared" si="10"/>
        <v>2.3800000000000003</v>
      </c>
      <c r="K139" s="2">
        <f t="shared" si="8"/>
        <v>-2.3800000000000003</v>
      </c>
    </row>
    <row r="140" spans="1:13" hidden="1">
      <c r="A140" s="2" t="s">
        <v>3109</v>
      </c>
      <c r="B140" s="2" t="s">
        <v>3140</v>
      </c>
      <c r="C140" s="2" t="s">
        <v>3428</v>
      </c>
      <c r="D140" s="8">
        <v>2.13</v>
      </c>
      <c r="E140" s="8">
        <v>3.2</v>
      </c>
      <c r="F140" s="8">
        <v>4.0199999999999996</v>
      </c>
      <c r="G140" s="205">
        <v>1</v>
      </c>
      <c r="H140" s="205">
        <v>0</v>
      </c>
      <c r="I140" s="2">
        <f t="shared" si="9"/>
        <v>1</v>
      </c>
      <c r="J140" s="2">
        <f t="shared" si="10"/>
        <v>1.8899999999999997</v>
      </c>
      <c r="K140" s="2">
        <f t="shared" si="8"/>
        <v>-1.8899999999999997</v>
      </c>
      <c r="L140" s="2" t="s">
        <v>3678</v>
      </c>
      <c r="M140" s="2" t="s">
        <v>3678</v>
      </c>
    </row>
    <row r="141" spans="1:13" hidden="1">
      <c r="A141" s="2" t="s">
        <v>3109</v>
      </c>
      <c r="B141" s="2" t="s">
        <v>3110</v>
      </c>
      <c r="C141" s="2" t="s">
        <v>3543</v>
      </c>
      <c r="D141" s="8">
        <v>1.72</v>
      </c>
      <c r="E141" s="8">
        <v>3.22</v>
      </c>
      <c r="F141" s="8">
        <v>4.0199999999999996</v>
      </c>
      <c r="G141" s="205">
        <v>1</v>
      </c>
      <c r="H141" s="205">
        <v>0</v>
      </c>
      <c r="I141" s="2">
        <f t="shared" si="9"/>
        <v>1</v>
      </c>
      <c r="J141" s="2">
        <f t="shared" si="10"/>
        <v>2.2999999999999998</v>
      </c>
      <c r="K141" s="2">
        <f t="shared" si="8"/>
        <v>-2.2999999999999998</v>
      </c>
    </row>
    <row r="142" spans="1:13" hidden="1">
      <c r="A142" s="2" t="s">
        <v>3109</v>
      </c>
      <c r="B142" s="2" t="s">
        <v>3297</v>
      </c>
      <c r="C142" s="2" t="s">
        <v>3496</v>
      </c>
      <c r="D142" s="8">
        <v>1.87</v>
      </c>
      <c r="E142" s="8">
        <v>2.82</v>
      </c>
      <c r="F142" s="8">
        <v>4</v>
      </c>
      <c r="G142" s="205">
        <v>1</v>
      </c>
      <c r="H142" s="205">
        <v>0</v>
      </c>
      <c r="I142" s="2">
        <f t="shared" si="9"/>
        <v>1</v>
      </c>
      <c r="J142" s="2">
        <f t="shared" si="10"/>
        <v>2.13</v>
      </c>
      <c r="K142" s="2">
        <f t="shared" si="8"/>
        <v>-2.13</v>
      </c>
    </row>
    <row r="143" spans="1:13" hidden="1">
      <c r="A143" s="2" t="s">
        <v>3109</v>
      </c>
      <c r="B143" s="2" t="s">
        <v>3110</v>
      </c>
      <c r="C143" s="2" t="s">
        <v>3545</v>
      </c>
      <c r="D143" s="8">
        <v>1.72</v>
      </c>
      <c r="E143" s="8">
        <v>3.25</v>
      </c>
      <c r="F143" s="8">
        <v>4</v>
      </c>
      <c r="G143" s="205">
        <v>0</v>
      </c>
      <c r="H143" s="205">
        <v>2</v>
      </c>
      <c r="I143" s="2">
        <f t="shared" si="9"/>
        <v>-2</v>
      </c>
      <c r="J143" s="2">
        <f t="shared" si="10"/>
        <v>2.2800000000000002</v>
      </c>
      <c r="K143" s="2">
        <f t="shared" si="8"/>
        <v>-2.2800000000000002</v>
      </c>
    </row>
    <row r="144" spans="1:13" hidden="1">
      <c r="A144" s="2" t="s">
        <v>3109</v>
      </c>
      <c r="B144" s="2" t="s">
        <v>3124</v>
      </c>
      <c r="C144" s="2" t="s">
        <v>3539</v>
      </c>
      <c r="D144" s="8">
        <v>1.73</v>
      </c>
      <c r="E144" s="8">
        <v>3.22</v>
      </c>
      <c r="F144" s="8">
        <v>3.98</v>
      </c>
      <c r="G144" s="205">
        <v>0</v>
      </c>
      <c r="H144" s="205">
        <v>0</v>
      </c>
      <c r="I144" s="2">
        <f t="shared" si="9"/>
        <v>0</v>
      </c>
      <c r="J144" s="2">
        <f t="shared" si="10"/>
        <v>2.25</v>
      </c>
      <c r="K144" s="2">
        <f t="shared" si="8"/>
        <v>-2.25</v>
      </c>
    </row>
    <row r="145" spans="1:13" hidden="1">
      <c r="A145" s="2" t="s">
        <v>3109</v>
      </c>
      <c r="B145" s="2" t="s">
        <v>3577</v>
      </c>
      <c r="C145" s="2" t="s">
        <v>3578</v>
      </c>
      <c r="D145" s="8">
        <v>1.63</v>
      </c>
      <c r="E145" s="8">
        <v>3.63</v>
      </c>
      <c r="F145" s="8">
        <v>3.98</v>
      </c>
      <c r="G145" s="205">
        <v>2</v>
      </c>
      <c r="H145" s="205">
        <v>1</v>
      </c>
      <c r="I145" s="2">
        <f t="shared" si="9"/>
        <v>1</v>
      </c>
      <c r="J145" s="2">
        <f t="shared" si="10"/>
        <v>2.35</v>
      </c>
      <c r="K145" s="2">
        <f t="shared" si="8"/>
        <v>-2.35</v>
      </c>
    </row>
    <row r="146" spans="1:13" hidden="1">
      <c r="A146" s="2" t="s">
        <v>3109</v>
      </c>
      <c r="B146" s="2" t="s">
        <v>3519</v>
      </c>
      <c r="C146" s="2" t="s">
        <v>3603</v>
      </c>
      <c r="D146" s="8">
        <v>1.55</v>
      </c>
      <c r="E146" s="8">
        <v>4.12</v>
      </c>
      <c r="F146" s="8">
        <v>3.97</v>
      </c>
      <c r="G146" s="205">
        <v>0</v>
      </c>
      <c r="H146" s="205">
        <v>1</v>
      </c>
      <c r="I146" s="2">
        <f t="shared" si="9"/>
        <v>-1</v>
      </c>
      <c r="J146" s="2">
        <f t="shared" si="10"/>
        <v>2.42</v>
      </c>
      <c r="K146" s="2">
        <f t="shared" si="8"/>
        <v>-2.42</v>
      </c>
    </row>
    <row r="147" spans="1:13" hidden="1">
      <c r="A147" s="2" t="s">
        <v>3109</v>
      </c>
      <c r="B147" s="2" t="s">
        <v>3213</v>
      </c>
      <c r="C147" s="2" t="s">
        <v>3500</v>
      </c>
      <c r="D147" s="8">
        <v>1.85</v>
      </c>
      <c r="E147" s="8">
        <v>3.27</v>
      </c>
      <c r="F147" s="8">
        <v>3.95</v>
      </c>
      <c r="G147" s="205">
        <v>1</v>
      </c>
      <c r="H147" s="205">
        <v>1</v>
      </c>
      <c r="I147" s="2">
        <f t="shared" si="9"/>
        <v>0</v>
      </c>
      <c r="J147" s="2">
        <f t="shared" si="10"/>
        <v>2.1</v>
      </c>
      <c r="K147" s="2">
        <f t="shared" si="8"/>
        <v>-2.1</v>
      </c>
    </row>
    <row r="148" spans="1:13" hidden="1">
      <c r="A148" s="2" t="s">
        <v>3109</v>
      </c>
      <c r="B148" s="2" t="s">
        <v>3110</v>
      </c>
      <c r="C148" s="2" t="s">
        <v>3522</v>
      </c>
      <c r="D148" s="8">
        <v>1.77</v>
      </c>
      <c r="E148" s="8">
        <v>3.1</v>
      </c>
      <c r="F148" s="8">
        <v>3.95</v>
      </c>
      <c r="G148" s="205">
        <v>2</v>
      </c>
      <c r="H148" s="205">
        <v>1</v>
      </c>
      <c r="I148" s="2">
        <f t="shared" si="9"/>
        <v>1</v>
      </c>
      <c r="J148" s="2">
        <f t="shared" si="10"/>
        <v>2.1800000000000002</v>
      </c>
      <c r="K148" s="2">
        <f t="shared" si="8"/>
        <v>-2.1800000000000002</v>
      </c>
    </row>
    <row r="149" spans="1:13" hidden="1">
      <c r="A149" s="2" t="s">
        <v>3109</v>
      </c>
      <c r="B149" s="2" t="s">
        <v>3527</v>
      </c>
      <c r="C149" s="2" t="s">
        <v>3528</v>
      </c>
      <c r="D149" s="8">
        <v>1.76</v>
      </c>
      <c r="E149" s="8">
        <v>3.12</v>
      </c>
      <c r="F149" s="8">
        <v>3.95</v>
      </c>
      <c r="G149" s="205">
        <v>0</v>
      </c>
      <c r="H149" s="205">
        <v>1</v>
      </c>
      <c r="I149" s="2">
        <f t="shared" si="9"/>
        <v>-1</v>
      </c>
      <c r="J149" s="2">
        <f t="shared" si="10"/>
        <v>2.1900000000000004</v>
      </c>
      <c r="K149" s="2">
        <f t="shared" si="8"/>
        <v>-2.1900000000000004</v>
      </c>
    </row>
    <row r="150" spans="1:13" hidden="1">
      <c r="A150" s="2" t="s">
        <v>3109</v>
      </c>
      <c r="B150" s="2" t="s">
        <v>3373</v>
      </c>
      <c r="C150" s="2" t="s">
        <v>3530</v>
      </c>
      <c r="D150" s="8">
        <v>1.75</v>
      </c>
      <c r="E150" s="8">
        <v>3.17</v>
      </c>
      <c r="F150" s="8">
        <v>3.95</v>
      </c>
      <c r="G150" s="205">
        <v>2</v>
      </c>
      <c r="H150" s="205">
        <v>0</v>
      </c>
      <c r="I150" s="2">
        <f t="shared" si="9"/>
        <v>2</v>
      </c>
      <c r="J150" s="2">
        <f t="shared" si="10"/>
        <v>2.2000000000000002</v>
      </c>
      <c r="K150" s="2">
        <f t="shared" si="8"/>
        <v>-2.2000000000000002</v>
      </c>
    </row>
    <row r="151" spans="1:13" hidden="1">
      <c r="A151" s="2" t="s">
        <v>3109</v>
      </c>
      <c r="B151" s="2" t="s">
        <v>3110</v>
      </c>
      <c r="C151" s="2" t="s">
        <v>3544</v>
      </c>
      <c r="D151" s="8">
        <v>1.72</v>
      </c>
      <c r="E151" s="8">
        <v>3.28</v>
      </c>
      <c r="F151" s="8">
        <v>3.95</v>
      </c>
      <c r="G151" s="205">
        <v>1</v>
      </c>
      <c r="H151" s="205">
        <v>2</v>
      </c>
      <c r="I151" s="2">
        <f t="shared" si="9"/>
        <v>-1</v>
      </c>
      <c r="J151" s="2">
        <f t="shared" si="10"/>
        <v>2.2300000000000004</v>
      </c>
      <c r="K151" s="2">
        <f t="shared" si="8"/>
        <v>-2.2300000000000004</v>
      </c>
    </row>
    <row r="152" spans="1:13" hidden="1">
      <c r="A152" s="2" t="s">
        <v>3109</v>
      </c>
      <c r="B152" s="2" t="s">
        <v>3203</v>
      </c>
      <c r="C152" s="2" t="s">
        <v>3517</v>
      </c>
      <c r="D152" s="8">
        <v>1.79</v>
      </c>
      <c r="E152" s="8">
        <v>3.07</v>
      </c>
      <c r="F152" s="8">
        <v>3.93</v>
      </c>
      <c r="G152" s="205">
        <v>0</v>
      </c>
      <c r="H152" s="205">
        <v>0</v>
      </c>
      <c r="I152" s="2">
        <f t="shared" si="9"/>
        <v>0</v>
      </c>
      <c r="J152" s="2">
        <f t="shared" si="10"/>
        <v>2.14</v>
      </c>
      <c r="K152" s="2">
        <f t="shared" si="8"/>
        <v>-2.14</v>
      </c>
    </row>
    <row r="153" spans="1:13" hidden="1">
      <c r="A153" s="2" t="s">
        <v>3109</v>
      </c>
      <c r="B153" s="2" t="s">
        <v>3120</v>
      </c>
      <c r="C153" s="2" t="s">
        <v>3559</v>
      </c>
      <c r="D153" s="8">
        <v>1.69</v>
      </c>
      <c r="E153" s="8">
        <v>3.4</v>
      </c>
      <c r="F153" s="8">
        <v>3.93</v>
      </c>
      <c r="G153" s="205">
        <v>3</v>
      </c>
      <c r="H153" s="205">
        <v>0</v>
      </c>
      <c r="I153" s="2">
        <f t="shared" si="9"/>
        <v>3</v>
      </c>
      <c r="J153" s="2">
        <f t="shared" si="10"/>
        <v>2.2400000000000002</v>
      </c>
      <c r="K153" s="2">
        <f t="shared" si="8"/>
        <v>-2.2400000000000002</v>
      </c>
    </row>
    <row r="154" spans="1:13" hidden="1">
      <c r="A154" s="2" t="s">
        <v>3109</v>
      </c>
      <c r="B154" s="2" t="s">
        <v>3201</v>
      </c>
      <c r="C154" s="2" t="s">
        <v>3454</v>
      </c>
      <c r="D154" s="8">
        <v>2.0499999999999998</v>
      </c>
      <c r="E154" s="8">
        <v>3.15</v>
      </c>
      <c r="F154" s="8">
        <v>3.92</v>
      </c>
      <c r="G154" s="205">
        <v>0</v>
      </c>
      <c r="H154" s="205">
        <v>1</v>
      </c>
      <c r="I154" s="2">
        <f t="shared" si="9"/>
        <v>-1</v>
      </c>
      <c r="J154" s="2">
        <f t="shared" si="10"/>
        <v>1.87</v>
      </c>
      <c r="K154" s="2">
        <f t="shared" si="8"/>
        <v>-1.87</v>
      </c>
      <c r="L154" s="2" t="s">
        <v>3678</v>
      </c>
      <c r="M154" s="2" t="s">
        <v>3677</v>
      </c>
    </row>
    <row r="155" spans="1:13" hidden="1">
      <c r="A155" s="2" t="s">
        <v>3109</v>
      </c>
      <c r="B155" s="2" t="s">
        <v>3146</v>
      </c>
      <c r="C155" s="2" t="s">
        <v>3484</v>
      </c>
      <c r="D155" s="8">
        <v>1.91</v>
      </c>
      <c r="E155" s="8">
        <v>3.12</v>
      </c>
      <c r="F155" s="8">
        <v>3.92</v>
      </c>
      <c r="G155" s="205">
        <v>2</v>
      </c>
      <c r="H155" s="205">
        <v>1</v>
      </c>
      <c r="I155" s="2">
        <f t="shared" si="9"/>
        <v>1</v>
      </c>
      <c r="J155" s="2">
        <f t="shared" si="10"/>
        <v>2.0099999999999998</v>
      </c>
      <c r="K155" s="2">
        <f t="shared" si="8"/>
        <v>-2.0099999999999998</v>
      </c>
    </row>
    <row r="156" spans="1:13" hidden="1">
      <c r="A156" s="2" t="s">
        <v>3109</v>
      </c>
      <c r="B156" s="2" t="s">
        <v>3213</v>
      </c>
      <c r="C156" s="2" t="s">
        <v>3513</v>
      </c>
      <c r="D156" s="8">
        <v>1.81</v>
      </c>
      <c r="E156" s="8">
        <v>3</v>
      </c>
      <c r="F156" s="8">
        <v>3.92</v>
      </c>
      <c r="G156" s="205">
        <v>0</v>
      </c>
      <c r="H156" s="205">
        <v>0</v>
      </c>
      <c r="I156" s="2">
        <f t="shared" si="9"/>
        <v>0</v>
      </c>
      <c r="J156" s="2">
        <f t="shared" si="10"/>
        <v>2.11</v>
      </c>
      <c r="K156" s="2">
        <f t="shared" si="8"/>
        <v>-2.11</v>
      </c>
    </row>
    <row r="157" spans="1:13" hidden="1">
      <c r="A157" s="2" t="s">
        <v>3109</v>
      </c>
      <c r="B157" s="2" t="s">
        <v>3333</v>
      </c>
      <c r="C157" s="2" t="s">
        <v>3424</v>
      </c>
      <c r="D157" s="8">
        <v>2.15</v>
      </c>
      <c r="E157" s="8">
        <v>2.96</v>
      </c>
      <c r="F157" s="8">
        <v>3.9</v>
      </c>
      <c r="G157" s="205">
        <v>2</v>
      </c>
      <c r="H157" s="205">
        <v>0</v>
      </c>
      <c r="I157" s="2">
        <f t="shared" si="9"/>
        <v>2</v>
      </c>
      <c r="J157" s="2">
        <f t="shared" si="10"/>
        <v>1.75</v>
      </c>
      <c r="K157" s="2">
        <f t="shared" si="8"/>
        <v>-1.75</v>
      </c>
      <c r="L157" s="2" t="s">
        <v>3677</v>
      </c>
      <c r="M157" s="2" t="s">
        <v>3677</v>
      </c>
    </row>
    <row r="158" spans="1:13" hidden="1">
      <c r="A158" s="2" t="s">
        <v>3109</v>
      </c>
      <c r="B158" s="2" t="s">
        <v>3172</v>
      </c>
      <c r="C158" s="2" t="s">
        <v>3498</v>
      </c>
      <c r="D158" s="8">
        <v>1.86</v>
      </c>
      <c r="E158" s="8">
        <v>3.28</v>
      </c>
      <c r="F158" s="8">
        <v>3.9</v>
      </c>
      <c r="G158" s="205">
        <v>0</v>
      </c>
      <c r="H158" s="205">
        <v>0</v>
      </c>
      <c r="I158" s="2">
        <f t="shared" si="9"/>
        <v>0</v>
      </c>
      <c r="J158" s="2">
        <f t="shared" si="10"/>
        <v>2.04</v>
      </c>
      <c r="K158" s="2">
        <f t="shared" si="8"/>
        <v>-2.04</v>
      </c>
    </row>
    <row r="159" spans="1:13" hidden="1">
      <c r="A159" s="2" t="s">
        <v>3109</v>
      </c>
      <c r="B159" s="2" t="s">
        <v>3110</v>
      </c>
      <c r="C159" s="2" t="s">
        <v>3516</v>
      </c>
      <c r="D159" s="8">
        <v>1.79</v>
      </c>
      <c r="E159" s="8">
        <v>3.05</v>
      </c>
      <c r="F159" s="8">
        <v>3.9</v>
      </c>
      <c r="G159" s="205">
        <v>2</v>
      </c>
      <c r="H159" s="205">
        <v>0</v>
      </c>
      <c r="I159" s="2">
        <f t="shared" si="9"/>
        <v>2</v>
      </c>
      <c r="J159" s="2">
        <f t="shared" si="10"/>
        <v>2.11</v>
      </c>
      <c r="K159" s="2">
        <f t="shared" si="8"/>
        <v>-2.11</v>
      </c>
    </row>
    <row r="160" spans="1:13" hidden="1">
      <c r="A160" s="2" t="s">
        <v>3109</v>
      </c>
      <c r="B160" s="2" t="s">
        <v>3110</v>
      </c>
      <c r="C160" s="2" t="s">
        <v>3542</v>
      </c>
      <c r="D160" s="8">
        <v>1.72</v>
      </c>
      <c r="E160" s="8">
        <v>3.3</v>
      </c>
      <c r="F160" s="8">
        <v>3.9</v>
      </c>
      <c r="G160" s="205">
        <v>0</v>
      </c>
      <c r="H160" s="205">
        <v>0</v>
      </c>
      <c r="I160" s="2">
        <f t="shared" si="9"/>
        <v>0</v>
      </c>
      <c r="J160" s="2">
        <f t="shared" si="10"/>
        <v>2.1799999999999997</v>
      </c>
      <c r="K160" s="2">
        <f t="shared" si="8"/>
        <v>-2.1799999999999997</v>
      </c>
    </row>
    <row r="161" spans="1:13" hidden="1">
      <c r="A161" s="2" t="s">
        <v>3109</v>
      </c>
      <c r="B161" s="2" t="s">
        <v>3450</v>
      </c>
      <c r="C161" s="2" t="s">
        <v>3480</v>
      </c>
      <c r="D161" s="8">
        <v>1.94</v>
      </c>
      <c r="E161" s="8">
        <v>3.87</v>
      </c>
      <c r="F161" s="8">
        <v>3.88</v>
      </c>
      <c r="G161" s="205">
        <v>2</v>
      </c>
      <c r="H161" s="205">
        <v>0</v>
      </c>
      <c r="I161" s="2">
        <f t="shared" si="9"/>
        <v>2</v>
      </c>
      <c r="J161" s="2">
        <f t="shared" si="10"/>
        <v>1.94</v>
      </c>
      <c r="K161" s="2">
        <f t="shared" si="8"/>
        <v>-1.94</v>
      </c>
    </row>
    <row r="162" spans="1:13" hidden="1">
      <c r="A162" s="2" t="s">
        <v>3109</v>
      </c>
      <c r="B162" s="2" t="s">
        <v>3299</v>
      </c>
      <c r="C162" s="2" t="s">
        <v>3568</v>
      </c>
      <c r="D162" s="8">
        <v>1.66</v>
      </c>
      <c r="E162" s="8">
        <v>4.0199999999999996</v>
      </c>
      <c r="F162" s="8">
        <v>3.88</v>
      </c>
      <c r="G162" s="205">
        <v>3</v>
      </c>
      <c r="H162" s="205">
        <v>0</v>
      </c>
      <c r="I162" s="2">
        <f t="shared" si="9"/>
        <v>3</v>
      </c>
      <c r="J162" s="2">
        <f t="shared" si="10"/>
        <v>2.2199999999999998</v>
      </c>
      <c r="K162" s="2">
        <f t="shared" si="8"/>
        <v>-2.2199999999999998</v>
      </c>
    </row>
    <row r="163" spans="1:13" hidden="1">
      <c r="A163" s="2" t="s">
        <v>3109</v>
      </c>
      <c r="B163" s="2" t="s">
        <v>3167</v>
      </c>
      <c r="C163" s="2" t="s">
        <v>3508</v>
      </c>
      <c r="D163" s="8">
        <v>1.83</v>
      </c>
      <c r="E163" s="8">
        <v>2.98</v>
      </c>
      <c r="F163" s="8">
        <v>3.85</v>
      </c>
      <c r="G163" s="205">
        <v>1</v>
      </c>
      <c r="H163" s="205">
        <v>2</v>
      </c>
      <c r="I163" s="2">
        <f t="shared" si="9"/>
        <v>-1</v>
      </c>
      <c r="J163" s="2">
        <f t="shared" si="10"/>
        <v>2.02</v>
      </c>
      <c r="K163" s="2">
        <f t="shared" si="8"/>
        <v>-2.02</v>
      </c>
    </row>
    <row r="164" spans="1:13" hidden="1">
      <c r="A164" s="2" t="s">
        <v>3109</v>
      </c>
      <c r="B164" s="2" t="s">
        <v>3124</v>
      </c>
      <c r="C164" s="2" t="s">
        <v>3540</v>
      </c>
      <c r="D164" s="8">
        <v>1.73</v>
      </c>
      <c r="E164" s="8">
        <v>3.32</v>
      </c>
      <c r="F164" s="8">
        <v>3.85</v>
      </c>
      <c r="G164" s="205">
        <v>0</v>
      </c>
      <c r="H164" s="205">
        <v>1</v>
      </c>
      <c r="I164" s="2">
        <f t="shared" si="9"/>
        <v>-1</v>
      </c>
      <c r="J164" s="2">
        <f t="shared" si="10"/>
        <v>2.12</v>
      </c>
      <c r="K164" s="2">
        <f t="shared" si="8"/>
        <v>-2.12</v>
      </c>
    </row>
    <row r="165" spans="1:13" hidden="1">
      <c r="A165" s="2" t="s">
        <v>3109</v>
      </c>
      <c r="B165" s="2" t="s">
        <v>3410</v>
      </c>
      <c r="C165" s="2" t="s">
        <v>3497</v>
      </c>
      <c r="D165" s="8">
        <v>1.87</v>
      </c>
      <c r="E165" s="8">
        <v>3.82</v>
      </c>
      <c r="F165" s="8">
        <v>3.82</v>
      </c>
      <c r="G165" s="205">
        <v>2</v>
      </c>
      <c r="H165" s="205">
        <v>0</v>
      </c>
      <c r="I165" s="2">
        <f t="shared" si="9"/>
        <v>2</v>
      </c>
      <c r="J165" s="2">
        <f t="shared" si="10"/>
        <v>1.9499999999999997</v>
      </c>
      <c r="K165" s="2">
        <f t="shared" si="8"/>
        <v>-1.9499999999999997</v>
      </c>
    </row>
    <row r="166" spans="1:13" hidden="1">
      <c r="A166" s="2" t="s">
        <v>3109</v>
      </c>
      <c r="B166" s="2" t="s">
        <v>3407</v>
      </c>
      <c r="C166" s="2" t="s">
        <v>3413</v>
      </c>
      <c r="D166" s="8">
        <v>2.19</v>
      </c>
      <c r="E166" s="8">
        <v>2.94</v>
      </c>
      <c r="F166" s="8">
        <v>3.8</v>
      </c>
      <c r="G166" s="205">
        <v>1</v>
      </c>
      <c r="H166" s="205">
        <v>1</v>
      </c>
      <c r="I166" s="2">
        <f t="shared" si="9"/>
        <v>0</v>
      </c>
      <c r="J166" s="2">
        <f t="shared" si="10"/>
        <v>1.6099999999999999</v>
      </c>
      <c r="K166" s="2">
        <f t="shared" si="8"/>
        <v>-1.6099999999999999</v>
      </c>
      <c r="L166" s="2" t="s">
        <v>3678</v>
      </c>
      <c r="M166" s="2" t="s">
        <v>3678</v>
      </c>
    </row>
    <row r="167" spans="1:13" hidden="1">
      <c r="A167" s="2" t="s">
        <v>3109</v>
      </c>
      <c r="B167" s="2" t="s">
        <v>3532</v>
      </c>
      <c r="C167" s="2" t="s">
        <v>3533</v>
      </c>
      <c r="D167" s="8">
        <v>1.74</v>
      </c>
      <c r="E167" s="8">
        <v>3.8</v>
      </c>
      <c r="F167" s="8">
        <v>3.8</v>
      </c>
      <c r="G167" s="205">
        <v>1</v>
      </c>
      <c r="H167" s="205">
        <v>2</v>
      </c>
      <c r="I167" s="2">
        <f t="shared" si="9"/>
        <v>-1</v>
      </c>
      <c r="J167" s="2">
        <f t="shared" si="10"/>
        <v>2.0599999999999996</v>
      </c>
      <c r="K167" s="2">
        <f t="shared" si="8"/>
        <v>-2.0599999999999996</v>
      </c>
    </row>
    <row r="168" spans="1:13" hidden="1">
      <c r="A168" s="2" t="s">
        <v>3109</v>
      </c>
      <c r="B168" s="2" t="s">
        <v>3152</v>
      </c>
      <c r="C168" s="2" t="s">
        <v>3481</v>
      </c>
      <c r="D168" s="8">
        <v>1.93</v>
      </c>
      <c r="E168" s="8">
        <v>3.15</v>
      </c>
      <c r="F168" s="8">
        <v>3.78</v>
      </c>
      <c r="G168" s="205">
        <v>0</v>
      </c>
      <c r="H168" s="205">
        <v>1</v>
      </c>
      <c r="I168" s="2">
        <f t="shared" si="9"/>
        <v>-1</v>
      </c>
      <c r="J168" s="2">
        <f t="shared" si="10"/>
        <v>1.8499999999999999</v>
      </c>
      <c r="K168" s="2">
        <f t="shared" si="8"/>
        <v>-1.8499999999999999</v>
      </c>
    </row>
    <row r="169" spans="1:13" hidden="1">
      <c r="A169" s="2" t="s">
        <v>3109</v>
      </c>
      <c r="B169" s="2" t="s">
        <v>3228</v>
      </c>
      <c r="C169" s="2" t="s">
        <v>3430</v>
      </c>
      <c r="D169" s="8">
        <v>2.13</v>
      </c>
      <c r="E169" s="8">
        <v>3.08</v>
      </c>
      <c r="F169" s="8">
        <v>3.77</v>
      </c>
      <c r="G169" s="205">
        <v>1</v>
      </c>
      <c r="H169" s="205">
        <v>2</v>
      </c>
      <c r="I169" s="2">
        <f t="shared" si="9"/>
        <v>-1</v>
      </c>
      <c r="J169" s="2">
        <f t="shared" si="10"/>
        <v>1.6400000000000001</v>
      </c>
      <c r="K169" s="2">
        <f t="shared" si="8"/>
        <v>-1.6400000000000001</v>
      </c>
      <c r="L169" s="2" t="s">
        <v>3677</v>
      </c>
      <c r="M169" s="2" t="s">
        <v>3678</v>
      </c>
    </row>
    <row r="170" spans="1:13" hidden="1">
      <c r="A170" s="2" t="s">
        <v>3109</v>
      </c>
      <c r="B170" s="2" t="s">
        <v>3407</v>
      </c>
      <c r="C170" s="2" t="s">
        <v>3408</v>
      </c>
      <c r="D170" s="8">
        <v>2.2000000000000002</v>
      </c>
      <c r="E170" s="8">
        <v>2.96</v>
      </c>
      <c r="F170" s="8">
        <v>3.73</v>
      </c>
      <c r="G170" s="205">
        <v>0</v>
      </c>
      <c r="H170" s="205">
        <v>1</v>
      </c>
      <c r="I170" s="2">
        <f t="shared" si="9"/>
        <v>-1</v>
      </c>
      <c r="J170" s="2">
        <f t="shared" si="10"/>
        <v>1.5299999999999998</v>
      </c>
      <c r="K170" s="2">
        <f t="shared" si="8"/>
        <v>-1.5299999999999998</v>
      </c>
      <c r="L170" s="2" t="s">
        <v>3677</v>
      </c>
      <c r="M170" s="2" t="s">
        <v>3678</v>
      </c>
    </row>
    <row r="171" spans="1:13" hidden="1">
      <c r="A171" s="2" t="s">
        <v>3109</v>
      </c>
      <c r="B171" s="2" t="s">
        <v>3130</v>
      </c>
      <c r="C171" s="2" t="s">
        <v>3483</v>
      </c>
      <c r="D171" s="8">
        <v>1.91</v>
      </c>
      <c r="E171" s="8">
        <v>3.75</v>
      </c>
      <c r="F171" s="8">
        <v>3.73</v>
      </c>
      <c r="G171" s="205">
        <v>1</v>
      </c>
      <c r="H171" s="205">
        <v>1</v>
      </c>
      <c r="I171" s="2">
        <f t="shared" si="9"/>
        <v>0</v>
      </c>
      <c r="J171" s="2">
        <f t="shared" si="10"/>
        <v>1.82</v>
      </c>
      <c r="K171" s="2">
        <f t="shared" si="8"/>
        <v>-1.82</v>
      </c>
    </row>
    <row r="172" spans="1:13" hidden="1">
      <c r="A172" s="2" t="s">
        <v>3109</v>
      </c>
      <c r="B172" s="2" t="s">
        <v>1698</v>
      </c>
      <c r="C172" s="2" t="s">
        <v>3446</v>
      </c>
      <c r="D172" s="8">
        <v>2.08</v>
      </c>
      <c r="E172" s="8">
        <v>3.45</v>
      </c>
      <c r="F172" s="8">
        <v>3.72</v>
      </c>
      <c r="G172" s="205">
        <v>0</v>
      </c>
      <c r="H172" s="205">
        <v>2</v>
      </c>
      <c r="I172" s="2">
        <f t="shared" si="9"/>
        <v>-2</v>
      </c>
      <c r="J172" s="2">
        <f t="shared" si="10"/>
        <v>1.6400000000000001</v>
      </c>
      <c r="K172" s="2">
        <f t="shared" si="8"/>
        <v>-1.6400000000000001</v>
      </c>
      <c r="L172" s="2" t="s">
        <v>3678</v>
      </c>
      <c r="M172" s="2" t="s">
        <v>3677</v>
      </c>
    </row>
    <row r="173" spans="1:13" hidden="1">
      <c r="A173" s="2" t="s">
        <v>3109</v>
      </c>
      <c r="B173" s="2" t="s">
        <v>3450</v>
      </c>
      <c r="C173" s="2" t="s">
        <v>3451</v>
      </c>
      <c r="D173" s="8">
        <v>2.06</v>
      </c>
      <c r="E173" s="8">
        <v>3.62</v>
      </c>
      <c r="F173" s="8">
        <v>3.72</v>
      </c>
      <c r="G173" s="205">
        <v>1</v>
      </c>
      <c r="H173" s="205">
        <v>1</v>
      </c>
      <c r="I173" s="2">
        <f t="shared" si="9"/>
        <v>0</v>
      </c>
      <c r="J173" s="2">
        <f t="shared" si="10"/>
        <v>1.6600000000000001</v>
      </c>
      <c r="K173" s="2">
        <f t="shared" si="8"/>
        <v>-1.6600000000000001</v>
      </c>
      <c r="L173" s="2" t="s">
        <v>3678</v>
      </c>
      <c r="M173" s="2" t="s">
        <v>3678</v>
      </c>
    </row>
    <row r="174" spans="1:13" hidden="1">
      <c r="A174" s="2" t="s">
        <v>3109</v>
      </c>
      <c r="B174" s="2" t="s">
        <v>3211</v>
      </c>
      <c r="C174" s="2" t="s">
        <v>3458</v>
      </c>
      <c r="D174" s="8">
        <v>2.0299999999999998</v>
      </c>
      <c r="E174" s="8">
        <v>2.88</v>
      </c>
      <c r="F174" s="8">
        <v>3.72</v>
      </c>
      <c r="G174" s="205">
        <v>0</v>
      </c>
      <c r="H174" s="205">
        <v>0</v>
      </c>
      <c r="I174" s="2">
        <f t="shared" si="9"/>
        <v>0</v>
      </c>
      <c r="J174" s="2">
        <f t="shared" si="10"/>
        <v>1.6900000000000004</v>
      </c>
      <c r="K174" s="2">
        <f t="shared" si="8"/>
        <v>-1.6900000000000004</v>
      </c>
      <c r="L174" s="2" t="s">
        <v>3678</v>
      </c>
      <c r="M174" s="2" t="s">
        <v>3677</v>
      </c>
    </row>
    <row r="175" spans="1:13" hidden="1">
      <c r="A175" s="2" t="s">
        <v>3109</v>
      </c>
      <c r="B175" s="2" t="s">
        <v>3172</v>
      </c>
      <c r="C175" s="2" t="s">
        <v>3475</v>
      </c>
      <c r="D175" s="8">
        <v>1.95</v>
      </c>
      <c r="E175" s="8">
        <v>3.15</v>
      </c>
      <c r="F175" s="8">
        <v>3.72</v>
      </c>
      <c r="G175" s="205">
        <v>2</v>
      </c>
      <c r="H175" s="205">
        <v>1</v>
      </c>
      <c r="I175" s="2">
        <f t="shared" si="9"/>
        <v>1</v>
      </c>
      <c r="J175" s="2">
        <f t="shared" si="10"/>
        <v>1.7700000000000002</v>
      </c>
      <c r="K175" s="2">
        <f t="shared" si="8"/>
        <v>-1.7700000000000002</v>
      </c>
    </row>
    <row r="176" spans="1:13" hidden="1">
      <c r="A176" s="2" t="s">
        <v>3109</v>
      </c>
      <c r="B176" s="2" t="s">
        <v>3110</v>
      </c>
      <c r="C176" s="2" t="s">
        <v>3523</v>
      </c>
      <c r="D176" s="8">
        <v>1.77</v>
      </c>
      <c r="E176" s="8">
        <v>3.25</v>
      </c>
      <c r="F176" s="8">
        <v>3.72</v>
      </c>
      <c r="G176" s="205">
        <v>0</v>
      </c>
      <c r="H176" s="205">
        <v>2</v>
      </c>
      <c r="I176" s="2">
        <f t="shared" si="9"/>
        <v>-2</v>
      </c>
      <c r="J176" s="2">
        <f t="shared" si="10"/>
        <v>1.9500000000000002</v>
      </c>
      <c r="K176" s="2">
        <f t="shared" si="8"/>
        <v>-1.9500000000000002</v>
      </c>
    </row>
    <row r="177" spans="1:13" hidden="1">
      <c r="A177" s="2" t="s">
        <v>3109</v>
      </c>
      <c r="B177" s="2" t="s">
        <v>3158</v>
      </c>
      <c r="C177" s="2" t="s">
        <v>3416</v>
      </c>
      <c r="D177" s="8">
        <v>2.17</v>
      </c>
      <c r="E177" s="8">
        <v>3.23</v>
      </c>
      <c r="F177" s="8">
        <v>3.7</v>
      </c>
      <c r="G177" s="205">
        <v>2</v>
      </c>
      <c r="H177" s="205">
        <v>1</v>
      </c>
      <c r="I177" s="2">
        <f t="shared" si="9"/>
        <v>1</v>
      </c>
      <c r="J177" s="2">
        <f t="shared" si="10"/>
        <v>1.5300000000000002</v>
      </c>
      <c r="K177" s="2">
        <f t="shared" si="8"/>
        <v>-1.5300000000000002</v>
      </c>
      <c r="L177" s="2" t="s">
        <v>3678</v>
      </c>
      <c r="M177" s="2" t="s">
        <v>3678</v>
      </c>
    </row>
    <row r="178" spans="1:13" hidden="1">
      <c r="A178" s="2" t="s">
        <v>3109</v>
      </c>
      <c r="B178" s="2" t="s">
        <v>3209</v>
      </c>
      <c r="C178" s="2" t="s">
        <v>3551</v>
      </c>
      <c r="D178" s="8">
        <v>1.7</v>
      </c>
      <c r="E178" s="8">
        <v>3.57</v>
      </c>
      <c r="F178" s="8">
        <v>3.7</v>
      </c>
      <c r="G178" s="205">
        <v>2</v>
      </c>
      <c r="H178" s="205">
        <v>0</v>
      </c>
      <c r="I178" s="2">
        <f t="shared" si="9"/>
        <v>2</v>
      </c>
      <c r="J178" s="2">
        <f t="shared" si="10"/>
        <v>2</v>
      </c>
      <c r="K178" s="2">
        <f t="shared" si="8"/>
        <v>-2</v>
      </c>
    </row>
    <row r="179" spans="1:13" hidden="1">
      <c r="A179" s="2" t="s">
        <v>3109</v>
      </c>
      <c r="B179" s="2" t="s">
        <v>3189</v>
      </c>
      <c r="C179" s="2" t="s">
        <v>3435</v>
      </c>
      <c r="D179" s="8">
        <v>2.11</v>
      </c>
      <c r="E179" s="8">
        <v>2.77</v>
      </c>
      <c r="F179" s="8">
        <v>3.65</v>
      </c>
      <c r="G179" s="205">
        <v>0</v>
      </c>
      <c r="H179" s="205">
        <v>2</v>
      </c>
      <c r="I179" s="2">
        <f t="shared" si="9"/>
        <v>-2</v>
      </c>
      <c r="J179" s="2">
        <f t="shared" si="10"/>
        <v>1.54</v>
      </c>
      <c r="K179" s="2">
        <f t="shared" si="8"/>
        <v>-1.54</v>
      </c>
      <c r="L179" s="2" t="s">
        <v>3678</v>
      </c>
      <c r="M179" s="2" t="s">
        <v>3678</v>
      </c>
    </row>
    <row r="180" spans="1:13" hidden="1">
      <c r="A180" s="2" t="s">
        <v>3109</v>
      </c>
      <c r="B180" s="2" t="s">
        <v>3120</v>
      </c>
      <c r="C180" s="2" t="s">
        <v>3525</v>
      </c>
      <c r="D180" s="8">
        <v>1.77</v>
      </c>
      <c r="E180" s="8">
        <v>3.32</v>
      </c>
      <c r="F180" s="8">
        <v>3.65</v>
      </c>
      <c r="G180" s="205">
        <v>1</v>
      </c>
      <c r="H180" s="205">
        <v>0</v>
      </c>
      <c r="I180" s="2">
        <f t="shared" si="9"/>
        <v>1</v>
      </c>
      <c r="J180" s="2">
        <f t="shared" si="10"/>
        <v>1.88</v>
      </c>
      <c r="K180" s="2">
        <f t="shared" si="8"/>
        <v>-1.88</v>
      </c>
    </row>
    <row r="181" spans="1:13" hidden="1">
      <c r="A181" s="2" t="s">
        <v>3109</v>
      </c>
      <c r="B181" s="2" t="s">
        <v>3294</v>
      </c>
      <c r="C181" s="2" t="s">
        <v>3526</v>
      </c>
      <c r="D181" s="8">
        <v>1.77</v>
      </c>
      <c r="E181" s="8">
        <v>3.32</v>
      </c>
      <c r="F181" s="8">
        <v>3.65</v>
      </c>
      <c r="G181" s="205">
        <v>0</v>
      </c>
      <c r="H181" s="205">
        <v>2</v>
      </c>
      <c r="I181" s="2">
        <f t="shared" si="9"/>
        <v>-2</v>
      </c>
      <c r="J181" s="2">
        <f t="shared" si="10"/>
        <v>1.88</v>
      </c>
      <c r="K181" s="2">
        <f t="shared" si="8"/>
        <v>-1.88</v>
      </c>
    </row>
    <row r="182" spans="1:13" hidden="1">
      <c r="A182" s="2" t="s">
        <v>3109</v>
      </c>
      <c r="B182" s="2" t="s">
        <v>3211</v>
      </c>
      <c r="C182" s="2" t="s">
        <v>3438</v>
      </c>
      <c r="D182" s="8">
        <v>2.11</v>
      </c>
      <c r="E182" s="8">
        <v>2.77</v>
      </c>
      <c r="F182" s="8">
        <v>3.63</v>
      </c>
      <c r="G182" s="205">
        <v>1</v>
      </c>
      <c r="H182" s="205">
        <v>2</v>
      </c>
      <c r="I182" s="2">
        <f t="shared" si="9"/>
        <v>-1</v>
      </c>
      <c r="J182" s="2">
        <f t="shared" si="10"/>
        <v>1.52</v>
      </c>
      <c r="K182" s="2">
        <f t="shared" si="8"/>
        <v>-1.52</v>
      </c>
      <c r="L182" s="2" t="s">
        <v>3678</v>
      </c>
      <c r="M182" s="2" t="s">
        <v>3678</v>
      </c>
    </row>
    <row r="183" spans="1:13" hidden="1">
      <c r="A183" s="2" t="s">
        <v>3109</v>
      </c>
      <c r="B183" s="2" t="s">
        <v>3477</v>
      </c>
      <c r="C183" s="2" t="s">
        <v>3478</v>
      </c>
      <c r="D183" s="8">
        <v>1.94</v>
      </c>
      <c r="E183" s="8">
        <v>3.25</v>
      </c>
      <c r="F183" s="8">
        <v>3.62</v>
      </c>
      <c r="G183" s="205">
        <v>0</v>
      </c>
      <c r="H183" s="205">
        <v>2</v>
      </c>
      <c r="I183" s="2">
        <f t="shared" si="9"/>
        <v>-2</v>
      </c>
      <c r="J183" s="2">
        <f t="shared" si="10"/>
        <v>1.6800000000000002</v>
      </c>
      <c r="K183" s="2">
        <f t="shared" si="8"/>
        <v>-1.6800000000000002</v>
      </c>
    </row>
    <row r="184" spans="1:13" hidden="1">
      <c r="A184" s="2" t="s">
        <v>3109</v>
      </c>
      <c r="B184" s="2" t="s">
        <v>3180</v>
      </c>
      <c r="C184" s="2" t="s">
        <v>3515</v>
      </c>
      <c r="D184" s="8">
        <v>1.79</v>
      </c>
      <c r="E184" s="8">
        <v>3.3</v>
      </c>
      <c r="F184" s="8">
        <v>3.62</v>
      </c>
      <c r="G184" s="205">
        <v>2</v>
      </c>
      <c r="H184" s="205">
        <v>1</v>
      </c>
      <c r="I184" s="2">
        <f t="shared" si="9"/>
        <v>1</v>
      </c>
      <c r="J184" s="2">
        <f t="shared" si="10"/>
        <v>1.83</v>
      </c>
      <c r="K184" s="2">
        <f t="shared" si="8"/>
        <v>-1.83</v>
      </c>
    </row>
    <row r="185" spans="1:13" hidden="1">
      <c r="A185" s="2" t="s">
        <v>3109</v>
      </c>
      <c r="B185" s="2" t="s">
        <v>3169</v>
      </c>
      <c r="C185" s="2" t="s">
        <v>3501</v>
      </c>
      <c r="D185" s="8">
        <v>1.85</v>
      </c>
      <c r="E185" s="8">
        <v>3.1</v>
      </c>
      <c r="F185" s="8">
        <v>3.6</v>
      </c>
      <c r="G185" s="205">
        <v>0</v>
      </c>
      <c r="H185" s="205">
        <v>1</v>
      </c>
      <c r="I185" s="2">
        <f t="shared" si="9"/>
        <v>-1</v>
      </c>
      <c r="J185" s="2">
        <f t="shared" si="10"/>
        <v>1.75</v>
      </c>
      <c r="K185" s="2">
        <f t="shared" si="8"/>
        <v>-1.75</v>
      </c>
    </row>
    <row r="186" spans="1:13" hidden="1">
      <c r="A186" s="2" t="s">
        <v>3109</v>
      </c>
      <c r="B186" s="2" t="s">
        <v>3110</v>
      </c>
      <c r="C186" s="2" t="s">
        <v>3509</v>
      </c>
      <c r="D186" s="8">
        <v>1.83</v>
      </c>
      <c r="E186" s="8">
        <v>3.15</v>
      </c>
      <c r="F186" s="8">
        <v>3.6</v>
      </c>
      <c r="G186" s="205">
        <v>1</v>
      </c>
      <c r="H186" s="205">
        <v>2</v>
      </c>
      <c r="I186" s="2">
        <f t="shared" si="9"/>
        <v>-1</v>
      </c>
      <c r="J186" s="2">
        <f t="shared" si="10"/>
        <v>1.77</v>
      </c>
      <c r="K186" s="2">
        <f t="shared" si="8"/>
        <v>-1.77</v>
      </c>
    </row>
    <row r="187" spans="1:13" hidden="1">
      <c r="A187" s="2" t="s">
        <v>3109</v>
      </c>
      <c r="B187" s="2" t="s">
        <v>3402</v>
      </c>
      <c r="C187" s="2" t="s">
        <v>3529</v>
      </c>
      <c r="D187" s="8">
        <v>1.76</v>
      </c>
      <c r="E187" s="8">
        <v>3.42</v>
      </c>
      <c r="F187" s="8">
        <v>3.58</v>
      </c>
      <c r="G187" s="205">
        <v>1</v>
      </c>
      <c r="H187" s="205">
        <v>1</v>
      </c>
      <c r="I187" s="2">
        <f t="shared" si="9"/>
        <v>0</v>
      </c>
      <c r="J187" s="2">
        <f t="shared" si="10"/>
        <v>1.82</v>
      </c>
      <c r="K187" s="2">
        <f t="shared" si="8"/>
        <v>-1.82</v>
      </c>
    </row>
    <row r="188" spans="1:13" hidden="1">
      <c r="A188" s="2" t="s">
        <v>3109</v>
      </c>
      <c r="B188" s="2" t="s">
        <v>3110</v>
      </c>
      <c r="C188" s="2" t="s">
        <v>3512</v>
      </c>
      <c r="D188" s="8">
        <v>1.81</v>
      </c>
      <c r="E188" s="8">
        <v>3.25</v>
      </c>
      <c r="F188" s="8">
        <v>3.57</v>
      </c>
      <c r="G188" s="205">
        <v>1</v>
      </c>
      <c r="H188" s="205">
        <v>2</v>
      </c>
      <c r="I188" s="2">
        <f t="shared" si="9"/>
        <v>-1</v>
      </c>
      <c r="J188" s="2">
        <f t="shared" si="10"/>
        <v>1.7599999999999998</v>
      </c>
      <c r="K188" s="2">
        <f t="shared" si="8"/>
        <v>-1.7599999999999998</v>
      </c>
    </row>
    <row r="189" spans="1:13" hidden="1">
      <c r="A189" s="2" t="s">
        <v>3109</v>
      </c>
      <c r="B189" s="2" t="s">
        <v>3152</v>
      </c>
      <c r="C189" s="2" t="s">
        <v>3464</v>
      </c>
      <c r="D189" s="8">
        <v>1.99</v>
      </c>
      <c r="E189" s="8">
        <v>3.17</v>
      </c>
      <c r="F189" s="8">
        <v>3.55</v>
      </c>
      <c r="G189" s="205">
        <v>0</v>
      </c>
      <c r="H189" s="205">
        <v>2</v>
      </c>
      <c r="I189" s="2">
        <f t="shared" si="9"/>
        <v>-2</v>
      </c>
      <c r="J189" s="2">
        <f t="shared" si="10"/>
        <v>1.5599999999999998</v>
      </c>
      <c r="K189" s="2">
        <f t="shared" si="8"/>
        <v>-1.5599999999999998</v>
      </c>
    </row>
    <row r="190" spans="1:13" hidden="1">
      <c r="A190" s="2" t="s">
        <v>3109</v>
      </c>
      <c r="B190" s="2" t="s">
        <v>3535</v>
      </c>
      <c r="C190" s="2" t="s">
        <v>3536</v>
      </c>
      <c r="D190" s="8">
        <v>1.74</v>
      </c>
      <c r="E190" s="8">
        <v>3.55</v>
      </c>
      <c r="F190" s="8">
        <v>3.55</v>
      </c>
      <c r="G190" s="205">
        <v>1</v>
      </c>
      <c r="H190" s="205">
        <v>2</v>
      </c>
      <c r="I190" s="2">
        <f t="shared" si="9"/>
        <v>-1</v>
      </c>
      <c r="J190" s="2">
        <f t="shared" si="10"/>
        <v>1.8099999999999998</v>
      </c>
      <c r="K190" s="2">
        <f t="shared" si="8"/>
        <v>-1.8099999999999998</v>
      </c>
    </row>
    <row r="191" spans="1:13" hidden="1">
      <c r="A191" s="2" t="s">
        <v>3109</v>
      </c>
      <c r="B191" s="2" t="s">
        <v>3250</v>
      </c>
      <c r="C191" s="2" t="s">
        <v>3449</v>
      </c>
      <c r="D191" s="8">
        <v>2.06</v>
      </c>
      <c r="E191" s="8">
        <v>3.67</v>
      </c>
      <c r="F191" s="8">
        <v>3.53</v>
      </c>
      <c r="G191" s="205">
        <v>1</v>
      </c>
      <c r="H191" s="205">
        <v>2</v>
      </c>
      <c r="I191" s="2">
        <f t="shared" si="9"/>
        <v>-1</v>
      </c>
      <c r="J191" s="2">
        <f t="shared" si="10"/>
        <v>1.4699999999999998</v>
      </c>
      <c r="K191" s="2">
        <f t="shared" si="8"/>
        <v>-1.4699999999999998</v>
      </c>
      <c r="L191" s="2" t="s">
        <v>3678</v>
      </c>
      <c r="M191" s="2" t="s">
        <v>3677</v>
      </c>
    </row>
    <row r="192" spans="1:13" hidden="1">
      <c r="A192" s="2" t="s">
        <v>3109</v>
      </c>
      <c r="B192" s="2" t="s">
        <v>3110</v>
      </c>
      <c r="C192" s="2" t="s">
        <v>3487</v>
      </c>
      <c r="D192" s="8">
        <v>1.89</v>
      </c>
      <c r="E192" s="8">
        <v>3.05</v>
      </c>
      <c r="F192" s="8">
        <v>3.53</v>
      </c>
      <c r="G192" s="205">
        <v>0</v>
      </c>
      <c r="H192" s="205">
        <v>1</v>
      </c>
      <c r="I192" s="2">
        <f t="shared" si="9"/>
        <v>-1</v>
      </c>
      <c r="J192" s="2">
        <f t="shared" si="10"/>
        <v>1.64</v>
      </c>
      <c r="K192" s="2">
        <f t="shared" si="8"/>
        <v>-1.64</v>
      </c>
    </row>
    <row r="193" spans="1:13" hidden="1">
      <c r="A193" s="2" t="s">
        <v>3109</v>
      </c>
      <c r="B193" s="2" t="s">
        <v>3329</v>
      </c>
      <c r="C193" s="2" t="s">
        <v>3414</v>
      </c>
      <c r="D193" s="8">
        <v>2.1800000000000002</v>
      </c>
      <c r="E193" s="8">
        <v>3.15</v>
      </c>
      <c r="F193" s="8">
        <v>3.52</v>
      </c>
      <c r="G193" s="205">
        <v>1</v>
      </c>
      <c r="H193" s="205">
        <v>2</v>
      </c>
      <c r="I193" s="2">
        <f t="shared" si="9"/>
        <v>-1</v>
      </c>
      <c r="J193" s="2">
        <f t="shared" si="10"/>
        <v>1.3399999999999999</v>
      </c>
      <c r="K193" s="2">
        <f t="shared" si="8"/>
        <v>-1.3399999999999999</v>
      </c>
      <c r="L193" s="2" t="s">
        <v>3678</v>
      </c>
      <c r="M193" s="2" t="s">
        <v>3677</v>
      </c>
    </row>
    <row r="194" spans="1:13" hidden="1">
      <c r="A194" s="2" t="s">
        <v>3109</v>
      </c>
      <c r="B194" s="2" t="s">
        <v>3297</v>
      </c>
      <c r="C194" s="2" t="s">
        <v>3453</v>
      </c>
      <c r="D194" s="8">
        <v>2.06</v>
      </c>
      <c r="E194" s="8">
        <v>2.7</v>
      </c>
      <c r="F194" s="8">
        <v>3.52</v>
      </c>
      <c r="G194" s="205">
        <v>1</v>
      </c>
      <c r="H194" s="205">
        <v>1</v>
      </c>
      <c r="I194" s="2">
        <f t="shared" si="9"/>
        <v>0</v>
      </c>
      <c r="J194" s="2">
        <f t="shared" si="10"/>
        <v>1.46</v>
      </c>
      <c r="K194" s="2">
        <f t="shared" ref="K194:K257" si="11">+D194-F194</f>
        <v>-1.46</v>
      </c>
      <c r="L194" s="2" t="s">
        <v>3678</v>
      </c>
      <c r="M194" s="2" t="s">
        <v>3677</v>
      </c>
    </row>
    <row r="195" spans="1:13" hidden="1">
      <c r="A195" s="2" t="s">
        <v>3109</v>
      </c>
      <c r="B195" s="2" t="s">
        <v>3205</v>
      </c>
      <c r="C195" s="2" t="s">
        <v>3489</v>
      </c>
      <c r="D195" s="8">
        <v>1.89</v>
      </c>
      <c r="E195" s="8">
        <v>3.08</v>
      </c>
      <c r="F195" s="8">
        <v>3.5</v>
      </c>
      <c r="G195" s="205">
        <v>0</v>
      </c>
      <c r="H195" s="205">
        <v>2</v>
      </c>
      <c r="I195" s="2">
        <f t="shared" ref="I195:I258" si="12">+G195-H195</f>
        <v>-2</v>
      </c>
      <c r="J195" s="2">
        <f t="shared" ref="J195:J258" si="13">ABS(+D195-F195)</f>
        <v>1.61</v>
      </c>
      <c r="K195" s="2">
        <f t="shared" si="11"/>
        <v>-1.61</v>
      </c>
    </row>
    <row r="196" spans="1:13" hidden="1">
      <c r="A196" s="2" t="s">
        <v>3109</v>
      </c>
      <c r="B196" s="2" t="s">
        <v>3110</v>
      </c>
      <c r="C196" s="2" t="s">
        <v>3495</v>
      </c>
      <c r="D196" s="8">
        <v>1.87</v>
      </c>
      <c r="E196" s="8">
        <v>3.13</v>
      </c>
      <c r="F196" s="8">
        <v>3.5</v>
      </c>
      <c r="G196" s="205">
        <v>2</v>
      </c>
      <c r="H196" s="205">
        <v>1</v>
      </c>
      <c r="I196" s="2">
        <f t="shared" si="12"/>
        <v>1</v>
      </c>
      <c r="J196" s="2">
        <f t="shared" si="13"/>
        <v>1.63</v>
      </c>
      <c r="K196" s="2">
        <f t="shared" si="11"/>
        <v>-1.63</v>
      </c>
    </row>
    <row r="197" spans="1:13" hidden="1">
      <c r="A197" s="2" t="s">
        <v>3109</v>
      </c>
      <c r="B197" s="2" t="s">
        <v>3257</v>
      </c>
      <c r="C197" s="2" t="s">
        <v>3388</v>
      </c>
      <c r="D197" s="8">
        <v>2.2599999999999998</v>
      </c>
      <c r="E197" s="8">
        <v>3.03</v>
      </c>
      <c r="F197" s="8">
        <v>3.48</v>
      </c>
      <c r="G197" s="205">
        <v>0</v>
      </c>
      <c r="H197" s="205">
        <v>1</v>
      </c>
      <c r="I197" s="2">
        <f t="shared" si="12"/>
        <v>-1</v>
      </c>
      <c r="J197" s="2">
        <f t="shared" si="13"/>
        <v>1.2200000000000002</v>
      </c>
      <c r="K197" s="2">
        <f t="shared" si="11"/>
        <v>-1.2200000000000002</v>
      </c>
      <c r="L197" s="2" t="s">
        <v>3678</v>
      </c>
      <c r="M197" s="2" t="s">
        <v>3677</v>
      </c>
    </row>
    <row r="198" spans="1:13" hidden="1">
      <c r="A198" s="2" t="s">
        <v>3109</v>
      </c>
      <c r="B198" s="2" t="s">
        <v>3211</v>
      </c>
      <c r="C198" s="2" t="s">
        <v>3442</v>
      </c>
      <c r="D198" s="8">
        <v>2.09</v>
      </c>
      <c r="E198" s="8">
        <v>2.9</v>
      </c>
      <c r="F198" s="8">
        <v>3.48</v>
      </c>
      <c r="G198" s="205">
        <v>0</v>
      </c>
      <c r="H198" s="205">
        <v>0</v>
      </c>
      <c r="I198" s="2">
        <f t="shared" si="12"/>
        <v>0</v>
      </c>
      <c r="J198" s="2">
        <f t="shared" si="13"/>
        <v>1.3900000000000001</v>
      </c>
      <c r="K198" s="2">
        <f t="shared" si="11"/>
        <v>-1.3900000000000001</v>
      </c>
      <c r="L198" s="2" t="s">
        <v>3678</v>
      </c>
      <c r="M198" s="2" t="s">
        <v>3678</v>
      </c>
    </row>
    <row r="199" spans="1:13" hidden="1">
      <c r="A199" s="2" t="s">
        <v>3109</v>
      </c>
      <c r="B199" s="2" t="s">
        <v>3224</v>
      </c>
      <c r="C199" s="2" t="s">
        <v>3342</v>
      </c>
      <c r="D199" s="8">
        <v>2.44</v>
      </c>
      <c r="E199" s="8">
        <v>3.02</v>
      </c>
      <c r="F199" s="8">
        <v>3.47</v>
      </c>
      <c r="G199" s="205">
        <v>1</v>
      </c>
      <c r="H199" s="205">
        <v>1</v>
      </c>
      <c r="I199" s="2">
        <f t="shared" si="12"/>
        <v>0</v>
      </c>
      <c r="J199" s="2">
        <f t="shared" si="13"/>
        <v>1.0300000000000002</v>
      </c>
      <c r="K199" s="2">
        <f t="shared" si="11"/>
        <v>-1.0300000000000002</v>
      </c>
      <c r="L199" s="2" t="s">
        <v>3678</v>
      </c>
      <c r="M199" s="2" t="s">
        <v>3677</v>
      </c>
    </row>
    <row r="200" spans="1:13" hidden="1">
      <c r="A200" s="2" t="s">
        <v>3109</v>
      </c>
      <c r="B200" s="2" t="s">
        <v>3182</v>
      </c>
      <c r="C200" s="2" t="s">
        <v>3362</v>
      </c>
      <c r="D200" s="8">
        <v>2.35</v>
      </c>
      <c r="E200" s="8">
        <v>2.88</v>
      </c>
      <c r="F200" s="8">
        <v>3.47</v>
      </c>
      <c r="G200" s="205">
        <v>0</v>
      </c>
      <c r="H200" s="205">
        <v>2</v>
      </c>
      <c r="I200" s="2">
        <f t="shared" si="12"/>
        <v>-2</v>
      </c>
      <c r="J200" s="2">
        <f t="shared" si="13"/>
        <v>1.1200000000000001</v>
      </c>
      <c r="K200" s="2">
        <f t="shared" si="11"/>
        <v>-1.1200000000000001</v>
      </c>
      <c r="L200" s="2" t="s">
        <v>3678</v>
      </c>
      <c r="M200" s="2" t="s">
        <v>3677</v>
      </c>
    </row>
    <row r="201" spans="1:13" hidden="1">
      <c r="A201" s="2" t="s">
        <v>3109</v>
      </c>
      <c r="B201" s="2" t="s">
        <v>3182</v>
      </c>
      <c r="C201" s="2" t="s">
        <v>3399</v>
      </c>
      <c r="D201" s="8">
        <v>2.21</v>
      </c>
      <c r="E201" s="8">
        <v>3.13</v>
      </c>
      <c r="F201" s="8">
        <v>3.47</v>
      </c>
      <c r="G201" s="205">
        <v>0</v>
      </c>
      <c r="H201" s="205">
        <v>1</v>
      </c>
      <c r="I201" s="2">
        <f t="shared" si="12"/>
        <v>-1</v>
      </c>
      <c r="J201" s="2">
        <f t="shared" si="13"/>
        <v>1.2600000000000002</v>
      </c>
      <c r="K201" s="2">
        <f t="shared" si="11"/>
        <v>-1.2600000000000002</v>
      </c>
      <c r="L201" s="2" t="s">
        <v>3677</v>
      </c>
      <c r="M201" s="2" t="s">
        <v>3678</v>
      </c>
    </row>
    <row r="202" spans="1:13" hidden="1">
      <c r="A202" s="2" t="s">
        <v>3109</v>
      </c>
      <c r="B202" s="2" t="s">
        <v>3422</v>
      </c>
      <c r="C202" s="2" t="s">
        <v>3423</v>
      </c>
      <c r="D202" s="8">
        <v>2.15</v>
      </c>
      <c r="E202" s="8">
        <v>3.62</v>
      </c>
      <c r="F202" s="8">
        <v>3.45</v>
      </c>
      <c r="G202" s="205">
        <v>0</v>
      </c>
      <c r="H202" s="205">
        <v>0</v>
      </c>
      <c r="I202" s="2">
        <f t="shared" si="12"/>
        <v>0</v>
      </c>
      <c r="J202" s="2">
        <f t="shared" si="13"/>
        <v>1.3000000000000003</v>
      </c>
      <c r="K202" s="2">
        <f t="shared" si="11"/>
        <v>-1.3000000000000003</v>
      </c>
      <c r="L202" s="2" t="s">
        <v>3678</v>
      </c>
      <c r="M202" s="2" t="s">
        <v>3678</v>
      </c>
    </row>
    <row r="203" spans="1:13" hidden="1">
      <c r="A203" s="2" t="s">
        <v>3109</v>
      </c>
      <c r="B203" s="2" t="s">
        <v>3203</v>
      </c>
      <c r="C203" s="2" t="s">
        <v>3467</v>
      </c>
      <c r="D203" s="8">
        <v>1.98</v>
      </c>
      <c r="E203" s="8">
        <v>2.9</v>
      </c>
      <c r="F203" s="8">
        <v>3.45</v>
      </c>
      <c r="G203" s="205">
        <v>1</v>
      </c>
      <c r="H203" s="205">
        <v>2</v>
      </c>
      <c r="I203" s="2">
        <f t="shared" si="12"/>
        <v>-1</v>
      </c>
      <c r="J203" s="2">
        <f t="shared" si="13"/>
        <v>1.4700000000000002</v>
      </c>
      <c r="K203" s="2">
        <f t="shared" si="11"/>
        <v>-1.4700000000000002</v>
      </c>
    </row>
    <row r="204" spans="1:13" hidden="1">
      <c r="A204" s="2" t="s">
        <v>3109</v>
      </c>
      <c r="B204" s="2" t="s">
        <v>3340</v>
      </c>
      <c r="C204" s="2" t="s">
        <v>3404</v>
      </c>
      <c r="D204" s="8">
        <v>2.21</v>
      </c>
      <c r="E204" s="8">
        <v>3.17</v>
      </c>
      <c r="F204" s="8">
        <v>3.43</v>
      </c>
      <c r="G204" s="205">
        <v>2</v>
      </c>
      <c r="H204" s="205">
        <v>0</v>
      </c>
      <c r="I204" s="2">
        <f t="shared" si="12"/>
        <v>2</v>
      </c>
      <c r="J204" s="2">
        <f t="shared" si="13"/>
        <v>1.2200000000000002</v>
      </c>
      <c r="K204" s="2">
        <f t="shared" si="11"/>
        <v>-1.2200000000000002</v>
      </c>
      <c r="L204" s="2" t="s">
        <v>3678</v>
      </c>
      <c r="M204" s="2" t="s">
        <v>3678</v>
      </c>
    </row>
    <row r="205" spans="1:13" hidden="1">
      <c r="A205" s="2" t="s">
        <v>3109</v>
      </c>
      <c r="B205" s="2" t="s">
        <v>3433</v>
      </c>
      <c r="C205" s="2" t="s">
        <v>3434</v>
      </c>
      <c r="D205" s="8">
        <v>2.12</v>
      </c>
      <c r="E205" s="8">
        <v>2.89</v>
      </c>
      <c r="F205" s="8">
        <v>3.43</v>
      </c>
      <c r="G205" s="205">
        <v>0</v>
      </c>
      <c r="H205" s="205">
        <v>2</v>
      </c>
      <c r="I205" s="2">
        <f t="shared" si="12"/>
        <v>-2</v>
      </c>
      <c r="J205" s="2">
        <f t="shared" si="13"/>
        <v>1.31</v>
      </c>
      <c r="K205" s="2">
        <f t="shared" si="11"/>
        <v>-1.31</v>
      </c>
      <c r="L205" s="2" t="s">
        <v>3678</v>
      </c>
      <c r="M205" s="2" t="s">
        <v>3678</v>
      </c>
    </row>
    <row r="206" spans="1:13" hidden="1">
      <c r="A206" s="2" t="s">
        <v>3109</v>
      </c>
      <c r="B206" s="2" t="s">
        <v>3156</v>
      </c>
      <c r="C206" s="2" t="s">
        <v>3457</v>
      </c>
      <c r="D206" s="8">
        <v>2.04</v>
      </c>
      <c r="E206" s="8">
        <v>3.23</v>
      </c>
      <c r="F206" s="8">
        <v>3.43</v>
      </c>
      <c r="G206" s="205">
        <v>1</v>
      </c>
      <c r="H206" s="205">
        <v>0</v>
      </c>
      <c r="I206" s="2">
        <f t="shared" si="12"/>
        <v>1</v>
      </c>
      <c r="J206" s="2">
        <f t="shared" si="13"/>
        <v>1.3900000000000001</v>
      </c>
      <c r="K206" s="2">
        <f t="shared" si="11"/>
        <v>-1.3900000000000001</v>
      </c>
      <c r="L206" s="2" t="s">
        <v>3678</v>
      </c>
      <c r="M206" s="2" t="s">
        <v>3678</v>
      </c>
    </row>
    <row r="207" spans="1:13" hidden="1">
      <c r="A207" s="2" t="s">
        <v>3109</v>
      </c>
      <c r="B207" s="2" t="s">
        <v>3152</v>
      </c>
      <c r="C207" s="2" t="s">
        <v>3466</v>
      </c>
      <c r="D207" s="8">
        <v>1.99</v>
      </c>
      <c r="E207" s="8">
        <v>2.89</v>
      </c>
      <c r="F207" s="8">
        <v>3.43</v>
      </c>
      <c r="G207" s="205">
        <v>2</v>
      </c>
      <c r="H207" s="205">
        <v>0</v>
      </c>
      <c r="I207" s="2">
        <f t="shared" si="12"/>
        <v>2</v>
      </c>
      <c r="J207" s="2">
        <f t="shared" si="13"/>
        <v>1.4400000000000002</v>
      </c>
      <c r="K207" s="2">
        <f t="shared" si="11"/>
        <v>-1.4400000000000002</v>
      </c>
    </row>
    <row r="208" spans="1:13" hidden="1">
      <c r="A208" s="2" t="s">
        <v>3109</v>
      </c>
      <c r="B208" s="2" t="s">
        <v>3110</v>
      </c>
      <c r="C208" s="2" t="s">
        <v>3485</v>
      </c>
      <c r="D208" s="8">
        <v>1.9</v>
      </c>
      <c r="E208" s="8">
        <v>3.1</v>
      </c>
      <c r="F208" s="8">
        <v>3.43</v>
      </c>
      <c r="G208" s="205">
        <v>1</v>
      </c>
      <c r="H208" s="205">
        <v>2</v>
      </c>
      <c r="I208" s="2">
        <f t="shared" si="12"/>
        <v>-1</v>
      </c>
      <c r="J208" s="2">
        <f t="shared" si="13"/>
        <v>1.5300000000000002</v>
      </c>
      <c r="K208" s="2">
        <f t="shared" si="11"/>
        <v>-1.5300000000000002</v>
      </c>
    </row>
    <row r="209" spans="1:13" hidden="1">
      <c r="A209" s="2" t="s">
        <v>3109</v>
      </c>
      <c r="B209" s="2" t="s">
        <v>3172</v>
      </c>
      <c r="C209" s="2" t="s">
        <v>3455</v>
      </c>
      <c r="D209" s="8">
        <v>2.04</v>
      </c>
      <c r="E209" s="8">
        <v>3.15</v>
      </c>
      <c r="F209" s="8">
        <v>3.4</v>
      </c>
      <c r="G209" s="205">
        <v>2</v>
      </c>
      <c r="H209" s="205">
        <v>0</v>
      </c>
      <c r="I209" s="2">
        <f t="shared" si="12"/>
        <v>2</v>
      </c>
      <c r="J209" s="2">
        <f t="shared" si="13"/>
        <v>1.3599999999999999</v>
      </c>
      <c r="K209" s="2">
        <f t="shared" si="11"/>
        <v>-1.3599999999999999</v>
      </c>
      <c r="L209" s="2" t="s">
        <v>3678</v>
      </c>
      <c r="M209" s="2" t="s">
        <v>3678</v>
      </c>
    </row>
    <row r="210" spans="1:13" hidden="1">
      <c r="A210" s="2" t="s">
        <v>3109</v>
      </c>
      <c r="B210" s="2" t="s">
        <v>3144</v>
      </c>
      <c r="C210" s="2" t="s">
        <v>3499</v>
      </c>
      <c r="D210" s="8">
        <v>1.86</v>
      </c>
      <c r="E210" s="8">
        <v>3.25</v>
      </c>
      <c r="F210" s="8">
        <v>3.4</v>
      </c>
      <c r="G210" s="205">
        <v>1</v>
      </c>
      <c r="H210" s="205">
        <v>0</v>
      </c>
      <c r="I210" s="2">
        <f t="shared" si="12"/>
        <v>1</v>
      </c>
      <c r="J210" s="2">
        <f t="shared" si="13"/>
        <v>1.5399999999999998</v>
      </c>
      <c r="K210" s="2">
        <f t="shared" si="11"/>
        <v>-1.5399999999999998</v>
      </c>
    </row>
    <row r="211" spans="1:13" hidden="1">
      <c r="A211" s="2" t="s">
        <v>3109</v>
      </c>
      <c r="B211" s="2" t="s">
        <v>3174</v>
      </c>
      <c r="C211" s="2" t="s">
        <v>3343</v>
      </c>
      <c r="D211" s="8">
        <v>2.44</v>
      </c>
      <c r="E211" s="8">
        <v>3.1</v>
      </c>
      <c r="F211" s="8">
        <v>3.38</v>
      </c>
      <c r="G211" s="205">
        <v>1</v>
      </c>
      <c r="H211" s="205">
        <v>0</v>
      </c>
      <c r="I211" s="2">
        <f t="shared" si="12"/>
        <v>1</v>
      </c>
      <c r="J211" s="2">
        <f t="shared" si="13"/>
        <v>0.94</v>
      </c>
      <c r="K211" s="2">
        <f t="shared" si="11"/>
        <v>-0.94</v>
      </c>
      <c r="L211" s="2" t="s">
        <v>3678</v>
      </c>
      <c r="M211" s="2" t="s">
        <v>3678</v>
      </c>
    </row>
    <row r="212" spans="1:13" hidden="1">
      <c r="A212" s="2" t="s">
        <v>3109</v>
      </c>
      <c r="B212" s="2" t="s">
        <v>3377</v>
      </c>
      <c r="C212" s="2" t="s">
        <v>3378</v>
      </c>
      <c r="D212" s="8">
        <v>2.2999999999999998</v>
      </c>
      <c r="E212" s="8">
        <v>3.22</v>
      </c>
      <c r="F212" s="8">
        <v>3.38</v>
      </c>
      <c r="G212" s="205">
        <v>2</v>
      </c>
      <c r="H212" s="205">
        <v>0</v>
      </c>
      <c r="I212" s="2">
        <f t="shared" si="12"/>
        <v>2</v>
      </c>
      <c r="J212" s="2">
        <f t="shared" si="13"/>
        <v>1.08</v>
      </c>
      <c r="K212" s="2">
        <f t="shared" si="11"/>
        <v>-1.08</v>
      </c>
      <c r="L212" s="2" t="s">
        <v>3677</v>
      </c>
      <c r="M212" s="2" t="s">
        <v>3677</v>
      </c>
    </row>
    <row r="213" spans="1:13" hidden="1">
      <c r="A213" s="2" t="s">
        <v>3109</v>
      </c>
      <c r="B213" s="2" t="s">
        <v>3519</v>
      </c>
      <c r="C213" s="2" t="s">
        <v>3520</v>
      </c>
      <c r="D213" s="8">
        <v>1.78</v>
      </c>
      <c r="E213" s="8">
        <v>3.58</v>
      </c>
      <c r="F213" s="8">
        <v>3.35</v>
      </c>
      <c r="G213" s="205">
        <v>2</v>
      </c>
      <c r="H213" s="205">
        <v>1</v>
      </c>
      <c r="I213" s="2">
        <f t="shared" si="12"/>
        <v>1</v>
      </c>
      <c r="J213" s="2">
        <f t="shared" si="13"/>
        <v>1.57</v>
      </c>
      <c r="K213" s="2">
        <f t="shared" si="11"/>
        <v>-1.57</v>
      </c>
    </row>
    <row r="214" spans="1:13" hidden="1">
      <c r="A214" s="2" t="s">
        <v>3109</v>
      </c>
      <c r="B214" s="2" t="s">
        <v>3329</v>
      </c>
      <c r="C214" s="2" t="s">
        <v>3425</v>
      </c>
      <c r="D214" s="8">
        <v>2.14</v>
      </c>
      <c r="E214" s="8">
        <v>3.42</v>
      </c>
      <c r="F214" s="8">
        <v>3.33</v>
      </c>
      <c r="G214" s="205">
        <v>0</v>
      </c>
      <c r="H214" s="205">
        <v>2</v>
      </c>
      <c r="I214" s="2">
        <f t="shared" si="12"/>
        <v>-2</v>
      </c>
      <c r="J214" s="2">
        <f t="shared" si="13"/>
        <v>1.19</v>
      </c>
      <c r="K214" s="2">
        <f t="shared" si="11"/>
        <v>-1.19</v>
      </c>
      <c r="L214" s="2" t="s">
        <v>3677</v>
      </c>
      <c r="M214" s="2" t="s">
        <v>3678</v>
      </c>
    </row>
    <row r="215" spans="1:13" hidden="1">
      <c r="A215" s="2" t="s">
        <v>3109</v>
      </c>
      <c r="B215" s="2" t="s">
        <v>3318</v>
      </c>
      <c r="C215" s="2" t="s">
        <v>3490</v>
      </c>
      <c r="D215" s="8">
        <v>1.89</v>
      </c>
      <c r="E215" s="8">
        <v>3.22</v>
      </c>
      <c r="F215" s="8">
        <v>3.33</v>
      </c>
      <c r="G215" s="205">
        <v>1</v>
      </c>
      <c r="H215" s="205">
        <v>0</v>
      </c>
      <c r="I215" s="2">
        <f t="shared" si="12"/>
        <v>1</v>
      </c>
      <c r="J215" s="2">
        <f t="shared" si="13"/>
        <v>1.4400000000000002</v>
      </c>
      <c r="K215" s="2">
        <f t="shared" si="11"/>
        <v>-1.4400000000000002</v>
      </c>
    </row>
    <row r="216" spans="1:13" hidden="1">
      <c r="A216" s="2" t="s">
        <v>3109</v>
      </c>
      <c r="B216" s="2" t="s">
        <v>3203</v>
      </c>
      <c r="C216" s="2" t="s">
        <v>3456</v>
      </c>
      <c r="D216" s="8">
        <v>2.04</v>
      </c>
      <c r="E216" s="8">
        <v>2.89</v>
      </c>
      <c r="F216" s="8">
        <v>3.3</v>
      </c>
      <c r="G216" s="205">
        <v>1</v>
      </c>
      <c r="H216" s="205">
        <v>0</v>
      </c>
      <c r="I216" s="2">
        <f t="shared" si="12"/>
        <v>1</v>
      </c>
      <c r="J216" s="2">
        <f t="shared" si="13"/>
        <v>1.2599999999999998</v>
      </c>
      <c r="K216" s="2">
        <f t="shared" si="11"/>
        <v>-1.2599999999999998</v>
      </c>
      <c r="L216" s="2" t="s">
        <v>3678</v>
      </c>
      <c r="M216" s="2" t="s">
        <v>3678</v>
      </c>
    </row>
    <row r="217" spans="1:13" hidden="1">
      <c r="A217" s="2" t="s">
        <v>3109</v>
      </c>
      <c r="B217" s="2" t="s">
        <v>3189</v>
      </c>
      <c r="C217" s="2" t="s">
        <v>3385</v>
      </c>
      <c r="D217" s="8">
        <v>2.2799999999999998</v>
      </c>
      <c r="E217" s="8">
        <v>2.73</v>
      </c>
      <c r="F217" s="8">
        <v>3.28</v>
      </c>
      <c r="G217" s="205">
        <v>0</v>
      </c>
      <c r="H217" s="205">
        <v>0</v>
      </c>
      <c r="I217" s="2">
        <f t="shared" si="12"/>
        <v>0</v>
      </c>
      <c r="J217" s="2">
        <f t="shared" si="13"/>
        <v>1</v>
      </c>
      <c r="K217" s="2">
        <f t="shared" si="11"/>
        <v>-1</v>
      </c>
      <c r="L217" s="2" t="s">
        <v>3678</v>
      </c>
      <c r="M217" s="2" t="s">
        <v>3678</v>
      </c>
    </row>
    <row r="218" spans="1:13" hidden="1">
      <c r="A218" s="2" t="s">
        <v>3109</v>
      </c>
      <c r="B218" s="2" t="s">
        <v>3146</v>
      </c>
      <c r="C218" s="2" t="s">
        <v>3441</v>
      </c>
      <c r="D218" s="8">
        <v>2.09</v>
      </c>
      <c r="E218" s="8">
        <v>2.81</v>
      </c>
      <c r="F218" s="8">
        <v>3.28</v>
      </c>
      <c r="G218" s="205">
        <v>1</v>
      </c>
      <c r="H218" s="205">
        <v>0</v>
      </c>
      <c r="I218" s="2">
        <f t="shared" si="12"/>
        <v>1</v>
      </c>
      <c r="J218" s="2">
        <f t="shared" si="13"/>
        <v>1.19</v>
      </c>
      <c r="K218" s="2">
        <f t="shared" si="11"/>
        <v>-1.19</v>
      </c>
      <c r="L218" s="2" t="s">
        <v>3678</v>
      </c>
      <c r="M218" s="2" t="s">
        <v>3678</v>
      </c>
    </row>
    <row r="219" spans="1:13" hidden="1">
      <c r="A219" s="2" t="s">
        <v>3109</v>
      </c>
      <c r="B219" s="2" t="s">
        <v>3252</v>
      </c>
      <c r="C219" s="2" t="s">
        <v>3461</v>
      </c>
      <c r="D219" s="8">
        <v>2.02</v>
      </c>
      <c r="E219" s="8">
        <v>3.2</v>
      </c>
      <c r="F219" s="8">
        <v>3.28</v>
      </c>
      <c r="G219" s="205">
        <v>0</v>
      </c>
      <c r="H219" s="205">
        <v>0</v>
      </c>
      <c r="I219" s="2">
        <f t="shared" si="12"/>
        <v>0</v>
      </c>
      <c r="J219" s="2">
        <f t="shared" si="13"/>
        <v>1.2599999999999998</v>
      </c>
      <c r="K219" s="2">
        <f t="shared" si="11"/>
        <v>-1.2599999999999998</v>
      </c>
      <c r="L219" s="2" t="s">
        <v>3678</v>
      </c>
      <c r="M219" s="2" t="s">
        <v>3677</v>
      </c>
    </row>
    <row r="220" spans="1:13" hidden="1">
      <c r="A220" s="2" t="s">
        <v>3109</v>
      </c>
      <c r="B220" s="2" t="s">
        <v>3492</v>
      </c>
      <c r="C220" s="2" t="s">
        <v>3493</v>
      </c>
      <c r="D220" s="8">
        <v>1.88</v>
      </c>
      <c r="E220" s="8">
        <v>3.28</v>
      </c>
      <c r="F220" s="8">
        <v>3.28</v>
      </c>
      <c r="G220" s="205">
        <v>0</v>
      </c>
      <c r="H220" s="205">
        <v>1</v>
      </c>
      <c r="I220" s="2">
        <f t="shared" si="12"/>
        <v>-1</v>
      </c>
      <c r="J220" s="2">
        <f t="shared" si="13"/>
        <v>1.4</v>
      </c>
      <c r="K220" s="2">
        <f t="shared" si="11"/>
        <v>-1.4</v>
      </c>
    </row>
    <row r="221" spans="1:13" hidden="1">
      <c r="A221" s="2" t="s">
        <v>3109</v>
      </c>
      <c r="B221" s="2" t="s">
        <v>3477</v>
      </c>
      <c r="C221" s="2" t="s">
        <v>3494</v>
      </c>
      <c r="D221" s="8">
        <v>1.88</v>
      </c>
      <c r="E221" s="8">
        <v>3.28</v>
      </c>
      <c r="F221" s="8">
        <v>3.28</v>
      </c>
      <c r="G221" s="205">
        <v>0</v>
      </c>
      <c r="H221" s="205">
        <v>0</v>
      </c>
      <c r="I221" s="2">
        <f t="shared" si="12"/>
        <v>0</v>
      </c>
      <c r="J221" s="2">
        <f t="shared" si="13"/>
        <v>1.4</v>
      </c>
      <c r="K221" s="2">
        <f t="shared" si="11"/>
        <v>-1.4</v>
      </c>
    </row>
    <row r="222" spans="1:13" hidden="1">
      <c r="A222" s="2" t="s">
        <v>3109</v>
      </c>
      <c r="B222" s="2" t="s">
        <v>3126</v>
      </c>
      <c r="C222" s="2" t="s">
        <v>3417</v>
      </c>
      <c r="D222" s="8">
        <v>2.17</v>
      </c>
      <c r="E222" s="8">
        <v>3.4</v>
      </c>
      <c r="F222" s="8">
        <v>3.27</v>
      </c>
      <c r="G222" s="205">
        <v>2</v>
      </c>
      <c r="H222" s="205">
        <v>1</v>
      </c>
      <c r="I222" s="2">
        <f t="shared" si="12"/>
        <v>1</v>
      </c>
      <c r="J222" s="2">
        <f t="shared" si="13"/>
        <v>1.1000000000000001</v>
      </c>
      <c r="K222" s="2">
        <f t="shared" si="11"/>
        <v>-1.1000000000000001</v>
      </c>
      <c r="L222" s="2" t="s">
        <v>3677</v>
      </c>
      <c r="M222" s="2" t="s">
        <v>3678</v>
      </c>
    </row>
    <row r="223" spans="1:13" hidden="1">
      <c r="A223" s="2" t="s">
        <v>3109</v>
      </c>
      <c r="B223" s="2" t="s">
        <v>1686</v>
      </c>
      <c r="C223" s="2" t="s">
        <v>3355</v>
      </c>
      <c r="D223" s="8">
        <v>2.39</v>
      </c>
      <c r="E223" s="8">
        <v>3.28</v>
      </c>
      <c r="F223" s="8">
        <v>3.25</v>
      </c>
      <c r="G223" s="205">
        <v>1</v>
      </c>
      <c r="H223" s="205">
        <v>0</v>
      </c>
      <c r="I223" s="2">
        <f t="shared" si="12"/>
        <v>1</v>
      </c>
      <c r="J223" s="2">
        <f t="shared" si="13"/>
        <v>0.85999999999999988</v>
      </c>
      <c r="K223" s="2">
        <f t="shared" si="11"/>
        <v>-0.85999999999999988</v>
      </c>
      <c r="L223" s="2" t="s">
        <v>3678</v>
      </c>
      <c r="M223" s="2" t="s">
        <v>3678</v>
      </c>
    </row>
    <row r="224" spans="1:13" hidden="1">
      <c r="A224" s="2" t="s">
        <v>3109</v>
      </c>
      <c r="B224" s="2" t="s">
        <v>3110</v>
      </c>
      <c r="C224" s="2" t="s">
        <v>3473</v>
      </c>
      <c r="D224" s="8">
        <v>1.96</v>
      </c>
      <c r="E224" s="8">
        <v>3.12</v>
      </c>
      <c r="F224" s="8">
        <v>3.25</v>
      </c>
      <c r="G224" s="205">
        <v>1</v>
      </c>
      <c r="H224" s="205">
        <v>2</v>
      </c>
      <c r="I224" s="2">
        <f t="shared" si="12"/>
        <v>-1</v>
      </c>
      <c r="J224" s="2">
        <f t="shared" si="13"/>
        <v>1.29</v>
      </c>
      <c r="K224" s="2">
        <f t="shared" si="11"/>
        <v>-1.29</v>
      </c>
    </row>
    <row r="225" spans="1:13" hidden="1">
      <c r="A225" s="2" t="s">
        <v>3109</v>
      </c>
      <c r="B225" s="2" t="s">
        <v>3336</v>
      </c>
      <c r="C225" s="2" t="s">
        <v>3337</v>
      </c>
      <c r="D225" s="8">
        <v>2.4500000000000002</v>
      </c>
      <c r="E225" s="8">
        <v>3.1</v>
      </c>
      <c r="F225" s="8">
        <v>3.23</v>
      </c>
      <c r="G225" s="205">
        <v>0</v>
      </c>
      <c r="H225" s="205">
        <v>1</v>
      </c>
      <c r="I225" s="2">
        <f t="shared" si="12"/>
        <v>-1</v>
      </c>
      <c r="J225" s="2">
        <f t="shared" si="13"/>
        <v>0.7799999999999998</v>
      </c>
      <c r="K225" s="2">
        <f t="shared" si="11"/>
        <v>-0.7799999999999998</v>
      </c>
      <c r="L225" s="2" t="s">
        <v>3678</v>
      </c>
      <c r="M225" s="2" t="s">
        <v>3677</v>
      </c>
    </row>
    <row r="226" spans="1:13" hidden="1">
      <c r="A226" s="2" t="s">
        <v>3109</v>
      </c>
      <c r="B226" s="2" t="s">
        <v>3363</v>
      </c>
      <c r="C226" s="2" t="s">
        <v>3364</v>
      </c>
      <c r="D226" s="8">
        <v>2.35</v>
      </c>
      <c r="E226" s="8">
        <v>2.66</v>
      </c>
      <c r="F226" s="8">
        <v>3.23</v>
      </c>
      <c r="G226" s="205">
        <v>1</v>
      </c>
      <c r="H226" s="205">
        <v>2</v>
      </c>
      <c r="I226" s="2">
        <f t="shared" si="12"/>
        <v>-1</v>
      </c>
      <c r="J226" s="2">
        <f t="shared" si="13"/>
        <v>0.87999999999999989</v>
      </c>
      <c r="K226" s="2">
        <f t="shared" si="11"/>
        <v>-0.87999999999999989</v>
      </c>
      <c r="L226" s="2" t="s">
        <v>3678</v>
      </c>
      <c r="M226" s="2" t="s">
        <v>3677</v>
      </c>
    </row>
    <row r="227" spans="1:13" hidden="1">
      <c r="A227" s="2" t="s">
        <v>3109</v>
      </c>
      <c r="B227" s="2" t="s">
        <v>3357</v>
      </c>
      <c r="C227" s="2" t="s">
        <v>3376</v>
      </c>
      <c r="D227" s="8">
        <v>2.2999999999999998</v>
      </c>
      <c r="E227" s="8">
        <v>2.75</v>
      </c>
      <c r="F227" s="8">
        <v>3.2</v>
      </c>
      <c r="G227" s="205">
        <v>1</v>
      </c>
      <c r="H227" s="205">
        <v>0</v>
      </c>
      <c r="I227" s="2">
        <f t="shared" si="12"/>
        <v>1</v>
      </c>
      <c r="J227" s="2">
        <f t="shared" si="13"/>
        <v>0.90000000000000036</v>
      </c>
      <c r="K227" s="2">
        <f t="shared" si="11"/>
        <v>-0.90000000000000036</v>
      </c>
      <c r="L227" s="2" t="s">
        <v>3678</v>
      </c>
      <c r="M227" s="2" t="s">
        <v>3678</v>
      </c>
    </row>
    <row r="228" spans="1:13" hidden="1">
      <c r="A228" s="2" t="s">
        <v>3109</v>
      </c>
      <c r="B228" s="2" t="s">
        <v>3213</v>
      </c>
      <c r="C228" s="2" t="s">
        <v>3389</v>
      </c>
      <c r="D228" s="8">
        <v>2.25</v>
      </c>
      <c r="E228" s="8">
        <v>2.93</v>
      </c>
      <c r="F228" s="8">
        <v>3.2</v>
      </c>
      <c r="G228" s="205">
        <v>0</v>
      </c>
      <c r="H228" s="205">
        <v>1</v>
      </c>
      <c r="I228" s="2">
        <f t="shared" si="12"/>
        <v>-1</v>
      </c>
      <c r="J228" s="2">
        <f t="shared" si="13"/>
        <v>0.95000000000000018</v>
      </c>
      <c r="K228" s="2">
        <f t="shared" si="11"/>
        <v>-0.95000000000000018</v>
      </c>
      <c r="L228" s="2" t="s">
        <v>3678</v>
      </c>
      <c r="M228" s="2" t="s">
        <v>3678</v>
      </c>
    </row>
    <row r="229" spans="1:13" hidden="1">
      <c r="A229" s="2" t="s">
        <v>3109</v>
      </c>
      <c r="B229" s="2" t="s">
        <v>3152</v>
      </c>
      <c r="C229" s="2" t="s">
        <v>3447</v>
      </c>
      <c r="D229" s="8">
        <v>2.08</v>
      </c>
      <c r="E229" s="8">
        <v>2.88</v>
      </c>
      <c r="F229" s="8">
        <v>3.2</v>
      </c>
      <c r="G229" s="205">
        <v>1</v>
      </c>
      <c r="H229" s="205">
        <v>1</v>
      </c>
      <c r="I229" s="2">
        <f t="shared" si="12"/>
        <v>0</v>
      </c>
      <c r="J229" s="2">
        <f t="shared" si="13"/>
        <v>1.1200000000000001</v>
      </c>
      <c r="K229" s="2">
        <f t="shared" si="11"/>
        <v>-1.1200000000000001</v>
      </c>
      <c r="L229" s="2" t="s">
        <v>3678</v>
      </c>
      <c r="M229" s="2" t="s">
        <v>3678</v>
      </c>
    </row>
    <row r="230" spans="1:13" hidden="1">
      <c r="A230" s="2" t="s">
        <v>3109</v>
      </c>
      <c r="B230" s="2" t="s">
        <v>3243</v>
      </c>
      <c r="C230" s="2" t="s">
        <v>3470</v>
      </c>
      <c r="D230" s="8">
        <v>1.97</v>
      </c>
      <c r="E230" s="8">
        <v>3.13</v>
      </c>
      <c r="F230" s="8">
        <v>3.2</v>
      </c>
      <c r="G230" s="205">
        <v>0</v>
      </c>
      <c r="H230" s="205">
        <v>2</v>
      </c>
      <c r="I230" s="2">
        <f t="shared" si="12"/>
        <v>-2</v>
      </c>
      <c r="J230" s="2">
        <f t="shared" si="13"/>
        <v>1.2300000000000002</v>
      </c>
      <c r="K230" s="2">
        <f t="shared" si="11"/>
        <v>-1.2300000000000002</v>
      </c>
    </row>
    <row r="231" spans="1:13" hidden="1">
      <c r="A231" s="2" t="s">
        <v>3109</v>
      </c>
      <c r="B231" s="2" t="s">
        <v>3243</v>
      </c>
      <c r="C231" s="2" t="s">
        <v>3471</v>
      </c>
      <c r="D231" s="8">
        <v>1.97</v>
      </c>
      <c r="E231" s="8">
        <v>3.13</v>
      </c>
      <c r="F231" s="8">
        <v>3.2</v>
      </c>
      <c r="G231" s="205">
        <v>0</v>
      </c>
      <c r="H231" s="205">
        <v>2</v>
      </c>
      <c r="I231" s="2">
        <f t="shared" si="12"/>
        <v>-2</v>
      </c>
      <c r="J231" s="2">
        <f t="shared" si="13"/>
        <v>1.2300000000000002</v>
      </c>
      <c r="K231" s="2">
        <f t="shared" si="11"/>
        <v>-1.2300000000000002</v>
      </c>
    </row>
    <row r="232" spans="1:13" hidden="1">
      <c r="A232" s="2" t="s">
        <v>3109</v>
      </c>
      <c r="B232" s="2" t="s">
        <v>3228</v>
      </c>
      <c r="C232" s="2" t="s">
        <v>3347</v>
      </c>
      <c r="D232" s="8">
        <v>2.4300000000000002</v>
      </c>
      <c r="E232" s="8">
        <v>2.98</v>
      </c>
      <c r="F232" s="8">
        <v>3.18</v>
      </c>
      <c r="G232" s="205">
        <v>1</v>
      </c>
      <c r="H232" s="205">
        <v>1</v>
      </c>
      <c r="I232" s="2">
        <f t="shared" si="12"/>
        <v>0</v>
      </c>
      <c r="J232" s="2">
        <f t="shared" si="13"/>
        <v>0.75</v>
      </c>
      <c r="K232" s="2">
        <f t="shared" si="11"/>
        <v>-0.75</v>
      </c>
      <c r="L232" s="2" t="s">
        <v>3678</v>
      </c>
      <c r="M232" s="2" t="s">
        <v>3678</v>
      </c>
    </row>
    <row r="233" spans="1:13" hidden="1">
      <c r="A233" s="2" t="s">
        <v>3109</v>
      </c>
      <c r="B233" s="2" t="s">
        <v>3213</v>
      </c>
      <c r="C233" s="2" t="s">
        <v>3393</v>
      </c>
      <c r="D233" s="8">
        <v>2.2400000000000002</v>
      </c>
      <c r="E233" s="8">
        <v>2.94</v>
      </c>
      <c r="F233" s="8">
        <v>3.18</v>
      </c>
      <c r="G233" s="205">
        <v>0</v>
      </c>
      <c r="H233" s="205">
        <v>2</v>
      </c>
      <c r="I233" s="2">
        <f t="shared" si="12"/>
        <v>-2</v>
      </c>
      <c r="J233" s="2">
        <f t="shared" si="13"/>
        <v>0.94</v>
      </c>
      <c r="K233" s="2">
        <f t="shared" si="11"/>
        <v>-0.94</v>
      </c>
      <c r="L233" s="2" t="s">
        <v>3678</v>
      </c>
      <c r="M233" s="2" t="s">
        <v>3678</v>
      </c>
    </row>
    <row r="234" spans="1:13" hidden="1">
      <c r="A234" s="2" t="s">
        <v>3109</v>
      </c>
      <c r="B234" s="2" t="s">
        <v>3274</v>
      </c>
      <c r="C234" s="2" t="s">
        <v>3275</v>
      </c>
      <c r="D234" s="8">
        <v>2.79</v>
      </c>
      <c r="E234" s="8">
        <v>2.81</v>
      </c>
      <c r="F234" s="8">
        <v>3.17</v>
      </c>
      <c r="G234" s="205">
        <v>1</v>
      </c>
      <c r="H234" s="205">
        <v>1</v>
      </c>
      <c r="I234" s="2">
        <f t="shared" si="12"/>
        <v>0</v>
      </c>
      <c r="J234" s="2">
        <f t="shared" si="13"/>
        <v>0.37999999999999989</v>
      </c>
      <c r="K234" s="2">
        <f t="shared" si="11"/>
        <v>-0.37999999999999989</v>
      </c>
      <c r="L234" s="2" t="s">
        <v>3678</v>
      </c>
      <c r="M234" s="2" t="s">
        <v>3677</v>
      </c>
    </row>
    <row r="235" spans="1:13" hidden="1">
      <c r="A235" s="2" t="s">
        <v>3109</v>
      </c>
      <c r="B235" s="2" t="s">
        <v>3257</v>
      </c>
      <c r="C235" s="2" t="s">
        <v>3327</v>
      </c>
      <c r="D235" s="8">
        <v>2.48</v>
      </c>
      <c r="E235" s="8">
        <v>2.94</v>
      </c>
      <c r="F235" s="8">
        <v>3.17</v>
      </c>
      <c r="G235" s="205">
        <v>1</v>
      </c>
      <c r="H235" s="205">
        <v>2</v>
      </c>
      <c r="I235" s="2">
        <f t="shared" si="12"/>
        <v>-1</v>
      </c>
      <c r="J235" s="2">
        <f t="shared" si="13"/>
        <v>0.69</v>
      </c>
      <c r="K235" s="2">
        <f t="shared" si="11"/>
        <v>-0.69</v>
      </c>
      <c r="L235" s="2" t="s">
        <v>3678</v>
      </c>
      <c r="M235" s="2" t="s">
        <v>3678</v>
      </c>
    </row>
    <row r="236" spans="1:13" hidden="1">
      <c r="A236" s="2" t="s">
        <v>3109</v>
      </c>
      <c r="B236" s="2" t="s">
        <v>3359</v>
      </c>
      <c r="C236" s="2" t="s">
        <v>3429</v>
      </c>
      <c r="D236" s="8">
        <v>2.13</v>
      </c>
      <c r="E236" s="8">
        <v>2.82</v>
      </c>
      <c r="F236" s="8">
        <v>3.17</v>
      </c>
      <c r="G236" s="205">
        <v>1</v>
      </c>
      <c r="H236" s="205">
        <v>1</v>
      </c>
      <c r="I236" s="2">
        <f t="shared" si="12"/>
        <v>0</v>
      </c>
      <c r="J236" s="2">
        <f t="shared" si="13"/>
        <v>1.04</v>
      </c>
      <c r="K236" s="2">
        <f t="shared" si="11"/>
        <v>-1.04</v>
      </c>
      <c r="L236" s="2" t="s">
        <v>3678</v>
      </c>
      <c r="M236" s="2" t="s">
        <v>3677</v>
      </c>
    </row>
    <row r="237" spans="1:13" hidden="1">
      <c r="A237" s="2" t="s">
        <v>3109</v>
      </c>
      <c r="B237" s="2" t="s">
        <v>3367</v>
      </c>
      <c r="C237" s="2" t="s">
        <v>3469</v>
      </c>
      <c r="D237" s="8">
        <v>1.97</v>
      </c>
      <c r="E237" s="8">
        <v>3.17</v>
      </c>
      <c r="F237" s="8">
        <v>3.17</v>
      </c>
      <c r="G237" s="205">
        <v>1</v>
      </c>
      <c r="H237" s="205">
        <v>0</v>
      </c>
      <c r="I237" s="2">
        <f t="shared" si="12"/>
        <v>1</v>
      </c>
      <c r="J237" s="2">
        <f t="shared" si="13"/>
        <v>1.2</v>
      </c>
      <c r="K237" s="2">
        <f t="shared" si="11"/>
        <v>-1.2</v>
      </c>
    </row>
    <row r="238" spans="1:13" hidden="1">
      <c r="A238" s="2" t="s">
        <v>3109</v>
      </c>
      <c r="B238" s="2" t="s">
        <v>3318</v>
      </c>
      <c r="C238" s="2" t="s">
        <v>3472</v>
      </c>
      <c r="D238" s="8">
        <v>1.97</v>
      </c>
      <c r="E238" s="8">
        <v>3.17</v>
      </c>
      <c r="F238" s="8">
        <v>3.17</v>
      </c>
      <c r="G238" s="205">
        <v>0</v>
      </c>
      <c r="H238" s="205">
        <v>2</v>
      </c>
      <c r="I238" s="2">
        <f t="shared" si="12"/>
        <v>-2</v>
      </c>
      <c r="J238" s="2">
        <f t="shared" si="13"/>
        <v>1.2</v>
      </c>
      <c r="K238" s="2">
        <f t="shared" si="11"/>
        <v>-1.2</v>
      </c>
    </row>
    <row r="239" spans="1:13" hidden="1">
      <c r="A239" s="2" t="s">
        <v>3109</v>
      </c>
      <c r="B239" s="2" t="s">
        <v>3110</v>
      </c>
      <c r="C239" s="2" t="s">
        <v>3459</v>
      </c>
      <c r="D239" s="8">
        <v>2.0299999999999998</v>
      </c>
      <c r="E239" s="8">
        <v>3.03</v>
      </c>
      <c r="F239" s="8">
        <v>3.15</v>
      </c>
      <c r="G239" s="205">
        <v>0</v>
      </c>
      <c r="H239" s="205">
        <v>2</v>
      </c>
      <c r="I239" s="2">
        <f t="shared" si="12"/>
        <v>-2</v>
      </c>
      <c r="J239" s="2">
        <f t="shared" si="13"/>
        <v>1.1200000000000001</v>
      </c>
      <c r="K239" s="2">
        <f t="shared" si="11"/>
        <v>-1.1200000000000001</v>
      </c>
      <c r="L239" s="2" t="s">
        <v>3678</v>
      </c>
      <c r="M239" s="2" t="s">
        <v>3678</v>
      </c>
    </row>
    <row r="240" spans="1:13" hidden="1">
      <c r="A240" s="2" t="s">
        <v>3109</v>
      </c>
      <c r="B240" s="2" t="s">
        <v>3318</v>
      </c>
      <c r="C240" s="2" t="s">
        <v>3468</v>
      </c>
      <c r="D240" s="8">
        <v>1.98</v>
      </c>
      <c r="E240" s="8">
        <v>3.15</v>
      </c>
      <c r="F240" s="8">
        <v>3.15</v>
      </c>
      <c r="G240" s="205">
        <v>1</v>
      </c>
      <c r="H240" s="205">
        <v>0</v>
      </c>
      <c r="I240" s="2">
        <f t="shared" si="12"/>
        <v>1</v>
      </c>
      <c r="J240" s="2">
        <f t="shared" si="13"/>
        <v>1.17</v>
      </c>
      <c r="K240" s="2">
        <f t="shared" si="11"/>
        <v>-1.17</v>
      </c>
    </row>
    <row r="241" spans="1:13" hidden="1">
      <c r="A241" s="2" t="s">
        <v>3109</v>
      </c>
      <c r="B241" s="2" t="s">
        <v>3124</v>
      </c>
      <c r="C241" s="2" t="s">
        <v>3474</v>
      </c>
      <c r="D241" s="8">
        <v>1.96</v>
      </c>
      <c r="E241" s="8">
        <v>3.18</v>
      </c>
      <c r="F241" s="8">
        <v>3.15</v>
      </c>
      <c r="G241" s="205">
        <v>0</v>
      </c>
      <c r="H241" s="205">
        <v>1</v>
      </c>
      <c r="I241" s="2">
        <f t="shared" si="12"/>
        <v>-1</v>
      </c>
      <c r="J241" s="2">
        <f t="shared" si="13"/>
        <v>1.19</v>
      </c>
      <c r="K241" s="2">
        <f t="shared" si="11"/>
        <v>-1.19</v>
      </c>
    </row>
    <row r="242" spans="1:13" hidden="1">
      <c r="A242" s="2" t="s">
        <v>3109</v>
      </c>
      <c r="B242" s="2" t="s">
        <v>3309</v>
      </c>
      <c r="C242" s="2" t="s">
        <v>3415</v>
      </c>
      <c r="D242" s="8">
        <v>2.17</v>
      </c>
      <c r="E242" s="8">
        <v>3.05</v>
      </c>
      <c r="F242" s="8">
        <v>3.12</v>
      </c>
      <c r="G242" s="205">
        <v>0</v>
      </c>
      <c r="H242" s="205">
        <v>2</v>
      </c>
      <c r="I242" s="2">
        <f t="shared" si="12"/>
        <v>-2</v>
      </c>
      <c r="J242" s="2">
        <f t="shared" si="13"/>
        <v>0.95000000000000018</v>
      </c>
      <c r="K242" s="2">
        <f t="shared" si="11"/>
        <v>-0.95000000000000018</v>
      </c>
      <c r="L242" s="2" t="s">
        <v>3677</v>
      </c>
      <c r="M242" s="2" t="s">
        <v>3678</v>
      </c>
    </row>
    <row r="243" spans="1:13" hidden="1">
      <c r="A243" s="2" t="s">
        <v>3109</v>
      </c>
      <c r="B243" s="2" t="s">
        <v>3162</v>
      </c>
      <c r="C243" s="2" t="s">
        <v>3269</v>
      </c>
      <c r="D243" s="8">
        <v>2.79</v>
      </c>
      <c r="E243" s="8">
        <v>2.87</v>
      </c>
      <c r="F243" s="8">
        <v>3.1</v>
      </c>
      <c r="G243" s="205">
        <v>0</v>
      </c>
      <c r="H243" s="205">
        <v>3</v>
      </c>
      <c r="I243" s="2">
        <f t="shared" si="12"/>
        <v>-3</v>
      </c>
      <c r="J243" s="2">
        <f t="shared" si="13"/>
        <v>0.31000000000000005</v>
      </c>
      <c r="K243" s="2">
        <f t="shared" si="11"/>
        <v>-0.31000000000000005</v>
      </c>
      <c r="L243" s="2" t="s">
        <v>3677</v>
      </c>
      <c r="M243" s="2" t="s">
        <v>3678</v>
      </c>
    </row>
    <row r="244" spans="1:13" hidden="1">
      <c r="A244" s="2" t="s">
        <v>3109</v>
      </c>
      <c r="B244" s="2" t="s">
        <v>3169</v>
      </c>
      <c r="C244" s="2" t="s">
        <v>3384</v>
      </c>
      <c r="D244" s="8">
        <v>2.2799999999999998</v>
      </c>
      <c r="E244" s="8">
        <v>2.95</v>
      </c>
      <c r="F244" s="8">
        <v>3.1</v>
      </c>
      <c r="G244" s="205">
        <v>1</v>
      </c>
      <c r="H244" s="205">
        <v>2</v>
      </c>
      <c r="I244" s="2">
        <f t="shared" si="12"/>
        <v>-1</v>
      </c>
      <c r="J244" s="2">
        <f t="shared" si="13"/>
        <v>0.82000000000000028</v>
      </c>
      <c r="K244" s="2">
        <f t="shared" si="11"/>
        <v>-0.82000000000000028</v>
      </c>
      <c r="L244" s="2" t="s">
        <v>3678</v>
      </c>
      <c r="M244" s="2" t="s">
        <v>3678</v>
      </c>
    </row>
    <row r="245" spans="1:13" hidden="1">
      <c r="A245" s="2" t="s">
        <v>3109</v>
      </c>
      <c r="B245" s="2" t="s">
        <v>3167</v>
      </c>
      <c r="C245" s="2" t="s">
        <v>3432</v>
      </c>
      <c r="D245" s="8">
        <v>2.12</v>
      </c>
      <c r="E245" s="8">
        <v>2.9</v>
      </c>
      <c r="F245" s="8">
        <v>3.1</v>
      </c>
      <c r="G245" s="205">
        <v>1</v>
      </c>
      <c r="H245" s="205">
        <v>1</v>
      </c>
      <c r="I245" s="2">
        <f t="shared" si="12"/>
        <v>0</v>
      </c>
      <c r="J245" s="2">
        <f t="shared" si="13"/>
        <v>0.98</v>
      </c>
      <c r="K245" s="2">
        <f t="shared" si="11"/>
        <v>-0.98</v>
      </c>
      <c r="L245" s="2" t="s">
        <v>3678</v>
      </c>
      <c r="M245" s="2" t="s">
        <v>3678</v>
      </c>
    </row>
    <row r="246" spans="1:13" hidden="1">
      <c r="A246" s="2" t="s">
        <v>3109</v>
      </c>
      <c r="B246" s="2" t="s">
        <v>3199</v>
      </c>
      <c r="C246" s="2" t="s">
        <v>3405</v>
      </c>
      <c r="D246" s="8">
        <v>2.2000000000000002</v>
      </c>
      <c r="E246" s="8">
        <v>3.02</v>
      </c>
      <c r="F246" s="8">
        <v>3.08</v>
      </c>
      <c r="G246" s="205">
        <v>2</v>
      </c>
      <c r="H246" s="205">
        <v>1</v>
      </c>
      <c r="I246" s="2">
        <f t="shared" si="12"/>
        <v>1</v>
      </c>
      <c r="J246" s="2">
        <f t="shared" si="13"/>
        <v>0.87999999999999989</v>
      </c>
      <c r="K246" s="2">
        <f t="shared" si="11"/>
        <v>-0.87999999999999989</v>
      </c>
      <c r="L246" s="2" t="s">
        <v>3678</v>
      </c>
      <c r="M246" s="2" t="s">
        <v>3678</v>
      </c>
    </row>
    <row r="247" spans="1:13" hidden="1">
      <c r="A247" s="2" t="s">
        <v>3109</v>
      </c>
      <c r="B247" s="2" t="s">
        <v>3309</v>
      </c>
      <c r="C247" s="2" t="s">
        <v>3452</v>
      </c>
      <c r="D247" s="8">
        <v>2.06</v>
      </c>
      <c r="E247" s="8">
        <v>3.35</v>
      </c>
      <c r="F247" s="8">
        <v>3.08</v>
      </c>
      <c r="G247" s="205">
        <v>0</v>
      </c>
      <c r="H247" s="205">
        <v>2</v>
      </c>
      <c r="I247" s="2">
        <f t="shared" si="12"/>
        <v>-2</v>
      </c>
      <c r="J247" s="2">
        <f t="shared" si="13"/>
        <v>1.02</v>
      </c>
      <c r="K247" s="2">
        <f t="shared" si="11"/>
        <v>-1.02</v>
      </c>
      <c r="L247" s="2" t="s">
        <v>3678</v>
      </c>
      <c r="M247" s="2" t="s">
        <v>3677</v>
      </c>
    </row>
    <row r="248" spans="1:13" hidden="1">
      <c r="A248" s="2" t="s">
        <v>3109</v>
      </c>
      <c r="B248" s="2" t="s">
        <v>3333</v>
      </c>
      <c r="C248" s="2" t="s">
        <v>3334</v>
      </c>
      <c r="D248" s="8">
        <v>2.4700000000000002</v>
      </c>
      <c r="E248" s="8">
        <v>3.03</v>
      </c>
      <c r="F248" s="8">
        <v>3.07</v>
      </c>
      <c r="G248" s="205">
        <v>0</v>
      </c>
      <c r="H248" s="205">
        <v>2</v>
      </c>
      <c r="I248" s="2">
        <f t="shared" si="12"/>
        <v>-2</v>
      </c>
      <c r="J248" s="2">
        <f t="shared" si="13"/>
        <v>0.59999999999999964</v>
      </c>
      <c r="K248" s="2">
        <f t="shared" si="11"/>
        <v>-0.59999999999999964</v>
      </c>
      <c r="L248" s="2" t="s">
        <v>3678</v>
      </c>
      <c r="M248" s="2" t="s">
        <v>3677</v>
      </c>
    </row>
    <row r="249" spans="1:13" hidden="1">
      <c r="A249" s="2" t="s">
        <v>3109</v>
      </c>
      <c r="B249" s="2" t="s">
        <v>3184</v>
      </c>
      <c r="C249" s="2" t="s">
        <v>3331</v>
      </c>
      <c r="D249" s="8">
        <v>2.4700000000000002</v>
      </c>
      <c r="E249" s="8">
        <v>3.37</v>
      </c>
      <c r="F249" s="8">
        <v>3.05</v>
      </c>
      <c r="G249" s="205">
        <v>1</v>
      </c>
      <c r="H249" s="205">
        <v>2</v>
      </c>
      <c r="I249" s="2">
        <f t="shared" si="12"/>
        <v>-1</v>
      </c>
      <c r="J249" s="2">
        <f t="shared" si="13"/>
        <v>0.57999999999999963</v>
      </c>
      <c r="K249" s="2">
        <f t="shared" si="11"/>
        <v>-0.57999999999999963</v>
      </c>
      <c r="L249" s="2" t="s">
        <v>3678</v>
      </c>
      <c r="M249" s="2" t="s">
        <v>3677</v>
      </c>
    </row>
    <row r="250" spans="1:13" hidden="1">
      <c r="A250" s="2" t="s">
        <v>3109</v>
      </c>
      <c r="B250" s="2" t="s">
        <v>3309</v>
      </c>
      <c r="C250" s="2" t="s">
        <v>3382</v>
      </c>
      <c r="D250" s="8">
        <v>2.2799999999999998</v>
      </c>
      <c r="E250" s="8">
        <v>2.92</v>
      </c>
      <c r="F250" s="8">
        <v>3.05</v>
      </c>
      <c r="G250" s="205">
        <v>1</v>
      </c>
      <c r="H250" s="205">
        <v>3</v>
      </c>
      <c r="I250" s="2">
        <f t="shared" si="12"/>
        <v>-2</v>
      </c>
      <c r="J250" s="2">
        <f t="shared" si="13"/>
        <v>0.77</v>
      </c>
      <c r="K250" s="2">
        <f t="shared" si="11"/>
        <v>-0.77</v>
      </c>
      <c r="L250" s="2" t="s">
        <v>3678</v>
      </c>
      <c r="M250" s="2" t="s">
        <v>3677</v>
      </c>
    </row>
    <row r="251" spans="1:13" hidden="1">
      <c r="A251" s="2" t="s">
        <v>3109</v>
      </c>
      <c r="B251" s="2" t="s">
        <v>3340</v>
      </c>
      <c r="C251" s="2" t="s">
        <v>3341</v>
      </c>
      <c r="D251" s="8">
        <v>2.4500000000000002</v>
      </c>
      <c r="E251" s="8">
        <v>3.12</v>
      </c>
      <c r="F251" s="8">
        <v>3.03</v>
      </c>
      <c r="G251" s="205">
        <v>0</v>
      </c>
      <c r="H251" s="205">
        <v>0</v>
      </c>
      <c r="I251" s="2">
        <f t="shared" si="12"/>
        <v>0</v>
      </c>
      <c r="J251" s="2">
        <f t="shared" si="13"/>
        <v>0.57999999999999963</v>
      </c>
      <c r="K251" s="2">
        <f t="shared" si="11"/>
        <v>-0.57999999999999963</v>
      </c>
      <c r="L251" s="2" t="s">
        <v>3678</v>
      </c>
      <c r="M251" s="2" t="s">
        <v>3677</v>
      </c>
    </row>
    <row r="252" spans="1:13" hidden="1">
      <c r="A252" s="2" t="s">
        <v>3109</v>
      </c>
      <c r="B252" s="2" t="s">
        <v>3410</v>
      </c>
      <c r="C252" s="2" t="s">
        <v>3411</v>
      </c>
      <c r="D252" s="8">
        <v>2.2000000000000002</v>
      </c>
      <c r="E252" s="8">
        <v>3.62</v>
      </c>
      <c r="F252" s="8">
        <v>3.03</v>
      </c>
      <c r="G252" s="205">
        <v>2</v>
      </c>
      <c r="H252" s="205">
        <v>1</v>
      </c>
      <c r="I252" s="2">
        <f t="shared" si="12"/>
        <v>1</v>
      </c>
      <c r="J252" s="2">
        <f t="shared" si="13"/>
        <v>0.82999999999999963</v>
      </c>
      <c r="K252" s="2">
        <f t="shared" si="11"/>
        <v>-0.82999999999999963</v>
      </c>
      <c r="L252" s="2" t="s">
        <v>3677</v>
      </c>
      <c r="M252" s="2" t="s">
        <v>3677</v>
      </c>
    </row>
    <row r="253" spans="1:13" hidden="1">
      <c r="A253" s="2" t="s">
        <v>3109</v>
      </c>
      <c r="B253" s="2" t="s">
        <v>3110</v>
      </c>
      <c r="C253" s="2" t="s">
        <v>3436</v>
      </c>
      <c r="D253" s="8">
        <v>2.11</v>
      </c>
      <c r="E253" s="8">
        <v>2.97</v>
      </c>
      <c r="F253" s="8">
        <v>3.03</v>
      </c>
      <c r="G253" s="205">
        <v>1</v>
      </c>
      <c r="H253" s="205">
        <v>0</v>
      </c>
      <c r="I253" s="2">
        <f t="shared" si="12"/>
        <v>1</v>
      </c>
      <c r="J253" s="2">
        <f t="shared" si="13"/>
        <v>0.91999999999999993</v>
      </c>
      <c r="K253" s="2">
        <f t="shared" si="11"/>
        <v>-0.91999999999999993</v>
      </c>
      <c r="L253" s="2" t="s">
        <v>3678</v>
      </c>
      <c r="M253" s="2" t="s">
        <v>3678</v>
      </c>
    </row>
    <row r="254" spans="1:13" hidden="1">
      <c r="A254" s="2" t="s">
        <v>3109</v>
      </c>
      <c r="B254" s="2" t="s">
        <v>3357</v>
      </c>
      <c r="C254" s="2" t="s">
        <v>3358</v>
      </c>
      <c r="D254" s="8">
        <v>2.37</v>
      </c>
      <c r="E254" s="8">
        <v>2.81</v>
      </c>
      <c r="F254" s="8">
        <v>3.02</v>
      </c>
      <c r="G254" s="205">
        <v>2</v>
      </c>
      <c r="H254" s="205">
        <v>0</v>
      </c>
      <c r="I254" s="2">
        <f t="shared" si="12"/>
        <v>2</v>
      </c>
      <c r="J254" s="2">
        <f t="shared" si="13"/>
        <v>0.64999999999999991</v>
      </c>
      <c r="K254" s="2">
        <f t="shared" si="11"/>
        <v>-0.64999999999999991</v>
      </c>
      <c r="L254" s="2" t="s">
        <v>3678</v>
      </c>
      <c r="M254" s="2" t="s">
        <v>3678</v>
      </c>
    </row>
    <row r="255" spans="1:13" hidden="1">
      <c r="A255" s="2" t="s">
        <v>3109</v>
      </c>
      <c r="B255" s="2" t="s">
        <v>3203</v>
      </c>
      <c r="C255" s="2" t="s">
        <v>3401</v>
      </c>
      <c r="D255" s="8">
        <v>2.21</v>
      </c>
      <c r="E255" s="8">
        <v>2.81</v>
      </c>
      <c r="F255" s="8">
        <v>3.02</v>
      </c>
      <c r="G255" s="205">
        <v>2</v>
      </c>
      <c r="H255" s="205">
        <v>1</v>
      </c>
      <c r="I255" s="2">
        <f t="shared" si="12"/>
        <v>1</v>
      </c>
      <c r="J255" s="2">
        <f t="shared" si="13"/>
        <v>0.81</v>
      </c>
      <c r="K255" s="2">
        <f t="shared" si="11"/>
        <v>-0.81</v>
      </c>
      <c r="L255" s="2" t="s">
        <v>3678</v>
      </c>
      <c r="M255" s="2" t="s">
        <v>3678</v>
      </c>
    </row>
    <row r="256" spans="1:13" hidden="1">
      <c r="A256" s="2" t="s">
        <v>3109</v>
      </c>
      <c r="B256" s="2" t="s">
        <v>3267</v>
      </c>
      <c r="C256" s="2" t="s">
        <v>3418</v>
      </c>
      <c r="D256" s="8">
        <v>2.16</v>
      </c>
      <c r="E256" s="8">
        <v>2.91</v>
      </c>
      <c r="F256" s="8">
        <v>3</v>
      </c>
      <c r="G256" s="205">
        <v>0</v>
      </c>
      <c r="H256" s="205">
        <v>1</v>
      </c>
      <c r="I256" s="2">
        <f t="shared" si="12"/>
        <v>-1</v>
      </c>
      <c r="J256" s="2">
        <f t="shared" si="13"/>
        <v>0.83999999999999986</v>
      </c>
      <c r="K256" s="2">
        <f t="shared" si="11"/>
        <v>-0.83999999999999986</v>
      </c>
      <c r="L256" s="2" t="s">
        <v>3678</v>
      </c>
      <c r="M256" s="2" t="s">
        <v>3678</v>
      </c>
    </row>
    <row r="257" spans="1:13" hidden="1">
      <c r="A257" s="2" t="s">
        <v>3109</v>
      </c>
      <c r="B257" s="2" t="s">
        <v>3172</v>
      </c>
      <c r="C257" s="2" t="s">
        <v>3421</v>
      </c>
      <c r="D257" s="8">
        <v>2.15</v>
      </c>
      <c r="E257" s="8">
        <v>2.92</v>
      </c>
      <c r="F257" s="8">
        <v>3</v>
      </c>
      <c r="G257" s="205">
        <v>2</v>
      </c>
      <c r="H257" s="205">
        <v>0</v>
      </c>
      <c r="I257" s="2">
        <f t="shared" si="12"/>
        <v>2</v>
      </c>
      <c r="J257" s="2">
        <f t="shared" si="13"/>
        <v>0.85000000000000009</v>
      </c>
      <c r="K257" s="2">
        <f t="shared" si="11"/>
        <v>-0.85000000000000009</v>
      </c>
      <c r="L257" s="2" t="s">
        <v>3678</v>
      </c>
      <c r="M257" s="2" t="s">
        <v>3678</v>
      </c>
    </row>
    <row r="258" spans="1:13" hidden="1">
      <c r="A258" s="2" t="s">
        <v>3109</v>
      </c>
      <c r="B258" s="2" t="s">
        <v>3192</v>
      </c>
      <c r="C258" s="2" t="s">
        <v>3419</v>
      </c>
      <c r="D258" s="8">
        <v>2.15</v>
      </c>
      <c r="E258" s="8">
        <v>3.22</v>
      </c>
      <c r="F258" s="8">
        <v>2.99</v>
      </c>
      <c r="G258" s="205">
        <v>1</v>
      </c>
      <c r="H258" s="205">
        <v>0</v>
      </c>
      <c r="I258" s="2">
        <f t="shared" si="12"/>
        <v>1</v>
      </c>
      <c r="J258" s="2">
        <f t="shared" si="13"/>
        <v>0.8400000000000003</v>
      </c>
      <c r="K258" s="2">
        <f t="shared" ref="K258:K321" si="14">+D258-F258</f>
        <v>-0.8400000000000003</v>
      </c>
      <c r="L258" s="2" t="s">
        <v>3677</v>
      </c>
      <c r="M258" s="2" t="s">
        <v>3677</v>
      </c>
    </row>
    <row r="259" spans="1:13" hidden="1">
      <c r="A259" s="2" t="s">
        <v>3109</v>
      </c>
      <c r="B259" s="2" t="s">
        <v>3110</v>
      </c>
      <c r="C259" s="2" t="s">
        <v>3426</v>
      </c>
      <c r="D259" s="8">
        <v>2.14</v>
      </c>
      <c r="E259" s="8">
        <v>2.99</v>
      </c>
      <c r="F259" s="8">
        <v>2.96</v>
      </c>
      <c r="G259" s="205">
        <v>2</v>
      </c>
      <c r="H259" s="205">
        <v>1</v>
      </c>
      <c r="I259" s="2">
        <f t="shared" ref="I259:I322" si="15">+G259-H259</f>
        <v>1</v>
      </c>
      <c r="J259" s="2">
        <f t="shared" ref="J259:J322" si="16">ABS(+D259-F259)</f>
        <v>0.81999999999999984</v>
      </c>
      <c r="K259" s="2">
        <f t="shared" si="14"/>
        <v>-0.81999999999999984</v>
      </c>
      <c r="L259" s="2" t="s">
        <v>3677</v>
      </c>
      <c r="M259" s="2" t="s">
        <v>3677</v>
      </c>
    </row>
    <row r="260" spans="1:13" hidden="1">
      <c r="A260" s="2" t="s">
        <v>3109</v>
      </c>
      <c r="B260" s="2" t="s">
        <v>3444</v>
      </c>
      <c r="C260" s="2" t="s">
        <v>3445</v>
      </c>
      <c r="D260" s="8">
        <v>2.08</v>
      </c>
      <c r="E260" s="8">
        <v>3.58</v>
      </c>
      <c r="F260" s="8">
        <v>2.94</v>
      </c>
      <c r="G260" s="205">
        <v>1</v>
      </c>
      <c r="H260" s="205">
        <v>1</v>
      </c>
      <c r="I260" s="2">
        <f t="shared" si="15"/>
        <v>0</v>
      </c>
      <c r="J260" s="2">
        <f t="shared" si="16"/>
        <v>0.85999999999999988</v>
      </c>
      <c r="K260" s="2">
        <f t="shared" si="14"/>
        <v>-0.85999999999999988</v>
      </c>
      <c r="L260" s="2" t="s">
        <v>3678</v>
      </c>
      <c r="M260" s="2" t="s">
        <v>3678</v>
      </c>
    </row>
    <row r="261" spans="1:13" hidden="1">
      <c r="A261" s="2" t="s">
        <v>3109</v>
      </c>
      <c r="B261" s="2" t="s">
        <v>3117</v>
      </c>
      <c r="C261" s="2" t="s">
        <v>3308</v>
      </c>
      <c r="D261" s="8">
        <v>2.61</v>
      </c>
      <c r="E261" s="8">
        <v>3.4</v>
      </c>
      <c r="F261" s="8">
        <v>2.92</v>
      </c>
      <c r="G261" s="205">
        <v>1</v>
      </c>
      <c r="H261" s="205">
        <v>2</v>
      </c>
      <c r="I261" s="2">
        <f t="shared" si="15"/>
        <v>-1</v>
      </c>
      <c r="J261" s="2">
        <f t="shared" si="16"/>
        <v>0.31000000000000005</v>
      </c>
      <c r="K261" s="2">
        <f t="shared" si="14"/>
        <v>-0.31000000000000005</v>
      </c>
      <c r="L261" s="2" t="s">
        <v>3678</v>
      </c>
      <c r="M261" s="2" t="s">
        <v>3677</v>
      </c>
    </row>
    <row r="262" spans="1:13" hidden="1">
      <c r="A262" s="2" t="s">
        <v>3109</v>
      </c>
      <c r="B262" s="2" t="s">
        <v>3367</v>
      </c>
      <c r="C262" s="2" t="s">
        <v>3448</v>
      </c>
      <c r="D262" s="8">
        <v>2.0699999999999998</v>
      </c>
      <c r="E262" s="8">
        <v>3.17</v>
      </c>
      <c r="F262" s="8">
        <v>2.92</v>
      </c>
      <c r="G262" s="205">
        <v>1</v>
      </c>
      <c r="H262" s="205">
        <v>1</v>
      </c>
      <c r="I262" s="2">
        <f t="shared" si="15"/>
        <v>0</v>
      </c>
      <c r="J262" s="2">
        <f t="shared" si="16"/>
        <v>0.85000000000000009</v>
      </c>
      <c r="K262" s="2">
        <f t="shared" si="14"/>
        <v>-0.85000000000000009</v>
      </c>
      <c r="L262" s="2" t="s">
        <v>3678</v>
      </c>
      <c r="M262" s="2" t="s">
        <v>3678</v>
      </c>
    </row>
    <row r="263" spans="1:13" hidden="1">
      <c r="A263" s="2" t="s">
        <v>3109</v>
      </c>
      <c r="B263" s="2" t="s">
        <v>3146</v>
      </c>
      <c r="C263" s="2" t="s">
        <v>3353</v>
      </c>
      <c r="D263" s="8">
        <v>2.39</v>
      </c>
      <c r="E263" s="8">
        <v>2.65</v>
      </c>
      <c r="F263" s="8">
        <v>2.91</v>
      </c>
      <c r="G263" s="205">
        <v>1</v>
      </c>
      <c r="H263" s="205">
        <v>3</v>
      </c>
      <c r="I263" s="2">
        <f t="shared" si="15"/>
        <v>-2</v>
      </c>
      <c r="J263" s="2">
        <f t="shared" si="16"/>
        <v>0.52</v>
      </c>
      <c r="K263" s="2">
        <f t="shared" si="14"/>
        <v>-0.52</v>
      </c>
      <c r="L263" s="2" t="s">
        <v>3678</v>
      </c>
      <c r="M263" s="2" t="s">
        <v>3678</v>
      </c>
    </row>
    <row r="264" spans="1:13" hidden="1">
      <c r="A264" s="2" t="s">
        <v>3109</v>
      </c>
      <c r="B264" s="2" t="s">
        <v>3110</v>
      </c>
      <c r="C264" s="2" t="s">
        <v>3437</v>
      </c>
      <c r="D264" s="8">
        <v>2.11</v>
      </c>
      <c r="E264" s="8">
        <v>3.1</v>
      </c>
      <c r="F264" s="8">
        <v>2.91</v>
      </c>
      <c r="G264" s="205">
        <v>0</v>
      </c>
      <c r="H264" s="205">
        <v>1</v>
      </c>
      <c r="I264" s="2">
        <f t="shared" si="15"/>
        <v>-1</v>
      </c>
      <c r="J264" s="2">
        <f t="shared" si="16"/>
        <v>0.80000000000000027</v>
      </c>
      <c r="K264" s="2">
        <f t="shared" si="14"/>
        <v>-0.80000000000000027</v>
      </c>
      <c r="L264" s="2" t="s">
        <v>3678</v>
      </c>
      <c r="M264" s="2" t="s">
        <v>3678</v>
      </c>
    </row>
    <row r="265" spans="1:13" hidden="1">
      <c r="A265" s="2" t="s">
        <v>3109</v>
      </c>
      <c r="B265" s="2" t="s">
        <v>3294</v>
      </c>
      <c r="C265" s="2" t="s">
        <v>3443</v>
      </c>
      <c r="D265" s="8">
        <v>2.09</v>
      </c>
      <c r="E265" s="8">
        <v>3.15</v>
      </c>
      <c r="F265" s="8">
        <v>2.91</v>
      </c>
      <c r="G265" s="205">
        <v>1</v>
      </c>
      <c r="H265" s="205">
        <v>1</v>
      </c>
      <c r="I265" s="2">
        <f t="shared" si="15"/>
        <v>0</v>
      </c>
      <c r="J265" s="2">
        <f t="shared" si="16"/>
        <v>0.82000000000000028</v>
      </c>
      <c r="K265" s="2">
        <f t="shared" si="14"/>
        <v>-0.82000000000000028</v>
      </c>
      <c r="L265" s="2" t="s">
        <v>3678</v>
      </c>
      <c r="M265" s="2" t="s">
        <v>3677</v>
      </c>
    </row>
    <row r="266" spans="1:13" hidden="1">
      <c r="A266" s="2" t="s">
        <v>3109</v>
      </c>
      <c r="B266" s="2" t="s">
        <v>3144</v>
      </c>
      <c r="C266" s="2" t="s">
        <v>3460</v>
      </c>
      <c r="D266" s="8">
        <v>2.0299999999999998</v>
      </c>
      <c r="E266" s="8">
        <v>3.3</v>
      </c>
      <c r="F266" s="8">
        <v>2.91</v>
      </c>
      <c r="G266" s="205">
        <v>1</v>
      </c>
      <c r="H266" s="205">
        <v>1</v>
      </c>
      <c r="I266" s="2">
        <f t="shared" si="15"/>
        <v>0</v>
      </c>
      <c r="J266" s="2">
        <f t="shared" si="16"/>
        <v>0.88000000000000034</v>
      </c>
      <c r="K266" s="2">
        <f t="shared" si="14"/>
        <v>-0.88000000000000034</v>
      </c>
      <c r="L266" s="2" t="s">
        <v>3678</v>
      </c>
      <c r="M266" s="2" t="s">
        <v>3677</v>
      </c>
    </row>
    <row r="267" spans="1:13" hidden="1">
      <c r="A267" s="2" t="s">
        <v>3109</v>
      </c>
      <c r="B267" s="2" t="s">
        <v>3236</v>
      </c>
      <c r="C267" s="2" t="s">
        <v>3311</v>
      </c>
      <c r="D267" s="8">
        <v>2.6</v>
      </c>
      <c r="E267" s="8">
        <v>2.63</v>
      </c>
      <c r="F267" s="8">
        <v>2.9</v>
      </c>
      <c r="G267" s="205">
        <v>1</v>
      </c>
      <c r="H267" s="205">
        <v>1</v>
      </c>
      <c r="I267" s="2">
        <f t="shared" si="15"/>
        <v>0</v>
      </c>
      <c r="J267" s="2">
        <f t="shared" si="16"/>
        <v>0.29999999999999982</v>
      </c>
      <c r="K267" s="2">
        <f t="shared" si="14"/>
        <v>-0.29999999999999982</v>
      </c>
      <c r="L267" s="2" t="s">
        <v>3678</v>
      </c>
      <c r="M267" s="2" t="s">
        <v>3678</v>
      </c>
    </row>
    <row r="268" spans="1:13" hidden="1">
      <c r="A268" s="2" t="s">
        <v>3109</v>
      </c>
      <c r="B268" s="2" t="s">
        <v>3172</v>
      </c>
      <c r="C268" s="2" t="s">
        <v>3409</v>
      </c>
      <c r="D268" s="8">
        <v>2.2000000000000002</v>
      </c>
      <c r="E268" s="8">
        <v>2.93</v>
      </c>
      <c r="F268" s="8">
        <v>2.9</v>
      </c>
      <c r="G268" s="205">
        <v>2</v>
      </c>
      <c r="H268" s="205">
        <v>0</v>
      </c>
      <c r="I268" s="2">
        <f t="shared" si="15"/>
        <v>2</v>
      </c>
      <c r="J268" s="2">
        <f t="shared" si="16"/>
        <v>0.69999999999999973</v>
      </c>
      <c r="K268" s="2">
        <f t="shared" si="14"/>
        <v>-0.69999999999999973</v>
      </c>
      <c r="L268" s="2" t="s">
        <v>3677</v>
      </c>
      <c r="M268" s="2" t="s">
        <v>3677</v>
      </c>
    </row>
    <row r="269" spans="1:13" hidden="1">
      <c r="A269" s="2" t="s">
        <v>3109</v>
      </c>
      <c r="B269" s="2" t="s">
        <v>3396</v>
      </c>
      <c r="C269" s="2" t="s">
        <v>3397</v>
      </c>
      <c r="D269" s="8">
        <v>2.2200000000000002</v>
      </c>
      <c r="E269" s="8">
        <v>2.91</v>
      </c>
      <c r="F269" s="8">
        <v>2.89</v>
      </c>
      <c r="G269" s="205">
        <v>2</v>
      </c>
      <c r="H269" s="205">
        <v>0</v>
      </c>
      <c r="I269" s="2">
        <f t="shared" si="15"/>
        <v>2</v>
      </c>
      <c r="J269" s="2">
        <f t="shared" si="16"/>
        <v>0.66999999999999993</v>
      </c>
      <c r="K269" s="2">
        <f t="shared" si="14"/>
        <v>-0.66999999999999993</v>
      </c>
      <c r="L269" s="2" t="s">
        <v>3678</v>
      </c>
      <c r="M269" s="2" t="s">
        <v>3678</v>
      </c>
    </row>
    <row r="270" spans="1:13" hidden="1">
      <c r="A270" s="2" t="s">
        <v>3109</v>
      </c>
      <c r="B270" s="2" t="s">
        <v>3252</v>
      </c>
      <c r="C270" s="2" t="s">
        <v>3439</v>
      </c>
      <c r="D270" s="8">
        <v>2.11</v>
      </c>
      <c r="E270" s="8">
        <v>3.43</v>
      </c>
      <c r="F270" s="8">
        <v>2.89</v>
      </c>
      <c r="G270" s="205">
        <v>0</v>
      </c>
      <c r="H270" s="205">
        <v>0</v>
      </c>
      <c r="I270" s="2">
        <f t="shared" si="15"/>
        <v>0</v>
      </c>
      <c r="J270" s="2">
        <f t="shared" si="16"/>
        <v>0.78000000000000025</v>
      </c>
      <c r="K270" s="2">
        <f t="shared" si="14"/>
        <v>-0.78000000000000025</v>
      </c>
      <c r="L270" s="2" t="s">
        <v>3677</v>
      </c>
      <c r="M270" s="2" t="s">
        <v>3678</v>
      </c>
    </row>
    <row r="271" spans="1:13" hidden="1">
      <c r="A271" s="2" t="s">
        <v>3109</v>
      </c>
      <c r="B271" s="2" t="s">
        <v>3110</v>
      </c>
      <c r="C271" s="2" t="s">
        <v>3412</v>
      </c>
      <c r="D271" s="8">
        <v>2.19</v>
      </c>
      <c r="E271" s="8">
        <v>2.97</v>
      </c>
      <c r="F271" s="8">
        <v>2.88</v>
      </c>
      <c r="G271" s="205">
        <v>2</v>
      </c>
      <c r="H271" s="205">
        <v>0</v>
      </c>
      <c r="I271" s="2">
        <f t="shared" si="15"/>
        <v>2</v>
      </c>
      <c r="J271" s="2">
        <f t="shared" si="16"/>
        <v>0.69</v>
      </c>
      <c r="K271" s="2">
        <f t="shared" si="14"/>
        <v>-0.69</v>
      </c>
      <c r="L271" s="2" t="s">
        <v>3678</v>
      </c>
      <c r="M271" s="2" t="s">
        <v>3678</v>
      </c>
    </row>
    <row r="272" spans="1:13" hidden="1">
      <c r="A272" s="2" t="s">
        <v>3109</v>
      </c>
      <c r="B272" s="2" t="s">
        <v>3110</v>
      </c>
      <c r="C272" s="2" t="s">
        <v>3427</v>
      </c>
      <c r="D272" s="8">
        <v>2.14</v>
      </c>
      <c r="E272" s="8">
        <v>3.07</v>
      </c>
      <c r="F272" s="8">
        <v>2.88</v>
      </c>
      <c r="G272" s="205">
        <v>0</v>
      </c>
      <c r="H272" s="205">
        <v>2</v>
      </c>
      <c r="I272" s="2">
        <f t="shared" si="15"/>
        <v>-2</v>
      </c>
      <c r="J272" s="2">
        <f t="shared" si="16"/>
        <v>0.73999999999999977</v>
      </c>
      <c r="K272" s="2">
        <f t="shared" si="14"/>
        <v>-0.73999999999999977</v>
      </c>
      <c r="L272" s="2" t="s">
        <v>3677</v>
      </c>
      <c r="M272" s="2" t="s">
        <v>3678</v>
      </c>
    </row>
    <row r="273" spans="1:13" hidden="1">
      <c r="A273" s="2" t="s">
        <v>3109</v>
      </c>
      <c r="B273" s="2" t="s">
        <v>3323</v>
      </c>
      <c r="C273" s="2" t="s">
        <v>3335</v>
      </c>
      <c r="D273" s="8">
        <v>2.46</v>
      </c>
      <c r="E273" s="8">
        <v>3.65</v>
      </c>
      <c r="F273" s="8">
        <v>2.86</v>
      </c>
      <c r="G273" s="205">
        <v>0</v>
      </c>
      <c r="H273" s="205">
        <v>1</v>
      </c>
      <c r="I273" s="2">
        <f t="shared" si="15"/>
        <v>-1</v>
      </c>
      <c r="J273" s="2">
        <f t="shared" si="16"/>
        <v>0.39999999999999991</v>
      </c>
      <c r="K273" s="2">
        <f t="shared" si="14"/>
        <v>-0.39999999999999991</v>
      </c>
      <c r="L273" s="2" t="s">
        <v>3677</v>
      </c>
      <c r="M273" s="2" t="s">
        <v>3678</v>
      </c>
    </row>
    <row r="274" spans="1:13" hidden="1">
      <c r="A274" s="2" t="s">
        <v>3109</v>
      </c>
      <c r="B274" s="2" t="s">
        <v>3203</v>
      </c>
      <c r="C274" s="2" t="s">
        <v>3379</v>
      </c>
      <c r="D274" s="8">
        <v>2.2999999999999998</v>
      </c>
      <c r="E274" s="8">
        <v>2.81</v>
      </c>
      <c r="F274" s="8">
        <v>2.86</v>
      </c>
      <c r="G274" s="205">
        <v>0</v>
      </c>
      <c r="H274" s="205">
        <v>1</v>
      </c>
      <c r="I274" s="2">
        <f t="shared" si="15"/>
        <v>-1</v>
      </c>
      <c r="J274" s="2">
        <f t="shared" si="16"/>
        <v>0.56000000000000005</v>
      </c>
      <c r="K274" s="2">
        <f t="shared" si="14"/>
        <v>-0.56000000000000005</v>
      </c>
      <c r="L274" s="2" t="s">
        <v>3677</v>
      </c>
      <c r="M274" s="2" t="s">
        <v>3678</v>
      </c>
    </row>
    <row r="275" spans="1:13" hidden="1">
      <c r="A275" s="2" t="s">
        <v>3109</v>
      </c>
      <c r="B275" s="2" t="s">
        <v>3203</v>
      </c>
      <c r="C275" s="2" t="s">
        <v>3380</v>
      </c>
      <c r="D275" s="8">
        <v>2.2999999999999998</v>
      </c>
      <c r="E275" s="8">
        <v>2.81</v>
      </c>
      <c r="F275" s="8">
        <v>2.86</v>
      </c>
      <c r="G275" s="205">
        <v>2</v>
      </c>
      <c r="H275" s="205">
        <v>0</v>
      </c>
      <c r="I275" s="2">
        <f t="shared" si="15"/>
        <v>2</v>
      </c>
      <c r="J275" s="2">
        <f t="shared" si="16"/>
        <v>0.56000000000000005</v>
      </c>
      <c r="K275" s="2">
        <f t="shared" si="14"/>
        <v>-0.56000000000000005</v>
      </c>
      <c r="L275" s="2" t="s">
        <v>3678</v>
      </c>
      <c r="M275" s="2" t="s">
        <v>3678</v>
      </c>
    </row>
    <row r="276" spans="1:13" hidden="1">
      <c r="A276" s="2" t="s">
        <v>3109</v>
      </c>
      <c r="B276" s="2" t="s">
        <v>3402</v>
      </c>
      <c r="C276" s="2" t="s">
        <v>3403</v>
      </c>
      <c r="D276" s="8">
        <v>2.21</v>
      </c>
      <c r="E276" s="8">
        <v>2.98</v>
      </c>
      <c r="F276" s="8">
        <v>2.85</v>
      </c>
      <c r="G276" s="205">
        <v>2</v>
      </c>
      <c r="H276" s="205">
        <v>0</v>
      </c>
      <c r="I276" s="2">
        <f t="shared" si="15"/>
        <v>2</v>
      </c>
      <c r="J276" s="2">
        <f t="shared" si="16"/>
        <v>0.64000000000000012</v>
      </c>
      <c r="K276" s="2">
        <f t="shared" si="14"/>
        <v>-0.64000000000000012</v>
      </c>
      <c r="L276" s="2" t="s">
        <v>3677</v>
      </c>
      <c r="M276" s="2" t="s">
        <v>3677</v>
      </c>
    </row>
    <row r="277" spans="1:13" hidden="1">
      <c r="A277" s="2" t="s">
        <v>3109</v>
      </c>
      <c r="B277" s="2" t="s">
        <v>3329</v>
      </c>
      <c r="C277" s="2" t="s">
        <v>3330</v>
      </c>
      <c r="D277" s="8">
        <v>2.4700000000000002</v>
      </c>
      <c r="E277" s="8">
        <v>3.3</v>
      </c>
      <c r="F277" s="8">
        <v>2.84</v>
      </c>
      <c r="G277" s="205">
        <v>2</v>
      </c>
      <c r="H277" s="205">
        <v>1</v>
      </c>
      <c r="I277" s="2">
        <f t="shared" si="15"/>
        <v>1</v>
      </c>
      <c r="J277" s="2">
        <f t="shared" si="16"/>
        <v>0.36999999999999966</v>
      </c>
      <c r="K277" s="2">
        <f t="shared" si="14"/>
        <v>-0.36999999999999966</v>
      </c>
      <c r="L277" s="2" t="s">
        <v>3678</v>
      </c>
      <c r="M277" s="2" t="s">
        <v>3678</v>
      </c>
    </row>
    <row r="278" spans="1:13" hidden="1">
      <c r="A278" s="2" t="s">
        <v>3109</v>
      </c>
      <c r="B278" s="2" t="s">
        <v>3144</v>
      </c>
      <c r="C278" s="2" t="s">
        <v>3431</v>
      </c>
      <c r="D278" s="8">
        <v>2.12</v>
      </c>
      <c r="E278" s="8">
        <v>3.15</v>
      </c>
      <c r="F278" s="8">
        <v>2.84</v>
      </c>
      <c r="G278" s="205">
        <v>1</v>
      </c>
      <c r="H278" s="205">
        <v>0</v>
      </c>
      <c r="I278" s="2">
        <f t="shared" si="15"/>
        <v>1</v>
      </c>
      <c r="J278" s="2">
        <f t="shared" si="16"/>
        <v>0.71999999999999975</v>
      </c>
      <c r="K278" s="2">
        <f t="shared" si="14"/>
        <v>-0.71999999999999975</v>
      </c>
      <c r="L278" s="2" t="s">
        <v>3678</v>
      </c>
      <c r="M278" s="2" t="s">
        <v>3677</v>
      </c>
    </row>
    <row r="279" spans="1:13" hidden="1">
      <c r="A279" s="2" t="s">
        <v>3109</v>
      </c>
      <c r="B279" s="2" t="s">
        <v>3297</v>
      </c>
      <c r="C279" s="2" t="s">
        <v>3332</v>
      </c>
      <c r="D279" s="8">
        <v>2.4700000000000002</v>
      </c>
      <c r="E279" s="8">
        <v>2.61</v>
      </c>
      <c r="F279" s="8">
        <v>2.83</v>
      </c>
      <c r="G279" s="205">
        <v>0</v>
      </c>
      <c r="H279" s="205">
        <v>0</v>
      </c>
      <c r="I279" s="2">
        <f t="shared" si="15"/>
        <v>0</v>
      </c>
      <c r="J279" s="2">
        <f t="shared" si="16"/>
        <v>0.35999999999999988</v>
      </c>
      <c r="K279" s="2">
        <f t="shared" si="14"/>
        <v>-0.35999999999999988</v>
      </c>
      <c r="L279" s="2" t="s">
        <v>3678</v>
      </c>
      <c r="M279" s="2" t="s">
        <v>3677</v>
      </c>
    </row>
    <row r="280" spans="1:13" hidden="1">
      <c r="A280" s="2" t="s">
        <v>3109</v>
      </c>
      <c r="B280" s="2" t="s">
        <v>1686</v>
      </c>
      <c r="C280" s="2" t="s">
        <v>3256</v>
      </c>
      <c r="D280" s="8">
        <v>2.87</v>
      </c>
      <c r="E280" s="8">
        <v>3.05</v>
      </c>
      <c r="F280" s="8">
        <v>2.82</v>
      </c>
      <c r="G280" s="205">
        <v>1</v>
      </c>
      <c r="H280" s="205">
        <v>1</v>
      </c>
      <c r="I280" s="2">
        <f t="shared" si="15"/>
        <v>0</v>
      </c>
      <c r="J280" s="2">
        <f t="shared" si="16"/>
        <v>5.0000000000000266E-2</v>
      </c>
      <c r="K280" s="2">
        <f t="shared" si="14"/>
        <v>5.0000000000000266E-2</v>
      </c>
    </row>
    <row r="281" spans="1:13" hidden="1">
      <c r="A281" s="2" t="s">
        <v>3109</v>
      </c>
      <c r="B281" s="2" t="s">
        <v>3146</v>
      </c>
      <c r="C281" s="2" t="s">
        <v>3303</v>
      </c>
      <c r="D281" s="8">
        <v>2.64</v>
      </c>
      <c r="E281" s="8">
        <v>2.73</v>
      </c>
      <c r="F281" s="8">
        <v>2.82</v>
      </c>
      <c r="G281" s="205">
        <v>1</v>
      </c>
      <c r="H281" s="205">
        <v>1</v>
      </c>
      <c r="I281" s="2">
        <f t="shared" si="15"/>
        <v>0</v>
      </c>
      <c r="J281" s="2">
        <f t="shared" si="16"/>
        <v>0.17999999999999972</v>
      </c>
      <c r="K281" s="2">
        <f t="shared" si="14"/>
        <v>-0.17999999999999972</v>
      </c>
      <c r="L281" s="2" t="s">
        <v>3678</v>
      </c>
      <c r="M281" s="2" t="s">
        <v>3677</v>
      </c>
    </row>
    <row r="282" spans="1:13" hidden="1">
      <c r="A282" s="2" t="s">
        <v>3109</v>
      </c>
      <c r="B282" s="2" t="s">
        <v>3248</v>
      </c>
      <c r="C282" s="2" t="s">
        <v>3394</v>
      </c>
      <c r="D282" s="8">
        <v>2.23</v>
      </c>
      <c r="E282" s="8">
        <v>2.99</v>
      </c>
      <c r="F282" s="8">
        <v>2.81</v>
      </c>
      <c r="G282" s="205">
        <v>1</v>
      </c>
      <c r="H282" s="205">
        <v>1</v>
      </c>
      <c r="I282" s="2">
        <f t="shared" si="15"/>
        <v>0</v>
      </c>
      <c r="J282" s="2">
        <f t="shared" si="16"/>
        <v>0.58000000000000007</v>
      </c>
      <c r="K282" s="2">
        <f t="shared" si="14"/>
        <v>-0.58000000000000007</v>
      </c>
      <c r="L282" s="2" t="s">
        <v>3678</v>
      </c>
      <c r="M282" s="2" t="s">
        <v>3678</v>
      </c>
    </row>
    <row r="283" spans="1:13" hidden="1">
      <c r="A283" s="2" t="s">
        <v>3109</v>
      </c>
      <c r="B283" s="2" t="s">
        <v>1698</v>
      </c>
      <c r="C283" s="2" t="s">
        <v>3317</v>
      </c>
      <c r="D283" s="8">
        <v>2.54</v>
      </c>
      <c r="E283" s="8">
        <v>3.45</v>
      </c>
      <c r="F283" s="8">
        <v>2.8</v>
      </c>
      <c r="G283" s="205">
        <v>2</v>
      </c>
      <c r="H283" s="205">
        <v>1</v>
      </c>
      <c r="I283" s="2">
        <f t="shared" si="15"/>
        <v>1</v>
      </c>
      <c r="J283" s="2">
        <f t="shared" si="16"/>
        <v>0.25999999999999979</v>
      </c>
      <c r="K283" s="2">
        <f t="shared" si="14"/>
        <v>-0.25999999999999979</v>
      </c>
      <c r="L283" s="2" t="s">
        <v>3678</v>
      </c>
      <c r="M283" s="2" t="s">
        <v>3677</v>
      </c>
    </row>
    <row r="284" spans="1:13" hidden="1">
      <c r="A284" s="2" t="s">
        <v>3109</v>
      </c>
      <c r="B284" s="2" t="s">
        <v>3112</v>
      </c>
      <c r="C284" s="2" t="s">
        <v>3383</v>
      </c>
      <c r="D284" s="8">
        <v>2.2799999999999998</v>
      </c>
      <c r="E284" s="8">
        <v>3.3</v>
      </c>
      <c r="F284" s="8">
        <v>2.79</v>
      </c>
      <c r="G284" s="205">
        <v>0</v>
      </c>
      <c r="H284" s="205">
        <v>0</v>
      </c>
      <c r="I284" s="2">
        <f t="shared" si="15"/>
        <v>0</v>
      </c>
      <c r="J284" s="2">
        <f t="shared" si="16"/>
        <v>0.51000000000000023</v>
      </c>
      <c r="K284" s="2">
        <f t="shared" si="14"/>
        <v>-0.51000000000000023</v>
      </c>
      <c r="L284" s="2" t="s">
        <v>3678</v>
      </c>
      <c r="M284" s="2" t="s">
        <v>3678</v>
      </c>
    </row>
    <row r="285" spans="1:13" hidden="1">
      <c r="A285" s="2" t="s">
        <v>3109</v>
      </c>
      <c r="B285" s="2" t="s">
        <v>1686</v>
      </c>
      <c r="C285" s="2" t="s">
        <v>3276</v>
      </c>
      <c r="D285" s="8">
        <v>2.78</v>
      </c>
      <c r="E285" s="8">
        <v>3.22</v>
      </c>
      <c r="F285" s="8">
        <v>2.78</v>
      </c>
      <c r="G285" s="205">
        <v>1</v>
      </c>
      <c r="H285" s="205">
        <v>2</v>
      </c>
      <c r="I285" s="2">
        <f t="shared" si="15"/>
        <v>-1</v>
      </c>
      <c r="J285" s="2">
        <f t="shared" si="16"/>
        <v>0</v>
      </c>
      <c r="K285" s="2">
        <f t="shared" si="14"/>
        <v>0</v>
      </c>
      <c r="L285" s="2" t="s">
        <v>3677</v>
      </c>
      <c r="M285" s="2" t="s">
        <v>3678</v>
      </c>
    </row>
    <row r="286" spans="1:13" hidden="1">
      <c r="A286" s="2" t="s">
        <v>3109</v>
      </c>
      <c r="B286" s="2" t="s">
        <v>3110</v>
      </c>
      <c r="C286" s="2" t="s">
        <v>3390</v>
      </c>
      <c r="D286" s="8">
        <v>2.25</v>
      </c>
      <c r="E286" s="8">
        <v>2.97</v>
      </c>
      <c r="F286" s="8">
        <v>2.78</v>
      </c>
      <c r="G286" s="205">
        <v>1</v>
      </c>
      <c r="H286" s="205">
        <v>0</v>
      </c>
      <c r="I286" s="2">
        <f t="shared" si="15"/>
        <v>1</v>
      </c>
      <c r="J286" s="2">
        <f t="shared" si="16"/>
        <v>0.5299999999999998</v>
      </c>
      <c r="K286" s="2">
        <f t="shared" si="14"/>
        <v>-0.5299999999999998</v>
      </c>
      <c r="L286" s="2" t="s">
        <v>3678</v>
      </c>
      <c r="M286" s="2" t="s">
        <v>3678</v>
      </c>
    </row>
    <row r="287" spans="1:13" hidden="1">
      <c r="A287" s="2" t="s">
        <v>3109</v>
      </c>
      <c r="B287" s="2" t="s">
        <v>3189</v>
      </c>
      <c r="C287" s="2" t="s">
        <v>3285</v>
      </c>
      <c r="D287" s="8">
        <v>2.74</v>
      </c>
      <c r="E287" s="8">
        <v>2.62</v>
      </c>
      <c r="F287" s="8">
        <v>2.75</v>
      </c>
      <c r="G287" s="205">
        <v>2</v>
      </c>
      <c r="H287" s="205">
        <v>1</v>
      </c>
      <c r="I287" s="2">
        <f t="shared" si="15"/>
        <v>1</v>
      </c>
      <c r="J287" s="2">
        <f t="shared" si="16"/>
        <v>9.9999999999997868E-3</v>
      </c>
      <c r="K287" s="2">
        <f t="shared" si="14"/>
        <v>-9.9999999999997868E-3</v>
      </c>
      <c r="L287" s="2" t="s">
        <v>3677</v>
      </c>
      <c r="M287" s="2" t="s">
        <v>3677</v>
      </c>
    </row>
    <row r="288" spans="1:13" hidden="1">
      <c r="A288" s="2" t="s">
        <v>3109</v>
      </c>
      <c r="B288" s="2" t="s">
        <v>3203</v>
      </c>
      <c r="C288" s="2" t="s">
        <v>3372</v>
      </c>
      <c r="D288" s="8">
        <v>2.31</v>
      </c>
      <c r="E288" s="8">
        <v>2.9</v>
      </c>
      <c r="F288" s="8">
        <v>2.75</v>
      </c>
      <c r="G288" s="205">
        <v>2</v>
      </c>
      <c r="H288" s="205">
        <v>0</v>
      </c>
      <c r="I288" s="2">
        <f t="shared" si="15"/>
        <v>2</v>
      </c>
      <c r="J288" s="2">
        <f t="shared" si="16"/>
        <v>0.43999999999999995</v>
      </c>
      <c r="K288" s="2">
        <f t="shared" si="14"/>
        <v>-0.43999999999999995</v>
      </c>
      <c r="L288" s="2" t="s">
        <v>3678</v>
      </c>
      <c r="M288" s="2" t="s">
        <v>3678</v>
      </c>
    </row>
    <row r="289" spans="1:13" hidden="1">
      <c r="A289" s="2" t="s">
        <v>3109</v>
      </c>
      <c r="B289" s="2" t="s">
        <v>3201</v>
      </c>
      <c r="C289" s="2" t="s">
        <v>3313</v>
      </c>
      <c r="D289" s="8">
        <v>2.58</v>
      </c>
      <c r="E289" s="8">
        <v>3.25</v>
      </c>
      <c r="F289" s="8">
        <v>2.74</v>
      </c>
      <c r="G289" s="205">
        <v>1</v>
      </c>
      <c r="H289" s="205">
        <v>3</v>
      </c>
      <c r="I289" s="2">
        <f t="shared" si="15"/>
        <v>-2</v>
      </c>
      <c r="J289" s="2">
        <f t="shared" si="16"/>
        <v>0.16000000000000014</v>
      </c>
      <c r="K289" s="2">
        <f t="shared" si="14"/>
        <v>-0.16000000000000014</v>
      </c>
      <c r="L289" s="2" t="s">
        <v>3678</v>
      </c>
      <c r="M289" s="2" t="s">
        <v>3677</v>
      </c>
    </row>
    <row r="290" spans="1:13" hidden="1">
      <c r="A290" s="2" t="s">
        <v>3109</v>
      </c>
      <c r="B290" s="2" t="s">
        <v>3124</v>
      </c>
      <c r="C290" s="2" t="s">
        <v>3369</v>
      </c>
      <c r="D290" s="8">
        <v>2.3199999999999998</v>
      </c>
      <c r="E290" s="8">
        <v>2.92</v>
      </c>
      <c r="F290" s="8">
        <v>2.74</v>
      </c>
      <c r="G290" s="205">
        <v>1</v>
      </c>
      <c r="H290" s="205">
        <v>1</v>
      </c>
      <c r="I290" s="2">
        <f t="shared" si="15"/>
        <v>0</v>
      </c>
      <c r="J290" s="2">
        <f t="shared" si="16"/>
        <v>0.42000000000000037</v>
      </c>
      <c r="K290" s="2">
        <f t="shared" si="14"/>
        <v>-0.42000000000000037</v>
      </c>
      <c r="L290" s="2" t="s">
        <v>3678</v>
      </c>
      <c r="M290" s="2" t="s">
        <v>3677</v>
      </c>
    </row>
    <row r="291" spans="1:13" hidden="1">
      <c r="A291" s="2" t="s">
        <v>3109</v>
      </c>
      <c r="B291" s="2" t="s">
        <v>3187</v>
      </c>
      <c r="C291" s="2" t="s">
        <v>3351</v>
      </c>
      <c r="D291" s="8">
        <v>2.39</v>
      </c>
      <c r="E291" s="8">
        <v>3.17</v>
      </c>
      <c r="F291" s="8">
        <v>2.73</v>
      </c>
      <c r="G291" s="205">
        <v>0</v>
      </c>
      <c r="H291" s="205">
        <v>2</v>
      </c>
      <c r="I291" s="2">
        <f t="shared" si="15"/>
        <v>-2</v>
      </c>
      <c r="J291" s="2">
        <f t="shared" si="16"/>
        <v>0.33999999999999986</v>
      </c>
      <c r="K291" s="2">
        <f t="shared" si="14"/>
        <v>-0.33999999999999986</v>
      </c>
      <c r="L291" s="2" t="s">
        <v>3678</v>
      </c>
      <c r="M291" s="2" t="s">
        <v>3678</v>
      </c>
    </row>
    <row r="292" spans="1:13" hidden="1">
      <c r="A292" s="2" t="s">
        <v>3109</v>
      </c>
      <c r="B292" s="2" t="s">
        <v>3359</v>
      </c>
      <c r="C292" s="2" t="s">
        <v>3360</v>
      </c>
      <c r="D292" s="8">
        <v>2.37</v>
      </c>
      <c r="E292" s="8">
        <v>2.85</v>
      </c>
      <c r="F292" s="8">
        <v>2.73</v>
      </c>
      <c r="G292" s="205">
        <v>1</v>
      </c>
      <c r="H292" s="205">
        <v>2</v>
      </c>
      <c r="I292" s="2">
        <f t="shared" si="15"/>
        <v>-1</v>
      </c>
      <c r="J292" s="2">
        <f t="shared" si="16"/>
        <v>0.35999999999999988</v>
      </c>
      <c r="K292" s="2">
        <f t="shared" si="14"/>
        <v>-0.35999999999999988</v>
      </c>
      <c r="L292" s="2" t="s">
        <v>3678</v>
      </c>
      <c r="M292" s="2" t="s">
        <v>3677</v>
      </c>
    </row>
    <row r="293" spans="1:13" hidden="1">
      <c r="A293" s="2" t="s">
        <v>3109</v>
      </c>
      <c r="B293" s="2" t="s">
        <v>3257</v>
      </c>
      <c r="C293" s="2" t="s">
        <v>3258</v>
      </c>
      <c r="D293" s="8">
        <v>2.87</v>
      </c>
      <c r="E293" s="8">
        <v>2.9</v>
      </c>
      <c r="F293" s="8">
        <v>2.72</v>
      </c>
      <c r="G293" s="205">
        <v>2</v>
      </c>
      <c r="H293" s="205">
        <v>1</v>
      </c>
      <c r="I293" s="2">
        <f t="shared" si="15"/>
        <v>1</v>
      </c>
      <c r="J293" s="2">
        <f t="shared" si="16"/>
        <v>0.14999999999999991</v>
      </c>
      <c r="K293" s="2">
        <f t="shared" si="14"/>
        <v>0.14999999999999991</v>
      </c>
    </row>
    <row r="294" spans="1:13" hidden="1">
      <c r="A294" s="2" t="s">
        <v>3109</v>
      </c>
      <c r="B294" s="2" t="s">
        <v>3318</v>
      </c>
      <c r="C294" s="2" t="s">
        <v>3319</v>
      </c>
      <c r="D294" s="8">
        <v>2.5299999999999998</v>
      </c>
      <c r="E294" s="8">
        <v>2.96</v>
      </c>
      <c r="F294" s="8">
        <v>2.72</v>
      </c>
      <c r="G294" s="205">
        <v>2</v>
      </c>
      <c r="H294" s="205">
        <v>0</v>
      </c>
      <c r="I294" s="2">
        <f t="shared" si="15"/>
        <v>2</v>
      </c>
      <c r="J294" s="2">
        <f t="shared" si="16"/>
        <v>0.19000000000000039</v>
      </c>
      <c r="K294" s="2">
        <f t="shared" si="14"/>
        <v>-0.19000000000000039</v>
      </c>
      <c r="L294" s="2" t="s">
        <v>3678</v>
      </c>
      <c r="M294" s="2" t="s">
        <v>3678</v>
      </c>
    </row>
    <row r="295" spans="1:13" hidden="1">
      <c r="A295" s="2" t="s">
        <v>3109</v>
      </c>
      <c r="B295" s="2" t="s">
        <v>3110</v>
      </c>
      <c r="C295" s="2" t="s">
        <v>3400</v>
      </c>
      <c r="D295" s="8">
        <v>2.21</v>
      </c>
      <c r="E295" s="8">
        <v>3.13</v>
      </c>
      <c r="F295" s="8">
        <v>2.72</v>
      </c>
      <c r="G295" s="205">
        <v>0</v>
      </c>
      <c r="H295" s="205">
        <v>1</v>
      </c>
      <c r="I295" s="2">
        <f t="shared" si="15"/>
        <v>-1</v>
      </c>
      <c r="J295" s="2">
        <f t="shared" si="16"/>
        <v>0.51000000000000023</v>
      </c>
      <c r="K295" s="2">
        <f t="shared" si="14"/>
        <v>-0.51000000000000023</v>
      </c>
      <c r="L295" s="2" t="s">
        <v>3678</v>
      </c>
      <c r="M295" s="2" t="s">
        <v>3678</v>
      </c>
    </row>
    <row r="296" spans="1:13" hidden="1">
      <c r="A296" s="2" t="s">
        <v>3109</v>
      </c>
      <c r="B296" s="2" t="s">
        <v>3124</v>
      </c>
      <c r="C296" s="2" t="s">
        <v>3370</v>
      </c>
      <c r="D296" s="8">
        <v>2.3199999999999998</v>
      </c>
      <c r="E296" s="8">
        <v>2.95</v>
      </c>
      <c r="F296" s="8">
        <v>2.71</v>
      </c>
      <c r="G296" s="205">
        <v>1</v>
      </c>
      <c r="H296" s="205">
        <v>1</v>
      </c>
      <c r="I296" s="2">
        <f t="shared" si="15"/>
        <v>0</v>
      </c>
      <c r="J296" s="2">
        <f t="shared" si="16"/>
        <v>0.39000000000000012</v>
      </c>
      <c r="K296" s="2">
        <f t="shared" si="14"/>
        <v>-0.39000000000000012</v>
      </c>
      <c r="L296" s="2" t="s">
        <v>3678</v>
      </c>
      <c r="M296" s="2" t="s">
        <v>3678</v>
      </c>
    </row>
    <row r="297" spans="1:13" hidden="1">
      <c r="A297" s="2" t="s">
        <v>3109</v>
      </c>
      <c r="B297" s="2" t="s">
        <v>3172</v>
      </c>
      <c r="C297" s="2" t="s">
        <v>3371</v>
      </c>
      <c r="D297" s="8">
        <v>2.3199999999999998</v>
      </c>
      <c r="E297" s="8">
        <v>2.93</v>
      </c>
      <c r="F297" s="8">
        <v>2.71</v>
      </c>
      <c r="G297" s="205">
        <v>1</v>
      </c>
      <c r="H297" s="205">
        <v>0</v>
      </c>
      <c r="I297" s="2">
        <f t="shared" si="15"/>
        <v>1</v>
      </c>
      <c r="J297" s="2">
        <f t="shared" si="16"/>
        <v>0.39000000000000012</v>
      </c>
      <c r="K297" s="2">
        <f t="shared" si="14"/>
        <v>-0.39000000000000012</v>
      </c>
      <c r="L297" s="2" t="s">
        <v>3677</v>
      </c>
      <c r="M297" s="2" t="s">
        <v>3677</v>
      </c>
    </row>
    <row r="298" spans="1:13" hidden="1">
      <c r="A298" s="2" t="s">
        <v>3109</v>
      </c>
      <c r="B298" s="2" t="s">
        <v>3110</v>
      </c>
      <c r="C298" s="2" t="s">
        <v>3406</v>
      </c>
      <c r="D298" s="8">
        <v>2.2000000000000002</v>
      </c>
      <c r="E298" s="8">
        <v>3.15</v>
      </c>
      <c r="F298" s="8">
        <v>2.71</v>
      </c>
      <c r="G298" s="205">
        <v>2</v>
      </c>
      <c r="H298" s="205">
        <v>1</v>
      </c>
      <c r="I298" s="2">
        <f t="shared" si="15"/>
        <v>1</v>
      </c>
      <c r="J298" s="2">
        <f t="shared" si="16"/>
        <v>0.50999999999999979</v>
      </c>
      <c r="K298" s="2">
        <f t="shared" si="14"/>
        <v>-0.50999999999999979</v>
      </c>
      <c r="L298" s="2" t="s">
        <v>3678</v>
      </c>
      <c r="M298" s="2" t="s">
        <v>3678</v>
      </c>
    </row>
    <row r="299" spans="1:13" hidden="1">
      <c r="A299" s="2" t="s">
        <v>3109</v>
      </c>
      <c r="B299" s="2" t="s">
        <v>3178</v>
      </c>
      <c r="C299" s="2" t="s">
        <v>3289</v>
      </c>
      <c r="D299" s="8">
        <v>2.7</v>
      </c>
      <c r="E299" s="8">
        <v>3.13</v>
      </c>
      <c r="F299" s="8">
        <v>2.7</v>
      </c>
      <c r="G299" s="205">
        <v>2</v>
      </c>
      <c r="H299" s="205">
        <v>1</v>
      </c>
      <c r="I299" s="2">
        <f t="shared" si="15"/>
        <v>1</v>
      </c>
      <c r="J299" s="2">
        <f t="shared" si="16"/>
        <v>0</v>
      </c>
      <c r="K299" s="2">
        <f t="shared" si="14"/>
        <v>0</v>
      </c>
      <c r="L299" s="2" t="s">
        <v>3677</v>
      </c>
      <c r="M299" s="2" t="s">
        <v>3677</v>
      </c>
    </row>
    <row r="300" spans="1:13" hidden="1">
      <c r="A300" s="2" t="s">
        <v>3109</v>
      </c>
      <c r="B300" s="2" t="s">
        <v>3162</v>
      </c>
      <c r="C300" s="2" t="s">
        <v>3305</v>
      </c>
      <c r="D300" s="8">
        <v>2.63</v>
      </c>
      <c r="E300" s="8">
        <v>3.23</v>
      </c>
      <c r="F300" s="8">
        <v>2.7</v>
      </c>
      <c r="G300" s="205">
        <v>1</v>
      </c>
      <c r="H300" s="205">
        <v>1</v>
      </c>
      <c r="I300" s="2">
        <f t="shared" si="15"/>
        <v>0</v>
      </c>
      <c r="J300" s="2">
        <f t="shared" si="16"/>
        <v>7.0000000000000284E-2</v>
      </c>
      <c r="K300" s="2">
        <f t="shared" si="14"/>
        <v>-7.0000000000000284E-2</v>
      </c>
      <c r="L300" s="2" t="s">
        <v>3677</v>
      </c>
      <c r="M300" s="2" t="s">
        <v>3678</v>
      </c>
    </row>
    <row r="301" spans="1:13" hidden="1">
      <c r="A301" s="2" t="s">
        <v>3109</v>
      </c>
      <c r="B301" s="2" t="s">
        <v>3142</v>
      </c>
      <c r="C301" s="2" t="s">
        <v>3386</v>
      </c>
      <c r="D301" s="8">
        <v>2.2799999999999998</v>
      </c>
      <c r="E301" s="8">
        <v>3.02</v>
      </c>
      <c r="F301" s="8">
        <v>2.7</v>
      </c>
      <c r="G301" s="205">
        <v>2</v>
      </c>
      <c r="H301" s="205">
        <v>1</v>
      </c>
      <c r="I301" s="2">
        <f t="shared" si="15"/>
        <v>1</v>
      </c>
      <c r="J301" s="2">
        <f t="shared" si="16"/>
        <v>0.42000000000000037</v>
      </c>
      <c r="K301" s="2">
        <f t="shared" si="14"/>
        <v>-0.42000000000000037</v>
      </c>
      <c r="L301" s="2" t="s">
        <v>3678</v>
      </c>
      <c r="M301" s="2" t="s">
        <v>3678</v>
      </c>
    </row>
    <row r="302" spans="1:13" hidden="1">
      <c r="A302" s="2" t="s">
        <v>3109</v>
      </c>
      <c r="B302" s="2" t="s">
        <v>3213</v>
      </c>
      <c r="C302" s="2" t="s">
        <v>3349</v>
      </c>
      <c r="D302" s="8">
        <v>2.4</v>
      </c>
      <c r="E302" s="8">
        <v>2.85</v>
      </c>
      <c r="F302" s="8">
        <v>2.69</v>
      </c>
      <c r="G302" s="205">
        <v>1</v>
      </c>
      <c r="H302" s="205">
        <v>2</v>
      </c>
      <c r="I302" s="2">
        <f t="shared" si="15"/>
        <v>-1</v>
      </c>
      <c r="J302" s="2">
        <f t="shared" si="16"/>
        <v>0.29000000000000004</v>
      </c>
      <c r="K302" s="2">
        <f t="shared" si="14"/>
        <v>-0.29000000000000004</v>
      </c>
      <c r="L302" s="2" t="s">
        <v>3677</v>
      </c>
      <c r="M302" s="2" t="s">
        <v>3678</v>
      </c>
    </row>
    <row r="303" spans="1:13" hidden="1">
      <c r="A303" s="2" t="s">
        <v>3109</v>
      </c>
      <c r="B303" s="2" t="s">
        <v>3318</v>
      </c>
      <c r="C303" s="2" t="s">
        <v>3398</v>
      </c>
      <c r="D303" s="8">
        <v>2.2200000000000002</v>
      </c>
      <c r="E303" s="8">
        <v>3.15</v>
      </c>
      <c r="F303" s="8">
        <v>2.69</v>
      </c>
      <c r="G303" s="205">
        <v>0</v>
      </c>
      <c r="H303" s="205">
        <v>2</v>
      </c>
      <c r="I303" s="2">
        <f t="shared" si="15"/>
        <v>-2</v>
      </c>
      <c r="J303" s="2">
        <f t="shared" si="16"/>
        <v>0.46999999999999975</v>
      </c>
      <c r="K303" s="2">
        <f t="shared" si="14"/>
        <v>-0.46999999999999975</v>
      </c>
      <c r="L303" s="2" t="s">
        <v>3677</v>
      </c>
      <c r="M303" s="2" t="s">
        <v>3678</v>
      </c>
    </row>
    <row r="304" spans="1:13" hidden="1">
      <c r="A304" s="2" t="s">
        <v>3109</v>
      </c>
      <c r="B304" s="2" t="s">
        <v>3182</v>
      </c>
      <c r="C304" s="2" t="s">
        <v>3302</v>
      </c>
      <c r="D304" s="8">
        <v>2.64</v>
      </c>
      <c r="E304" s="8">
        <v>3.25</v>
      </c>
      <c r="F304" s="8">
        <v>2.68</v>
      </c>
      <c r="G304" s="205">
        <v>2</v>
      </c>
      <c r="H304" s="205">
        <v>0</v>
      </c>
      <c r="I304" s="2">
        <f t="shared" si="15"/>
        <v>2</v>
      </c>
      <c r="J304" s="2">
        <f t="shared" si="16"/>
        <v>4.0000000000000036E-2</v>
      </c>
      <c r="K304" s="2">
        <f t="shared" si="14"/>
        <v>-4.0000000000000036E-2</v>
      </c>
      <c r="L304" s="2" t="s">
        <v>3678</v>
      </c>
      <c r="M304" s="2" t="s">
        <v>3678</v>
      </c>
    </row>
    <row r="305" spans="1:13" hidden="1">
      <c r="A305" s="2" t="s">
        <v>3109</v>
      </c>
      <c r="B305" s="2" t="s">
        <v>3152</v>
      </c>
      <c r="C305" s="2" t="s">
        <v>3320</v>
      </c>
      <c r="D305" s="8">
        <v>2.5299999999999998</v>
      </c>
      <c r="E305" s="8">
        <v>3.02</v>
      </c>
      <c r="F305" s="8">
        <v>2.68</v>
      </c>
      <c r="G305" s="205">
        <v>0</v>
      </c>
      <c r="H305" s="205">
        <v>1</v>
      </c>
      <c r="I305" s="2">
        <f t="shared" si="15"/>
        <v>-1</v>
      </c>
      <c r="J305" s="2">
        <f t="shared" si="16"/>
        <v>0.15000000000000036</v>
      </c>
      <c r="K305" s="2">
        <f t="shared" si="14"/>
        <v>-0.15000000000000036</v>
      </c>
      <c r="L305" s="2" t="s">
        <v>3677</v>
      </c>
      <c r="M305" s="2" t="s">
        <v>3678</v>
      </c>
    </row>
    <row r="306" spans="1:13" hidden="1">
      <c r="A306" s="2" t="s">
        <v>3109</v>
      </c>
      <c r="B306" s="2" t="s">
        <v>3201</v>
      </c>
      <c r="C306" s="2" t="s">
        <v>3288</v>
      </c>
      <c r="D306" s="8">
        <v>2.71</v>
      </c>
      <c r="E306" s="8">
        <v>3.15</v>
      </c>
      <c r="F306" s="8">
        <v>2.67</v>
      </c>
      <c r="G306" s="205">
        <v>1</v>
      </c>
      <c r="H306" s="205">
        <v>1</v>
      </c>
      <c r="I306" s="2">
        <f t="shared" si="15"/>
        <v>0</v>
      </c>
      <c r="J306" s="2">
        <f t="shared" si="16"/>
        <v>4.0000000000000036E-2</v>
      </c>
      <c r="K306" s="2">
        <f t="shared" si="14"/>
        <v>4.0000000000000036E-2</v>
      </c>
    </row>
    <row r="307" spans="1:13" hidden="1">
      <c r="A307" s="2" t="s">
        <v>3109</v>
      </c>
      <c r="B307" s="2" t="s">
        <v>3325</v>
      </c>
      <c r="C307" s="2" t="s">
        <v>3326</v>
      </c>
      <c r="D307" s="8">
        <v>2.48</v>
      </c>
      <c r="E307" s="8">
        <v>3.53</v>
      </c>
      <c r="F307" s="8">
        <v>2.67</v>
      </c>
      <c r="G307" s="205">
        <v>2</v>
      </c>
      <c r="H307" s="205">
        <v>0</v>
      </c>
      <c r="I307" s="2">
        <f t="shared" si="15"/>
        <v>2</v>
      </c>
      <c r="J307" s="2">
        <f t="shared" si="16"/>
        <v>0.18999999999999995</v>
      </c>
      <c r="K307" s="2">
        <f t="shared" si="14"/>
        <v>-0.18999999999999995</v>
      </c>
      <c r="L307" s="2" t="s">
        <v>3678</v>
      </c>
      <c r="M307" s="2" t="s">
        <v>3678</v>
      </c>
    </row>
    <row r="308" spans="1:13" hidden="1">
      <c r="A308" s="2" t="s">
        <v>3109</v>
      </c>
      <c r="B308" s="2" t="s">
        <v>3182</v>
      </c>
      <c r="C308" s="2" t="s">
        <v>3245</v>
      </c>
      <c r="D308" s="8">
        <v>2.97</v>
      </c>
      <c r="E308" s="8">
        <v>2.88</v>
      </c>
      <c r="F308" s="8">
        <v>2.66</v>
      </c>
      <c r="G308" s="205">
        <v>1</v>
      </c>
      <c r="H308" s="205">
        <v>3</v>
      </c>
      <c r="I308" s="2">
        <f t="shared" si="15"/>
        <v>-2</v>
      </c>
      <c r="J308" s="2">
        <f t="shared" si="16"/>
        <v>0.31000000000000005</v>
      </c>
      <c r="K308" s="2">
        <f t="shared" si="14"/>
        <v>0.31000000000000005</v>
      </c>
    </row>
    <row r="309" spans="1:13" hidden="1">
      <c r="A309" s="2" t="s">
        <v>3109</v>
      </c>
      <c r="B309" s="2" t="s">
        <v>3110</v>
      </c>
      <c r="C309" s="2" t="s">
        <v>3395</v>
      </c>
      <c r="D309" s="8">
        <v>2.23</v>
      </c>
      <c r="E309" s="8">
        <v>3.18</v>
      </c>
      <c r="F309" s="8">
        <v>2.66</v>
      </c>
      <c r="G309" s="205">
        <v>0</v>
      </c>
      <c r="H309" s="205">
        <v>1</v>
      </c>
      <c r="I309" s="2">
        <f t="shared" si="15"/>
        <v>-1</v>
      </c>
      <c r="J309" s="2">
        <f t="shared" si="16"/>
        <v>0.43000000000000016</v>
      </c>
      <c r="K309" s="2">
        <f t="shared" si="14"/>
        <v>-0.43000000000000016</v>
      </c>
      <c r="L309" s="2" t="s">
        <v>3677</v>
      </c>
      <c r="M309" s="2" t="s">
        <v>3678</v>
      </c>
    </row>
    <row r="310" spans="1:13" hidden="1">
      <c r="A310" s="2" t="s">
        <v>3109</v>
      </c>
      <c r="B310" s="2" t="s">
        <v>3286</v>
      </c>
      <c r="C310" s="2" t="s">
        <v>3316</v>
      </c>
      <c r="D310" s="8">
        <v>2.5499999999999998</v>
      </c>
      <c r="E310" s="8">
        <v>3.45</v>
      </c>
      <c r="F310" s="8">
        <v>2.65</v>
      </c>
      <c r="G310" s="205">
        <v>2</v>
      </c>
      <c r="H310" s="205">
        <v>0</v>
      </c>
      <c r="I310" s="2">
        <f t="shared" si="15"/>
        <v>2</v>
      </c>
      <c r="J310" s="2">
        <f t="shared" si="16"/>
        <v>0.10000000000000009</v>
      </c>
      <c r="K310" s="2">
        <f t="shared" si="14"/>
        <v>-0.10000000000000009</v>
      </c>
      <c r="L310" s="2" t="s">
        <v>3678</v>
      </c>
      <c r="M310" s="2" t="s">
        <v>3678</v>
      </c>
    </row>
    <row r="311" spans="1:13" hidden="1">
      <c r="A311" s="2" t="s">
        <v>3109</v>
      </c>
      <c r="B311" s="2" t="s">
        <v>3323</v>
      </c>
      <c r="C311" s="2" t="s">
        <v>3324</v>
      </c>
      <c r="D311" s="8">
        <v>2.52</v>
      </c>
      <c r="E311" s="8">
        <v>3.53</v>
      </c>
      <c r="F311" s="8">
        <v>2.64</v>
      </c>
      <c r="G311" s="205">
        <v>1</v>
      </c>
      <c r="H311" s="205">
        <v>0</v>
      </c>
      <c r="I311" s="2">
        <f t="shared" si="15"/>
        <v>1</v>
      </c>
      <c r="J311" s="2">
        <f t="shared" si="16"/>
        <v>0.12000000000000011</v>
      </c>
      <c r="K311" s="2">
        <f t="shared" si="14"/>
        <v>-0.12000000000000011</v>
      </c>
      <c r="L311" s="2" t="s">
        <v>3677</v>
      </c>
      <c r="M311" s="2" t="s">
        <v>3677</v>
      </c>
    </row>
    <row r="312" spans="1:13" hidden="1">
      <c r="A312" s="2" t="s">
        <v>3109</v>
      </c>
      <c r="B312" s="2" t="s">
        <v>3152</v>
      </c>
      <c r="C312" s="2" t="s">
        <v>3354</v>
      </c>
      <c r="D312" s="8">
        <v>2.39</v>
      </c>
      <c r="E312" s="8">
        <v>2.91</v>
      </c>
      <c r="F312" s="8">
        <v>2.64</v>
      </c>
      <c r="G312" s="205">
        <v>2</v>
      </c>
      <c r="H312" s="205">
        <v>0</v>
      </c>
      <c r="I312" s="2">
        <f t="shared" si="15"/>
        <v>2</v>
      </c>
      <c r="J312" s="2">
        <f t="shared" si="16"/>
        <v>0.25</v>
      </c>
      <c r="K312" s="2">
        <f t="shared" si="14"/>
        <v>-0.25</v>
      </c>
      <c r="L312" s="2" t="s">
        <v>3678</v>
      </c>
      <c r="M312" s="2" t="s">
        <v>3678</v>
      </c>
    </row>
    <row r="313" spans="1:13" hidden="1">
      <c r="A313" s="2" t="s">
        <v>3109</v>
      </c>
      <c r="B313" s="2" t="s">
        <v>3110</v>
      </c>
      <c r="C313" s="2" t="s">
        <v>3375</v>
      </c>
      <c r="D313" s="8">
        <v>2.2999999999999998</v>
      </c>
      <c r="E313" s="8">
        <v>3.1</v>
      </c>
      <c r="F313" s="8">
        <v>2.62</v>
      </c>
      <c r="G313" s="205">
        <v>0</v>
      </c>
      <c r="H313" s="205">
        <v>0</v>
      </c>
      <c r="I313" s="2">
        <f t="shared" si="15"/>
        <v>0</v>
      </c>
      <c r="J313" s="2">
        <f t="shared" si="16"/>
        <v>0.32000000000000028</v>
      </c>
      <c r="K313" s="2">
        <f t="shared" si="14"/>
        <v>-0.32000000000000028</v>
      </c>
      <c r="L313" s="2" t="s">
        <v>3678</v>
      </c>
      <c r="M313" s="2" t="s">
        <v>3677</v>
      </c>
    </row>
    <row r="314" spans="1:13" hidden="1">
      <c r="A314" s="2" t="s">
        <v>3109</v>
      </c>
      <c r="B314" s="2" t="s">
        <v>3224</v>
      </c>
      <c r="C314" s="2" t="s">
        <v>3225</v>
      </c>
      <c r="D314" s="8">
        <v>3.15</v>
      </c>
      <c r="E314" s="8">
        <v>3.03</v>
      </c>
      <c r="F314" s="8">
        <v>2.61</v>
      </c>
      <c r="G314" s="205">
        <v>0</v>
      </c>
      <c r="H314" s="205">
        <v>3</v>
      </c>
      <c r="I314" s="2">
        <f t="shared" si="15"/>
        <v>-3</v>
      </c>
      <c r="J314" s="2">
        <f t="shared" si="16"/>
        <v>0.54</v>
      </c>
      <c r="K314" s="2">
        <f t="shared" si="14"/>
        <v>0.54</v>
      </c>
    </row>
    <row r="315" spans="1:13" hidden="1">
      <c r="A315" s="2" t="s">
        <v>3109</v>
      </c>
      <c r="B315" s="2" t="s">
        <v>3373</v>
      </c>
      <c r="C315" s="2" t="s">
        <v>3374</v>
      </c>
      <c r="D315" s="8">
        <v>2.31</v>
      </c>
      <c r="E315" s="8">
        <v>3.1</v>
      </c>
      <c r="F315" s="8">
        <v>2.61</v>
      </c>
      <c r="G315" s="205">
        <v>1</v>
      </c>
      <c r="H315" s="205">
        <v>2</v>
      </c>
      <c r="I315" s="2">
        <f t="shared" si="15"/>
        <v>-1</v>
      </c>
      <c r="J315" s="2">
        <f t="shared" si="16"/>
        <v>0.29999999999999982</v>
      </c>
      <c r="K315" s="2">
        <f t="shared" si="14"/>
        <v>-0.29999999999999982</v>
      </c>
      <c r="L315" s="2" t="s">
        <v>3678</v>
      </c>
      <c r="M315" s="2" t="s">
        <v>3678</v>
      </c>
    </row>
    <row r="316" spans="1:13" hidden="1">
      <c r="A316" s="2" t="s">
        <v>3109</v>
      </c>
      <c r="B316" s="2" t="s">
        <v>3110</v>
      </c>
      <c r="C316" s="2" t="s">
        <v>3352</v>
      </c>
      <c r="D316" s="8">
        <v>2.39</v>
      </c>
      <c r="E316" s="8">
        <v>2.97</v>
      </c>
      <c r="F316" s="8">
        <v>2.6</v>
      </c>
      <c r="G316" s="205">
        <v>2</v>
      </c>
      <c r="H316" s="205">
        <v>0</v>
      </c>
      <c r="I316" s="2">
        <f t="shared" si="15"/>
        <v>2</v>
      </c>
      <c r="J316" s="2">
        <f t="shared" si="16"/>
        <v>0.20999999999999996</v>
      </c>
      <c r="K316" s="2">
        <f t="shared" si="14"/>
        <v>-0.20999999999999996</v>
      </c>
      <c r="L316" s="2" t="s">
        <v>3678</v>
      </c>
      <c r="M316" s="2" t="s">
        <v>3678</v>
      </c>
    </row>
    <row r="317" spans="1:13" hidden="1">
      <c r="A317" s="2" t="s">
        <v>3109</v>
      </c>
      <c r="B317" s="2" t="s">
        <v>3110</v>
      </c>
      <c r="C317" s="2" t="s">
        <v>3366</v>
      </c>
      <c r="D317" s="8">
        <v>2.35</v>
      </c>
      <c r="E317" s="8">
        <v>3.05</v>
      </c>
      <c r="F317" s="8">
        <v>2.58</v>
      </c>
      <c r="G317" s="205">
        <v>0</v>
      </c>
      <c r="H317" s="205">
        <v>2</v>
      </c>
      <c r="I317" s="2">
        <f t="shared" si="15"/>
        <v>-2</v>
      </c>
      <c r="J317" s="2">
        <f t="shared" si="16"/>
        <v>0.22999999999999998</v>
      </c>
      <c r="K317" s="2">
        <f t="shared" si="14"/>
        <v>-0.22999999999999998</v>
      </c>
      <c r="L317" s="2" t="s">
        <v>3678</v>
      </c>
      <c r="M317" s="2" t="s">
        <v>3677</v>
      </c>
    </row>
    <row r="318" spans="1:13" hidden="1">
      <c r="A318" s="2" t="s">
        <v>3109</v>
      </c>
      <c r="B318" s="2" t="s">
        <v>3124</v>
      </c>
      <c r="C318" s="2" t="s">
        <v>3339</v>
      </c>
      <c r="D318" s="8">
        <v>2.4500000000000002</v>
      </c>
      <c r="E318" s="8">
        <v>2.92</v>
      </c>
      <c r="F318" s="8">
        <v>2.57</v>
      </c>
      <c r="G318" s="205">
        <v>1</v>
      </c>
      <c r="H318" s="205">
        <v>0</v>
      </c>
      <c r="I318" s="2">
        <f t="shared" si="15"/>
        <v>1</v>
      </c>
      <c r="J318" s="2">
        <f t="shared" si="16"/>
        <v>0.11999999999999966</v>
      </c>
      <c r="K318" s="2">
        <f t="shared" si="14"/>
        <v>-0.11999999999999966</v>
      </c>
      <c r="L318" s="2" t="s">
        <v>3678</v>
      </c>
      <c r="M318" s="2" t="s">
        <v>3678</v>
      </c>
    </row>
    <row r="319" spans="1:13" hidden="1">
      <c r="A319" s="2" t="s">
        <v>3109</v>
      </c>
      <c r="B319" s="2" t="s">
        <v>3144</v>
      </c>
      <c r="C319" s="2" t="s">
        <v>3365</v>
      </c>
      <c r="D319" s="8">
        <v>2.35</v>
      </c>
      <c r="E319" s="8">
        <v>3.08</v>
      </c>
      <c r="F319" s="8">
        <v>2.57</v>
      </c>
      <c r="G319" s="205">
        <v>0</v>
      </c>
      <c r="H319" s="205">
        <v>2</v>
      </c>
      <c r="I319" s="2">
        <f t="shared" si="15"/>
        <v>-2</v>
      </c>
      <c r="J319" s="2">
        <f t="shared" si="16"/>
        <v>0.21999999999999975</v>
      </c>
      <c r="K319" s="2">
        <f t="shared" si="14"/>
        <v>-0.21999999999999975</v>
      </c>
      <c r="L319" s="2" t="s">
        <v>3677</v>
      </c>
      <c r="M319" s="2" t="s">
        <v>3678</v>
      </c>
    </row>
    <row r="320" spans="1:13" hidden="1">
      <c r="A320" s="2" t="s">
        <v>3109</v>
      </c>
      <c r="B320" s="2" t="s">
        <v>3154</v>
      </c>
      <c r="C320" s="2" t="s">
        <v>3387</v>
      </c>
      <c r="D320" s="8">
        <v>2.27</v>
      </c>
      <c r="E320" s="8">
        <v>3.22</v>
      </c>
      <c r="F320" s="8">
        <v>2.57</v>
      </c>
      <c r="G320" s="205">
        <v>0</v>
      </c>
      <c r="H320" s="205">
        <v>2</v>
      </c>
      <c r="I320" s="2">
        <f t="shared" si="15"/>
        <v>-2</v>
      </c>
      <c r="J320" s="2">
        <f t="shared" si="16"/>
        <v>0.29999999999999982</v>
      </c>
      <c r="K320" s="2">
        <f t="shared" si="14"/>
        <v>-0.29999999999999982</v>
      </c>
      <c r="L320" s="2" t="s">
        <v>3678</v>
      </c>
      <c r="M320" s="2" t="s">
        <v>3677</v>
      </c>
    </row>
    <row r="321" spans="1:13" hidden="1">
      <c r="A321" s="2" t="s">
        <v>3109</v>
      </c>
      <c r="B321" s="2" t="s">
        <v>3250</v>
      </c>
      <c r="C321" s="2" t="s">
        <v>3254</v>
      </c>
      <c r="D321" s="8">
        <v>2.89</v>
      </c>
      <c r="E321" s="8">
        <v>3.3</v>
      </c>
      <c r="F321" s="8">
        <v>2.56</v>
      </c>
      <c r="G321" s="205">
        <v>0</v>
      </c>
      <c r="H321" s="205">
        <v>1</v>
      </c>
      <c r="I321" s="2">
        <f t="shared" si="15"/>
        <v>-1</v>
      </c>
      <c r="J321" s="2">
        <f t="shared" si="16"/>
        <v>0.33000000000000007</v>
      </c>
      <c r="K321" s="2">
        <f t="shared" si="14"/>
        <v>0.33000000000000007</v>
      </c>
    </row>
    <row r="322" spans="1:13" hidden="1">
      <c r="A322" s="2" t="s">
        <v>3109</v>
      </c>
      <c r="B322" s="2" t="s">
        <v>3283</v>
      </c>
      <c r="C322" s="2" t="s">
        <v>3284</v>
      </c>
      <c r="D322" s="8">
        <v>2.74</v>
      </c>
      <c r="E322" s="8">
        <v>3.28</v>
      </c>
      <c r="F322" s="8">
        <v>2.56</v>
      </c>
      <c r="G322" s="205">
        <v>0</v>
      </c>
      <c r="H322" s="205">
        <v>1</v>
      </c>
      <c r="I322" s="2">
        <f t="shared" si="15"/>
        <v>-1</v>
      </c>
      <c r="J322" s="2">
        <f t="shared" si="16"/>
        <v>0.18000000000000016</v>
      </c>
      <c r="K322" s="2">
        <f t="shared" ref="K322:K385" si="17">+D322-F322</f>
        <v>0.18000000000000016</v>
      </c>
    </row>
    <row r="323" spans="1:13" hidden="1">
      <c r="A323" s="2" t="s">
        <v>3109</v>
      </c>
      <c r="B323" s="2" t="s">
        <v>3297</v>
      </c>
      <c r="C323" s="2" t="s">
        <v>3298</v>
      </c>
      <c r="D323" s="8">
        <v>2.66</v>
      </c>
      <c r="E323" s="8">
        <v>2.67</v>
      </c>
      <c r="F323" s="8">
        <v>2.56</v>
      </c>
      <c r="G323" s="205">
        <v>2</v>
      </c>
      <c r="H323" s="205">
        <v>1</v>
      </c>
      <c r="I323" s="2">
        <f t="shared" ref="I323:I386" si="18">+G323-H323</f>
        <v>1</v>
      </c>
      <c r="J323" s="2">
        <f t="shared" ref="J323:J386" si="19">ABS(+D323-F323)</f>
        <v>0.10000000000000009</v>
      </c>
      <c r="K323" s="2">
        <f t="shared" si="17"/>
        <v>0.10000000000000009</v>
      </c>
    </row>
    <row r="324" spans="1:13" hidden="1">
      <c r="A324" s="2" t="s">
        <v>3109</v>
      </c>
      <c r="B324" s="2" t="s">
        <v>3144</v>
      </c>
      <c r="C324" s="2" t="s">
        <v>3356</v>
      </c>
      <c r="D324" s="8">
        <v>2.37</v>
      </c>
      <c r="E324" s="8">
        <v>3.05</v>
      </c>
      <c r="F324" s="8">
        <v>2.56</v>
      </c>
      <c r="G324" s="205">
        <v>1</v>
      </c>
      <c r="H324" s="205">
        <v>1</v>
      </c>
      <c r="I324" s="2">
        <f t="shared" si="18"/>
        <v>0</v>
      </c>
      <c r="J324" s="2">
        <f t="shared" si="19"/>
        <v>0.18999999999999995</v>
      </c>
      <c r="K324" s="2">
        <f t="shared" si="17"/>
        <v>-0.18999999999999995</v>
      </c>
      <c r="L324" s="2" t="s">
        <v>3678</v>
      </c>
      <c r="M324" s="2" t="s">
        <v>3677</v>
      </c>
    </row>
    <row r="325" spans="1:13" hidden="1">
      <c r="A325" s="2" t="s">
        <v>3109</v>
      </c>
      <c r="B325" s="2" t="s">
        <v>3367</v>
      </c>
      <c r="C325" s="2" t="s">
        <v>3368</v>
      </c>
      <c r="D325" s="8">
        <v>2.33</v>
      </c>
      <c r="E325" s="8">
        <v>3.12</v>
      </c>
      <c r="F325" s="8">
        <v>2.56</v>
      </c>
      <c r="G325" s="205">
        <v>1</v>
      </c>
      <c r="H325" s="205">
        <v>0</v>
      </c>
      <c r="I325" s="2">
        <f t="shared" si="18"/>
        <v>1</v>
      </c>
      <c r="J325" s="2">
        <f t="shared" si="19"/>
        <v>0.22999999999999998</v>
      </c>
      <c r="K325" s="2">
        <f t="shared" si="17"/>
        <v>-0.22999999999999998</v>
      </c>
      <c r="L325" s="2" t="s">
        <v>3677</v>
      </c>
      <c r="M325" s="2" t="s">
        <v>3677</v>
      </c>
    </row>
    <row r="326" spans="1:13" hidden="1">
      <c r="A326" s="2" t="s">
        <v>3109</v>
      </c>
      <c r="B326" s="2" t="s">
        <v>3192</v>
      </c>
      <c r="C326" s="2" t="s">
        <v>3361</v>
      </c>
      <c r="D326" s="8">
        <v>2.36</v>
      </c>
      <c r="E326" s="8">
        <v>3.4</v>
      </c>
      <c r="F326" s="8">
        <v>2.5499999999999998</v>
      </c>
      <c r="G326" s="205">
        <v>1</v>
      </c>
      <c r="H326" s="205">
        <v>2</v>
      </c>
      <c r="I326" s="2">
        <f t="shared" si="18"/>
        <v>-1</v>
      </c>
      <c r="J326" s="2">
        <f t="shared" si="19"/>
        <v>0.18999999999999995</v>
      </c>
      <c r="K326" s="2">
        <f t="shared" si="17"/>
        <v>-0.18999999999999995</v>
      </c>
      <c r="L326" s="2" t="s">
        <v>3677</v>
      </c>
      <c r="M326" s="2" t="s">
        <v>3678</v>
      </c>
    </row>
    <row r="327" spans="1:13" hidden="1">
      <c r="A327" s="2" t="s">
        <v>3109</v>
      </c>
      <c r="B327" s="2" t="s">
        <v>3291</v>
      </c>
      <c r="C327" s="2" t="s">
        <v>3292</v>
      </c>
      <c r="D327" s="8">
        <v>2.68</v>
      </c>
      <c r="E327" s="8">
        <v>3</v>
      </c>
      <c r="F327" s="8">
        <v>2.54</v>
      </c>
      <c r="G327" s="205">
        <v>1</v>
      </c>
      <c r="H327" s="205">
        <v>1</v>
      </c>
      <c r="I327" s="2">
        <f t="shared" si="18"/>
        <v>0</v>
      </c>
      <c r="J327" s="2">
        <f t="shared" si="19"/>
        <v>0.14000000000000012</v>
      </c>
      <c r="K327" s="2">
        <f t="shared" si="17"/>
        <v>0.14000000000000012</v>
      </c>
    </row>
    <row r="328" spans="1:13" hidden="1">
      <c r="A328" s="2" t="s">
        <v>3109</v>
      </c>
      <c r="B328" s="2" t="s">
        <v>3246</v>
      </c>
      <c r="C328" s="2" t="s">
        <v>3277</v>
      </c>
      <c r="D328" s="8">
        <v>2.78</v>
      </c>
      <c r="E328" s="8">
        <v>3.3</v>
      </c>
      <c r="F328" s="8">
        <v>2.52</v>
      </c>
      <c r="G328" s="205">
        <v>0</v>
      </c>
      <c r="H328" s="205">
        <v>1</v>
      </c>
      <c r="I328" s="2">
        <f t="shared" si="18"/>
        <v>-1</v>
      </c>
      <c r="J328" s="2">
        <f t="shared" si="19"/>
        <v>0.25999999999999979</v>
      </c>
      <c r="K328" s="2">
        <f t="shared" si="17"/>
        <v>0.25999999999999979</v>
      </c>
    </row>
    <row r="329" spans="1:13" hidden="1">
      <c r="A329" s="2" t="s">
        <v>3109</v>
      </c>
      <c r="B329" s="2" t="s">
        <v>3110</v>
      </c>
      <c r="C329" s="2" t="s">
        <v>3346</v>
      </c>
      <c r="D329" s="8">
        <v>2.4300000000000002</v>
      </c>
      <c r="E329" s="8">
        <v>3</v>
      </c>
      <c r="F329" s="8">
        <v>2.52</v>
      </c>
      <c r="G329" s="205">
        <v>1</v>
      </c>
      <c r="H329" s="205">
        <v>0</v>
      </c>
      <c r="I329" s="2">
        <f t="shared" si="18"/>
        <v>1</v>
      </c>
      <c r="J329" s="2">
        <f t="shared" si="19"/>
        <v>8.9999999999999858E-2</v>
      </c>
      <c r="K329" s="2">
        <f t="shared" si="17"/>
        <v>-8.9999999999999858E-2</v>
      </c>
      <c r="L329" s="2" t="s">
        <v>3677</v>
      </c>
      <c r="M329" s="2" t="s">
        <v>3677</v>
      </c>
    </row>
    <row r="330" spans="1:13" hidden="1">
      <c r="A330" s="2" t="s">
        <v>3109</v>
      </c>
      <c r="B330" s="2" t="s">
        <v>3391</v>
      </c>
      <c r="C330" s="2" t="s">
        <v>3392</v>
      </c>
      <c r="D330" s="8">
        <v>2.2400000000000002</v>
      </c>
      <c r="E330" s="8">
        <v>3.93</v>
      </c>
      <c r="F330" s="8">
        <v>2.5099999999999998</v>
      </c>
      <c r="G330" s="205">
        <v>0</v>
      </c>
      <c r="H330" s="205">
        <v>0</v>
      </c>
      <c r="I330" s="2">
        <f t="shared" si="18"/>
        <v>0</v>
      </c>
      <c r="J330" s="2">
        <f t="shared" si="19"/>
        <v>0.26999999999999957</v>
      </c>
      <c r="K330" s="2">
        <f t="shared" si="17"/>
        <v>-0.26999999999999957</v>
      </c>
      <c r="L330" s="2" t="s">
        <v>3677</v>
      </c>
      <c r="M330" s="2" t="s">
        <v>3678</v>
      </c>
    </row>
    <row r="331" spans="1:13" hidden="1">
      <c r="A331" s="2" t="s">
        <v>3109</v>
      </c>
      <c r="B331" s="2" t="s">
        <v>3146</v>
      </c>
      <c r="C331" s="2" t="s">
        <v>3271</v>
      </c>
      <c r="D331" s="8">
        <v>2.79</v>
      </c>
      <c r="E331" s="8">
        <v>2.92</v>
      </c>
      <c r="F331" s="8">
        <v>2.5</v>
      </c>
      <c r="G331" s="205">
        <v>2</v>
      </c>
      <c r="H331" s="205">
        <v>0</v>
      </c>
      <c r="I331" s="2">
        <f t="shared" si="18"/>
        <v>2</v>
      </c>
      <c r="J331" s="2">
        <f t="shared" si="19"/>
        <v>0.29000000000000004</v>
      </c>
      <c r="K331" s="2">
        <f t="shared" si="17"/>
        <v>0.29000000000000004</v>
      </c>
    </row>
    <row r="332" spans="1:13" hidden="1">
      <c r="A332" s="2" t="s">
        <v>3109</v>
      </c>
      <c r="B332" s="2" t="s">
        <v>3146</v>
      </c>
      <c r="C332" s="2" t="s">
        <v>3296</v>
      </c>
      <c r="D332" s="8">
        <v>2.67</v>
      </c>
      <c r="E332" s="8">
        <v>2.75</v>
      </c>
      <c r="F332" s="8">
        <v>2.4900000000000002</v>
      </c>
      <c r="G332" s="205">
        <v>2</v>
      </c>
      <c r="H332" s="205">
        <v>1</v>
      </c>
      <c r="I332" s="2">
        <f t="shared" si="18"/>
        <v>1</v>
      </c>
      <c r="J332" s="2">
        <f t="shared" si="19"/>
        <v>0.17999999999999972</v>
      </c>
      <c r="K332" s="2">
        <f t="shared" si="17"/>
        <v>0.17999999999999972</v>
      </c>
    </row>
    <row r="333" spans="1:13" hidden="1">
      <c r="A333" s="2" t="s">
        <v>3109</v>
      </c>
      <c r="B333" s="2" t="s">
        <v>3110</v>
      </c>
      <c r="C333" s="2" t="s">
        <v>3314</v>
      </c>
      <c r="D333" s="8">
        <v>2.58</v>
      </c>
      <c r="E333" s="8">
        <v>2.86</v>
      </c>
      <c r="F333" s="8">
        <v>2.4900000000000002</v>
      </c>
      <c r="G333" s="205">
        <v>0</v>
      </c>
      <c r="H333" s="205">
        <v>2</v>
      </c>
      <c r="I333" s="2">
        <f t="shared" si="18"/>
        <v>-2</v>
      </c>
      <c r="J333" s="2">
        <f t="shared" si="19"/>
        <v>8.9999999999999858E-2</v>
      </c>
      <c r="K333" s="2">
        <f t="shared" si="17"/>
        <v>8.9999999999999858E-2</v>
      </c>
    </row>
    <row r="334" spans="1:13" hidden="1">
      <c r="A334" s="2" t="s">
        <v>3109</v>
      </c>
      <c r="B334" s="2" t="s">
        <v>3110</v>
      </c>
      <c r="C334" s="2" t="s">
        <v>3345</v>
      </c>
      <c r="D334" s="8">
        <v>2.4300000000000002</v>
      </c>
      <c r="E334" s="8">
        <v>3.05</v>
      </c>
      <c r="F334" s="8">
        <v>2.4900000000000002</v>
      </c>
      <c r="G334" s="205">
        <v>1</v>
      </c>
      <c r="H334" s="205">
        <v>1</v>
      </c>
      <c r="I334" s="2">
        <f t="shared" si="18"/>
        <v>0</v>
      </c>
      <c r="J334" s="2">
        <f t="shared" si="19"/>
        <v>6.0000000000000053E-2</v>
      </c>
      <c r="K334" s="2">
        <f t="shared" si="17"/>
        <v>-6.0000000000000053E-2</v>
      </c>
      <c r="L334" s="2" t="s">
        <v>3678</v>
      </c>
      <c r="M334" s="2" t="s">
        <v>3677</v>
      </c>
    </row>
    <row r="335" spans="1:13" hidden="1">
      <c r="A335" s="2" t="s">
        <v>3109</v>
      </c>
      <c r="B335" s="2" t="s">
        <v>3144</v>
      </c>
      <c r="C335" s="2" t="s">
        <v>3348</v>
      </c>
      <c r="D335" s="8">
        <v>2.42</v>
      </c>
      <c r="E335" s="8">
        <v>3.07</v>
      </c>
      <c r="F335" s="8">
        <v>2.4900000000000002</v>
      </c>
      <c r="G335" s="205">
        <v>2</v>
      </c>
      <c r="H335" s="205">
        <v>0</v>
      </c>
      <c r="I335" s="2">
        <f t="shared" si="18"/>
        <v>2</v>
      </c>
      <c r="J335" s="2">
        <f t="shared" si="19"/>
        <v>7.0000000000000284E-2</v>
      </c>
      <c r="K335" s="2">
        <f t="shared" si="17"/>
        <v>-7.0000000000000284E-2</v>
      </c>
      <c r="L335" s="2" t="s">
        <v>3678</v>
      </c>
      <c r="M335" s="2" t="s">
        <v>3678</v>
      </c>
    </row>
    <row r="336" spans="1:13" hidden="1">
      <c r="A336" s="2" t="s">
        <v>3109</v>
      </c>
      <c r="B336" s="2" t="s">
        <v>3286</v>
      </c>
      <c r="C336" s="2" t="s">
        <v>3287</v>
      </c>
      <c r="D336" s="8">
        <v>2.72</v>
      </c>
      <c r="E336" s="8">
        <v>3.48</v>
      </c>
      <c r="F336" s="8">
        <v>2.4700000000000002</v>
      </c>
      <c r="G336" s="205">
        <v>1</v>
      </c>
      <c r="H336" s="205">
        <v>1</v>
      </c>
      <c r="I336" s="2">
        <f t="shared" si="18"/>
        <v>0</v>
      </c>
      <c r="J336" s="2">
        <f t="shared" si="19"/>
        <v>0.25</v>
      </c>
      <c r="K336" s="2">
        <f t="shared" si="17"/>
        <v>0.25</v>
      </c>
    </row>
    <row r="337" spans="1:13" hidden="1">
      <c r="A337" s="2" t="s">
        <v>3109</v>
      </c>
      <c r="B337" s="2" t="s">
        <v>3239</v>
      </c>
      <c r="C337" s="2" t="s">
        <v>3240</v>
      </c>
      <c r="D337" s="8">
        <v>3.05</v>
      </c>
      <c r="E337" s="8">
        <v>3.07</v>
      </c>
      <c r="F337" s="8">
        <v>2.46</v>
      </c>
      <c r="G337" s="205">
        <v>2</v>
      </c>
      <c r="H337" s="205">
        <v>0</v>
      </c>
      <c r="I337" s="2">
        <f t="shared" si="18"/>
        <v>2</v>
      </c>
      <c r="J337" s="2">
        <f t="shared" si="19"/>
        <v>0.58999999999999986</v>
      </c>
      <c r="K337" s="2">
        <f t="shared" si="17"/>
        <v>0.58999999999999986</v>
      </c>
    </row>
    <row r="338" spans="1:13" hidden="1">
      <c r="A338" s="2" t="s">
        <v>3109</v>
      </c>
      <c r="B338" s="2" t="s">
        <v>3220</v>
      </c>
      <c r="C338" s="2" t="s">
        <v>3312</v>
      </c>
      <c r="D338" s="8">
        <v>2.59</v>
      </c>
      <c r="E338" s="8">
        <v>3.25</v>
      </c>
      <c r="F338" s="8">
        <v>2.46</v>
      </c>
      <c r="G338" s="205">
        <v>0</v>
      </c>
      <c r="H338" s="205">
        <v>0</v>
      </c>
      <c r="I338" s="2">
        <f t="shared" si="18"/>
        <v>0</v>
      </c>
      <c r="J338" s="2">
        <f t="shared" si="19"/>
        <v>0.12999999999999989</v>
      </c>
      <c r="K338" s="2">
        <f t="shared" si="17"/>
        <v>0.12999999999999989</v>
      </c>
    </row>
    <row r="339" spans="1:13" hidden="1">
      <c r="A339" s="2" t="s">
        <v>3109</v>
      </c>
      <c r="B339" s="2" t="s">
        <v>3184</v>
      </c>
      <c r="C339" s="2" t="s">
        <v>3230</v>
      </c>
      <c r="D339" s="8">
        <v>3.12</v>
      </c>
      <c r="E339" s="8">
        <v>3.33</v>
      </c>
      <c r="F339" s="8">
        <v>2.4500000000000002</v>
      </c>
      <c r="G339" s="205">
        <v>2</v>
      </c>
      <c r="H339" s="205">
        <v>0</v>
      </c>
      <c r="I339" s="2">
        <f t="shared" si="18"/>
        <v>2</v>
      </c>
      <c r="J339" s="2">
        <f t="shared" si="19"/>
        <v>0.66999999999999993</v>
      </c>
      <c r="K339" s="2">
        <f t="shared" si="17"/>
        <v>0.66999999999999993</v>
      </c>
    </row>
    <row r="340" spans="1:13" hidden="1">
      <c r="A340" s="2" t="s">
        <v>3109</v>
      </c>
      <c r="B340" s="2" t="s">
        <v>3228</v>
      </c>
      <c r="C340" s="2" t="s">
        <v>3229</v>
      </c>
      <c r="D340" s="8">
        <v>3.13</v>
      </c>
      <c r="E340" s="8">
        <v>3.02</v>
      </c>
      <c r="F340" s="8">
        <v>2.44</v>
      </c>
      <c r="G340" s="205">
        <v>1</v>
      </c>
      <c r="H340" s="205">
        <v>2</v>
      </c>
      <c r="I340" s="2">
        <f t="shared" si="18"/>
        <v>-1</v>
      </c>
      <c r="J340" s="2">
        <f t="shared" si="19"/>
        <v>0.69</v>
      </c>
      <c r="K340" s="2">
        <f t="shared" si="17"/>
        <v>0.69</v>
      </c>
    </row>
    <row r="341" spans="1:13" hidden="1">
      <c r="A341" s="2" t="s">
        <v>3109</v>
      </c>
      <c r="B341" s="2" t="s">
        <v>3152</v>
      </c>
      <c r="C341" s="2" t="s">
        <v>3270</v>
      </c>
      <c r="D341" s="8">
        <v>2.79</v>
      </c>
      <c r="E341" s="8">
        <v>3</v>
      </c>
      <c r="F341" s="8">
        <v>2.44</v>
      </c>
      <c r="G341" s="205">
        <v>0</v>
      </c>
      <c r="H341" s="205">
        <v>1</v>
      </c>
      <c r="I341" s="2">
        <f t="shared" si="18"/>
        <v>-1</v>
      </c>
      <c r="J341" s="2">
        <f t="shared" si="19"/>
        <v>0.35000000000000009</v>
      </c>
      <c r="K341" s="2">
        <f t="shared" si="17"/>
        <v>0.35000000000000009</v>
      </c>
    </row>
    <row r="342" spans="1:13" hidden="1">
      <c r="A342" s="2" t="s">
        <v>3109</v>
      </c>
      <c r="B342" s="2" t="s">
        <v>3110</v>
      </c>
      <c r="C342" s="2" t="s">
        <v>3321</v>
      </c>
      <c r="D342" s="8">
        <v>2.5299999999999998</v>
      </c>
      <c r="E342" s="8">
        <v>2.99</v>
      </c>
      <c r="F342" s="8">
        <v>2.44</v>
      </c>
      <c r="G342" s="205">
        <v>1</v>
      </c>
      <c r="H342" s="205">
        <v>3</v>
      </c>
      <c r="I342" s="2">
        <f t="shared" si="18"/>
        <v>-2</v>
      </c>
      <c r="J342" s="2">
        <f t="shared" si="19"/>
        <v>8.9999999999999858E-2</v>
      </c>
      <c r="K342" s="2">
        <f t="shared" si="17"/>
        <v>8.9999999999999858E-2</v>
      </c>
    </row>
    <row r="343" spans="1:13" hidden="1">
      <c r="A343" s="2" t="s">
        <v>3109</v>
      </c>
      <c r="B343" s="2" t="s">
        <v>3294</v>
      </c>
      <c r="C343" s="2" t="s">
        <v>3344</v>
      </c>
      <c r="D343" s="8">
        <v>2.44</v>
      </c>
      <c r="E343" s="8">
        <v>3.12</v>
      </c>
      <c r="F343" s="8">
        <v>2.44</v>
      </c>
      <c r="G343" s="205">
        <v>2</v>
      </c>
      <c r="H343" s="205">
        <v>1</v>
      </c>
      <c r="I343" s="2">
        <f t="shared" si="18"/>
        <v>1</v>
      </c>
      <c r="J343" s="2">
        <f t="shared" si="19"/>
        <v>0</v>
      </c>
      <c r="K343" s="2">
        <f t="shared" si="17"/>
        <v>0</v>
      </c>
      <c r="L343" s="2" t="s">
        <v>3677</v>
      </c>
      <c r="M343" s="2" t="s">
        <v>3677</v>
      </c>
    </row>
    <row r="344" spans="1:13" hidden="1">
      <c r="A344" s="2" t="s">
        <v>3109</v>
      </c>
      <c r="B344" s="2" t="s">
        <v>3148</v>
      </c>
      <c r="C344" s="2" t="s">
        <v>3381</v>
      </c>
      <c r="D344" s="8">
        <v>2.29</v>
      </c>
      <c r="E344" s="8">
        <v>3.4</v>
      </c>
      <c r="F344" s="8">
        <v>2.44</v>
      </c>
      <c r="G344" s="205">
        <v>2</v>
      </c>
      <c r="H344" s="205">
        <v>0</v>
      </c>
      <c r="I344" s="2">
        <f t="shared" si="18"/>
        <v>2</v>
      </c>
      <c r="J344" s="2">
        <f t="shared" si="19"/>
        <v>0.14999999999999991</v>
      </c>
      <c r="K344" s="2">
        <f t="shared" si="17"/>
        <v>-0.14999999999999991</v>
      </c>
      <c r="L344" s="2" t="s">
        <v>3678</v>
      </c>
      <c r="M344" s="2" t="s">
        <v>3678</v>
      </c>
    </row>
    <row r="345" spans="1:13" hidden="1">
      <c r="A345" s="2" t="s">
        <v>3109</v>
      </c>
      <c r="B345" s="2" t="s">
        <v>1518</v>
      </c>
      <c r="C345" s="2" t="s">
        <v>3238</v>
      </c>
      <c r="D345" s="8">
        <v>3.05</v>
      </c>
      <c r="E345" s="8">
        <v>3.35</v>
      </c>
      <c r="F345" s="8">
        <v>2.42</v>
      </c>
      <c r="G345" s="205">
        <v>0</v>
      </c>
      <c r="H345" s="205">
        <v>1</v>
      </c>
      <c r="I345" s="2">
        <f t="shared" si="18"/>
        <v>-1</v>
      </c>
      <c r="J345" s="2">
        <f t="shared" si="19"/>
        <v>0.62999999999999989</v>
      </c>
      <c r="K345" s="2">
        <f t="shared" si="17"/>
        <v>0.62999999999999989</v>
      </c>
    </row>
    <row r="346" spans="1:13" hidden="1">
      <c r="A346" s="2" t="s">
        <v>3109</v>
      </c>
      <c r="B346" s="2" t="s">
        <v>3122</v>
      </c>
      <c r="C346" s="2" t="s">
        <v>3261</v>
      </c>
      <c r="D346" s="8">
        <v>2.82</v>
      </c>
      <c r="E346" s="8">
        <v>3.02</v>
      </c>
      <c r="F346" s="8">
        <v>2.42</v>
      </c>
      <c r="G346" s="205">
        <v>0</v>
      </c>
      <c r="H346" s="205">
        <v>3</v>
      </c>
      <c r="I346" s="2">
        <f t="shared" si="18"/>
        <v>-3</v>
      </c>
      <c r="J346" s="2">
        <f t="shared" si="19"/>
        <v>0.39999999999999991</v>
      </c>
      <c r="K346" s="2">
        <f t="shared" si="17"/>
        <v>0.39999999999999991</v>
      </c>
    </row>
    <row r="347" spans="1:13" hidden="1">
      <c r="A347" s="2" t="s">
        <v>3109</v>
      </c>
      <c r="B347" s="2" t="s">
        <v>3146</v>
      </c>
      <c r="C347" s="2" t="s">
        <v>3272</v>
      </c>
      <c r="D347" s="8">
        <v>2.79</v>
      </c>
      <c r="E347" s="8">
        <v>2.72</v>
      </c>
      <c r="F347" s="8">
        <v>2.42</v>
      </c>
      <c r="G347" s="205">
        <v>1</v>
      </c>
      <c r="H347" s="205">
        <v>3</v>
      </c>
      <c r="I347" s="2">
        <f t="shared" si="18"/>
        <v>-2</v>
      </c>
      <c r="J347" s="2">
        <f t="shared" si="19"/>
        <v>0.37000000000000011</v>
      </c>
      <c r="K347" s="2">
        <f t="shared" si="17"/>
        <v>0.37000000000000011</v>
      </c>
    </row>
    <row r="348" spans="1:13" hidden="1">
      <c r="A348" s="2" t="s">
        <v>3109</v>
      </c>
      <c r="B348" s="2" t="s">
        <v>3246</v>
      </c>
      <c r="C348" s="2" t="s">
        <v>3247</v>
      </c>
      <c r="D348" s="8">
        <v>2.96</v>
      </c>
      <c r="E348" s="8">
        <v>3.25</v>
      </c>
      <c r="F348" s="8">
        <v>2.41</v>
      </c>
      <c r="G348" s="205">
        <v>1</v>
      </c>
      <c r="H348" s="205">
        <v>2</v>
      </c>
      <c r="I348" s="2">
        <f t="shared" si="18"/>
        <v>-1</v>
      </c>
      <c r="J348" s="2">
        <f t="shared" si="19"/>
        <v>0.54999999999999982</v>
      </c>
      <c r="K348" s="2">
        <f t="shared" si="17"/>
        <v>0.54999999999999982</v>
      </c>
    </row>
    <row r="349" spans="1:13" hidden="1">
      <c r="A349" s="2" t="s">
        <v>3109</v>
      </c>
      <c r="B349" s="2" t="s">
        <v>3110</v>
      </c>
      <c r="C349" s="2" t="s">
        <v>3328</v>
      </c>
      <c r="D349" s="8">
        <v>2.4700000000000002</v>
      </c>
      <c r="E349" s="8">
        <v>3.13</v>
      </c>
      <c r="F349" s="8">
        <v>2.41</v>
      </c>
      <c r="G349" s="205">
        <v>1</v>
      </c>
      <c r="H349" s="205">
        <v>1</v>
      </c>
      <c r="I349" s="2">
        <f t="shared" si="18"/>
        <v>0</v>
      </c>
      <c r="J349" s="2">
        <f t="shared" si="19"/>
        <v>6.0000000000000053E-2</v>
      </c>
      <c r="K349" s="2">
        <f t="shared" si="17"/>
        <v>6.0000000000000053E-2</v>
      </c>
    </row>
    <row r="350" spans="1:13" hidden="1">
      <c r="A350" s="2" t="s">
        <v>3109</v>
      </c>
      <c r="B350" s="2" t="s">
        <v>3306</v>
      </c>
      <c r="C350" s="2" t="s">
        <v>3350</v>
      </c>
      <c r="D350" s="8">
        <v>2.4</v>
      </c>
      <c r="E350" s="8">
        <v>3.23</v>
      </c>
      <c r="F350" s="8">
        <v>2.41</v>
      </c>
      <c r="G350" s="205">
        <v>1</v>
      </c>
      <c r="H350" s="205">
        <v>1</v>
      </c>
      <c r="I350" s="2">
        <f t="shared" si="18"/>
        <v>0</v>
      </c>
      <c r="J350" s="2">
        <f t="shared" si="19"/>
        <v>1.0000000000000231E-2</v>
      </c>
      <c r="K350" s="2">
        <f t="shared" si="17"/>
        <v>-1.0000000000000231E-2</v>
      </c>
      <c r="L350" s="2" t="s">
        <v>3678</v>
      </c>
      <c r="M350" s="2" t="s">
        <v>3677</v>
      </c>
    </row>
    <row r="351" spans="1:13" hidden="1">
      <c r="A351" s="2" t="s">
        <v>3109</v>
      </c>
      <c r="B351" s="2" t="s">
        <v>3236</v>
      </c>
      <c r="C351" s="2" t="s">
        <v>3237</v>
      </c>
      <c r="D351" s="8">
        <v>3.07</v>
      </c>
      <c r="E351" s="8">
        <v>2.72</v>
      </c>
      <c r="F351" s="8">
        <v>2.4</v>
      </c>
      <c r="G351" s="205">
        <v>1</v>
      </c>
      <c r="H351" s="205">
        <v>2</v>
      </c>
      <c r="I351" s="2">
        <f t="shared" si="18"/>
        <v>-1</v>
      </c>
      <c r="J351" s="2">
        <f t="shared" si="19"/>
        <v>0.66999999999999993</v>
      </c>
      <c r="K351" s="2">
        <f t="shared" si="17"/>
        <v>0.66999999999999993</v>
      </c>
    </row>
    <row r="352" spans="1:13" hidden="1">
      <c r="A352" s="2" t="s">
        <v>3109</v>
      </c>
      <c r="B352" s="2" t="s">
        <v>3250</v>
      </c>
      <c r="C352" s="2" t="s">
        <v>3251</v>
      </c>
      <c r="D352" s="8">
        <v>2.91</v>
      </c>
      <c r="E352" s="8">
        <v>3.35</v>
      </c>
      <c r="F352" s="8">
        <v>2.4</v>
      </c>
      <c r="G352" s="205">
        <v>1</v>
      </c>
      <c r="H352" s="205">
        <v>1</v>
      </c>
      <c r="I352" s="2">
        <f t="shared" si="18"/>
        <v>0</v>
      </c>
      <c r="J352" s="2">
        <f t="shared" si="19"/>
        <v>0.51000000000000023</v>
      </c>
      <c r="K352" s="2">
        <f t="shared" si="17"/>
        <v>0.51000000000000023</v>
      </c>
    </row>
    <row r="353" spans="1:11" hidden="1">
      <c r="A353" s="2" t="s">
        <v>3109</v>
      </c>
      <c r="B353" s="2" t="s">
        <v>3110</v>
      </c>
      <c r="C353" s="2" t="s">
        <v>3315</v>
      </c>
      <c r="D353" s="8">
        <v>2.57</v>
      </c>
      <c r="E353" s="8">
        <v>3</v>
      </c>
      <c r="F353" s="8">
        <v>2.4</v>
      </c>
      <c r="G353" s="205">
        <v>1</v>
      </c>
      <c r="H353" s="205">
        <v>3</v>
      </c>
      <c r="I353" s="2">
        <f t="shared" si="18"/>
        <v>-2</v>
      </c>
      <c r="J353" s="2">
        <f t="shared" si="19"/>
        <v>0.16999999999999993</v>
      </c>
      <c r="K353" s="2">
        <f t="shared" si="17"/>
        <v>0.16999999999999993</v>
      </c>
    </row>
    <row r="354" spans="1:11" hidden="1">
      <c r="A354" s="2" t="s">
        <v>3109</v>
      </c>
      <c r="B354" s="2" t="s">
        <v>3252</v>
      </c>
      <c r="C354" s="2" t="s">
        <v>3290</v>
      </c>
      <c r="D354" s="8">
        <v>2.68</v>
      </c>
      <c r="E354" s="8">
        <v>3.15</v>
      </c>
      <c r="F354" s="8">
        <v>2.39</v>
      </c>
      <c r="G354" s="205">
        <v>0</v>
      </c>
      <c r="H354" s="205">
        <v>2</v>
      </c>
      <c r="I354" s="2">
        <f t="shared" si="18"/>
        <v>-2</v>
      </c>
      <c r="J354" s="2">
        <f t="shared" si="19"/>
        <v>0.29000000000000004</v>
      </c>
      <c r="K354" s="2">
        <f t="shared" si="17"/>
        <v>0.29000000000000004</v>
      </c>
    </row>
    <row r="355" spans="1:11" hidden="1">
      <c r="A355" s="2" t="s">
        <v>3109</v>
      </c>
      <c r="B355" s="2" t="s">
        <v>3110</v>
      </c>
      <c r="C355" s="2" t="s">
        <v>3338</v>
      </c>
      <c r="D355" s="8">
        <v>2.4500000000000002</v>
      </c>
      <c r="E355" s="8">
        <v>3.2</v>
      </c>
      <c r="F355" s="8">
        <v>2.39</v>
      </c>
      <c r="G355" s="205">
        <v>2</v>
      </c>
      <c r="H355" s="205">
        <v>1</v>
      </c>
      <c r="I355" s="2">
        <f t="shared" si="18"/>
        <v>1</v>
      </c>
      <c r="J355" s="2">
        <f t="shared" si="19"/>
        <v>6.0000000000000053E-2</v>
      </c>
      <c r="K355" s="2">
        <f t="shared" si="17"/>
        <v>6.0000000000000053E-2</v>
      </c>
    </row>
    <row r="356" spans="1:11" hidden="1">
      <c r="A356" s="2" t="s">
        <v>3109</v>
      </c>
      <c r="B356" s="2" t="s">
        <v>3209</v>
      </c>
      <c r="C356" s="2" t="s">
        <v>3322</v>
      </c>
      <c r="D356" s="8">
        <v>2.52</v>
      </c>
      <c r="E356" s="8">
        <v>3.08</v>
      </c>
      <c r="F356" s="8">
        <v>2.38</v>
      </c>
      <c r="G356" s="205">
        <v>1</v>
      </c>
      <c r="H356" s="205">
        <v>2</v>
      </c>
      <c r="I356" s="2">
        <f t="shared" si="18"/>
        <v>-1</v>
      </c>
      <c r="J356" s="2">
        <f t="shared" si="19"/>
        <v>0.14000000000000012</v>
      </c>
      <c r="K356" s="2">
        <f t="shared" si="17"/>
        <v>0.14000000000000012</v>
      </c>
    </row>
    <row r="357" spans="1:11" hidden="1">
      <c r="A357" s="2" t="s">
        <v>3109</v>
      </c>
      <c r="B357" s="2" t="s">
        <v>3172</v>
      </c>
      <c r="C357" s="2" t="s">
        <v>3264</v>
      </c>
      <c r="D357" s="8">
        <v>2.82</v>
      </c>
      <c r="E357" s="8">
        <v>3.1</v>
      </c>
      <c r="F357" s="8">
        <v>2.37</v>
      </c>
      <c r="G357" s="205">
        <v>2</v>
      </c>
      <c r="H357" s="205">
        <v>1</v>
      </c>
      <c r="I357" s="2">
        <f t="shared" si="18"/>
        <v>1</v>
      </c>
      <c r="J357" s="2">
        <f t="shared" si="19"/>
        <v>0.44999999999999973</v>
      </c>
      <c r="K357" s="2">
        <f t="shared" si="17"/>
        <v>0.44999999999999973</v>
      </c>
    </row>
    <row r="358" spans="1:11" hidden="1">
      <c r="A358" s="2" t="s">
        <v>3109</v>
      </c>
      <c r="B358" s="2" t="s">
        <v>3309</v>
      </c>
      <c r="C358" s="2" t="s">
        <v>3310</v>
      </c>
      <c r="D358" s="8">
        <v>2.6</v>
      </c>
      <c r="E358" s="8">
        <v>3.35</v>
      </c>
      <c r="F358" s="8">
        <v>2.35</v>
      </c>
      <c r="G358" s="205">
        <v>2</v>
      </c>
      <c r="H358" s="205">
        <v>0</v>
      </c>
      <c r="I358" s="2">
        <f t="shared" si="18"/>
        <v>2</v>
      </c>
      <c r="J358" s="2">
        <f t="shared" si="19"/>
        <v>0.25</v>
      </c>
      <c r="K358" s="2">
        <f t="shared" si="17"/>
        <v>0.25</v>
      </c>
    </row>
    <row r="359" spans="1:11" hidden="1">
      <c r="A359" s="2" t="s">
        <v>3109</v>
      </c>
      <c r="B359" s="2" t="s">
        <v>3167</v>
      </c>
      <c r="C359" s="2" t="s">
        <v>3265</v>
      </c>
      <c r="D359" s="8">
        <v>2.82</v>
      </c>
      <c r="E359" s="8">
        <v>2.8</v>
      </c>
      <c r="F359" s="8">
        <v>2.33</v>
      </c>
      <c r="G359" s="205">
        <v>2</v>
      </c>
      <c r="H359" s="205">
        <v>0</v>
      </c>
      <c r="I359" s="2">
        <f t="shared" si="18"/>
        <v>2</v>
      </c>
      <c r="J359" s="2">
        <f t="shared" si="19"/>
        <v>0.48999999999999977</v>
      </c>
      <c r="K359" s="2">
        <f t="shared" si="17"/>
        <v>0.48999999999999977</v>
      </c>
    </row>
    <row r="360" spans="1:11" hidden="1">
      <c r="A360" s="2" t="s">
        <v>3109</v>
      </c>
      <c r="B360" s="2" t="s">
        <v>3167</v>
      </c>
      <c r="C360" s="2" t="s">
        <v>3266</v>
      </c>
      <c r="D360" s="8">
        <v>2.82</v>
      </c>
      <c r="E360" s="8">
        <v>2.82</v>
      </c>
      <c r="F360" s="8">
        <v>2.3199999999999998</v>
      </c>
      <c r="G360" s="205">
        <v>0</v>
      </c>
      <c r="H360" s="205">
        <v>1</v>
      </c>
      <c r="I360" s="2">
        <f t="shared" si="18"/>
        <v>-1</v>
      </c>
      <c r="J360" s="2">
        <f t="shared" si="19"/>
        <v>0.5</v>
      </c>
      <c r="K360" s="2">
        <f t="shared" si="17"/>
        <v>0.5</v>
      </c>
    </row>
    <row r="361" spans="1:11" hidden="1">
      <c r="A361" s="2" t="s">
        <v>3109</v>
      </c>
      <c r="B361" s="2" t="s">
        <v>3216</v>
      </c>
      <c r="C361" s="2" t="s">
        <v>3217</v>
      </c>
      <c r="D361" s="8">
        <v>3.2</v>
      </c>
      <c r="E361" s="8">
        <v>3.18</v>
      </c>
      <c r="F361" s="8">
        <v>2.31</v>
      </c>
      <c r="G361" s="205">
        <v>1</v>
      </c>
      <c r="H361" s="205">
        <v>3</v>
      </c>
      <c r="I361" s="2">
        <f t="shared" si="18"/>
        <v>-2</v>
      </c>
      <c r="J361" s="2">
        <f t="shared" si="19"/>
        <v>0.89000000000000012</v>
      </c>
      <c r="K361" s="2">
        <f t="shared" si="17"/>
        <v>0.89000000000000012</v>
      </c>
    </row>
    <row r="362" spans="1:11" hidden="1">
      <c r="A362" s="2" t="s">
        <v>3109</v>
      </c>
      <c r="B362" s="2" t="s">
        <v>3211</v>
      </c>
      <c r="C362" s="2" t="s">
        <v>3218</v>
      </c>
      <c r="D362" s="8">
        <v>3.2</v>
      </c>
      <c r="E362" s="8">
        <v>2.75</v>
      </c>
      <c r="F362" s="8">
        <v>2.2999999999999998</v>
      </c>
      <c r="G362" s="205">
        <v>1</v>
      </c>
      <c r="H362" s="205">
        <v>2</v>
      </c>
      <c r="I362" s="2">
        <f t="shared" si="18"/>
        <v>-1</v>
      </c>
      <c r="J362" s="2">
        <f t="shared" si="19"/>
        <v>0.90000000000000036</v>
      </c>
      <c r="K362" s="2">
        <f t="shared" si="17"/>
        <v>0.90000000000000036</v>
      </c>
    </row>
    <row r="363" spans="1:11" hidden="1">
      <c r="A363" s="2" t="s">
        <v>3109</v>
      </c>
      <c r="B363" s="2" t="s">
        <v>3110</v>
      </c>
      <c r="C363" s="2" t="s">
        <v>3304</v>
      </c>
      <c r="D363" s="8">
        <v>2.63</v>
      </c>
      <c r="E363" s="8">
        <v>3.08</v>
      </c>
      <c r="F363" s="8">
        <v>2.2999999999999998</v>
      </c>
      <c r="G363" s="205">
        <v>1</v>
      </c>
      <c r="H363" s="205">
        <v>2</v>
      </c>
      <c r="I363" s="2">
        <f t="shared" si="18"/>
        <v>-1</v>
      </c>
      <c r="J363" s="2">
        <f t="shared" si="19"/>
        <v>0.33000000000000007</v>
      </c>
      <c r="K363" s="2">
        <f t="shared" si="17"/>
        <v>0.33000000000000007</v>
      </c>
    </row>
    <row r="364" spans="1:11" hidden="1">
      <c r="A364" s="2" t="s">
        <v>3109</v>
      </c>
      <c r="B364" s="2" t="s">
        <v>3205</v>
      </c>
      <c r="C364" s="2" t="s">
        <v>3278</v>
      </c>
      <c r="D364" s="8">
        <v>2.78</v>
      </c>
      <c r="E364" s="8">
        <v>2.92</v>
      </c>
      <c r="F364" s="8">
        <v>2.29</v>
      </c>
      <c r="G364" s="205">
        <v>0</v>
      </c>
      <c r="H364" s="205">
        <v>3</v>
      </c>
      <c r="I364" s="2">
        <f t="shared" si="18"/>
        <v>-3</v>
      </c>
      <c r="J364" s="2">
        <f t="shared" si="19"/>
        <v>0.48999999999999977</v>
      </c>
      <c r="K364" s="2">
        <f t="shared" si="17"/>
        <v>0.48999999999999977</v>
      </c>
    </row>
    <row r="365" spans="1:11" hidden="1">
      <c r="A365" s="2" t="s">
        <v>3109</v>
      </c>
      <c r="B365" s="2" t="s">
        <v>3172</v>
      </c>
      <c r="C365" s="2" t="s">
        <v>3301</v>
      </c>
      <c r="D365" s="8">
        <v>2.65</v>
      </c>
      <c r="E365" s="8">
        <v>3.1</v>
      </c>
      <c r="F365" s="8">
        <v>2.2799999999999998</v>
      </c>
      <c r="G365" s="205">
        <v>1</v>
      </c>
      <c r="H365" s="205">
        <v>2</v>
      </c>
      <c r="I365" s="2">
        <f t="shared" si="18"/>
        <v>-1</v>
      </c>
      <c r="J365" s="2">
        <f t="shared" si="19"/>
        <v>0.37000000000000011</v>
      </c>
      <c r="K365" s="2">
        <f t="shared" si="17"/>
        <v>0.37000000000000011</v>
      </c>
    </row>
    <row r="366" spans="1:11" hidden="1">
      <c r="A366" s="2" t="s">
        <v>3109</v>
      </c>
      <c r="B366" s="2" t="s">
        <v>3211</v>
      </c>
      <c r="C366" s="2" t="s">
        <v>3212</v>
      </c>
      <c r="D366" s="8">
        <v>3.22</v>
      </c>
      <c r="E366" s="8">
        <v>2.81</v>
      </c>
      <c r="F366" s="8">
        <v>2.2599999999999998</v>
      </c>
      <c r="G366" s="205">
        <v>2</v>
      </c>
      <c r="H366" s="205">
        <v>0</v>
      </c>
      <c r="I366" s="2">
        <f t="shared" si="18"/>
        <v>2</v>
      </c>
      <c r="J366" s="2">
        <f t="shared" si="19"/>
        <v>0.96000000000000041</v>
      </c>
      <c r="K366" s="2">
        <f t="shared" si="17"/>
        <v>0.96000000000000041</v>
      </c>
    </row>
    <row r="367" spans="1:11" hidden="1">
      <c r="A367" s="2" t="s">
        <v>3109</v>
      </c>
      <c r="B367" s="2" t="s">
        <v>3209</v>
      </c>
      <c r="C367" s="2" t="s">
        <v>3281</v>
      </c>
      <c r="D367" s="8">
        <v>2.75</v>
      </c>
      <c r="E367" s="8">
        <v>3</v>
      </c>
      <c r="F367" s="8">
        <v>2.2599999999999998</v>
      </c>
      <c r="G367" s="205">
        <v>2</v>
      </c>
      <c r="H367" s="205">
        <v>1</v>
      </c>
      <c r="I367" s="2">
        <f t="shared" si="18"/>
        <v>1</v>
      </c>
      <c r="J367" s="2">
        <f t="shared" si="19"/>
        <v>0.49000000000000021</v>
      </c>
      <c r="K367" s="2">
        <f t="shared" si="17"/>
        <v>0.49000000000000021</v>
      </c>
    </row>
    <row r="368" spans="1:11" hidden="1">
      <c r="A368" s="2" t="s">
        <v>3109</v>
      </c>
      <c r="B368" s="2" t="s">
        <v>3162</v>
      </c>
      <c r="C368" s="2" t="s">
        <v>3163</v>
      </c>
      <c r="D368" s="8">
        <v>4.03</v>
      </c>
      <c r="E368" s="8">
        <v>2.95</v>
      </c>
      <c r="F368" s="8">
        <v>2.25</v>
      </c>
      <c r="G368" s="205">
        <v>0</v>
      </c>
      <c r="H368" s="205">
        <v>1</v>
      </c>
      <c r="I368" s="2">
        <f t="shared" si="18"/>
        <v>-1</v>
      </c>
      <c r="J368" s="2">
        <f t="shared" si="19"/>
        <v>1.7800000000000002</v>
      </c>
      <c r="K368" s="2">
        <f t="shared" si="17"/>
        <v>1.7800000000000002</v>
      </c>
    </row>
    <row r="369" spans="1:11" hidden="1">
      <c r="A369" s="2" t="s">
        <v>3109</v>
      </c>
      <c r="B369" s="2" t="s">
        <v>3201</v>
      </c>
      <c r="C369" s="2" t="s">
        <v>3202</v>
      </c>
      <c r="D369" s="8">
        <v>3.32</v>
      </c>
      <c r="E369" s="8">
        <v>3.2</v>
      </c>
      <c r="F369" s="8">
        <v>2.25</v>
      </c>
      <c r="G369" s="205">
        <v>0</v>
      </c>
      <c r="H369" s="205">
        <v>3</v>
      </c>
      <c r="I369" s="2">
        <f t="shared" si="18"/>
        <v>-3</v>
      </c>
      <c r="J369" s="2">
        <f t="shared" si="19"/>
        <v>1.0699999999999998</v>
      </c>
      <c r="K369" s="2">
        <f t="shared" si="17"/>
        <v>1.0699999999999998</v>
      </c>
    </row>
    <row r="370" spans="1:11" hidden="1">
      <c r="A370" s="2" t="s">
        <v>3109</v>
      </c>
      <c r="B370" s="2" t="s">
        <v>3110</v>
      </c>
      <c r="C370" s="2" t="s">
        <v>3293</v>
      </c>
      <c r="D370" s="8">
        <v>2.68</v>
      </c>
      <c r="E370" s="8">
        <v>3.1</v>
      </c>
      <c r="F370" s="8">
        <v>2.25</v>
      </c>
      <c r="G370" s="205">
        <v>0</v>
      </c>
      <c r="H370" s="205">
        <v>2</v>
      </c>
      <c r="I370" s="2">
        <f t="shared" si="18"/>
        <v>-2</v>
      </c>
      <c r="J370" s="2">
        <f t="shared" si="19"/>
        <v>0.43000000000000016</v>
      </c>
      <c r="K370" s="2">
        <f t="shared" si="17"/>
        <v>0.43000000000000016</v>
      </c>
    </row>
    <row r="371" spans="1:11" hidden="1">
      <c r="A371" s="2" t="s">
        <v>3109</v>
      </c>
      <c r="B371" s="2" t="s">
        <v>3294</v>
      </c>
      <c r="C371" s="2" t="s">
        <v>3295</v>
      </c>
      <c r="D371" s="8">
        <v>2.68</v>
      </c>
      <c r="E371" s="8">
        <v>3.1</v>
      </c>
      <c r="F371" s="8">
        <v>2.25</v>
      </c>
      <c r="G371" s="205">
        <v>2</v>
      </c>
      <c r="H371" s="205">
        <v>1</v>
      </c>
      <c r="I371" s="2">
        <f t="shared" si="18"/>
        <v>1</v>
      </c>
      <c r="J371" s="2">
        <f t="shared" si="19"/>
        <v>0.43000000000000016</v>
      </c>
      <c r="K371" s="2">
        <f t="shared" si="17"/>
        <v>0.43000000000000016</v>
      </c>
    </row>
    <row r="372" spans="1:11" hidden="1">
      <c r="A372" s="2" t="s">
        <v>3109</v>
      </c>
      <c r="B372" s="2" t="s">
        <v>3306</v>
      </c>
      <c r="C372" s="2" t="s">
        <v>3307</v>
      </c>
      <c r="D372" s="8">
        <v>2.63</v>
      </c>
      <c r="E372" s="8">
        <v>3.17</v>
      </c>
      <c r="F372" s="8">
        <v>2.25</v>
      </c>
      <c r="G372" s="205">
        <v>1</v>
      </c>
      <c r="H372" s="205">
        <v>1</v>
      </c>
      <c r="I372" s="2">
        <f t="shared" si="18"/>
        <v>0</v>
      </c>
      <c r="J372" s="2">
        <f t="shared" si="19"/>
        <v>0.37999999999999989</v>
      </c>
      <c r="K372" s="2">
        <f t="shared" si="17"/>
        <v>0.37999999999999989</v>
      </c>
    </row>
    <row r="373" spans="1:11" hidden="1">
      <c r="A373" s="2" t="s">
        <v>3109</v>
      </c>
      <c r="B373" s="2" t="s">
        <v>3197</v>
      </c>
      <c r="C373" s="2" t="s">
        <v>3198</v>
      </c>
      <c r="D373" s="8">
        <v>3.35</v>
      </c>
      <c r="E373" s="8">
        <v>3.4</v>
      </c>
      <c r="F373" s="8">
        <v>2.2400000000000002</v>
      </c>
      <c r="G373" s="205">
        <v>1</v>
      </c>
      <c r="H373" s="205">
        <v>2</v>
      </c>
      <c r="I373" s="2">
        <f t="shared" si="18"/>
        <v>-1</v>
      </c>
      <c r="J373" s="2">
        <f t="shared" si="19"/>
        <v>1.1099999999999999</v>
      </c>
      <c r="K373" s="2">
        <f t="shared" si="17"/>
        <v>1.1099999999999999</v>
      </c>
    </row>
    <row r="374" spans="1:11" hidden="1">
      <c r="A374" s="2" t="s">
        <v>3109</v>
      </c>
      <c r="B374" s="2" t="s">
        <v>3189</v>
      </c>
      <c r="C374" s="2" t="s">
        <v>3190</v>
      </c>
      <c r="D374" s="8">
        <v>3.45</v>
      </c>
      <c r="E374" s="8">
        <v>2.68</v>
      </c>
      <c r="F374" s="8">
        <v>2.23</v>
      </c>
      <c r="G374" s="205">
        <v>1</v>
      </c>
      <c r="H374" s="205">
        <v>1</v>
      </c>
      <c r="I374" s="2">
        <f t="shared" si="18"/>
        <v>0</v>
      </c>
      <c r="J374" s="2">
        <f t="shared" si="19"/>
        <v>1.2200000000000002</v>
      </c>
      <c r="K374" s="2">
        <f t="shared" si="17"/>
        <v>1.2200000000000002</v>
      </c>
    </row>
    <row r="375" spans="1:11" hidden="1">
      <c r="A375" s="2" t="s">
        <v>3109</v>
      </c>
      <c r="B375" s="2" t="s">
        <v>3194</v>
      </c>
      <c r="C375" s="2" t="s">
        <v>3195</v>
      </c>
      <c r="D375" s="8">
        <v>3.35</v>
      </c>
      <c r="E375" s="8">
        <v>3.4</v>
      </c>
      <c r="F375" s="8">
        <v>2.23</v>
      </c>
      <c r="G375" s="205">
        <v>2</v>
      </c>
      <c r="H375" s="205">
        <v>1</v>
      </c>
      <c r="I375" s="2">
        <f t="shared" si="18"/>
        <v>1</v>
      </c>
      <c r="J375" s="2">
        <f t="shared" si="19"/>
        <v>1.1200000000000001</v>
      </c>
      <c r="K375" s="2">
        <f t="shared" si="17"/>
        <v>1.1200000000000001</v>
      </c>
    </row>
    <row r="376" spans="1:11" hidden="1">
      <c r="A376" s="2" t="s">
        <v>3109</v>
      </c>
      <c r="B376" s="2" t="s">
        <v>3182</v>
      </c>
      <c r="C376" s="2" t="s">
        <v>3183</v>
      </c>
      <c r="D376" s="8">
        <v>3.57</v>
      </c>
      <c r="E376" s="8">
        <v>3.03</v>
      </c>
      <c r="F376" s="8">
        <v>2.2200000000000002</v>
      </c>
      <c r="G376" s="205">
        <v>0</v>
      </c>
      <c r="H376" s="205">
        <v>2</v>
      </c>
      <c r="I376" s="2">
        <f t="shared" si="18"/>
        <v>-2</v>
      </c>
      <c r="J376" s="2">
        <f t="shared" si="19"/>
        <v>1.3499999999999996</v>
      </c>
      <c r="K376" s="2">
        <f t="shared" si="17"/>
        <v>1.3499999999999996</v>
      </c>
    </row>
    <row r="377" spans="1:11" hidden="1">
      <c r="A377" s="2" t="s">
        <v>3109</v>
      </c>
      <c r="B377" s="2" t="s">
        <v>3184</v>
      </c>
      <c r="C377" s="2" t="s">
        <v>3185</v>
      </c>
      <c r="D377" s="8">
        <v>3.5</v>
      </c>
      <c r="E377" s="8">
        <v>3.38</v>
      </c>
      <c r="F377" s="8">
        <v>2.2200000000000002</v>
      </c>
      <c r="G377" s="205">
        <v>2</v>
      </c>
      <c r="H377" s="205">
        <v>2</v>
      </c>
      <c r="I377" s="2">
        <f t="shared" si="18"/>
        <v>0</v>
      </c>
      <c r="J377" s="2">
        <f t="shared" si="19"/>
        <v>1.2799999999999998</v>
      </c>
      <c r="K377" s="2">
        <f t="shared" si="17"/>
        <v>1.2799999999999998</v>
      </c>
    </row>
    <row r="378" spans="1:11" hidden="1">
      <c r="A378" s="2" t="s">
        <v>3109</v>
      </c>
      <c r="B378" s="2" t="s">
        <v>3226</v>
      </c>
      <c r="C378" s="2" t="s">
        <v>3227</v>
      </c>
      <c r="D378" s="8">
        <v>3.13</v>
      </c>
      <c r="E378" s="8">
        <v>3.48</v>
      </c>
      <c r="F378" s="8">
        <v>2.2000000000000002</v>
      </c>
      <c r="G378" s="205">
        <v>1</v>
      </c>
      <c r="H378" s="205">
        <v>3</v>
      </c>
      <c r="I378" s="2">
        <f t="shared" si="18"/>
        <v>-2</v>
      </c>
      <c r="J378" s="2">
        <f t="shared" si="19"/>
        <v>0.92999999999999972</v>
      </c>
      <c r="K378" s="2">
        <f t="shared" si="17"/>
        <v>0.92999999999999972</v>
      </c>
    </row>
    <row r="379" spans="1:11" hidden="1">
      <c r="A379" s="2" t="s">
        <v>3109</v>
      </c>
      <c r="B379" s="2" t="s">
        <v>3262</v>
      </c>
      <c r="C379" s="2" t="s">
        <v>3263</v>
      </c>
      <c r="D379" s="8">
        <v>2.82</v>
      </c>
      <c r="E379" s="8">
        <v>3.43</v>
      </c>
      <c r="F379" s="8">
        <v>2.2000000000000002</v>
      </c>
      <c r="G379" s="205">
        <v>2</v>
      </c>
      <c r="H379" s="205">
        <v>0</v>
      </c>
      <c r="I379" s="2">
        <f t="shared" si="18"/>
        <v>2</v>
      </c>
      <c r="J379" s="2">
        <f t="shared" si="19"/>
        <v>0.61999999999999966</v>
      </c>
      <c r="K379" s="2">
        <f t="shared" si="17"/>
        <v>0.61999999999999966</v>
      </c>
    </row>
    <row r="380" spans="1:11" hidden="1">
      <c r="A380" s="2" t="s">
        <v>3109</v>
      </c>
      <c r="B380" s="2" t="s">
        <v>3110</v>
      </c>
      <c r="C380" s="2" t="s">
        <v>3279</v>
      </c>
      <c r="D380" s="8">
        <v>2.77</v>
      </c>
      <c r="E380" s="8">
        <v>3.1</v>
      </c>
      <c r="F380" s="8">
        <v>2.19</v>
      </c>
      <c r="G380" s="205">
        <v>2</v>
      </c>
      <c r="H380" s="205">
        <v>1</v>
      </c>
      <c r="I380" s="2">
        <f t="shared" si="18"/>
        <v>1</v>
      </c>
      <c r="J380" s="2">
        <f t="shared" si="19"/>
        <v>0.58000000000000007</v>
      </c>
      <c r="K380" s="2">
        <f t="shared" si="17"/>
        <v>0.58000000000000007</v>
      </c>
    </row>
    <row r="381" spans="1:11" hidden="1">
      <c r="A381" s="2" t="s">
        <v>3109</v>
      </c>
      <c r="B381" s="2" t="s">
        <v>3192</v>
      </c>
      <c r="C381" s="2" t="s">
        <v>3280</v>
      </c>
      <c r="D381" s="8">
        <v>2.76</v>
      </c>
      <c r="E381" s="8">
        <v>3.43</v>
      </c>
      <c r="F381" s="8">
        <v>2.19</v>
      </c>
      <c r="G381" s="205">
        <v>0</v>
      </c>
      <c r="H381" s="205">
        <v>3</v>
      </c>
      <c r="I381" s="2">
        <f t="shared" si="18"/>
        <v>-3</v>
      </c>
      <c r="J381" s="2">
        <f t="shared" si="19"/>
        <v>0.56999999999999984</v>
      </c>
      <c r="K381" s="2">
        <f t="shared" si="17"/>
        <v>0.56999999999999984</v>
      </c>
    </row>
    <row r="382" spans="1:11" hidden="1">
      <c r="A382" s="2" t="s">
        <v>3109</v>
      </c>
      <c r="B382" s="2" t="s">
        <v>3176</v>
      </c>
      <c r="C382" s="2" t="s">
        <v>3191</v>
      </c>
      <c r="D382" s="8">
        <v>3.4</v>
      </c>
      <c r="E382" s="8">
        <v>3.25</v>
      </c>
      <c r="F382" s="8">
        <v>2.1800000000000002</v>
      </c>
      <c r="G382" s="205">
        <v>2</v>
      </c>
      <c r="H382" s="205">
        <v>0</v>
      </c>
      <c r="I382" s="2">
        <f t="shared" si="18"/>
        <v>2</v>
      </c>
      <c r="J382" s="2">
        <f t="shared" si="19"/>
        <v>1.2199999999999998</v>
      </c>
      <c r="K382" s="2">
        <f t="shared" si="17"/>
        <v>1.2199999999999998</v>
      </c>
    </row>
    <row r="383" spans="1:11" hidden="1">
      <c r="A383" s="2" t="s">
        <v>3109</v>
      </c>
      <c r="B383" s="2" t="s">
        <v>3213</v>
      </c>
      <c r="C383" s="2" t="s">
        <v>3235</v>
      </c>
      <c r="D383" s="8">
        <v>3.08</v>
      </c>
      <c r="E383" s="8">
        <v>2.82</v>
      </c>
      <c r="F383" s="8">
        <v>2.17</v>
      </c>
      <c r="G383" s="205">
        <v>0</v>
      </c>
      <c r="H383" s="205">
        <v>3</v>
      </c>
      <c r="I383" s="2">
        <f t="shared" si="18"/>
        <v>-3</v>
      </c>
      <c r="J383" s="2">
        <f t="shared" si="19"/>
        <v>0.91000000000000014</v>
      </c>
      <c r="K383" s="2">
        <f t="shared" si="17"/>
        <v>0.91000000000000014</v>
      </c>
    </row>
    <row r="384" spans="1:11" hidden="1">
      <c r="A384" s="2" t="s">
        <v>3109</v>
      </c>
      <c r="B384" s="2" t="s">
        <v>3213</v>
      </c>
      <c r="C384" s="2" t="s">
        <v>3214</v>
      </c>
      <c r="D384" s="8">
        <v>3.2</v>
      </c>
      <c r="E384" s="8">
        <v>3.08</v>
      </c>
      <c r="F384" s="8">
        <v>2.16</v>
      </c>
      <c r="G384" s="205">
        <v>1</v>
      </c>
      <c r="H384" s="205">
        <v>2</v>
      </c>
      <c r="I384" s="2">
        <f t="shared" si="18"/>
        <v>-1</v>
      </c>
      <c r="J384" s="2">
        <f t="shared" si="19"/>
        <v>1.04</v>
      </c>
      <c r="K384" s="2">
        <f t="shared" si="17"/>
        <v>1.04</v>
      </c>
    </row>
    <row r="385" spans="1:11" hidden="1">
      <c r="A385" s="2" t="s">
        <v>3109</v>
      </c>
      <c r="B385" s="2" t="s">
        <v>3248</v>
      </c>
      <c r="C385" s="2" t="s">
        <v>3249</v>
      </c>
      <c r="D385" s="8">
        <v>2.92</v>
      </c>
      <c r="E385" s="8">
        <v>2.99</v>
      </c>
      <c r="F385" s="8">
        <v>2.16</v>
      </c>
      <c r="G385" s="205">
        <v>0</v>
      </c>
      <c r="H385" s="205">
        <v>1</v>
      </c>
      <c r="I385" s="2">
        <f t="shared" si="18"/>
        <v>-1</v>
      </c>
      <c r="J385" s="2">
        <f t="shared" si="19"/>
        <v>0.75999999999999979</v>
      </c>
      <c r="K385" s="2">
        <f t="shared" si="17"/>
        <v>0.75999999999999979</v>
      </c>
    </row>
    <row r="386" spans="1:11" hidden="1">
      <c r="A386" s="2" t="s">
        <v>3109</v>
      </c>
      <c r="B386" s="2" t="s">
        <v>3110</v>
      </c>
      <c r="C386" s="2" t="s">
        <v>3259</v>
      </c>
      <c r="D386" s="8">
        <v>2.83</v>
      </c>
      <c r="E386" s="8">
        <v>3.08</v>
      </c>
      <c r="F386" s="8">
        <v>2.16</v>
      </c>
      <c r="G386" s="205">
        <v>1</v>
      </c>
      <c r="H386" s="205">
        <v>3</v>
      </c>
      <c r="I386" s="2">
        <f t="shared" si="18"/>
        <v>-2</v>
      </c>
      <c r="J386" s="2">
        <f t="shared" si="19"/>
        <v>0.66999999999999993</v>
      </c>
      <c r="K386" s="2">
        <f t="shared" ref="K386:K449" si="20">+D386-F386</f>
        <v>0.66999999999999993</v>
      </c>
    </row>
    <row r="387" spans="1:11" hidden="1">
      <c r="A387" s="2" t="s">
        <v>3109</v>
      </c>
      <c r="B387" s="2" t="s">
        <v>3267</v>
      </c>
      <c r="C387" s="2" t="s">
        <v>3268</v>
      </c>
      <c r="D387" s="8">
        <v>2.8</v>
      </c>
      <c r="E387" s="8">
        <v>3.13</v>
      </c>
      <c r="F387" s="8">
        <v>2.16</v>
      </c>
      <c r="G387" s="205">
        <v>0</v>
      </c>
      <c r="H387" s="205">
        <v>3</v>
      </c>
      <c r="I387" s="2">
        <f t="shared" ref="I387:I450" si="21">+G387-H387</f>
        <v>-3</v>
      </c>
      <c r="J387" s="2">
        <f t="shared" ref="J387:J450" si="22">ABS(+D387-F387)</f>
        <v>0.63999999999999968</v>
      </c>
      <c r="K387" s="2">
        <f t="shared" si="20"/>
        <v>0.63999999999999968</v>
      </c>
    </row>
    <row r="388" spans="1:11" hidden="1">
      <c r="A388" s="2" t="s">
        <v>3109</v>
      </c>
      <c r="B388" s="2" t="s">
        <v>3209</v>
      </c>
      <c r="C388" s="2" t="s">
        <v>3282</v>
      </c>
      <c r="D388" s="8">
        <v>2.74</v>
      </c>
      <c r="E388" s="8">
        <v>3.2</v>
      </c>
      <c r="F388" s="8">
        <v>2.16</v>
      </c>
      <c r="G388" s="205">
        <v>1</v>
      </c>
      <c r="H388" s="205">
        <v>2</v>
      </c>
      <c r="I388" s="2">
        <f t="shared" si="21"/>
        <v>-1</v>
      </c>
      <c r="J388" s="2">
        <f t="shared" si="22"/>
        <v>0.58000000000000007</v>
      </c>
      <c r="K388" s="2">
        <f t="shared" si="20"/>
        <v>0.58000000000000007</v>
      </c>
    </row>
    <row r="389" spans="1:11" hidden="1">
      <c r="A389" s="2" t="s">
        <v>3109</v>
      </c>
      <c r="B389" s="2" t="s">
        <v>3110</v>
      </c>
      <c r="C389" s="2" t="s">
        <v>3273</v>
      </c>
      <c r="D389" s="8">
        <v>2.79</v>
      </c>
      <c r="E389" s="8">
        <v>3.15</v>
      </c>
      <c r="F389" s="8">
        <v>2.15</v>
      </c>
      <c r="G389" s="205">
        <v>2</v>
      </c>
      <c r="H389" s="205">
        <v>1</v>
      </c>
      <c r="I389" s="2">
        <f t="shared" si="21"/>
        <v>1</v>
      </c>
      <c r="J389" s="2">
        <f t="shared" si="22"/>
        <v>0.64000000000000012</v>
      </c>
      <c r="K389" s="2">
        <f t="shared" si="20"/>
        <v>0.64000000000000012</v>
      </c>
    </row>
    <row r="390" spans="1:11" hidden="1">
      <c r="A390" s="2" t="s">
        <v>3109</v>
      </c>
      <c r="B390" s="2" t="s">
        <v>3299</v>
      </c>
      <c r="C390" s="2" t="s">
        <v>3300</v>
      </c>
      <c r="D390" s="8">
        <v>2.65</v>
      </c>
      <c r="E390" s="8">
        <v>3.73</v>
      </c>
      <c r="F390" s="8">
        <v>2.15</v>
      </c>
      <c r="G390" s="205">
        <v>2</v>
      </c>
      <c r="H390" s="205">
        <v>0</v>
      </c>
      <c r="I390" s="2">
        <f t="shared" si="21"/>
        <v>2</v>
      </c>
      <c r="J390" s="2">
        <f t="shared" si="22"/>
        <v>0.5</v>
      </c>
      <c r="K390" s="2">
        <f t="shared" si="20"/>
        <v>0.5</v>
      </c>
    </row>
    <row r="391" spans="1:11" hidden="1">
      <c r="A391" s="2" t="s">
        <v>3109</v>
      </c>
      <c r="B391" s="2" t="s">
        <v>3110</v>
      </c>
      <c r="C391" s="2" t="s">
        <v>3260</v>
      </c>
      <c r="D391" s="8">
        <v>2.83</v>
      </c>
      <c r="E391" s="8">
        <v>3.15</v>
      </c>
      <c r="F391" s="8">
        <v>2.13</v>
      </c>
      <c r="G391" s="205">
        <v>0</v>
      </c>
      <c r="H391" s="205">
        <v>3</v>
      </c>
      <c r="I391" s="2">
        <f t="shared" si="21"/>
        <v>-3</v>
      </c>
      <c r="J391" s="2">
        <f t="shared" si="22"/>
        <v>0.70000000000000018</v>
      </c>
      <c r="K391" s="2">
        <f t="shared" si="20"/>
        <v>0.70000000000000018</v>
      </c>
    </row>
    <row r="392" spans="1:11" hidden="1">
      <c r="A392" s="2" t="s">
        <v>3109</v>
      </c>
      <c r="B392" s="2" t="s">
        <v>3174</v>
      </c>
      <c r="C392" s="2" t="s">
        <v>3175</v>
      </c>
      <c r="D392" s="8">
        <v>3.87</v>
      </c>
      <c r="E392" s="8">
        <v>3.35</v>
      </c>
      <c r="F392" s="8">
        <v>2.12</v>
      </c>
      <c r="G392" s="205">
        <v>0</v>
      </c>
      <c r="H392" s="205">
        <v>1</v>
      </c>
      <c r="I392" s="2">
        <f t="shared" si="21"/>
        <v>-1</v>
      </c>
      <c r="J392" s="2">
        <f t="shared" si="22"/>
        <v>1.75</v>
      </c>
      <c r="K392" s="2">
        <f t="shared" si="20"/>
        <v>1.75</v>
      </c>
    </row>
    <row r="393" spans="1:11" hidden="1">
      <c r="A393" s="2" t="s">
        <v>3109</v>
      </c>
      <c r="B393" s="2" t="s">
        <v>3110</v>
      </c>
      <c r="C393" s="2" t="s">
        <v>3255</v>
      </c>
      <c r="D393" s="8">
        <v>2.89</v>
      </c>
      <c r="E393" s="8">
        <v>3.1</v>
      </c>
      <c r="F393" s="8">
        <v>2.12</v>
      </c>
      <c r="G393" s="205">
        <v>0</v>
      </c>
      <c r="H393" s="205">
        <v>1</v>
      </c>
      <c r="I393" s="2">
        <f t="shared" si="21"/>
        <v>-1</v>
      </c>
      <c r="J393" s="2">
        <f t="shared" si="22"/>
        <v>0.77</v>
      </c>
      <c r="K393" s="2">
        <f t="shared" si="20"/>
        <v>0.77</v>
      </c>
    </row>
    <row r="394" spans="1:11" hidden="1">
      <c r="A394" s="2" t="s">
        <v>3109</v>
      </c>
      <c r="B394" s="2" t="s">
        <v>3205</v>
      </c>
      <c r="C394" s="2" t="s">
        <v>3241</v>
      </c>
      <c r="D394" s="8">
        <v>3.03</v>
      </c>
      <c r="E394" s="8">
        <v>2.98</v>
      </c>
      <c r="F394" s="8">
        <v>2.11</v>
      </c>
      <c r="G394" s="205">
        <v>1</v>
      </c>
      <c r="H394" s="205">
        <v>1</v>
      </c>
      <c r="I394" s="2">
        <f t="shared" si="21"/>
        <v>0</v>
      </c>
      <c r="J394" s="2">
        <f t="shared" si="22"/>
        <v>0.91999999999999993</v>
      </c>
      <c r="K394" s="2">
        <f t="shared" si="20"/>
        <v>0.91999999999999993</v>
      </c>
    </row>
    <row r="395" spans="1:11" hidden="1">
      <c r="A395" s="2" t="s">
        <v>3109</v>
      </c>
      <c r="B395" s="2" t="s">
        <v>3243</v>
      </c>
      <c r="C395" s="2" t="s">
        <v>3244</v>
      </c>
      <c r="D395" s="8">
        <v>3</v>
      </c>
      <c r="E395" s="8">
        <v>3</v>
      </c>
      <c r="F395" s="8">
        <v>2.11</v>
      </c>
      <c r="G395" s="205">
        <v>2</v>
      </c>
      <c r="H395" s="205">
        <v>0</v>
      </c>
      <c r="I395" s="2">
        <f t="shared" si="21"/>
        <v>2</v>
      </c>
      <c r="J395" s="2">
        <f t="shared" si="22"/>
        <v>0.89000000000000012</v>
      </c>
      <c r="K395" s="2">
        <f t="shared" si="20"/>
        <v>0.89000000000000012</v>
      </c>
    </row>
    <row r="396" spans="1:11" hidden="1">
      <c r="A396" s="2" t="s">
        <v>3109</v>
      </c>
      <c r="B396" s="2" t="s">
        <v>3252</v>
      </c>
      <c r="C396" s="2" t="s">
        <v>3253</v>
      </c>
      <c r="D396" s="8">
        <v>2.9</v>
      </c>
      <c r="E396" s="8">
        <v>3.43</v>
      </c>
      <c r="F396" s="8">
        <v>2.11</v>
      </c>
      <c r="G396" s="205">
        <v>0</v>
      </c>
      <c r="H396" s="205">
        <v>1</v>
      </c>
      <c r="I396" s="2">
        <f t="shared" si="21"/>
        <v>-1</v>
      </c>
      <c r="J396" s="2">
        <f t="shared" si="22"/>
        <v>0.79</v>
      </c>
      <c r="K396" s="2">
        <f t="shared" si="20"/>
        <v>0.79</v>
      </c>
    </row>
    <row r="397" spans="1:11" hidden="1">
      <c r="A397" s="2" t="s">
        <v>3109</v>
      </c>
      <c r="B397" s="2" t="s">
        <v>3128</v>
      </c>
      <c r="C397" s="2" t="s">
        <v>3196</v>
      </c>
      <c r="D397" s="8">
        <v>3.35</v>
      </c>
      <c r="E397" s="8">
        <v>3.85</v>
      </c>
      <c r="F397" s="8">
        <v>2.08</v>
      </c>
      <c r="G397" s="205">
        <v>2</v>
      </c>
      <c r="H397" s="205">
        <v>0</v>
      </c>
      <c r="I397" s="2">
        <f t="shared" si="21"/>
        <v>2</v>
      </c>
      <c r="J397" s="2">
        <f t="shared" si="22"/>
        <v>1.27</v>
      </c>
      <c r="K397" s="2">
        <f t="shared" si="20"/>
        <v>1.27</v>
      </c>
    </row>
    <row r="398" spans="1:11" hidden="1">
      <c r="A398" s="2" t="s">
        <v>3109</v>
      </c>
      <c r="B398" s="2" t="s">
        <v>3222</v>
      </c>
      <c r="C398" s="2" t="s">
        <v>3223</v>
      </c>
      <c r="D398" s="8">
        <v>3.17</v>
      </c>
      <c r="E398" s="8">
        <v>2.92</v>
      </c>
      <c r="F398" s="8">
        <v>2.08</v>
      </c>
      <c r="G398" s="205">
        <v>2</v>
      </c>
      <c r="H398" s="205">
        <v>0</v>
      </c>
      <c r="I398" s="2">
        <f t="shared" si="21"/>
        <v>2</v>
      </c>
      <c r="J398" s="2">
        <f t="shared" si="22"/>
        <v>1.0899999999999999</v>
      </c>
      <c r="K398" s="2">
        <f t="shared" si="20"/>
        <v>1.0899999999999999</v>
      </c>
    </row>
    <row r="399" spans="1:11" hidden="1">
      <c r="A399" s="2" t="s">
        <v>3109</v>
      </c>
      <c r="B399" s="2" t="s">
        <v>3205</v>
      </c>
      <c r="C399" s="2" t="s">
        <v>3234</v>
      </c>
      <c r="D399" s="8">
        <v>3.08</v>
      </c>
      <c r="E399" s="8">
        <v>2.99</v>
      </c>
      <c r="F399" s="8">
        <v>2.08</v>
      </c>
      <c r="G399" s="205">
        <v>0</v>
      </c>
      <c r="H399" s="205">
        <v>1</v>
      </c>
      <c r="I399" s="2">
        <f t="shared" si="21"/>
        <v>-1</v>
      </c>
      <c r="J399" s="2">
        <f t="shared" si="22"/>
        <v>1</v>
      </c>
      <c r="K399" s="2">
        <f t="shared" si="20"/>
        <v>1</v>
      </c>
    </row>
    <row r="400" spans="1:11" hidden="1">
      <c r="A400" s="2" t="s">
        <v>3109</v>
      </c>
      <c r="B400" s="2" t="s">
        <v>3205</v>
      </c>
      <c r="C400" s="2" t="s">
        <v>3207</v>
      </c>
      <c r="D400" s="8">
        <v>3.25</v>
      </c>
      <c r="E400" s="8">
        <v>3.28</v>
      </c>
      <c r="F400" s="8">
        <v>2.0499999999999998</v>
      </c>
      <c r="G400" s="205">
        <v>2</v>
      </c>
      <c r="H400" s="205">
        <v>0</v>
      </c>
      <c r="I400" s="2">
        <f t="shared" si="21"/>
        <v>2</v>
      </c>
      <c r="J400" s="2">
        <f t="shared" si="22"/>
        <v>1.2000000000000002</v>
      </c>
      <c r="K400" s="2">
        <f t="shared" si="20"/>
        <v>1.2000000000000002</v>
      </c>
    </row>
    <row r="401" spans="1:11" hidden="1">
      <c r="A401" s="2" t="s">
        <v>3109</v>
      </c>
      <c r="B401" s="2" t="s">
        <v>3178</v>
      </c>
      <c r="C401" s="2" t="s">
        <v>3179</v>
      </c>
      <c r="D401" s="8">
        <v>3.8</v>
      </c>
      <c r="E401" s="8">
        <v>3.25</v>
      </c>
      <c r="F401" s="8">
        <v>2.04</v>
      </c>
      <c r="G401" s="205">
        <v>0</v>
      </c>
      <c r="H401" s="205">
        <v>3</v>
      </c>
      <c r="I401" s="2">
        <f t="shared" si="21"/>
        <v>-3</v>
      </c>
      <c r="J401" s="2">
        <f t="shared" si="22"/>
        <v>1.7599999999999998</v>
      </c>
      <c r="K401" s="2">
        <f t="shared" si="20"/>
        <v>1.7599999999999998</v>
      </c>
    </row>
    <row r="402" spans="1:11" hidden="1">
      <c r="A402" s="2" t="s">
        <v>3109</v>
      </c>
      <c r="B402" s="2" t="s">
        <v>3199</v>
      </c>
      <c r="C402" s="2" t="s">
        <v>3200</v>
      </c>
      <c r="D402" s="8">
        <v>3.32</v>
      </c>
      <c r="E402" s="8">
        <v>3.15</v>
      </c>
      <c r="F402" s="8">
        <v>2.04</v>
      </c>
      <c r="G402" s="205">
        <v>0</v>
      </c>
      <c r="H402" s="205">
        <v>3</v>
      </c>
      <c r="I402" s="2">
        <f t="shared" si="21"/>
        <v>-3</v>
      </c>
      <c r="J402" s="2">
        <f t="shared" si="22"/>
        <v>1.2799999999999998</v>
      </c>
      <c r="K402" s="2">
        <f t="shared" si="20"/>
        <v>1.2799999999999998</v>
      </c>
    </row>
    <row r="403" spans="1:11" hidden="1">
      <c r="A403" s="2" t="s">
        <v>3109</v>
      </c>
      <c r="B403" s="2" t="s">
        <v>3110</v>
      </c>
      <c r="C403" s="2" t="s">
        <v>3242</v>
      </c>
      <c r="D403" s="8">
        <v>3</v>
      </c>
      <c r="E403" s="8">
        <v>3.15</v>
      </c>
      <c r="F403" s="8">
        <v>2.04</v>
      </c>
      <c r="G403" s="205">
        <v>1</v>
      </c>
      <c r="H403" s="205">
        <v>2</v>
      </c>
      <c r="I403" s="2">
        <f t="shared" si="21"/>
        <v>-1</v>
      </c>
      <c r="J403" s="2">
        <f t="shared" si="22"/>
        <v>0.96</v>
      </c>
      <c r="K403" s="2">
        <f t="shared" si="20"/>
        <v>0.96</v>
      </c>
    </row>
    <row r="404" spans="1:11" hidden="1">
      <c r="A404" s="2" t="s">
        <v>3109</v>
      </c>
      <c r="B404" s="2" t="s">
        <v>3203</v>
      </c>
      <c r="C404" s="2" t="s">
        <v>3204</v>
      </c>
      <c r="D404" s="8">
        <v>3.28</v>
      </c>
      <c r="E404" s="8">
        <v>2.92</v>
      </c>
      <c r="F404" s="8">
        <v>2.0299999999999998</v>
      </c>
      <c r="G404" s="205">
        <v>1</v>
      </c>
      <c r="H404" s="205">
        <v>3</v>
      </c>
      <c r="I404" s="2">
        <f t="shared" si="21"/>
        <v>-2</v>
      </c>
      <c r="J404" s="2">
        <f t="shared" si="22"/>
        <v>1.25</v>
      </c>
      <c r="K404" s="2">
        <f t="shared" si="20"/>
        <v>1.25</v>
      </c>
    </row>
    <row r="405" spans="1:11" hidden="1">
      <c r="A405" s="2" t="s">
        <v>3109</v>
      </c>
      <c r="B405" s="2" t="s">
        <v>3176</v>
      </c>
      <c r="C405" s="2" t="s">
        <v>3177</v>
      </c>
      <c r="D405" s="8">
        <v>3.85</v>
      </c>
      <c r="E405" s="8">
        <v>3.32</v>
      </c>
      <c r="F405" s="8">
        <v>2</v>
      </c>
      <c r="G405" s="205">
        <v>1</v>
      </c>
      <c r="H405" s="205">
        <v>1</v>
      </c>
      <c r="I405" s="2">
        <f t="shared" si="21"/>
        <v>0</v>
      </c>
      <c r="J405" s="2">
        <f t="shared" si="22"/>
        <v>1.85</v>
      </c>
      <c r="K405" s="2">
        <f t="shared" si="20"/>
        <v>1.85</v>
      </c>
    </row>
    <row r="406" spans="1:11" hidden="1">
      <c r="A406" s="2" t="s">
        <v>3109</v>
      </c>
      <c r="B406" s="2" t="s">
        <v>3220</v>
      </c>
      <c r="C406" s="2" t="s">
        <v>3221</v>
      </c>
      <c r="D406" s="8">
        <v>3.17</v>
      </c>
      <c r="E406" s="8">
        <v>3.52</v>
      </c>
      <c r="F406" s="8">
        <v>2</v>
      </c>
      <c r="G406" s="205">
        <v>0</v>
      </c>
      <c r="H406" s="205">
        <v>1</v>
      </c>
      <c r="I406" s="2">
        <f t="shared" si="21"/>
        <v>-1</v>
      </c>
      <c r="J406" s="2">
        <f t="shared" si="22"/>
        <v>1.17</v>
      </c>
      <c r="K406" s="2">
        <f t="shared" si="20"/>
        <v>1.17</v>
      </c>
    </row>
    <row r="407" spans="1:11" hidden="1">
      <c r="A407" s="2" t="s">
        <v>3109</v>
      </c>
      <c r="B407" s="2" t="s">
        <v>1698</v>
      </c>
      <c r="C407" s="2" t="s">
        <v>3171</v>
      </c>
      <c r="D407" s="8">
        <v>3.88</v>
      </c>
      <c r="E407" s="8">
        <v>3.6</v>
      </c>
      <c r="F407" s="8">
        <v>1.98</v>
      </c>
      <c r="G407" s="205">
        <v>2</v>
      </c>
      <c r="H407" s="205">
        <v>2</v>
      </c>
      <c r="I407" s="2">
        <f t="shared" si="21"/>
        <v>0</v>
      </c>
      <c r="J407" s="2">
        <f t="shared" si="22"/>
        <v>1.9</v>
      </c>
      <c r="K407" s="2">
        <f t="shared" si="20"/>
        <v>1.9</v>
      </c>
    </row>
    <row r="408" spans="1:11" hidden="1">
      <c r="A408" s="2" t="s">
        <v>3109</v>
      </c>
      <c r="B408" s="2" t="s">
        <v>3144</v>
      </c>
      <c r="C408" s="2" t="s">
        <v>3231</v>
      </c>
      <c r="D408" s="8">
        <v>3.12</v>
      </c>
      <c r="E408" s="8">
        <v>3.18</v>
      </c>
      <c r="F408" s="8">
        <v>1.98</v>
      </c>
      <c r="G408" s="205">
        <v>0</v>
      </c>
      <c r="H408" s="205">
        <v>1</v>
      </c>
      <c r="I408" s="2">
        <f t="shared" si="21"/>
        <v>-1</v>
      </c>
      <c r="J408" s="2">
        <f t="shared" si="22"/>
        <v>1.1400000000000001</v>
      </c>
      <c r="K408" s="2">
        <f t="shared" si="20"/>
        <v>1.1400000000000001</v>
      </c>
    </row>
    <row r="409" spans="1:11" hidden="1">
      <c r="A409" s="2" t="s">
        <v>3109</v>
      </c>
      <c r="B409" s="2" t="s">
        <v>3232</v>
      </c>
      <c r="C409" s="2" t="s">
        <v>3233</v>
      </c>
      <c r="D409" s="8">
        <v>3.08</v>
      </c>
      <c r="E409" s="8">
        <v>3.22</v>
      </c>
      <c r="F409" s="8">
        <v>1.98</v>
      </c>
      <c r="G409" s="205">
        <v>0</v>
      </c>
      <c r="H409" s="205">
        <v>1</v>
      </c>
      <c r="I409" s="2">
        <f t="shared" si="21"/>
        <v>-1</v>
      </c>
      <c r="J409" s="2">
        <f t="shared" si="22"/>
        <v>1.1000000000000001</v>
      </c>
      <c r="K409" s="2">
        <f t="shared" si="20"/>
        <v>1.1000000000000001</v>
      </c>
    </row>
    <row r="410" spans="1:11" hidden="1">
      <c r="A410" s="2" t="s">
        <v>3109</v>
      </c>
      <c r="B410" s="2" t="s">
        <v>3124</v>
      </c>
      <c r="C410" s="2" t="s">
        <v>3219</v>
      </c>
      <c r="D410" s="8">
        <v>3.18</v>
      </c>
      <c r="E410" s="8">
        <v>3.13</v>
      </c>
      <c r="F410" s="8">
        <v>1.97</v>
      </c>
      <c r="G410" s="205">
        <v>1</v>
      </c>
      <c r="H410" s="205">
        <v>3</v>
      </c>
      <c r="I410" s="2">
        <f t="shared" si="21"/>
        <v>-2</v>
      </c>
      <c r="J410" s="2">
        <f t="shared" si="22"/>
        <v>1.2100000000000002</v>
      </c>
      <c r="K410" s="2">
        <f t="shared" si="20"/>
        <v>1.2100000000000002</v>
      </c>
    </row>
    <row r="411" spans="1:11" hidden="1">
      <c r="A411" s="2" t="s">
        <v>3109</v>
      </c>
      <c r="B411" s="2" t="s">
        <v>3110</v>
      </c>
      <c r="C411" s="2" t="s">
        <v>3215</v>
      </c>
      <c r="D411" s="8">
        <v>3.2</v>
      </c>
      <c r="E411" s="8">
        <v>3.18</v>
      </c>
      <c r="F411" s="8">
        <v>1.95</v>
      </c>
      <c r="G411" s="205">
        <v>2</v>
      </c>
      <c r="H411" s="205">
        <v>0</v>
      </c>
      <c r="I411" s="2">
        <f t="shared" si="21"/>
        <v>2</v>
      </c>
      <c r="J411" s="2">
        <f t="shared" si="22"/>
        <v>1.2500000000000002</v>
      </c>
      <c r="K411" s="2">
        <f t="shared" si="20"/>
        <v>1.2500000000000002</v>
      </c>
    </row>
    <row r="412" spans="1:11" hidden="1">
      <c r="A412" s="2" t="s">
        <v>3109</v>
      </c>
      <c r="B412" s="2" t="s">
        <v>3187</v>
      </c>
      <c r="C412" s="2" t="s">
        <v>3188</v>
      </c>
      <c r="D412" s="8">
        <v>3.47</v>
      </c>
      <c r="E412" s="8">
        <v>3.38</v>
      </c>
      <c r="F412" s="8">
        <v>1.94</v>
      </c>
      <c r="G412" s="205">
        <v>2</v>
      </c>
      <c r="H412" s="205">
        <v>0</v>
      </c>
      <c r="I412" s="2">
        <f t="shared" si="21"/>
        <v>2</v>
      </c>
      <c r="J412" s="2">
        <f t="shared" si="22"/>
        <v>1.5300000000000002</v>
      </c>
      <c r="K412" s="2">
        <f t="shared" si="20"/>
        <v>1.5300000000000002</v>
      </c>
    </row>
    <row r="413" spans="1:11" hidden="1">
      <c r="A413" s="2" t="s">
        <v>3109</v>
      </c>
      <c r="B413" s="2" t="s">
        <v>3205</v>
      </c>
      <c r="C413" s="2" t="s">
        <v>3206</v>
      </c>
      <c r="D413" s="8">
        <v>3.27</v>
      </c>
      <c r="E413" s="8">
        <v>3.13</v>
      </c>
      <c r="F413" s="8">
        <v>1.94</v>
      </c>
      <c r="G413" s="205">
        <v>2</v>
      </c>
      <c r="H413" s="205">
        <v>1</v>
      </c>
      <c r="I413" s="2">
        <f t="shared" si="21"/>
        <v>1</v>
      </c>
      <c r="J413" s="2">
        <f t="shared" si="22"/>
        <v>1.33</v>
      </c>
      <c r="K413" s="2">
        <f t="shared" si="20"/>
        <v>1.33</v>
      </c>
    </row>
    <row r="414" spans="1:11" hidden="1">
      <c r="A414" s="2" t="s">
        <v>3109</v>
      </c>
      <c r="B414" s="2" t="s">
        <v>3140</v>
      </c>
      <c r="C414" s="2" t="s">
        <v>3166</v>
      </c>
      <c r="D414" s="8">
        <v>3.95</v>
      </c>
      <c r="E414" s="8">
        <v>3.52</v>
      </c>
      <c r="F414" s="8">
        <v>1.91</v>
      </c>
      <c r="G414" s="205">
        <v>1</v>
      </c>
      <c r="H414" s="205">
        <v>1</v>
      </c>
      <c r="I414" s="2">
        <f t="shared" si="21"/>
        <v>0</v>
      </c>
      <c r="J414" s="2">
        <f t="shared" si="22"/>
        <v>2.04</v>
      </c>
      <c r="K414" s="2">
        <f t="shared" si="20"/>
        <v>2.04</v>
      </c>
    </row>
    <row r="415" spans="1:11" hidden="1">
      <c r="A415" s="2" t="s">
        <v>3109</v>
      </c>
      <c r="B415" s="2" t="s">
        <v>3192</v>
      </c>
      <c r="C415" s="2" t="s">
        <v>3193</v>
      </c>
      <c r="D415" s="8">
        <v>3.35</v>
      </c>
      <c r="E415" s="8">
        <v>3.45</v>
      </c>
      <c r="F415" s="8">
        <v>1.91</v>
      </c>
      <c r="G415" s="205">
        <v>0</v>
      </c>
      <c r="H415" s="205">
        <v>1</v>
      </c>
      <c r="I415" s="2">
        <f t="shared" si="21"/>
        <v>-1</v>
      </c>
      <c r="J415" s="2">
        <f t="shared" si="22"/>
        <v>1.4400000000000002</v>
      </c>
      <c r="K415" s="2">
        <f t="shared" si="20"/>
        <v>1.4400000000000002</v>
      </c>
    </row>
    <row r="416" spans="1:11" hidden="1">
      <c r="A416" s="2" t="s">
        <v>3109</v>
      </c>
      <c r="B416" s="2" t="s">
        <v>3110</v>
      </c>
      <c r="C416" s="2" t="s">
        <v>3208</v>
      </c>
      <c r="D416" s="8">
        <v>3.23</v>
      </c>
      <c r="E416" s="8">
        <v>3.25</v>
      </c>
      <c r="F416" s="8">
        <v>1.91</v>
      </c>
      <c r="G416" s="205">
        <v>1</v>
      </c>
      <c r="H416" s="205">
        <v>1</v>
      </c>
      <c r="I416" s="2">
        <f t="shared" si="21"/>
        <v>0</v>
      </c>
      <c r="J416" s="2">
        <f t="shared" si="22"/>
        <v>1.32</v>
      </c>
      <c r="K416" s="2">
        <f t="shared" si="20"/>
        <v>1.32</v>
      </c>
    </row>
    <row r="417" spans="1:11" hidden="1">
      <c r="A417" s="2" t="s">
        <v>3109</v>
      </c>
      <c r="B417" s="2" t="s">
        <v>3209</v>
      </c>
      <c r="C417" s="2" t="s">
        <v>3210</v>
      </c>
      <c r="D417" s="8">
        <v>3.22</v>
      </c>
      <c r="E417" s="8">
        <v>3.27</v>
      </c>
      <c r="F417" s="8">
        <v>1.91</v>
      </c>
      <c r="G417" s="205">
        <v>2</v>
      </c>
      <c r="H417" s="205">
        <v>0</v>
      </c>
      <c r="I417" s="2">
        <f t="shared" si="21"/>
        <v>2</v>
      </c>
      <c r="J417" s="2">
        <f t="shared" si="22"/>
        <v>1.3100000000000003</v>
      </c>
      <c r="K417" s="2">
        <f t="shared" si="20"/>
        <v>1.3100000000000003</v>
      </c>
    </row>
    <row r="418" spans="1:11" hidden="1">
      <c r="A418" s="2" t="s">
        <v>3109</v>
      </c>
      <c r="B418" s="2" t="s">
        <v>3158</v>
      </c>
      <c r="C418" s="2" t="s">
        <v>3159</v>
      </c>
      <c r="D418" s="8">
        <v>4.1500000000000004</v>
      </c>
      <c r="E418" s="8">
        <v>3.72</v>
      </c>
      <c r="F418" s="8">
        <v>1.88</v>
      </c>
      <c r="G418" s="205">
        <v>0</v>
      </c>
      <c r="H418" s="205">
        <v>1</v>
      </c>
      <c r="I418" s="2">
        <f t="shared" si="21"/>
        <v>-1</v>
      </c>
      <c r="J418" s="2">
        <f t="shared" si="22"/>
        <v>2.2700000000000005</v>
      </c>
      <c r="K418" s="2">
        <f t="shared" si="20"/>
        <v>2.2700000000000005</v>
      </c>
    </row>
    <row r="419" spans="1:11" hidden="1">
      <c r="A419" s="2" t="s">
        <v>3109</v>
      </c>
      <c r="B419" s="2" t="s">
        <v>3150</v>
      </c>
      <c r="C419" s="2" t="s">
        <v>3151</v>
      </c>
      <c r="D419" s="8">
        <v>4.4800000000000004</v>
      </c>
      <c r="E419" s="8">
        <v>3.4</v>
      </c>
      <c r="F419" s="8">
        <v>1.84</v>
      </c>
      <c r="G419" s="205">
        <v>2</v>
      </c>
      <c r="H419" s="205">
        <v>1</v>
      </c>
      <c r="I419" s="2">
        <f t="shared" si="21"/>
        <v>1</v>
      </c>
      <c r="J419" s="2">
        <f t="shared" si="22"/>
        <v>2.6400000000000006</v>
      </c>
      <c r="K419" s="2">
        <f t="shared" si="20"/>
        <v>2.6400000000000006</v>
      </c>
    </row>
    <row r="420" spans="1:11" hidden="1">
      <c r="A420" s="2" t="s">
        <v>3109</v>
      </c>
      <c r="B420" s="2" t="s">
        <v>3154</v>
      </c>
      <c r="C420" s="2" t="s">
        <v>3186</v>
      </c>
      <c r="D420" s="8">
        <v>3.48</v>
      </c>
      <c r="E420" s="8">
        <v>3.37</v>
      </c>
      <c r="F420" s="8">
        <v>1.8</v>
      </c>
      <c r="G420" s="205">
        <v>2</v>
      </c>
      <c r="H420" s="205">
        <v>2</v>
      </c>
      <c r="I420" s="2">
        <f t="shared" si="21"/>
        <v>0</v>
      </c>
      <c r="J420" s="2">
        <f t="shared" si="22"/>
        <v>1.68</v>
      </c>
      <c r="K420" s="2">
        <f t="shared" si="20"/>
        <v>1.68</v>
      </c>
    </row>
    <row r="421" spans="1:11" hidden="1">
      <c r="A421" s="2" t="s">
        <v>3109</v>
      </c>
      <c r="B421" s="2" t="s">
        <v>3167</v>
      </c>
      <c r="C421" s="2" t="s">
        <v>3168</v>
      </c>
      <c r="D421" s="8">
        <v>3.93</v>
      </c>
      <c r="E421" s="8">
        <v>3.05</v>
      </c>
      <c r="F421" s="8">
        <v>1.79</v>
      </c>
      <c r="G421" s="205">
        <v>2</v>
      </c>
      <c r="H421" s="205">
        <v>2</v>
      </c>
      <c r="I421" s="2">
        <f t="shared" si="21"/>
        <v>0</v>
      </c>
      <c r="J421" s="2">
        <f t="shared" si="22"/>
        <v>2.14</v>
      </c>
      <c r="K421" s="2">
        <f t="shared" si="20"/>
        <v>2.14</v>
      </c>
    </row>
    <row r="422" spans="1:11" hidden="1">
      <c r="A422" s="2" t="s">
        <v>3109</v>
      </c>
      <c r="B422" s="2" t="s">
        <v>3135</v>
      </c>
      <c r="C422" s="2" t="s">
        <v>3139</v>
      </c>
      <c r="D422" s="8">
        <v>5.05</v>
      </c>
      <c r="E422" s="8">
        <v>3.35</v>
      </c>
      <c r="F422" s="8">
        <v>1.78</v>
      </c>
      <c r="G422" s="205">
        <v>0</v>
      </c>
      <c r="H422" s="205">
        <v>2</v>
      </c>
      <c r="I422" s="2">
        <f t="shared" si="21"/>
        <v>-2</v>
      </c>
      <c r="J422" s="2">
        <f t="shared" si="22"/>
        <v>3.2699999999999996</v>
      </c>
      <c r="K422" s="2">
        <f t="shared" si="20"/>
        <v>3.2699999999999996</v>
      </c>
    </row>
    <row r="423" spans="1:11" hidden="1">
      <c r="A423" s="2" t="s">
        <v>3109</v>
      </c>
      <c r="B423" s="2" t="s">
        <v>3156</v>
      </c>
      <c r="C423" s="2" t="s">
        <v>3157</v>
      </c>
      <c r="D423" s="8">
        <v>4.1500000000000004</v>
      </c>
      <c r="E423" s="8">
        <v>3.5</v>
      </c>
      <c r="F423" s="8">
        <v>1.78</v>
      </c>
      <c r="G423" s="205">
        <v>0</v>
      </c>
      <c r="H423" s="205">
        <v>1</v>
      </c>
      <c r="I423" s="2">
        <f t="shared" si="21"/>
        <v>-1</v>
      </c>
      <c r="J423" s="2">
        <f t="shared" si="22"/>
        <v>2.37</v>
      </c>
      <c r="K423" s="2">
        <f t="shared" si="20"/>
        <v>2.37</v>
      </c>
    </row>
    <row r="424" spans="1:11" hidden="1">
      <c r="A424" s="2" t="s">
        <v>3109</v>
      </c>
      <c r="B424" s="2" t="s">
        <v>3172</v>
      </c>
      <c r="C424" s="2" t="s">
        <v>3173</v>
      </c>
      <c r="D424" s="8">
        <v>3.88</v>
      </c>
      <c r="E424" s="8">
        <v>3.15</v>
      </c>
      <c r="F424" s="8">
        <v>1.77</v>
      </c>
      <c r="G424" s="205">
        <v>1</v>
      </c>
      <c r="H424" s="205">
        <v>3</v>
      </c>
      <c r="I424" s="2">
        <f t="shared" si="21"/>
        <v>-2</v>
      </c>
      <c r="J424" s="2">
        <f t="shared" si="22"/>
        <v>2.11</v>
      </c>
      <c r="K424" s="2">
        <f t="shared" si="20"/>
        <v>2.11</v>
      </c>
    </row>
    <row r="425" spans="1:11" hidden="1">
      <c r="A425" s="2" t="s">
        <v>3109</v>
      </c>
      <c r="B425" s="2" t="s">
        <v>3180</v>
      </c>
      <c r="C425" s="2" t="s">
        <v>3181</v>
      </c>
      <c r="D425" s="8">
        <v>3.65</v>
      </c>
      <c r="E425" s="8">
        <v>3.32</v>
      </c>
      <c r="F425" s="8">
        <v>1.77</v>
      </c>
      <c r="G425" s="205">
        <v>0</v>
      </c>
      <c r="H425" s="205">
        <v>2</v>
      </c>
      <c r="I425" s="2">
        <f t="shared" si="21"/>
        <v>-2</v>
      </c>
      <c r="J425" s="2">
        <f t="shared" si="22"/>
        <v>1.88</v>
      </c>
      <c r="K425" s="2">
        <f t="shared" si="20"/>
        <v>1.88</v>
      </c>
    </row>
    <row r="426" spans="1:11" hidden="1">
      <c r="A426" s="2" t="s">
        <v>3109</v>
      </c>
      <c r="B426" s="2" t="s">
        <v>3140</v>
      </c>
      <c r="C426" s="2" t="s">
        <v>3141</v>
      </c>
      <c r="D426" s="8">
        <v>4.82</v>
      </c>
      <c r="E426" s="8">
        <v>3.53</v>
      </c>
      <c r="F426" s="8">
        <v>1.75</v>
      </c>
      <c r="G426" s="205">
        <v>1</v>
      </c>
      <c r="H426" s="205">
        <v>3</v>
      </c>
      <c r="I426" s="2">
        <f t="shared" si="21"/>
        <v>-2</v>
      </c>
      <c r="J426" s="2">
        <f t="shared" si="22"/>
        <v>3.0700000000000003</v>
      </c>
      <c r="K426" s="2">
        <f t="shared" si="20"/>
        <v>3.0700000000000003</v>
      </c>
    </row>
    <row r="427" spans="1:11" hidden="1">
      <c r="A427" s="2" t="s">
        <v>3109</v>
      </c>
      <c r="B427" s="2" t="s">
        <v>3152</v>
      </c>
      <c r="C427" s="2" t="s">
        <v>3153</v>
      </c>
      <c r="D427" s="8">
        <v>4.4000000000000004</v>
      </c>
      <c r="E427" s="8">
        <v>3.32</v>
      </c>
      <c r="F427" s="8">
        <v>1.75</v>
      </c>
      <c r="G427" s="205">
        <v>1</v>
      </c>
      <c r="H427" s="205">
        <v>3</v>
      </c>
      <c r="I427" s="2">
        <f t="shared" si="21"/>
        <v>-2</v>
      </c>
      <c r="J427" s="2">
        <f t="shared" si="22"/>
        <v>2.6500000000000004</v>
      </c>
      <c r="K427" s="2">
        <f t="shared" si="20"/>
        <v>2.6500000000000004</v>
      </c>
    </row>
    <row r="428" spans="1:11" hidden="1">
      <c r="A428" s="2" t="s">
        <v>3109</v>
      </c>
      <c r="B428" s="2" t="s">
        <v>3135</v>
      </c>
      <c r="C428" s="2" t="s">
        <v>3136</v>
      </c>
      <c r="D428" s="8">
        <v>5.15</v>
      </c>
      <c r="E428" s="8">
        <v>3.5</v>
      </c>
      <c r="F428" s="8">
        <v>1.72</v>
      </c>
      <c r="G428" s="205">
        <v>2</v>
      </c>
      <c r="H428" s="205">
        <v>1</v>
      </c>
      <c r="I428" s="2">
        <f t="shared" si="21"/>
        <v>1</v>
      </c>
      <c r="J428" s="2">
        <f t="shared" si="22"/>
        <v>3.4300000000000006</v>
      </c>
      <c r="K428" s="2">
        <f t="shared" si="20"/>
        <v>3.4300000000000006</v>
      </c>
    </row>
    <row r="429" spans="1:11" hidden="1">
      <c r="A429" s="2" t="s">
        <v>3109</v>
      </c>
      <c r="B429" s="2" t="s">
        <v>3137</v>
      </c>
      <c r="C429" s="2" t="s">
        <v>3138</v>
      </c>
      <c r="D429" s="8">
        <v>5.15</v>
      </c>
      <c r="E429" s="8">
        <v>3.52</v>
      </c>
      <c r="F429" s="8">
        <v>1.72</v>
      </c>
      <c r="G429" s="205">
        <v>2</v>
      </c>
      <c r="H429" s="205">
        <v>3</v>
      </c>
      <c r="I429" s="2">
        <f t="shared" si="21"/>
        <v>-1</v>
      </c>
      <c r="J429" s="2">
        <f t="shared" si="22"/>
        <v>3.4300000000000006</v>
      </c>
      <c r="K429" s="2">
        <f t="shared" si="20"/>
        <v>3.4300000000000006</v>
      </c>
    </row>
    <row r="430" spans="1:11" hidden="1">
      <c r="A430" s="2" t="s">
        <v>3109</v>
      </c>
      <c r="B430" s="2" t="s">
        <v>3169</v>
      </c>
      <c r="C430" s="2" t="s">
        <v>3170</v>
      </c>
      <c r="D430" s="8">
        <v>3.92</v>
      </c>
      <c r="E430" s="8">
        <v>3.3</v>
      </c>
      <c r="F430" s="8">
        <v>1.72</v>
      </c>
      <c r="G430" s="205">
        <v>2</v>
      </c>
      <c r="H430" s="205">
        <v>2</v>
      </c>
      <c r="I430" s="2">
        <f t="shared" si="21"/>
        <v>0</v>
      </c>
      <c r="J430" s="2">
        <f t="shared" si="22"/>
        <v>2.2000000000000002</v>
      </c>
      <c r="K430" s="2">
        <f t="shared" si="20"/>
        <v>2.2000000000000002</v>
      </c>
    </row>
    <row r="431" spans="1:11" hidden="1">
      <c r="A431" s="2" t="s">
        <v>3109</v>
      </c>
      <c r="B431" s="2" t="s">
        <v>3164</v>
      </c>
      <c r="C431" s="2" t="s">
        <v>3165</v>
      </c>
      <c r="D431" s="8">
        <v>4.0199999999999996</v>
      </c>
      <c r="E431" s="8">
        <v>3.37</v>
      </c>
      <c r="F431" s="8">
        <v>1.69</v>
      </c>
      <c r="G431" s="205">
        <v>0</v>
      </c>
      <c r="H431" s="205">
        <v>1</v>
      </c>
      <c r="I431" s="2">
        <f t="shared" si="21"/>
        <v>-1</v>
      </c>
      <c r="J431" s="2">
        <f t="shared" si="22"/>
        <v>2.3299999999999996</v>
      </c>
      <c r="K431" s="2">
        <f t="shared" si="20"/>
        <v>2.3299999999999996</v>
      </c>
    </row>
    <row r="432" spans="1:11" hidden="1">
      <c r="A432" s="2" t="s">
        <v>3109</v>
      </c>
      <c r="B432" s="2" t="s">
        <v>3142</v>
      </c>
      <c r="C432" s="2" t="s">
        <v>3161</v>
      </c>
      <c r="D432" s="8">
        <v>4.05</v>
      </c>
      <c r="E432" s="8">
        <v>3.42</v>
      </c>
      <c r="F432" s="8">
        <v>1.66</v>
      </c>
      <c r="G432" s="205">
        <v>1</v>
      </c>
      <c r="H432" s="205">
        <v>2</v>
      </c>
      <c r="I432" s="2">
        <f t="shared" si="21"/>
        <v>-1</v>
      </c>
      <c r="J432" s="2">
        <f t="shared" si="22"/>
        <v>2.3899999999999997</v>
      </c>
      <c r="K432" s="2">
        <f t="shared" si="20"/>
        <v>2.3899999999999997</v>
      </c>
    </row>
    <row r="433" spans="1:11" hidden="1">
      <c r="A433" s="2" t="s">
        <v>3109</v>
      </c>
      <c r="B433" s="2" t="s">
        <v>3110</v>
      </c>
      <c r="C433" s="2" t="s">
        <v>3160</v>
      </c>
      <c r="D433" s="8">
        <v>4.0999999999999996</v>
      </c>
      <c r="E433" s="8">
        <v>3.57</v>
      </c>
      <c r="F433" s="8">
        <v>1.63</v>
      </c>
      <c r="G433" s="205">
        <v>1</v>
      </c>
      <c r="H433" s="205">
        <v>1</v>
      </c>
      <c r="I433" s="2">
        <f t="shared" si="21"/>
        <v>0</v>
      </c>
      <c r="J433" s="2">
        <f t="shared" si="22"/>
        <v>2.4699999999999998</v>
      </c>
      <c r="K433" s="2">
        <f t="shared" si="20"/>
        <v>2.4699999999999998</v>
      </c>
    </row>
    <row r="434" spans="1:11" hidden="1">
      <c r="A434" s="2" t="s">
        <v>3109</v>
      </c>
      <c r="B434" s="2" t="s">
        <v>3128</v>
      </c>
      <c r="C434" s="2" t="s">
        <v>3129</v>
      </c>
      <c r="D434" s="8">
        <v>5.5</v>
      </c>
      <c r="E434" s="8">
        <v>4.18</v>
      </c>
      <c r="F434" s="8">
        <v>1.61</v>
      </c>
      <c r="G434" s="205">
        <v>0</v>
      </c>
      <c r="H434" s="205">
        <v>2</v>
      </c>
      <c r="I434" s="2">
        <f t="shared" si="21"/>
        <v>-2</v>
      </c>
      <c r="J434" s="2">
        <f t="shared" si="22"/>
        <v>3.8899999999999997</v>
      </c>
      <c r="K434" s="2">
        <f t="shared" si="20"/>
        <v>3.8899999999999997</v>
      </c>
    </row>
    <row r="435" spans="1:11" hidden="1">
      <c r="A435" s="2" t="s">
        <v>3109</v>
      </c>
      <c r="B435" s="2" t="s">
        <v>3132</v>
      </c>
      <c r="C435" s="2" t="s">
        <v>3133</v>
      </c>
      <c r="D435" s="8">
        <v>5.3</v>
      </c>
      <c r="E435" s="8">
        <v>3.5</v>
      </c>
      <c r="F435" s="8">
        <v>1.6</v>
      </c>
      <c r="G435" s="205">
        <v>2</v>
      </c>
      <c r="H435" s="205">
        <v>2</v>
      </c>
      <c r="I435" s="2">
        <f t="shared" si="21"/>
        <v>0</v>
      </c>
      <c r="J435" s="2">
        <f t="shared" si="22"/>
        <v>3.6999999999999997</v>
      </c>
      <c r="K435" s="2">
        <f t="shared" si="20"/>
        <v>3.6999999999999997</v>
      </c>
    </row>
    <row r="436" spans="1:11" hidden="1">
      <c r="A436" s="2" t="s">
        <v>3109</v>
      </c>
      <c r="B436" s="2" t="s">
        <v>3146</v>
      </c>
      <c r="C436" s="2" t="s">
        <v>3147</v>
      </c>
      <c r="D436" s="8">
        <v>4.6500000000000004</v>
      </c>
      <c r="E436" s="8">
        <v>3.33</v>
      </c>
      <c r="F436" s="8">
        <v>1.6</v>
      </c>
      <c r="G436" s="205">
        <v>1</v>
      </c>
      <c r="H436" s="205">
        <v>1</v>
      </c>
      <c r="I436" s="2">
        <f t="shared" si="21"/>
        <v>0</v>
      </c>
      <c r="J436" s="2">
        <f t="shared" si="22"/>
        <v>3.0500000000000003</v>
      </c>
      <c r="K436" s="2">
        <f t="shared" si="20"/>
        <v>3.0500000000000003</v>
      </c>
    </row>
    <row r="437" spans="1:11" hidden="1">
      <c r="A437" s="2" t="s">
        <v>3109</v>
      </c>
      <c r="B437" s="2" t="s">
        <v>3117</v>
      </c>
      <c r="C437" s="2" t="s">
        <v>3119</v>
      </c>
      <c r="D437" s="8">
        <v>6.5</v>
      </c>
      <c r="E437" s="8">
        <v>4.18</v>
      </c>
      <c r="F437" s="8">
        <v>1.59</v>
      </c>
      <c r="G437" s="205">
        <v>1</v>
      </c>
      <c r="H437" s="205">
        <v>3</v>
      </c>
      <c r="I437" s="2">
        <f t="shared" si="21"/>
        <v>-2</v>
      </c>
      <c r="J437" s="2">
        <f t="shared" si="22"/>
        <v>4.91</v>
      </c>
      <c r="K437" s="2">
        <f t="shared" si="20"/>
        <v>4.91</v>
      </c>
    </row>
    <row r="438" spans="1:11" hidden="1">
      <c r="A438" s="2" t="s">
        <v>3109</v>
      </c>
      <c r="B438" s="2" t="s">
        <v>3126</v>
      </c>
      <c r="C438" s="2" t="s">
        <v>3127</v>
      </c>
      <c r="D438" s="8">
        <v>5.5</v>
      </c>
      <c r="E438" s="8">
        <v>4.18</v>
      </c>
      <c r="F438" s="8">
        <v>1.57</v>
      </c>
      <c r="G438" s="205">
        <v>1</v>
      </c>
      <c r="H438" s="205">
        <v>2</v>
      </c>
      <c r="I438" s="2">
        <f t="shared" si="21"/>
        <v>-1</v>
      </c>
      <c r="J438" s="2">
        <f t="shared" si="22"/>
        <v>3.9299999999999997</v>
      </c>
      <c r="K438" s="2">
        <f t="shared" si="20"/>
        <v>3.9299999999999997</v>
      </c>
    </row>
    <row r="439" spans="1:11" hidden="1">
      <c r="A439" s="2" t="s">
        <v>3109</v>
      </c>
      <c r="B439" s="2" t="s">
        <v>3154</v>
      </c>
      <c r="C439" s="2" t="s">
        <v>3155</v>
      </c>
      <c r="D439" s="8">
        <v>4.37</v>
      </c>
      <c r="E439" s="8">
        <v>3.68</v>
      </c>
      <c r="F439" s="8">
        <v>1.57</v>
      </c>
      <c r="G439" s="205">
        <v>2</v>
      </c>
      <c r="H439" s="205">
        <v>2</v>
      </c>
      <c r="I439" s="2">
        <f t="shared" si="21"/>
        <v>0</v>
      </c>
      <c r="J439" s="2">
        <f t="shared" si="22"/>
        <v>2.8</v>
      </c>
      <c r="K439" s="2">
        <f t="shared" si="20"/>
        <v>2.8</v>
      </c>
    </row>
    <row r="440" spans="1:11" hidden="1">
      <c r="A440" s="2" t="s">
        <v>3109</v>
      </c>
      <c r="B440" s="2" t="s">
        <v>3130</v>
      </c>
      <c r="C440" s="2" t="s">
        <v>3131</v>
      </c>
      <c r="D440" s="8">
        <v>5.45</v>
      </c>
      <c r="E440" s="8">
        <v>4.32</v>
      </c>
      <c r="F440" s="8">
        <v>1.55</v>
      </c>
      <c r="G440" s="205">
        <v>0</v>
      </c>
      <c r="H440" s="205">
        <v>4</v>
      </c>
      <c r="I440" s="2">
        <f t="shared" si="21"/>
        <v>-4</v>
      </c>
      <c r="J440" s="2">
        <f t="shared" si="22"/>
        <v>3.9000000000000004</v>
      </c>
      <c r="K440" s="2">
        <f t="shared" si="20"/>
        <v>3.9000000000000004</v>
      </c>
    </row>
    <row r="441" spans="1:11" hidden="1">
      <c r="A441" s="2" t="s">
        <v>3109</v>
      </c>
      <c r="B441" s="2" t="s">
        <v>3144</v>
      </c>
      <c r="C441" s="2" t="s">
        <v>3145</v>
      </c>
      <c r="D441" s="8">
        <v>4.7300000000000004</v>
      </c>
      <c r="E441" s="8">
        <v>3.53</v>
      </c>
      <c r="F441" s="8">
        <v>1.55</v>
      </c>
      <c r="G441" s="205">
        <v>0</v>
      </c>
      <c r="H441" s="205">
        <v>1</v>
      </c>
      <c r="I441" s="2">
        <f t="shared" si="21"/>
        <v>-1</v>
      </c>
      <c r="J441" s="2">
        <f t="shared" si="22"/>
        <v>3.1800000000000006</v>
      </c>
      <c r="K441" s="2">
        <f t="shared" si="20"/>
        <v>3.1800000000000006</v>
      </c>
    </row>
    <row r="442" spans="1:11" hidden="1">
      <c r="A442" s="2" t="s">
        <v>3109</v>
      </c>
      <c r="B442" s="2" t="s">
        <v>3115</v>
      </c>
      <c r="C442" s="2" t="s">
        <v>3116</v>
      </c>
      <c r="D442" s="8">
        <v>6.75</v>
      </c>
      <c r="E442" s="8">
        <v>3.85</v>
      </c>
      <c r="F442" s="8">
        <v>1.53</v>
      </c>
      <c r="G442" s="205">
        <v>1</v>
      </c>
      <c r="H442" s="205">
        <v>5</v>
      </c>
      <c r="I442" s="2">
        <f t="shared" si="21"/>
        <v>-4</v>
      </c>
      <c r="J442" s="2">
        <f t="shared" si="22"/>
        <v>5.22</v>
      </c>
      <c r="K442" s="2">
        <f t="shared" si="20"/>
        <v>5.22</v>
      </c>
    </row>
    <row r="443" spans="1:11" hidden="1">
      <c r="A443" s="2" t="s">
        <v>3109</v>
      </c>
      <c r="B443" s="2" t="s">
        <v>3117</v>
      </c>
      <c r="C443" s="2" t="s">
        <v>3118</v>
      </c>
      <c r="D443" s="8">
        <v>6.6</v>
      </c>
      <c r="E443" s="8">
        <v>4.6500000000000004</v>
      </c>
      <c r="F443" s="8">
        <v>1.53</v>
      </c>
      <c r="G443" s="205">
        <v>1</v>
      </c>
      <c r="H443" s="205">
        <v>3</v>
      </c>
      <c r="I443" s="2">
        <f t="shared" si="21"/>
        <v>-2</v>
      </c>
      <c r="J443" s="2">
        <f t="shared" si="22"/>
        <v>5.0699999999999994</v>
      </c>
      <c r="K443" s="2">
        <f t="shared" si="20"/>
        <v>5.0699999999999994</v>
      </c>
    </row>
    <row r="444" spans="1:11" hidden="1">
      <c r="A444" s="2" t="s">
        <v>3109</v>
      </c>
      <c r="B444" s="2" t="s">
        <v>3142</v>
      </c>
      <c r="C444" s="2" t="s">
        <v>3143</v>
      </c>
      <c r="D444" s="8">
        <v>4.8</v>
      </c>
      <c r="E444" s="8">
        <v>3.73</v>
      </c>
      <c r="F444" s="8">
        <v>1.51</v>
      </c>
      <c r="G444" s="205">
        <v>1</v>
      </c>
      <c r="H444" s="205">
        <v>3</v>
      </c>
      <c r="I444" s="2">
        <f t="shared" si="21"/>
        <v>-2</v>
      </c>
      <c r="J444" s="2">
        <f t="shared" si="22"/>
        <v>3.29</v>
      </c>
      <c r="K444" s="2">
        <f t="shared" si="20"/>
        <v>3.29</v>
      </c>
    </row>
    <row r="445" spans="1:11" hidden="1">
      <c r="A445" s="2" t="s">
        <v>3109</v>
      </c>
      <c r="B445" s="2" t="s">
        <v>3148</v>
      </c>
      <c r="C445" s="2" t="s">
        <v>3149</v>
      </c>
      <c r="D445" s="8">
        <v>4.58</v>
      </c>
      <c r="E445" s="8">
        <v>3.87</v>
      </c>
      <c r="F445" s="8">
        <v>1.51</v>
      </c>
      <c r="G445" s="205">
        <v>1</v>
      </c>
      <c r="H445" s="205">
        <v>1</v>
      </c>
      <c r="I445" s="2">
        <f t="shared" si="21"/>
        <v>0</v>
      </c>
      <c r="J445" s="2">
        <f t="shared" si="22"/>
        <v>3.0700000000000003</v>
      </c>
      <c r="K445" s="2">
        <f t="shared" si="20"/>
        <v>3.0700000000000003</v>
      </c>
    </row>
    <row r="446" spans="1:11" hidden="1">
      <c r="A446" s="2" t="s">
        <v>3109</v>
      </c>
      <c r="B446" s="2" t="s">
        <v>3110</v>
      </c>
      <c r="C446" s="2" t="s">
        <v>3134</v>
      </c>
      <c r="D446" s="8">
        <v>5.25</v>
      </c>
      <c r="E446" s="8">
        <v>3.52</v>
      </c>
      <c r="F446" s="8">
        <v>1.5</v>
      </c>
      <c r="G446" s="205">
        <v>0</v>
      </c>
      <c r="H446" s="205">
        <v>2</v>
      </c>
      <c r="I446" s="2">
        <f t="shared" si="21"/>
        <v>-2</v>
      </c>
      <c r="J446" s="2">
        <f t="shared" si="22"/>
        <v>3.75</v>
      </c>
      <c r="K446" s="2">
        <f t="shared" si="20"/>
        <v>3.75</v>
      </c>
    </row>
    <row r="447" spans="1:11" hidden="1">
      <c r="A447" s="2" t="s">
        <v>3109</v>
      </c>
      <c r="B447" s="2" t="s">
        <v>3124</v>
      </c>
      <c r="C447" s="2" t="s">
        <v>3125</v>
      </c>
      <c r="D447" s="8">
        <v>5.65</v>
      </c>
      <c r="E447" s="8">
        <v>3.75</v>
      </c>
      <c r="F447" s="8">
        <v>1.44</v>
      </c>
      <c r="G447" s="205">
        <v>0</v>
      </c>
      <c r="H447" s="205">
        <v>2</v>
      </c>
      <c r="I447" s="2">
        <f t="shared" si="21"/>
        <v>-2</v>
      </c>
      <c r="J447" s="2">
        <f t="shared" si="22"/>
        <v>4.2100000000000009</v>
      </c>
      <c r="K447" s="2">
        <f t="shared" si="20"/>
        <v>4.2100000000000009</v>
      </c>
    </row>
    <row r="448" spans="1:11" hidden="1">
      <c r="A448" s="2" t="s">
        <v>3109</v>
      </c>
      <c r="B448" s="2" t="s">
        <v>3122</v>
      </c>
      <c r="C448" s="2" t="s">
        <v>3123</v>
      </c>
      <c r="D448" s="8">
        <v>5.8</v>
      </c>
      <c r="E448" s="8">
        <v>3.78</v>
      </c>
      <c r="F448" s="8">
        <v>1.42</v>
      </c>
      <c r="G448" s="205">
        <v>1</v>
      </c>
      <c r="H448" s="205">
        <v>2</v>
      </c>
      <c r="I448" s="2">
        <f t="shared" si="21"/>
        <v>-1</v>
      </c>
      <c r="J448" s="2">
        <f t="shared" si="22"/>
        <v>4.38</v>
      </c>
      <c r="K448" s="2">
        <f t="shared" si="20"/>
        <v>4.38</v>
      </c>
    </row>
    <row r="449" spans="1:13" hidden="1">
      <c r="A449" s="2" t="s">
        <v>3109</v>
      </c>
      <c r="B449" s="2" t="s">
        <v>3120</v>
      </c>
      <c r="C449" s="2" t="s">
        <v>3121</v>
      </c>
      <c r="D449" s="8">
        <v>5.95</v>
      </c>
      <c r="E449" s="8">
        <v>4</v>
      </c>
      <c r="F449" s="8">
        <v>1.38</v>
      </c>
      <c r="G449" s="205">
        <v>1</v>
      </c>
      <c r="H449" s="205">
        <v>4</v>
      </c>
      <c r="I449" s="2">
        <f t="shared" si="21"/>
        <v>-3</v>
      </c>
      <c r="J449" s="2">
        <f t="shared" si="22"/>
        <v>4.57</v>
      </c>
      <c r="K449" s="2">
        <f t="shared" si="20"/>
        <v>4.57</v>
      </c>
    </row>
    <row r="450" spans="1:13" hidden="1">
      <c r="A450" s="2" t="s">
        <v>3109</v>
      </c>
      <c r="B450" s="2" t="s">
        <v>3112</v>
      </c>
      <c r="C450" s="2" t="s">
        <v>3113</v>
      </c>
      <c r="D450" s="8">
        <v>7.65</v>
      </c>
      <c r="E450" s="8">
        <v>4.42</v>
      </c>
      <c r="F450" s="8">
        <v>1.34</v>
      </c>
      <c r="G450" s="205">
        <v>0</v>
      </c>
      <c r="H450" s="205">
        <v>5</v>
      </c>
      <c r="I450" s="2">
        <f t="shared" si="21"/>
        <v>-5</v>
      </c>
      <c r="J450" s="2">
        <f t="shared" si="22"/>
        <v>6.3100000000000005</v>
      </c>
      <c r="K450" s="2">
        <f t="shared" ref="K450:K512" si="23">+D450-F450</f>
        <v>6.3100000000000005</v>
      </c>
      <c r="L450" s="2" t="s">
        <v>1564</v>
      </c>
    </row>
    <row r="451" spans="1:13" hidden="1">
      <c r="A451" s="2" t="s">
        <v>3109</v>
      </c>
      <c r="B451" s="2" t="s">
        <v>3110</v>
      </c>
      <c r="C451" s="2" t="s">
        <v>3114</v>
      </c>
      <c r="D451" s="8">
        <v>7.1</v>
      </c>
      <c r="E451" s="8">
        <v>3.98</v>
      </c>
      <c r="F451" s="8">
        <v>1.34</v>
      </c>
      <c r="G451" s="205">
        <v>1</v>
      </c>
      <c r="H451" s="205">
        <v>2</v>
      </c>
      <c r="I451" s="2">
        <f t="shared" ref="I451:I513" si="24">+G451-H451</f>
        <v>-1</v>
      </c>
      <c r="J451" s="2">
        <f t="shared" ref="J451:J513" si="25">ABS(+D451-F451)</f>
        <v>5.76</v>
      </c>
      <c r="K451" s="2">
        <f t="shared" si="23"/>
        <v>5.76</v>
      </c>
      <c r="L451" s="2" t="s">
        <v>3677</v>
      </c>
    </row>
    <row r="452" spans="1:13" hidden="1">
      <c r="A452" s="2" t="s">
        <v>3109</v>
      </c>
      <c r="B452" s="2" t="s">
        <v>3110</v>
      </c>
      <c r="C452" s="2" t="s">
        <v>3111</v>
      </c>
      <c r="D452" s="8">
        <v>9.5</v>
      </c>
      <c r="E452" s="8">
        <v>5.2</v>
      </c>
      <c r="F452" s="8">
        <v>1.19</v>
      </c>
      <c r="G452" s="205">
        <v>0</v>
      </c>
      <c r="H452" s="205">
        <v>4</v>
      </c>
      <c r="I452" s="2">
        <f t="shared" si="24"/>
        <v>-4</v>
      </c>
      <c r="J452" s="2">
        <f t="shared" si="25"/>
        <v>8.31</v>
      </c>
      <c r="K452" s="2">
        <f t="shared" si="23"/>
        <v>8.31</v>
      </c>
      <c r="L452" s="2" t="s">
        <v>1564</v>
      </c>
    </row>
    <row r="453" spans="1:13" hidden="1">
      <c r="A453" s="2" t="s">
        <v>3679</v>
      </c>
      <c r="B453" s="2" t="s">
        <v>3178</v>
      </c>
      <c r="C453" s="2" t="s">
        <v>3680</v>
      </c>
      <c r="D453" s="8">
        <v>1.99</v>
      </c>
      <c r="E453" s="8">
        <v>3.22</v>
      </c>
      <c r="F453" s="8">
        <v>3.73</v>
      </c>
      <c r="G453" s="205">
        <v>0</v>
      </c>
      <c r="H453" s="205">
        <v>0</v>
      </c>
      <c r="I453" s="2">
        <f t="shared" si="24"/>
        <v>0</v>
      </c>
      <c r="J453" s="2">
        <f t="shared" si="25"/>
        <v>1.74</v>
      </c>
      <c r="K453" s="2">
        <f t="shared" si="23"/>
        <v>-1.74</v>
      </c>
    </row>
    <row r="454" spans="1:13" hidden="1">
      <c r="A454" s="2" t="s">
        <v>3679</v>
      </c>
      <c r="B454" s="2" t="s">
        <v>3252</v>
      </c>
      <c r="C454" s="2" t="s">
        <v>3681</v>
      </c>
      <c r="D454" s="8">
        <v>2.71</v>
      </c>
      <c r="E454" s="8">
        <v>3.22</v>
      </c>
      <c r="F454" s="8">
        <v>2.3199999999999998</v>
      </c>
      <c r="G454" s="205">
        <v>1</v>
      </c>
      <c r="H454" s="205">
        <v>2</v>
      </c>
      <c r="I454" s="2">
        <f t="shared" si="24"/>
        <v>-1</v>
      </c>
      <c r="J454" s="2">
        <f t="shared" si="25"/>
        <v>0.39000000000000012</v>
      </c>
      <c r="K454" s="2">
        <f t="shared" si="23"/>
        <v>0.39000000000000012</v>
      </c>
    </row>
    <row r="455" spans="1:13" hidden="1">
      <c r="A455" s="2" t="s">
        <v>3679</v>
      </c>
      <c r="B455" s="2" t="s">
        <v>3333</v>
      </c>
      <c r="C455" s="2" t="s">
        <v>3682</v>
      </c>
      <c r="D455" s="8">
        <v>3.75</v>
      </c>
      <c r="E455" s="8">
        <v>3.1</v>
      </c>
      <c r="F455" s="8">
        <v>2.2200000000000002</v>
      </c>
      <c r="G455" s="205">
        <v>1</v>
      </c>
      <c r="H455" s="205">
        <v>1</v>
      </c>
      <c r="I455" s="2">
        <f t="shared" si="24"/>
        <v>0</v>
      </c>
      <c r="J455" s="2">
        <f t="shared" si="25"/>
        <v>1.5299999999999998</v>
      </c>
      <c r="K455" s="2">
        <f t="shared" si="23"/>
        <v>1.5299999999999998</v>
      </c>
    </row>
    <row r="456" spans="1:13" hidden="1">
      <c r="A456" s="2" t="s">
        <v>3679</v>
      </c>
      <c r="B456" s="2" t="s">
        <v>3323</v>
      </c>
      <c r="C456" s="2" t="s">
        <v>3683</v>
      </c>
      <c r="D456" s="8">
        <v>1.88</v>
      </c>
      <c r="E456" s="8">
        <v>4.05</v>
      </c>
      <c r="F456" s="8">
        <v>3.98</v>
      </c>
      <c r="G456" s="205">
        <v>2</v>
      </c>
      <c r="H456" s="205">
        <v>1</v>
      </c>
      <c r="I456" s="2">
        <f t="shared" si="24"/>
        <v>1</v>
      </c>
      <c r="J456" s="2">
        <f t="shared" si="25"/>
        <v>2.1</v>
      </c>
      <c r="K456" s="2">
        <f t="shared" si="23"/>
        <v>-2.1</v>
      </c>
    </row>
    <row r="457" spans="1:13" hidden="1">
      <c r="A457" s="2" t="s">
        <v>3679</v>
      </c>
      <c r="B457" s="2" t="s">
        <v>3560</v>
      </c>
      <c r="C457" s="2" t="s">
        <v>3684</v>
      </c>
      <c r="D457" s="8">
        <v>2.23</v>
      </c>
      <c r="E457" s="8">
        <v>3.53</v>
      </c>
      <c r="F457" s="8">
        <v>2.72</v>
      </c>
      <c r="G457" s="205">
        <v>2</v>
      </c>
      <c r="H457" s="205">
        <v>0</v>
      </c>
      <c r="I457" s="2">
        <f t="shared" si="24"/>
        <v>2</v>
      </c>
      <c r="J457" s="2">
        <f t="shared" si="25"/>
        <v>0.49000000000000021</v>
      </c>
      <c r="K457" s="2">
        <f t="shared" si="23"/>
        <v>-0.49000000000000021</v>
      </c>
      <c r="L457" s="2" t="s">
        <v>3678</v>
      </c>
      <c r="M457" s="2" t="s">
        <v>3678</v>
      </c>
    </row>
    <row r="458" spans="1:13" hidden="1">
      <c r="A458" s="2" t="s">
        <v>3679</v>
      </c>
      <c r="B458" s="2" t="s">
        <v>3560</v>
      </c>
      <c r="C458" s="2" t="s">
        <v>3685</v>
      </c>
      <c r="D458" s="8">
        <v>2.0299999999999998</v>
      </c>
      <c r="E458" s="8">
        <v>3.45</v>
      </c>
      <c r="F458" s="8">
        <v>3.13</v>
      </c>
      <c r="G458" s="205">
        <v>2</v>
      </c>
      <c r="H458" s="205">
        <v>1</v>
      </c>
      <c r="I458" s="2">
        <f t="shared" si="24"/>
        <v>1</v>
      </c>
      <c r="J458" s="2">
        <f t="shared" si="25"/>
        <v>1.1000000000000001</v>
      </c>
      <c r="K458" s="2">
        <f t="shared" si="23"/>
        <v>-1.1000000000000001</v>
      </c>
      <c r="L458" s="2" t="s">
        <v>3678</v>
      </c>
      <c r="M458" s="2" t="s">
        <v>3678</v>
      </c>
    </row>
    <row r="459" spans="1:13" hidden="1">
      <c r="A459" s="2" t="s">
        <v>3679</v>
      </c>
      <c r="B459" s="2" t="s">
        <v>3192</v>
      </c>
      <c r="C459" s="2" t="s">
        <v>3686</v>
      </c>
      <c r="D459" s="8">
        <v>2.76</v>
      </c>
      <c r="E459" s="8">
        <v>3.95</v>
      </c>
      <c r="F459" s="8">
        <v>2.02</v>
      </c>
      <c r="G459" s="205">
        <v>0</v>
      </c>
      <c r="H459" s="205">
        <v>3</v>
      </c>
      <c r="I459" s="2">
        <f t="shared" si="24"/>
        <v>-3</v>
      </c>
      <c r="J459" s="2">
        <f t="shared" si="25"/>
        <v>0.73999999999999977</v>
      </c>
      <c r="K459" s="2">
        <f t="shared" si="23"/>
        <v>0.73999999999999977</v>
      </c>
    </row>
    <row r="460" spans="1:13" hidden="1">
      <c r="A460" s="2" t="s">
        <v>3679</v>
      </c>
      <c r="B460" s="2" t="s">
        <v>3299</v>
      </c>
      <c r="C460" s="2" t="s">
        <v>3687</v>
      </c>
      <c r="D460" s="8">
        <v>2.82</v>
      </c>
      <c r="E460" s="8">
        <v>4.25</v>
      </c>
      <c r="F460" s="8">
        <v>1.92</v>
      </c>
      <c r="G460" s="205">
        <v>1</v>
      </c>
      <c r="H460" s="205">
        <v>2</v>
      </c>
      <c r="I460" s="2">
        <f t="shared" si="24"/>
        <v>-1</v>
      </c>
      <c r="J460" s="2">
        <f t="shared" si="25"/>
        <v>0.89999999999999991</v>
      </c>
      <c r="K460" s="2">
        <f t="shared" si="23"/>
        <v>0.89999999999999991</v>
      </c>
    </row>
    <row r="461" spans="1:13" hidden="1">
      <c r="A461" s="2" t="s">
        <v>3679</v>
      </c>
      <c r="B461" s="2" t="s">
        <v>3688</v>
      </c>
      <c r="C461" s="2" t="s">
        <v>3689</v>
      </c>
      <c r="D461" s="8">
        <v>1.88</v>
      </c>
      <c r="E461" s="8">
        <v>3.55</v>
      </c>
      <c r="F461" s="8">
        <v>3.47</v>
      </c>
      <c r="G461" s="205">
        <v>2</v>
      </c>
      <c r="H461" s="205">
        <v>1</v>
      </c>
      <c r="I461" s="2">
        <f t="shared" si="24"/>
        <v>1</v>
      </c>
      <c r="J461" s="2">
        <f t="shared" si="25"/>
        <v>1.5900000000000003</v>
      </c>
      <c r="K461" s="2">
        <f t="shared" si="23"/>
        <v>-1.5900000000000003</v>
      </c>
    </row>
    <row r="462" spans="1:13" hidden="1">
      <c r="A462" s="2" t="s">
        <v>3679</v>
      </c>
      <c r="B462" s="2" t="s">
        <v>3688</v>
      </c>
      <c r="C462" s="2" t="s">
        <v>3690</v>
      </c>
      <c r="D462" s="8">
        <v>1.1000000000000001</v>
      </c>
      <c r="E462" s="8">
        <v>8.65</v>
      </c>
      <c r="F462" s="8">
        <v>13</v>
      </c>
      <c r="G462" s="205">
        <v>3</v>
      </c>
      <c r="H462" s="205">
        <v>0</v>
      </c>
      <c r="I462" s="2">
        <f t="shared" si="24"/>
        <v>3</v>
      </c>
      <c r="J462" s="2">
        <f t="shared" si="25"/>
        <v>11.9</v>
      </c>
      <c r="K462" s="2">
        <f t="shared" si="23"/>
        <v>-11.9</v>
      </c>
    </row>
    <row r="463" spans="1:13" hidden="1">
      <c r="A463" s="2" t="s">
        <v>3679</v>
      </c>
      <c r="B463" s="2" t="s">
        <v>3688</v>
      </c>
      <c r="C463" s="2" t="s">
        <v>3691</v>
      </c>
      <c r="D463" s="8">
        <v>9.9</v>
      </c>
      <c r="E463" s="8">
        <v>5.55</v>
      </c>
      <c r="F463" s="8">
        <v>1.22</v>
      </c>
      <c r="G463" s="205">
        <v>1</v>
      </c>
      <c r="H463" s="205">
        <v>2</v>
      </c>
      <c r="I463" s="2">
        <f t="shared" si="24"/>
        <v>-1</v>
      </c>
      <c r="J463" s="2">
        <f t="shared" si="25"/>
        <v>8.68</v>
      </c>
      <c r="K463" s="2">
        <f t="shared" si="23"/>
        <v>8.68</v>
      </c>
    </row>
    <row r="464" spans="1:13" hidden="1">
      <c r="A464" s="2" t="s">
        <v>3679</v>
      </c>
      <c r="B464" s="2" t="s">
        <v>3692</v>
      </c>
      <c r="C464" s="2" t="s">
        <v>3693</v>
      </c>
      <c r="D464" s="8">
        <v>2.11</v>
      </c>
      <c r="E464" s="8">
        <v>3.72</v>
      </c>
      <c r="F464" s="8">
        <v>2.81</v>
      </c>
      <c r="G464" s="205">
        <v>1</v>
      </c>
      <c r="H464" s="205">
        <v>0</v>
      </c>
      <c r="I464" s="2">
        <f t="shared" si="24"/>
        <v>1</v>
      </c>
      <c r="J464" s="2">
        <f t="shared" si="25"/>
        <v>0.70000000000000018</v>
      </c>
      <c r="K464" s="2">
        <f t="shared" si="23"/>
        <v>-0.70000000000000018</v>
      </c>
      <c r="L464" s="2" t="s">
        <v>3677</v>
      </c>
      <c r="M464" s="2" t="s">
        <v>3677</v>
      </c>
    </row>
    <row r="465" spans="1:13" hidden="1">
      <c r="A465" s="2" t="s">
        <v>3679</v>
      </c>
      <c r="B465" s="2" t="s">
        <v>3299</v>
      </c>
      <c r="C465" s="2" t="s">
        <v>3694</v>
      </c>
      <c r="D465" s="8">
        <v>2.64</v>
      </c>
      <c r="E465" s="8">
        <v>4.3</v>
      </c>
      <c r="F465" s="8">
        <v>2</v>
      </c>
      <c r="G465" s="205">
        <v>0</v>
      </c>
      <c r="H465" s="205">
        <v>1</v>
      </c>
      <c r="I465" s="2">
        <f t="shared" si="24"/>
        <v>-1</v>
      </c>
      <c r="J465" s="2">
        <f t="shared" si="25"/>
        <v>0.64000000000000012</v>
      </c>
      <c r="K465" s="2">
        <f t="shared" si="23"/>
        <v>0.64000000000000012</v>
      </c>
    </row>
    <row r="466" spans="1:13" hidden="1">
      <c r="A466" s="2" t="s">
        <v>3679</v>
      </c>
      <c r="B466" s="2" t="s">
        <v>3299</v>
      </c>
      <c r="C466" s="2" t="s">
        <v>3695</v>
      </c>
      <c r="D466" s="8">
        <v>1.64</v>
      </c>
      <c r="E466" s="8">
        <v>4.37</v>
      </c>
      <c r="F466" s="8">
        <v>3.67</v>
      </c>
      <c r="G466" s="205">
        <v>3</v>
      </c>
      <c r="H466" s="205">
        <v>0</v>
      </c>
      <c r="I466" s="2">
        <f t="shared" si="24"/>
        <v>3</v>
      </c>
      <c r="J466" s="2">
        <f t="shared" si="25"/>
        <v>2.0300000000000002</v>
      </c>
      <c r="K466" s="2">
        <f t="shared" si="23"/>
        <v>-2.0300000000000002</v>
      </c>
    </row>
    <row r="467" spans="1:13" hidden="1">
      <c r="A467" s="2" t="s">
        <v>3679</v>
      </c>
      <c r="B467" s="2" t="s">
        <v>3299</v>
      </c>
      <c r="C467" s="2" t="s">
        <v>3696</v>
      </c>
      <c r="D467" s="8">
        <v>1.1399999999999999</v>
      </c>
      <c r="E467" s="8">
        <v>7.55</v>
      </c>
      <c r="F467" s="8">
        <v>9.65</v>
      </c>
      <c r="G467" s="205">
        <v>2</v>
      </c>
      <c r="H467" s="205">
        <v>1</v>
      </c>
      <c r="I467" s="2">
        <f t="shared" si="24"/>
        <v>1</v>
      </c>
      <c r="J467" s="2">
        <f t="shared" si="25"/>
        <v>8.51</v>
      </c>
      <c r="K467" s="2">
        <f t="shared" si="23"/>
        <v>-8.51</v>
      </c>
    </row>
    <row r="468" spans="1:13" hidden="1">
      <c r="A468" s="2" t="s">
        <v>3679</v>
      </c>
      <c r="B468" s="2" t="s">
        <v>3697</v>
      </c>
      <c r="C468" s="2" t="s">
        <v>3698</v>
      </c>
      <c r="D468" s="8">
        <v>1.54</v>
      </c>
      <c r="E468" s="8">
        <v>4.37</v>
      </c>
      <c r="F468" s="8">
        <v>4.3499999999999996</v>
      </c>
      <c r="G468" s="205">
        <v>1</v>
      </c>
      <c r="H468" s="205">
        <v>2</v>
      </c>
      <c r="I468" s="2">
        <f t="shared" si="24"/>
        <v>-1</v>
      </c>
      <c r="J468" s="2">
        <f t="shared" si="25"/>
        <v>2.8099999999999996</v>
      </c>
      <c r="K468" s="2">
        <f t="shared" si="23"/>
        <v>-2.8099999999999996</v>
      </c>
    </row>
    <row r="469" spans="1:13" hidden="1">
      <c r="A469" s="2" t="s">
        <v>3679</v>
      </c>
      <c r="B469" s="2" t="s">
        <v>3299</v>
      </c>
      <c r="C469" s="2" t="s">
        <v>3699</v>
      </c>
      <c r="D469" s="8">
        <v>1.66</v>
      </c>
      <c r="E469" s="8">
        <v>4.45</v>
      </c>
      <c r="F469" s="8">
        <v>3.55</v>
      </c>
      <c r="G469" s="205">
        <v>2</v>
      </c>
      <c r="H469" s="205">
        <v>0</v>
      </c>
      <c r="I469" s="2">
        <f t="shared" si="24"/>
        <v>2</v>
      </c>
      <c r="J469" s="2">
        <f t="shared" si="25"/>
        <v>1.89</v>
      </c>
      <c r="K469" s="2">
        <f t="shared" si="23"/>
        <v>-1.89</v>
      </c>
    </row>
    <row r="470" spans="1:13" hidden="1">
      <c r="A470" s="2" t="s">
        <v>3679</v>
      </c>
      <c r="B470" s="2" t="s">
        <v>3299</v>
      </c>
      <c r="C470" s="2" t="s">
        <v>3700</v>
      </c>
      <c r="D470" s="8">
        <v>12.5</v>
      </c>
      <c r="E470" s="8">
        <v>8.5500000000000007</v>
      </c>
      <c r="F470" s="8">
        <v>1.1000000000000001</v>
      </c>
      <c r="G470" s="205">
        <v>0</v>
      </c>
      <c r="H470" s="205">
        <v>5</v>
      </c>
      <c r="I470" s="2">
        <f t="shared" si="24"/>
        <v>-5</v>
      </c>
      <c r="J470" s="2">
        <f t="shared" si="25"/>
        <v>11.4</v>
      </c>
      <c r="K470" s="2">
        <f t="shared" si="23"/>
        <v>11.4</v>
      </c>
    </row>
    <row r="471" spans="1:13" hidden="1">
      <c r="A471" s="2" t="s">
        <v>3679</v>
      </c>
      <c r="B471" s="2" t="s">
        <v>3701</v>
      </c>
      <c r="C471" s="2" t="s">
        <v>3702</v>
      </c>
      <c r="D471" s="8">
        <v>2.2200000000000002</v>
      </c>
      <c r="E471" s="8">
        <v>3.52</v>
      </c>
      <c r="F471" s="8">
        <v>2.74</v>
      </c>
      <c r="G471" s="205">
        <v>0</v>
      </c>
      <c r="H471" s="205">
        <v>1</v>
      </c>
      <c r="I471" s="2">
        <f t="shared" si="24"/>
        <v>-1</v>
      </c>
      <c r="J471" s="2">
        <f t="shared" si="25"/>
        <v>0.52</v>
      </c>
      <c r="K471" s="2">
        <f t="shared" si="23"/>
        <v>-0.52</v>
      </c>
      <c r="L471" s="2" t="s">
        <v>3678</v>
      </c>
      <c r="M471" s="2" t="s">
        <v>3677</v>
      </c>
    </row>
    <row r="472" spans="1:13" hidden="1">
      <c r="A472" s="2" t="s">
        <v>3679</v>
      </c>
      <c r="B472" s="2" t="s">
        <v>3701</v>
      </c>
      <c r="C472" s="2" t="s">
        <v>3703</v>
      </c>
      <c r="D472" s="8">
        <v>2.02</v>
      </c>
      <c r="E472" s="8">
        <v>3.62</v>
      </c>
      <c r="F472" s="8">
        <v>3.03</v>
      </c>
      <c r="G472" s="205">
        <v>2</v>
      </c>
      <c r="H472" s="205">
        <v>1</v>
      </c>
      <c r="I472" s="2">
        <f t="shared" si="24"/>
        <v>1</v>
      </c>
      <c r="J472" s="2">
        <f t="shared" si="25"/>
        <v>1.0099999999999998</v>
      </c>
      <c r="K472" s="2">
        <f t="shared" si="23"/>
        <v>-1.0099999999999998</v>
      </c>
      <c r="L472" s="2" t="s">
        <v>3678</v>
      </c>
      <c r="M472" s="2" t="s">
        <v>3678</v>
      </c>
    </row>
    <row r="473" spans="1:13" hidden="1">
      <c r="A473" s="2" t="s">
        <v>3679</v>
      </c>
      <c r="B473" s="2" t="s">
        <v>3396</v>
      </c>
      <c r="C473" s="2" t="s">
        <v>3704</v>
      </c>
      <c r="D473" s="8">
        <v>1.38</v>
      </c>
      <c r="E473" s="8">
        <v>3.62</v>
      </c>
      <c r="F473" s="8">
        <v>7.2</v>
      </c>
      <c r="G473" s="205">
        <v>1</v>
      </c>
      <c r="H473" s="205">
        <v>0</v>
      </c>
      <c r="I473" s="2">
        <f t="shared" si="24"/>
        <v>1</v>
      </c>
      <c r="J473" s="2">
        <f t="shared" si="25"/>
        <v>5.82</v>
      </c>
      <c r="K473" s="2">
        <f t="shared" si="23"/>
        <v>-5.82</v>
      </c>
    </row>
    <row r="474" spans="1:13" hidden="1">
      <c r="A474" s="2" t="s">
        <v>3679</v>
      </c>
      <c r="B474" s="2" t="s">
        <v>3705</v>
      </c>
      <c r="C474" s="2" t="s">
        <v>3706</v>
      </c>
      <c r="D474" s="8">
        <v>3</v>
      </c>
      <c r="E474" s="8">
        <v>2.91</v>
      </c>
      <c r="F474" s="8">
        <v>2.16</v>
      </c>
      <c r="G474" s="205">
        <v>0</v>
      </c>
      <c r="H474" s="205">
        <v>3</v>
      </c>
      <c r="I474" s="2">
        <f t="shared" si="24"/>
        <v>-3</v>
      </c>
      <c r="J474" s="2">
        <f t="shared" si="25"/>
        <v>0.83999999999999986</v>
      </c>
      <c r="K474" s="2">
        <f t="shared" si="23"/>
        <v>0.83999999999999986</v>
      </c>
    </row>
    <row r="475" spans="1:13" hidden="1">
      <c r="A475" s="2" t="s">
        <v>3679</v>
      </c>
      <c r="B475" s="2" t="s">
        <v>3658</v>
      </c>
      <c r="C475" s="2" t="s">
        <v>3707</v>
      </c>
      <c r="D475" s="8">
        <v>1.22</v>
      </c>
      <c r="E475" s="8">
        <v>4.88</v>
      </c>
      <c r="F475" s="8">
        <v>8.4</v>
      </c>
      <c r="G475" s="205">
        <v>2</v>
      </c>
      <c r="H475" s="205">
        <v>1</v>
      </c>
      <c r="I475" s="2">
        <f t="shared" si="24"/>
        <v>1</v>
      </c>
      <c r="J475" s="2">
        <f t="shared" si="25"/>
        <v>7.1800000000000006</v>
      </c>
      <c r="K475" s="2">
        <f t="shared" si="23"/>
        <v>-7.1800000000000006</v>
      </c>
    </row>
    <row r="476" spans="1:13" hidden="1">
      <c r="A476" s="2" t="s">
        <v>3679</v>
      </c>
      <c r="B476" s="2" t="s">
        <v>3688</v>
      </c>
      <c r="C476" s="2" t="s">
        <v>3708</v>
      </c>
      <c r="D476" s="8">
        <v>6</v>
      </c>
      <c r="E476" s="8">
        <v>4.18</v>
      </c>
      <c r="F476" s="8">
        <v>1.44</v>
      </c>
      <c r="G476" s="205">
        <v>1</v>
      </c>
      <c r="H476" s="205">
        <v>3</v>
      </c>
      <c r="I476" s="2">
        <f t="shared" si="24"/>
        <v>-2</v>
      </c>
      <c r="J476" s="2">
        <f t="shared" si="25"/>
        <v>4.5600000000000005</v>
      </c>
      <c r="K476" s="2">
        <f t="shared" si="23"/>
        <v>4.5600000000000005</v>
      </c>
    </row>
    <row r="477" spans="1:13" hidden="1">
      <c r="A477" s="2" t="s">
        <v>3679</v>
      </c>
      <c r="B477" s="2" t="s">
        <v>3688</v>
      </c>
      <c r="C477" s="2" t="s">
        <v>3709</v>
      </c>
      <c r="D477" s="8">
        <v>1.52</v>
      </c>
      <c r="E477" s="8">
        <v>4.08</v>
      </c>
      <c r="F477" s="8">
        <v>5.0999999999999996</v>
      </c>
      <c r="G477" s="205">
        <v>1</v>
      </c>
      <c r="H477" s="205">
        <v>0</v>
      </c>
      <c r="I477" s="2">
        <f t="shared" si="24"/>
        <v>1</v>
      </c>
      <c r="J477" s="2">
        <f t="shared" si="25"/>
        <v>3.5799999999999996</v>
      </c>
      <c r="K477" s="2">
        <f t="shared" si="23"/>
        <v>-3.5799999999999996</v>
      </c>
    </row>
    <row r="478" spans="1:13" hidden="1">
      <c r="A478" s="2" t="s">
        <v>3679</v>
      </c>
      <c r="B478" s="2" t="s">
        <v>3688</v>
      </c>
      <c r="C478" s="2" t="s">
        <v>3710</v>
      </c>
      <c r="D478" s="8">
        <v>5.85</v>
      </c>
      <c r="E478" s="8">
        <v>4.82</v>
      </c>
      <c r="F478" s="8">
        <v>1.38</v>
      </c>
      <c r="G478" s="205">
        <v>0</v>
      </c>
      <c r="H478" s="205">
        <v>4</v>
      </c>
      <c r="I478" s="2">
        <f t="shared" si="24"/>
        <v>-4</v>
      </c>
      <c r="J478" s="2">
        <f t="shared" si="25"/>
        <v>4.47</v>
      </c>
      <c r="K478" s="2">
        <f t="shared" si="23"/>
        <v>4.47</v>
      </c>
    </row>
    <row r="479" spans="1:13" hidden="1">
      <c r="A479" s="2" t="s">
        <v>3679</v>
      </c>
      <c r="B479" s="2" t="s">
        <v>3199</v>
      </c>
      <c r="C479" s="2" t="s">
        <v>3711</v>
      </c>
      <c r="D479" s="8">
        <v>1.85</v>
      </c>
      <c r="E479" s="8">
        <v>3.4</v>
      </c>
      <c r="F479" s="8">
        <v>3.63</v>
      </c>
      <c r="G479" s="205">
        <v>1</v>
      </c>
      <c r="H479" s="205">
        <v>1</v>
      </c>
      <c r="I479" s="2">
        <f t="shared" si="24"/>
        <v>0</v>
      </c>
      <c r="J479" s="2">
        <f t="shared" si="25"/>
        <v>1.7799999999999998</v>
      </c>
      <c r="K479" s="2">
        <f t="shared" si="23"/>
        <v>-1.7799999999999998</v>
      </c>
    </row>
    <row r="480" spans="1:13" hidden="1">
      <c r="A480" s="2" t="s">
        <v>3679</v>
      </c>
      <c r="B480" s="2" t="s">
        <v>3199</v>
      </c>
      <c r="C480" s="2" t="s">
        <v>3712</v>
      </c>
      <c r="D480" s="8">
        <v>1.53</v>
      </c>
      <c r="E480" s="8">
        <v>3.83</v>
      </c>
      <c r="F480" s="8">
        <v>5.0999999999999996</v>
      </c>
      <c r="G480" s="205">
        <v>3</v>
      </c>
      <c r="H480" s="205">
        <v>0</v>
      </c>
      <c r="I480" s="2">
        <f t="shared" si="24"/>
        <v>3</v>
      </c>
      <c r="J480" s="2">
        <f t="shared" si="25"/>
        <v>3.5699999999999994</v>
      </c>
      <c r="K480" s="2">
        <f t="shared" si="23"/>
        <v>-3.5699999999999994</v>
      </c>
    </row>
    <row r="481" spans="1:13" hidden="1">
      <c r="A481" s="2" t="s">
        <v>3679</v>
      </c>
      <c r="B481" s="2" t="s">
        <v>3169</v>
      </c>
      <c r="C481" s="2" t="s">
        <v>3713</v>
      </c>
      <c r="D481" s="8">
        <v>2.12</v>
      </c>
      <c r="E481" s="8">
        <v>3.05</v>
      </c>
      <c r="F481" s="8">
        <v>2.94</v>
      </c>
      <c r="G481" s="205">
        <v>1</v>
      </c>
      <c r="H481" s="205">
        <v>2</v>
      </c>
      <c r="I481" s="2">
        <f t="shared" si="24"/>
        <v>-1</v>
      </c>
      <c r="J481" s="2">
        <f t="shared" si="25"/>
        <v>0.81999999999999984</v>
      </c>
      <c r="K481" s="2">
        <f t="shared" si="23"/>
        <v>-0.81999999999999984</v>
      </c>
      <c r="L481" s="2" t="s">
        <v>3678</v>
      </c>
      <c r="M481" s="2" t="s">
        <v>3677</v>
      </c>
    </row>
    <row r="482" spans="1:13" hidden="1">
      <c r="A482" s="2" t="s">
        <v>3679</v>
      </c>
      <c r="B482" s="2" t="s">
        <v>3701</v>
      </c>
      <c r="C482" s="2" t="s">
        <v>3714</v>
      </c>
      <c r="D482" s="8">
        <v>2.64</v>
      </c>
      <c r="E482" s="8">
        <v>3.48</v>
      </c>
      <c r="F482" s="8">
        <v>2.31</v>
      </c>
      <c r="G482" s="205">
        <v>2</v>
      </c>
      <c r="H482" s="205">
        <v>0</v>
      </c>
      <c r="I482" s="2">
        <f t="shared" si="24"/>
        <v>2</v>
      </c>
      <c r="J482" s="2">
        <f t="shared" si="25"/>
        <v>0.33000000000000007</v>
      </c>
      <c r="K482" s="2">
        <f t="shared" si="23"/>
        <v>0.33000000000000007</v>
      </c>
    </row>
    <row r="483" spans="1:13" hidden="1">
      <c r="A483" s="2" t="s">
        <v>3679</v>
      </c>
      <c r="B483" s="2" t="s">
        <v>3402</v>
      </c>
      <c r="C483" s="2" t="s">
        <v>3715</v>
      </c>
      <c r="D483" s="8">
        <v>2.25</v>
      </c>
      <c r="E483" s="8">
        <v>3.23</v>
      </c>
      <c r="F483" s="8">
        <v>2.58</v>
      </c>
      <c r="G483" s="205">
        <v>1</v>
      </c>
      <c r="H483" s="205">
        <v>0</v>
      </c>
      <c r="I483" s="2">
        <f t="shared" si="24"/>
        <v>1</v>
      </c>
      <c r="J483" s="2">
        <f t="shared" si="25"/>
        <v>0.33000000000000007</v>
      </c>
      <c r="K483" s="2">
        <f t="shared" si="23"/>
        <v>-0.33000000000000007</v>
      </c>
      <c r="L483" s="2" t="s">
        <v>3677</v>
      </c>
      <c r="M483" s="2" t="s">
        <v>3677</v>
      </c>
    </row>
    <row r="484" spans="1:13" hidden="1">
      <c r="A484" s="2" t="s">
        <v>3679</v>
      </c>
      <c r="B484" s="2" t="s">
        <v>3407</v>
      </c>
      <c r="C484" s="2" t="s">
        <v>3716</v>
      </c>
      <c r="D484" s="8">
        <v>1.32</v>
      </c>
      <c r="E484" s="8">
        <v>4.97</v>
      </c>
      <c r="F484" s="8">
        <v>10</v>
      </c>
      <c r="G484" s="205">
        <v>2</v>
      </c>
      <c r="H484" s="205">
        <v>0</v>
      </c>
      <c r="I484" s="2">
        <f t="shared" si="24"/>
        <v>2</v>
      </c>
      <c r="J484" s="2">
        <f t="shared" si="25"/>
        <v>8.68</v>
      </c>
      <c r="K484" s="2">
        <f t="shared" si="23"/>
        <v>-8.68</v>
      </c>
    </row>
    <row r="485" spans="1:13" hidden="1">
      <c r="A485" s="2" t="s">
        <v>3679</v>
      </c>
      <c r="B485" s="2" t="s">
        <v>3150</v>
      </c>
      <c r="C485" s="2" t="s">
        <v>3717</v>
      </c>
      <c r="D485" s="8">
        <v>15.5</v>
      </c>
      <c r="E485" s="8">
        <v>6.85</v>
      </c>
      <c r="F485" s="8">
        <v>1.18</v>
      </c>
      <c r="G485" s="205">
        <v>0</v>
      </c>
      <c r="H485" s="205">
        <v>3</v>
      </c>
      <c r="I485" s="2">
        <f t="shared" si="24"/>
        <v>-3</v>
      </c>
      <c r="J485" s="2">
        <f t="shared" si="25"/>
        <v>14.32</v>
      </c>
      <c r="K485" s="2">
        <f t="shared" si="23"/>
        <v>14.32</v>
      </c>
    </row>
    <row r="486" spans="1:13" hidden="1">
      <c r="A486" s="2" t="s">
        <v>3679</v>
      </c>
      <c r="B486" s="2" t="s">
        <v>3718</v>
      </c>
      <c r="C486" s="2" t="s">
        <v>3719</v>
      </c>
      <c r="D486" s="8">
        <v>2.69</v>
      </c>
      <c r="E486" s="8">
        <v>2.92</v>
      </c>
      <c r="F486" s="8">
        <v>2.35</v>
      </c>
      <c r="G486" s="205">
        <v>2</v>
      </c>
      <c r="H486" s="205">
        <v>1</v>
      </c>
      <c r="I486" s="2">
        <f t="shared" si="24"/>
        <v>1</v>
      </c>
      <c r="J486" s="2">
        <f t="shared" si="25"/>
        <v>0.33999999999999986</v>
      </c>
      <c r="K486" s="2">
        <f t="shared" si="23"/>
        <v>0.33999999999999986</v>
      </c>
    </row>
    <row r="487" spans="1:13" hidden="1">
      <c r="A487" s="2" t="s">
        <v>3679</v>
      </c>
      <c r="B487" s="2" t="s">
        <v>3718</v>
      </c>
      <c r="C487" s="2" t="s">
        <v>3720</v>
      </c>
      <c r="D487" s="8">
        <v>2.35</v>
      </c>
      <c r="E487" s="8">
        <v>2.92</v>
      </c>
      <c r="F487" s="8">
        <v>2.69</v>
      </c>
      <c r="G487" s="205">
        <v>0</v>
      </c>
      <c r="H487" s="205">
        <v>2</v>
      </c>
      <c r="I487" s="2">
        <f t="shared" si="24"/>
        <v>-2</v>
      </c>
      <c r="J487" s="2">
        <f t="shared" si="25"/>
        <v>0.33999999999999986</v>
      </c>
      <c r="K487" s="2">
        <f t="shared" si="23"/>
        <v>-0.33999999999999986</v>
      </c>
      <c r="L487" s="2" t="s">
        <v>3677</v>
      </c>
      <c r="M487" s="2" t="s">
        <v>3678</v>
      </c>
    </row>
    <row r="488" spans="1:13" hidden="1">
      <c r="A488" s="2" t="s">
        <v>3679</v>
      </c>
      <c r="B488" s="2" t="s">
        <v>3718</v>
      </c>
      <c r="C488" s="2" t="s">
        <v>3721</v>
      </c>
      <c r="D488" s="8">
        <v>2.57</v>
      </c>
      <c r="E488" s="8">
        <v>2.94</v>
      </c>
      <c r="F488" s="8">
        <v>2.4300000000000002</v>
      </c>
      <c r="G488" s="205">
        <v>2</v>
      </c>
      <c r="H488" s="205">
        <v>0</v>
      </c>
      <c r="I488" s="2">
        <f t="shared" si="24"/>
        <v>2</v>
      </c>
      <c r="J488" s="2">
        <f t="shared" si="25"/>
        <v>0.13999999999999968</v>
      </c>
      <c r="K488" s="2">
        <f t="shared" si="23"/>
        <v>0.13999999999999968</v>
      </c>
    </row>
    <row r="489" spans="1:13" hidden="1">
      <c r="A489" s="2" t="s">
        <v>3679</v>
      </c>
      <c r="B489" s="2" t="s">
        <v>3197</v>
      </c>
      <c r="C489" s="2" t="s">
        <v>3722</v>
      </c>
      <c r="D489" s="8">
        <v>2.87</v>
      </c>
      <c r="E489" s="8">
        <v>3.23</v>
      </c>
      <c r="F489" s="8">
        <v>2.62</v>
      </c>
      <c r="G489" s="205">
        <v>1</v>
      </c>
      <c r="H489" s="205">
        <v>1</v>
      </c>
      <c r="I489" s="2">
        <f t="shared" si="24"/>
        <v>0</v>
      </c>
      <c r="J489" s="2">
        <f t="shared" si="25"/>
        <v>0.25</v>
      </c>
      <c r="K489" s="2">
        <f t="shared" si="23"/>
        <v>0.25</v>
      </c>
    </row>
    <row r="490" spans="1:13" hidden="1">
      <c r="A490" s="2" t="s">
        <v>3679</v>
      </c>
      <c r="B490" s="2" t="s">
        <v>3140</v>
      </c>
      <c r="C490" s="2" t="s">
        <v>3723</v>
      </c>
      <c r="D490" s="8">
        <v>3.12</v>
      </c>
      <c r="E490" s="8">
        <v>3.73</v>
      </c>
      <c r="F490" s="8">
        <v>2.13</v>
      </c>
      <c r="G490" s="205">
        <v>2</v>
      </c>
      <c r="H490" s="205">
        <v>0</v>
      </c>
      <c r="I490" s="2">
        <f t="shared" si="24"/>
        <v>2</v>
      </c>
      <c r="J490" s="2">
        <f t="shared" si="25"/>
        <v>0.99000000000000021</v>
      </c>
      <c r="K490" s="2">
        <f t="shared" si="23"/>
        <v>0.99000000000000021</v>
      </c>
    </row>
    <row r="491" spans="1:13" hidden="1">
      <c r="A491" s="2" t="s">
        <v>3679</v>
      </c>
      <c r="B491" s="2" t="s">
        <v>3140</v>
      </c>
      <c r="C491" s="2" t="s">
        <v>3724</v>
      </c>
      <c r="D491" s="8">
        <v>2.97</v>
      </c>
      <c r="E491" s="8">
        <v>3.3</v>
      </c>
      <c r="F491" s="8">
        <v>2.38</v>
      </c>
      <c r="G491" s="205">
        <v>0</v>
      </c>
      <c r="H491" s="205">
        <v>2</v>
      </c>
      <c r="I491" s="2">
        <f t="shared" si="24"/>
        <v>-2</v>
      </c>
      <c r="J491" s="2">
        <f t="shared" si="25"/>
        <v>0.5900000000000003</v>
      </c>
      <c r="K491" s="2">
        <f t="shared" si="23"/>
        <v>0.5900000000000003</v>
      </c>
    </row>
    <row r="492" spans="1:13" hidden="1">
      <c r="A492" s="2" t="s">
        <v>3679</v>
      </c>
      <c r="B492" s="2" t="s">
        <v>3701</v>
      </c>
      <c r="C492" s="2" t="s">
        <v>3725</v>
      </c>
      <c r="D492" s="8">
        <v>1.51</v>
      </c>
      <c r="E492" s="8">
        <v>4.08</v>
      </c>
      <c r="F492" s="8">
        <v>5.15</v>
      </c>
      <c r="G492" s="205">
        <v>1</v>
      </c>
      <c r="H492" s="205">
        <v>1</v>
      </c>
      <c r="I492" s="2">
        <f t="shared" si="24"/>
        <v>0</v>
      </c>
      <c r="J492" s="2">
        <f t="shared" si="25"/>
        <v>3.6400000000000006</v>
      </c>
      <c r="K492" s="2">
        <f t="shared" si="23"/>
        <v>-3.6400000000000006</v>
      </c>
    </row>
    <row r="493" spans="1:13" hidden="1">
      <c r="A493" s="2" t="s">
        <v>3679</v>
      </c>
      <c r="B493" s="2" t="s">
        <v>3535</v>
      </c>
      <c r="C493" s="2" t="s">
        <v>3726</v>
      </c>
      <c r="D493" s="8">
        <v>1.97</v>
      </c>
      <c r="E493" s="8">
        <v>3.32</v>
      </c>
      <c r="F493" s="8">
        <v>3.03</v>
      </c>
      <c r="G493" s="205">
        <v>2</v>
      </c>
      <c r="H493" s="205">
        <v>1</v>
      </c>
      <c r="I493" s="2">
        <f t="shared" si="24"/>
        <v>1</v>
      </c>
      <c r="J493" s="2">
        <f t="shared" si="25"/>
        <v>1.0599999999999998</v>
      </c>
      <c r="K493" s="2">
        <f t="shared" si="23"/>
        <v>-1.0599999999999998</v>
      </c>
    </row>
    <row r="494" spans="1:13" hidden="1">
      <c r="A494" s="2" t="s">
        <v>3679</v>
      </c>
      <c r="B494" s="2" t="s">
        <v>3184</v>
      </c>
      <c r="C494" s="2" t="s">
        <v>3727</v>
      </c>
      <c r="D494" s="8">
        <v>1.55</v>
      </c>
      <c r="E494" s="8">
        <v>4.63</v>
      </c>
      <c r="F494" s="8">
        <v>5.9</v>
      </c>
      <c r="G494" s="205">
        <v>0</v>
      </c>
      <c r="H494" s="205">
        <v>0</v>
      </c>
      <c r="I494" s="2">
        <f t="shared" si="24"/>
        <v>0</v>
      </c>
      <c r="J494" s="2">
        <f t="shared" si="25"/>
        <v>4.3500000000000005</v>
      </c>
      <c r="K494" s="2">
        <f t="shared" si="23"/>
        <v>-4.3500000000000005</v>
      </c>
    </row>
    <row r="495" spans="1:13" hidden="1">
      <c r="A495" s="2" t="s">
        <v>3679</v>
      </c>
      <c r="B495" s="2" t="s">
        <v>3248</v>
      </c>
      <c r="C495" s="2" t="s">
        <v>3728</v>
      </c>
      <c r="D495" s="8">
        <v>1.8</v>
      </c>
      <c r="E495" s="8">
        <v>3.3</v>
      </c>
      <c r="F495" s="8">
        <v>3.55</v>
      </c>
      <c r="G495" s="205">
        <v>0</v>
      </c>
      <c r="H495" s="205">
        <v>1</v>
      </c>
      <c r="I495" s="2">
        <f t="shared" si="24"/>
        <v>-1</v>
      </c>
      <c r="J495" s="2">
        <f t="shared" si="25"/>
        <v>1.7499999999999998</v>
      </c>
      <c r="K495" s="2">
        <f t="shared" si="23"/>
        <v>-1.7499999999999998</v>
      </c>
    </row>
    <row r="496" spans="1:13" hidden="1">
      <c r="A496" s="2" t="s">
        <v>3679</v>
      </c>
      <c r="B496" s="2" t="s">
        <v>3239</v>
      </c>
      <c r="C496" s="2" t="s">
        <v>3729</v>
      </c>
      <c r="D496" s="8">
        <v>1.85</v>
      </c>
      <c r="E496" s="8">
        <v>3.32</v>
      </c>
      <c r="F496" s="8">
        <v>4.62</v>
      </c>
      <c r="G496" s="205">
        <v>1</v>
      </c>
      <c r="H496" s="205">
        <v>0</v>
      </c>
      <c r="I496" s="2">
        <f t="shared" si="24"/>
        <v>1</v>
      </c>
      <c r="J496" s="2">
        <f t="shared" si="25"/>
        <v>2.77</v>
      </c>
      <c r="K496" s="2">
        <f t="shared" si="23"/>
        <v>-2.77</v>
      </c>
    </row>
    <row r="497" spans="1:13" hidden="1">
      <c r="A497" s="2" t="s">
        <v>3679</v>
      </c>
      <c r="B497" s="2" t="s">
        <v>3325</v>
      </c>
      <c r="C497" s="2" t="s">
        <v>3730</v>
      </c>
      <c r="D497" s="8">
        <v>1.39</v>
      </c>
      <c r="E497" s="8">
        <v>4.88</v>
      </c>
      <c r="F497" s="8">
        <v>7.25</v>
      </c>
      <c r="G497" s="205">
        <v>3</v>
      </c>
      <c r="H497" s="205">
        <v>0</v>
      </c>
      <c r="I497" s="2">
        <f t="shared" si="24"/>
        <v>3</v>
      </c>
      <c r="J497" s="2">
        <f t="shared" si="25"/>
        <v>5.86</v>
      </c>
      <c r="K497" s="2">
        <f t="shared" si="23"/>
        <v>-5.86</v>
      </c>
    </row>
    <row r="498" spans="1:13" hidden="1">
      <c r="A498" s="2" t="s">
        <v>3679</v>
      </c>
      <c r="B498" s="2" t="s">
        <v>3325</v>
      </c>
      <c r="C498" s="2" t="s">
        <v>3731</v>
      </c>
      <c r="D498" s="8">
        <v>1.76</v>
      </c>
      <c r="E498" s="8">
        <v>3.95</v>
      </c>
      <c r="F498" s="8">
        <v>4.18</v>
      </c>
      <c r="G498" s="205">
        <v>3</v>
      </c>
      <c r="H498" s="205">
        <v>1</v>
      </c>
      <c r="I498" s="2">
        <f t="shared" si="24"/>
        <v>2</v>
      </c>
      <c r="J498" s="2">
        <f t="shared" si="25"/>
        <v>2.42</v>
      </c>
      <c r="K498" s="2">
        <f t="shared" si="23"/>
        <v>-2.42</v>
      </c>
    </row>
    <row r="499" spans="1:13" hidden="1">
      <c r="A499" s="2" t="s">
        <v>3679</v>
      </c>
      <c r="B499" s="2" t="s">
        <v>3732</v>
      </c>
      <c r="C499" s="2" t="s">
        <v>3733</v>
      </c>
      <c r="D499" s="8">
        <v>2.9</v>
      </c>
      <c r="E499" s="8">
        <v>3.73</v>
      </c>
      <c r="F499" s="8">
        <v>2.2400000000000002</v>
      </c>
      <c r="G499" s="205">
        <v>2</v>
      </c>
      <c r="H499" s="205">
        <v>0</v>
      </c>
      <c r="I499" s="2">
        <f t="shared" si="24"/>
        <v>2</v>
      </c>
      <c r="J499" s="2">
        <f t="shared" si="25"/>
        <v>0.6599999999999997</v>
      </c>
      <c r="K499" s="2">
        <f t="shared" si="23"/>
        <v>0.6599999999999997</v>
      </c>
    </row>
    <row r="500" spans="1:13" hidden="1">
      <c r="A500" s="2" t="s">
        <v>3679</v>
      </c>
      <c r="B500" s="2" t="s">
        <v>3359</v>
      </c>
      <c r="C500" s="2" t="s">
        <v>3734</v>
      </c>
      <c r="D500" s="8">
        <v>1.7</v>
      </c>
      <c r="E500" s="8">
        <v>3.22</v>
      </c>
      <c r="F500" s="8">
        <v>4.17</v>
      </c>
      <c r="G500" s="205">
        <v>1</v>
      </c>
      <c r="H500" s="205">
        <v>0</v>
      </c>
      <c r="I500" s="2">
        <f t="shared" si="24"/>
        <v>1</v>
      </c>
      <c r="J500" s="2">
        <f t="shared" si="25"/>
        <v>2.4699999999999998</v>
      </c>
      <c r="K500" s="2">
        <f t="shared" si="23"/>
        <v>-2.4699999999999998</v>
      </c>
    </row>
    <row r="501" spans="1:13" hidden="1">
      <c r="A501" s="2" t="s">
        <v>3679</v>
      </c>
      <c r="B501" s="2" t="s">
        <v>3156</v>
      </c>
      <c r="C501" s="2" t="s">
        <v>3735</v>
      </c>
      <c r="D501" s="8">
        <v>5.05</v>
      </c>
      <c r="E501" s="8">
        <v>3.83</v>
      </c>
      <c r="F501" s="8">
        <v>1.59</v>
      </c>
      <c r="G501" s="205">
        <v>0</v>
      </c>
      <c r="H501" s="205">
        <v>3</v>
      </c>
      <c r="I501" s="2">
        <f t="shared" si="24"/>
        <v>-3</v>
      </c>
      <c r="J501" s="2">
        <f t="shared" si="25"/>
        <v>3.46</v>
      </c>
      <c r="K501" s="2">
        <f t="shared" si="23"/>
        <v>3.46</v>
      </c>
    </row>
    <row r="502" spans="1:13" hidden="1">
      <c r="A502" s="2" t="s">
        <v>3679</v>
      </c>
      <c r="B502" s="2" t="s">
        <v>3600</v>
      </c>
      <c r="C502" s="2" t="s">
        <v>3736</v>
      </c>
      <c r="D502" s="8">
        <v>1.93</v>
      </c>
      <c r="E502" s="8">
        <v>3.25</v>
      </c>
      <c r="F502" s="8">
        <v>3.2</v>
      </c>
      <c r="G502" s="205">
        <v>1</v>
      </c>
      <c r="H502" s="205">
        <v>0</v>
      </c>
      <c r="I502" s="2">
        <f t="shared" si="24"/>
        <v>1</v>
      </c>
      <c r="J502" s="2">
        <f t="shared" si="25"/>
        <v>1.2700000000000002</v>
      </c>
      <c r="K502" s="2">
        <f t="shared" si="23"/>
        <v>-1.2700000000000002</v>
      </c>
    </row>
    <row r="503" spans="1:13" hidden="1">
      <c r="A503" s="2" t="s">
        <v>3679</v>
      </c>
      <c r="B503" s="2" t="s">
        <v>1698</v>
      </c>
      <c r="C503" s="2" t="s">
        <v>3737</v>
      </c>
      <c r="D503" s="8">
        <v>1.47</v>
      </c>
      <c r="E503" s="8">
        <v>4.57</v>
      </c>
      <c r="F503" s="8">
        <v>7.05</v>
      </c>
      <c r="G503" s="205">
        <v>1</v>
      </c>
      <c r="H503" s="205">
        <v>1</v>
      </c>
      <c r="I503" s="2">
        <f t="shared" si="24"/>
        <v>0</v>
      </c>
      <c r="J503" s="2">
        <f t="shared" si="25"/>
        <v>5.58</v>
      </c>
      <c r="K503" s="2">
        <f t="shared" si="23"/>
        <v>-5.58</v>
      </c>
    </row>
    <row r="504" spans="1:13" hidden="1">
      <c r="A504" s="2" t="s">
        <v>3679</v>
      </c>
      <c r="B504" s="2" t="s">
        <v>3738</v>
      </c>
      <c r="C504" s="2" t="s">
        <v>3739</v>
      </c>
      <c r="D504" s="8">
        <v>2.21</v>
      </c>
      <c r="E504" s="8">
        <v>3.03</v>
      </c>
      <c r="F504" s="8">
        <v>2.79</v>
      </c>
      <c r="G504" s="205">
        <v>2</v>
      </c>
      <c r="H504" s="205">
        <v>1</v>
      </c>
      <c r="I504" s="2">
        <f t="shared" si="24"/>
        <v>1</v>
      </c>
      <c r="J504" s="2">
        <f t="shared" si="25"/>
        <v>0.58000000000000007</v>
      </c>
      <c r="K504" s="2">
        <f t="shared" si="23"/>
        <v>-0.58000000000000007</v>
      </c>
      <c r="L504" s="2" t="s">
        <v>3677</v>
      </c>
      <c r="M504" s="2" t="s">
        <v>3677</v>
      </c>
    </row>
    <row r="505" spans="1:13" hidden="1">
      <c r="A505" s="2" t="s">
        <v>3679</v>
      </c>
      <c r="B505" s="2" t="s">
        <v>3740</v>
      </c>
      <c r="C505" s="2" t="s">
        <v>3741</v>
      </c>
      <c r="D505" s="8">
        <v>3.6</v>
      </c>
      <c r="E505" s="8">
        <v>3.45</v>
      </c>
      <c r="F505" s="8">
        <v>2.16</v>
      </c>
      <c r="G505" s="205">
        <v>2</v>
      </c>
      <c r="H505" s="205">
        <v>2</v>
      </c>
      <c r="I505" s="2">
        <f t="shared" si="24"/>
        <v>0</v>
      </c>
      <c r="J505" s="2">
        <f t="shared" si="25"/>
        <v>1.44</v>
      </c>
      <c r="K505" s="2">
        <f t="shared" si="23"/>
        <v>1.44</v>
      </c>
    </row>
    <row r="506" spans="1:13" hidden="1">
      <c r="A506" s="2" t="s">
        <v>3679</v>
      </c>
      <c r="B506" s="2" t="s">
        <v>3742</v>
      </c>
      <c r="C506" s="2" t="s">
        <v>3743</v>
      </c>
      <c r="D506" s="8">
        <v>1.43</v>
      </c>
      <c r="E506" s="8">
        <v>4.47</v>
      </c>
      <c r="F506" s="8">
        <v>5.4</v>
      </c>
      <c r="G506" s="205">
        <v>1</v>
      </c>
      <c r="H506" s="205">
        <v>0</v>
      </c>
      <c r="I506" s="2">
        <f t="shared" si="24"/>
        <v>1</v>
      </c>
      <c r="J506" s="2">
        <f t="shared" si="25"/>
        <v>3.9700000000000006</v>
      </c>
      <c r="K506" s="2">
        <f t="shared" si="23"/>
        <v>-3.9700000000000006</v>
      </c>
    </row>
    <row r="507" spans="1:13" hidden="1">
      <c r="A507" s="2" t="s">
        <v>3679</v>
      </c>
      <c r="B507" s="2" t="s">
        <v>3274</v>
      </c>
      <c r="C507" s="2" t="s">
        <v>3744</v>
      </c>
      <c r="D507" s="8">
        <v>2.97</v>
      </c>
      <c r="E507" s="8">
        <v>2.92</v>
      </c>
      <c r="F507" s="8">
        <v>2.85</v>
      </c>
      <c r="G507" s="205">
        <v>1</v>
      </c>
      <c r="H507" s="205">
        <v>1</v>
      </c>
      <c r="I507" s="2">
        <f t="shared" si="24"/>
        <v>0</v>
      </c>
      <c r="J507" s="2">
        <f t="shared" si="25"/>
        <v>0.12000000000000011</v>
      </c>
      <c r="K507" s="2">
        <f t="shared" si="23"/>
        <v>0.12000000000000011</v>
      </c>
    </row>
    <row r="508" spans="1:13" hidden="1">
      <c r="A508" s="2" t="s">
        <v>3679</v>
      </c>
      <c r="B508" s="2" t="s">
        <v>3745</v>
      </c>
      <c r="C508" s="2" t="s">
        <v>3746</v>
      </c>
      <c r="D508" s="8">
        <v>3.03</v>
      </c>
      <c r="E508" s="8">
        <v>3.3</v>
      </c>
      <c r="F508" s="8">
        <v>1.97</v>
      </c>
      <c r="G508" s="205">
        <v>0</v>
      </c>
      <c r="H508" s="205">
        <v>2</v>
      </c>
      <c r="I508" s="2">
        <f t="shared" si="24"/>
        <v>-2</v>
      </c>
      <c r="J508" s="2">
        <f t="shared" si="25"/>
        <v>1.0599999999999998</v>
      </c>
      <c r="K508" s="2">
        <f t="shared" si="23"/>
        <v>1.0599999999999998</v>
      </c>
    </row>
    <row r="509" spans="1:13" hidden="1">
      <c r="A509" s="2" t="s">
        <v>3679</v>
      </c>
      <c r="B509" s="2" t="s">
        <v>3745</v>
      </c>
      <c r="C509" s="2" t="s">
        <v>3747</v>
      </c>
      <c r="D509" s="8">
        <v>1.48</v>
      </c>
      <c r="E509" s="8">
        <v>3.85</v>
      </c>
      <c r="F509" s="8">
        <v>4.93</v>
      </c>
      <c r="G509" s="205">
        <v>2</v>
      </c>
      <c r="H509" s="205">
        <v>0</v>
      </c>
      <c r="I509" s="2">
        <f t="shared" si="24"/>
        <v>2</v>
      </c>
      <c r="J509" s="2">
        <f t="shared" si="25"/>
        <v>3.4499999999999997</v>
      </c>
      <c r="K509" s="2">
        <f t="shared" si="23"/>
        <v>-3.4499999999999997</v>
      </c>
    </row>
    <row r="510" spans="1:13" hidden="1">
      <c r="A510" s="2" t="s">
        <v>3679</v>
      </c>
      <c r="B510" s="2" t="s">
        <v>3745</v>
      </c>
      <c r="C510" s="2" t="s">
        <v>3748</v>
      </c>
      <c r="D510" s="8">
        <v>1.1499999999999999</v>
      </c>
      <c r="E510" s="8">
        <v>5.65</v>
      </c>
      <c r="F510" s="8">
        <v>11</v>
      </c>
      <c r="G510" s="205">
        <v>4</v>
      </c>
      <c r="H510" s="205">
        <v>0</v>
      </c>
      <c r="I510" s="2">
        <f t="shared" si="24"/>
        <v>4</v>
      </c>
      <c r="J510" s="2">
        <f t="shared" si="25"/>
        <v>9.85</v>
      </c>
      <c r="K510" s="2">
        <f t="shared" si="23"/>
        <v>-9.85</v>
      </c>
    </row>
    <row r="511" spans="1:13" hidden="1">
      <c r="A511" s="2" t="s">
        <v>3679</v>
      </c>
      <c r="B511" s="2" t="s">
        <v>3745</v>
      </c>
      <c r="C511" s="2" t="s">
        <v>3749</v>
      </c>
      <c r="D511" s="8">
        <v>1.1499999999999999</v>
      </c>
      <c r="E511" s="8">
        <v>5.65</v>
      </c>
      <c r="F511" s="8">
        <v>10.25</v>
      </c>
      <c r="G511" s="205">
        <v>4</v>
      </c>
      <c r="H511" s="205">
        <v>0</v>
      </c>
      <c r="I511" s="2">
        <f t="shared" si="24"/>
        <v>4</v>
      </c>
      <c r="J511" s="2">
        <f t="shared" si="25"/>
        <v>9.1</v>
      </c>
      <c r="K511" s="2">
        <f t="shared" si="23"/>
        <v>-9.1</v>
      </c>
    </row>
    <row r="512" spans="1:13" hidden="1">
      <c r="A512" s="2" t="s">
        <v>3679</v>
      </c>
      <c r="B512" s="2" t="s">
        <v>3167</v>
      </c>
      <c r="C512" s="2" t="s">
        <v>3750</v>
      </c>
      <c r="D512" s="8">
        <v>1.96</v>
      </c>
      <c r="E512" s="8">
        <v>2.88</v>
      </c>
      <c r="F512" s="8">
        <v>3.52</v>
      </c>
      <c r="G512" s="205">
        <v>1</v>
      </c>
      <c r="H512" s="205">
        <v>2</v>
      </c>
      <c r="I512" s="2">
        <f t="shared" si="24"/>
        <v>-1</v>
      </c>
      <c r="J512" s="2">
        <f t="shared" si="25"/>
        <v>1.56</v>
      </c>
      <c r="K512" s="2">
        <f t="shared" si="23"/>
        <v>-1.56</v>
      </c>
    </row>
    <row r="513" spans="1:13" hidden="1">
      <c r="A513" s="2" t="s">
        <v>3679</v>
      </c>
      <c r="B513" s="2" t="s">
        <v>3575</v>
      </c>
      <c r="C513" s="2" t="s">
        <v>3751</v>
      </c>
      <c r="D513" s="8">
        <v>1.88</v>
      </c>
      <c r="E513" s="8">
        <v>2.84</v>
      </c>
      <c r="F513" s="8">
        <v>3.9</v>
      </c>
      <c r="G513" s="205">
        <v>1</v>
      </c>
      <c r="H513" s="205">
        <v>1</v>
      </c>
      <c r="I513" s="2">
        <f t="shared" si="24"/>
        <v>0</v>
      </c>
      <c r="J513" s="2">
        <f t="shared" si="25"/>
        <v>2.02</v>
      </c>
      <c r="K513" s="2">
        <f t="shared" ref="K513:K576" si="26">+D513-F513</f>
        <v>-2.02</v>
      </c>
    </row>
    <row r="514" spans="1:13" hidden="1">
      <c r="A514" s="2" t="s">
        <v>3679</v>
      </c>
      <c r="B514" s="2" t="s">
        <v>3575</v>
      </c>
      <c r="C514" s="2" t="s">
        <v>3752</v>
      </c>
      <c r="D514" s="8">
        <v>4.9800000000000004</v>
      </c>
      <c r="E514" s="8">
        <v>3.1</v>
      </c>
      <c r="F514" s="8">
        <v>1.62</v>
      </c>
      <c r="G514" s="205">
        <v>1</v>
      </c>
      <c r="H514" s="205">
        <v>4</v>
      </c>
      <c r="I514" s="2">
        <f t="shared" ref="I514:I577" si="27">+G514-H514</f>
        <v>-3</v>
      </c>
      <c r="J514" s="2">
        <f t="shared" ref="J514:J577" si="28">ABS(+D514-F514)</f>
        <v>3.3600000000000003</v>
      </c>
      <c r="K514" s="2">
        <f t="shared" si="26"/>
        <v>3.3600000000000003</v>
      </c>
    </row>
    <row r="515" spans="1:13">
      <c r="A515" s="2" t="s">
        <v>3679</v>
      </c>
      <c r="B515" s="2" t="s">
        <v>3589</v>
      </c>
      <c r="C515" s="2" t="s">
        <v>3753</v>
      </c>
      <c r="D515" s="8">
        <v>1.01</v>
      </c>
      <c r="E515" s="8">
        <v>16.5</v>
      </c>
      <c r="F515" s="8">
        <v>21.5</v>
      </c>
      <c r="G515" s="205">
        <v>2</v>
      </c>
      <c r="H515" s="205">
        <v>1</v>
      </c>
      <c r="I515" s="2">
        <f t="shared" si="27"/>
        <v>1</v>
      </c>
      <c r="J515" s="2">
        <f t="shared" si="28"/>
        <v>20.49</v>
      </c>
      <c r="K515" s="2">
        <f t="shared" si="26"/>
        <v>-20.49</v>
      </c>
    </row>
    <row r="516" spans="1:13" hidden="1">
      <c r="A516" s="2" t="s">
        <v>3679</v>
      </c>
      <c r="B516" s="2" t="s">
        <v>3754</v>
      </c>
      <c r="C516" s="2" t="s">
        <v>3755</v>
      </c>
      <c r="D516" s="8">
        <v>1.35</v>
      </c>
      <c r="E516" s="8">
        <v>4.8</v>
      </c>
      <c r="F516" s="8">
        <v>9.0500000000000007</v>
      </c>
      <c r="G516" s="205">
        <v>1</v>
      </c>
      <c r="H516" s="205">
        <v>1</v>
      </c>
      <c r="I516" s="2">
        <f t="shared" si="27"/>
        <v>0</v>
      </c>
      <c r="J516" s="2">
        <f t="shared" si="28"/>
        <v>7.7000000000000011</v>
      </c>
      <c r="K516" s="2">
        <f t="shared" si="26"/>
        <v>-7.7000000000000011</v>
      </c>
    </row>
    <row r="517" spans="1:13" hidden="1">
      <c r="A517" s="2" t="s">
        <v>3679</v>
      </c>
      <c r="B517" s="2" t="s">
        <v>3377</v>
      </c>
      <c r="C517" s="2" t="s">
        <v>3756</v>
      </c>
      <c r="D517" s="8">
        <v>3.25</v>
      </c>
      <c r="E517" s="8">
        <v>3.08</v>
      </c>
      <c r="F517" s="8">
        <v>2.4500000000000002</v>
      </c>
      <c r="G517" s="205">
        <v>1</v>
      </c>
      <c r="H517" s="205">
        <v>3</v>
      </c>
      <c r="I517" s="2">
        <f t="shared" si="27"/>
        <v>-2</v>
      </c>
      <c r="J517" s="2">
        <f t="shared" si="28"/>
        <v>0.79999999999999982</v>
      </c>
      <c r="K517" s="2">
        <f t="shared" si="26"/>
        <v>0.79999999999999982</v>
      </c>
    </row>
    <row r="518" spans="1:13" hidden="1">
      <c r="A518" s="2" t="s">
        <v>3679</v>
      </c>
      <c r="B518" s="2" t="s">
        <v>3174</v>
      </c>
      <c r="C518" s="2" t="s">
        <v>3757</v>
      </c>
      <c r="D518" s="8">
        <v>1.95</v>
      </c>
      <c r="E518" s="8">
        <v>3.52</v>
      </c>
      <c r="F518" s="8">
        <v>4.3</v>
      </c>
      <c r="G518" s="205">
        <v>2</v>
      </c>
      <c r="H518" s="205">
        <v>1</v>
      </c>
      <c r="I518" s="2">
        <f t="shared" si="27"/>
        <v>1</v>
      </c>
      <c r="J518" s="2">
        <f t="shared" si="28"/>
        <v>2.3499999999999996</v>
      </c>
      <c r="K518" s="2">
        <f t="shared" si="26"/>
        <v>-2.3499999999999996</v>
      </c>
    </row>
    <row r="519" spans="1:13" hidden="1">
      <c r="A519" s="2" t="s">
        <v>3679</v>
      </c>
      <c r="B519" s="2" t="s">
        <v>3228</v>
      </c>
      <c r="C519" s="2" t="s">
        <v>3758</v>
      </c>
      <c r="D519" s="8">
        <v>1.66</v>
      </c>
      <c r="E519" s="8">
        <v>3.37</v>
      </c>
      <c r="F519" s="8">
        <v>6.25</v>
      </c>
      <c r="G519" s="205">
        <v>3</v>
      </c>
      <c r="H519" s="205">
        <v>1</v>
      </c>
      <c r="I519" s="2">
        <f t="shared" si="27"/>
        <v>2</v>
      </c>
      <c r="J519" s="2">
        <f t="shared" si="28"/>
        <v>4.59</v>
      </c>
      <c r="K519" s="2">
        <f t="shared" si="26"/>
        <v>-4.59</v>
      </c>
    </row>
    <row r="520" spans="1:13" hidden="1">
      <c r="A520" s="2" t="s">
        <v>3679</v>
      </c>
      <c r="B520" s="2" t="s">
        <v>3575</v>
      </c>
      <c r="C520" s="2" t="s">
        <v>3759</v>
      </c>
      <c r="D520" s="8">
        <v>2.81</v>
      </c>
      <c r="E520" s="8">
        <v>2.81</v>
      </c>
      <c r="F520" s="8">
        <v>2.34</v>
      </c>
      <c r="G520" s="205">
        <v>1</v>
      </c>
      <c r="H520" s="205">
        <v>3</v>
      </c>
      <c r="I520" s="2">
        <f t="shared" si="27"/>
        <v>-2</v>
      </c>
      <c r="J520" s="2">
        <f t="shared" si="28"/>
        <v>0.4700000000000002</v>
      </c>
      <c r="K520" s="2">
        <f t="shared" si="26"/>
        <v>0.4700000000000002</v>
      </c>
    </row>
    <row r="521" spans="1:13" hidden="1">
      <c r="A521" s="2" t="s">
        <v>3679</v>
      </c>
      <c r="B521" s="2" t="s">
        <v>3333</v>
      </c>
      <c r="C521" s="2" t="s">
        <v>3760</v>
      </c>
      <c r="D521" s="8">
        <v>2.1800000000000002</v>
      </c>
      <c r="E521" s="8">
        <v>3.15</v>
      </c>
      <c r="F521" s="8">
        <v>3.53</v>
      </c>
      <c r="G521" s="205">
        <v>2</v>
      </c>
      <c r="H521" s="205">
        <v>1</v>
      </c>
      <c r="I521" s="2">
        <f t="shared" si="27"/>
        <v>1</v>
      </c>
      <c r="J521" s="2">
        <f t="shared" si="28"/>
        <v>1.3499999999999996</v>
      </c>
      <c r="K521" s="2">
        <f t="shared" si="26"/>
        <v>-1.3499999999999996</v>
      </c>
      <c r="L521" s="2" t="s">
        <v>3678</v>
      </c>
      <c r="M521" s="2" t="s">
        <v>3678</v>
      </c>
    </row>
    <row r="522" spans="1:13" hidden="1">
      <c r="A522" s="2" t="s">
        <v>3679</v>
      </c>
      <c r="B522" s="2" t="s">
        <v>3158</v>
      </c>
      <c r="C522" s="2" t="s">
        <v>3761</v>
      </c>
      <c r="D522" s="8">
        <v>1.73</v>
      </c>
      <c r="E522" s="8">
        <v>3.63</v>
      </c>
      <c r="F522" s="8">
        <v>5.35</v>
      </c>
      <c r="G522" s="205">
        <v>2</v>
      </c>
      <c r="H522" s="205">
        <v>1</v>
      </c>
      <c r="I522" s="2">
        <f t="shared" si="27"/>
        <v>1</v>
      </c>
      <c r="J522" s="2">
        <f t="shared" si="28"/>
        <v>3.6199999999999997</v>
      </c>
      <c r="K522" s="2">
        <f t="shared" si="26"/>
        <v>-3.6199999999999997</v>
      </c>
    </row>
    <row r="523" spans="1:13" hidden="1">
      <c r="A523" s="2" t="s">
        <v>3679</v>
      </c>
      <c r="B523" s="2" t="s">
        <v>3535</v>
      </c>
      <c r="C523" s="2" t="s">
        <v>3762</v>
      </c>
      <c r="D523" s="8">
        <v>1.86</v>
      </c>
      <c r="E523" s="8">
        <v>3.2</v>
      </c>
      <c r="F523" s="8">
        <v>3.43</v>
      </c>
      <c r="G523" s="205">
        <v>2</v>
      </c>
      <c r="H523" s="205">
        <v>0</v>
      </c>
      <c r="I523" s="2">
        <f t="shared" si="27"/>
        <v>2</v>
      </c>
      <c r="J523" s="2">
        <f t="shared" si="28"/>
        <v>1.57</v>
      </c>
      <c r="K523" s="2">
        <f t="shared" si="26"/>
        <v>-1.57</v>
      </c>
    </row>
    <row r="524" spans="1:13" hidden="1">
      <c r="A524" s="2" t="s">
        <v>3679</v>
      </c>
      <c r="B524" s="2" t="s">
        <v>3126</v>
      </c>
      <c r="C524" s="2" t="s">
        <v>3763</v>
      </c>
      <c r="D524" s="8">
        <v>1.49</v>
      </c>
      <c r="E524" s="8">
        <v>3.95</v>
      </c>
      <c r="F524" s="8">
        <v>7.3</v>
      </c>
      <c r="G524" s="205">
        <v>4</v>
      </c>
      <c r="H524" s="205">
        <v>1</v>
      </c>
      <c r="I524" s="2">
        <f t="shared" si="27"/>
        <v>3</v>
      </c>
      <c r="J524" s="2">
        <f t="shared" si="28"/>
        <v>5.81</v>
      </c>
      <c r="K524" s="2">
        <f t="shared" si="26"/>
        <v>-5.81</v>
      </c>
    </row>
    <row r="525" spans="1:13" hidden="1">
      <c r="A525" s="2" t="s">
        <v>3679</v>
      </c>
      <c r="B525" s="2" t="s">
        <v>3410</v>
      </c>
      <c r="C525" s="2" t="s">
        <v>3764</v>
      </c>
      <c r="D525" s="8">
        <v>1.98</v>
      </c>
      <c r="E525" s="8">
        <v>3.5</v>
      </c>
      <c r="F525" s="8">
        <v>3.72</v>
      </c>
      <c r="G525" s="205">
        <v>0</v>
      </c>
      <c r="H525" s="205">
        <v>1</v>
      </c>
      <c r="I525" s="2">
        <f t="shared" si="27"/>
        <v>-1</v>
      </c>
      <c r="J525" s="2">
        <f t="shared" si="28"/>
        <v>1.7400000000000002</v>
      </c>
      <c r="K525" s="2">
        <f t="shared" si="26"/>
        <v>-1.7400000000000002</v>
      </c>
    </row>
    <row r="526" spans="1:13" hidden="1">
      <c r="A526" s="2" t="s">
        <v>3679</v>
      </c>
      <c r="B526" s="2" t="s">
        <v>3765</v>
      </c>
      <c r="C526" s="2" t="s">
        <v>3766</v>
      </c>
      <c r="D526" s="8">
        <v>2.2000000000000002</v>
      </c>
      <c r="E526" s="8">
        <v>3.45</v>
      </c>
      <c r="F526" s="8">
        <v>3.18</v>
      </c>
      <c r="G526" s="205">
        <v>1</v>
      </c>
      <c r="H526" s="205">
        <v>1</v>
      </c>
      <c r="I526" s="2">
        <f t="shared" si="27"/>
        <v>0</v>
      </c>
      <c r="J526" s="2">
        <f t="shared" si="28"/>
        <v>0.98</v>
      </c>
      <c r="K526" s="2">
        <f t="shared" si="26"/>
        <v>-0.98</v>
      </c>
      <c r="L526" s="2" t="s">
        <v>3677</v>
      </c>
      <c r="M526" s="2" t="s">
        <v>3678</v>
      </c>
    </row>
    <row r="527" spans="1:13" hidden="1">
      <c r="A527" s="2" t="s">
        <v>3679</v>
      </c>
      <c r="B527" s="2" t="s">
        <v>3333</v>
      </c>
      <c r="C527" s="2" t="s">
        <v>3767</v>
      </c>
      <c r="D527" s="8">
        <v>1.66</v>
      </c>
      <c r="E527" s="8">
        <v>3.72</v>
      </c>
      <c r="F527" s="8">
        <v>5.3</v>
      </c>
      <c r="G527" s="205">
        <v>1</v>
      </c>
      <c r="H527" s="205">
        <v>0</v>
      </c>
      <c r="I527" s="2">
        <f t="shared" si="27"/>
        <v>1</v>
      </c>
      <c r="J527" s="2">
        <f t="shared" si="28"/>
        <v>3.6399999999999997</v>
      </c>
      <c r="K527" s="2">
        <f t="shared" si="26"/>
        <v>-3.6399999999999997</v>
      </c>
    </row>
    <row r="528" spans="1:13" hidden="1">
      <c r="A528" s="2" t="s">
        <v>3679</v>
      </c>
      <c r="B528" s="2" t="s">
        <v>3137</v>
      </c>
      <c r="C528" s="2" t="s">
        <v>3768</v>
      </c>
      <c r="D528" s="8">
        <v>1.66</v>
      </c>
      <c r="E528" s="8">
        <v>3.58</v>
      </c>
      <c r="F528" s="8">
        <v>5.6</v>
      </c>
      <c r="G528" s="205">
        <v>3</v>
      </c>
      <c r="H528" s="205">
        <v>1</v>
      </c>
      <c r="I528" s="2">
        <f t="shared" si="27"/>
        <v>2</v>
      </c>
      <c r="J528" s="2">
        <f t="shared" si="28"/>
        <v>3.9399999999999995</v>
      </c>
      <c r="K528" s="2">
        <f t="shared" si="26"/>
        <v>-3.9399999999999995</v>
      </c>
    </row>
    <row r="529" spans="1:13" hidden="1">
      <c r="A529" s="2" t="s">
        <v>3679</v>
      </c>
      <c r="B529" s="2" t="s">
        <v>3367</v>
      </c>
      <c r="C529" s="2" t="s">
        <v>3769</v>
      </c>
      <c r="D529" s="8">
        <v>1.59</v>
      </c>
      <c r="E529" s="8">
        <v>3.4</v>
      </c>
      <c r="F529" s="8">
        <v>4.5999999999999996</v>
      </c>
      <c r="G529" s="205">
        <v>1</v>
      </c>
      <c r="H529" s="205">
        <v>1</v>
      </c>
      <c r="I529" s="2">
        <f t="shared" si="27"/>
        <v>0</v>
      </c>
      <c r="J529" s="2">
        <f t="shared" si="28"/>
        <v>3.01</v>
      </c>
      <c r="K529" s="2">
        <f t="shared" si="26"/>
        <v>-3.01</v>
      </c>
    </row>
    <row r="530" spans="1:13" hidden="1">
      <c r="A530" s="2" t="s">
        <v>3679</v>
      </c>
      <c r="B530" s="2" t="s">
        <v>3410</v>
      </c>
      <c r="C530" s="2" t="s">
        <v>3770</v>
      </c>
      <c r="D530" s="8">
        <v>2.09</v>
      </c>
      <c r="E530" s="8">
        <v>3.45</v>
      </c>
      <c r="F530" s="8">
        <v>3.45</v>
      </c>
      <c r="G530" s="205">
        <v>2</v>
      </c>
      <c r="H530" s="205">
        <v>1</v>
      </c>
      <c r="I530" s="2">
        <f t="shared" si="27"/>
        <v>1</v>
      </c>
      <c r="J530" s="2">
        <f t="shared" si="28"/>
        <v>1.3600000000000003</v>
      </c>
      <c r="K530" s="2">
        <f t="shared" si="26"/>
        <v>-1.3600000000000003</v>
      </c>
      <c r="L530" s="2" t="s">
        <v>3677</v>
      </c>
      <c r="M530" s="2" t="s">
        <v>3677</v>
      </c>
    </row>
    <row r="531" spans="1:13" hidden="1">
      <c r="A531" s="2" t="s">
        <v>3771</v>
      </c>
      <c r="B531" s="2" t="s">
        <v>3297</v>
      </c>
      <c r="C531" s="2" t="s">
        <v>3772</v>
      </c>
      <c r="D531" s="2">
        <v>1.75</v>
      </c>
      <c r="E531" s="2">
        <v>3.07</v>
      </c>
      <c r="F531" s="2">
        <v>4.95</v>
      </c>
      <c r="G531" s="205">
        <v>2</v>
      </c>
      <c r="H531" s="205">
        <v>0</v>
      </c>
      <c r="I531" s="2">
        <f t="shared" si="27"/>
        <v>2</v>
      </c>
      <c r="J531" s="2">
        <f t="shared" si="28"/>
        <v>3.2</v>
      </c>
      <c r="K531" s="2">
        <f t="shared" si="26"/>
        <v>-3.2</v>
      </c>
    </row>
    <row r="532" spans="1:13" hidden="1">
      <c r="A532" s="2" t="s">
        <v>3771</v>
      </c>
      <c r="B532" s="2" t="s">
        <v>3340</v>
      </c>
      <c r="C532" s="2" t="s">
        <v>3773</v>
      </c>
      <c r="D532" s="2">
        <v>1.29</v>
      </c>
      <c r="E532" s="2">
        <v>5.15</v>
      </c>
      <c r="F532" s="2">
        <v>9.15</v>
      </c>
      <c r="G532" s="205">
        <v>0</v>
      </c>
      <c r="H532" s="205">
        <v>0</v>
      </c>
      <c r="I532" s="2">
        <f t="shared" si="27"/>
        <v>0</v>
      </c>
      <c r="J532" s="2">
        <f t="shared" si="28"/>
        <v>7.86</v>
      </c>
      <c r="K532" s="2">
        <f t="shared" si="26"/>
        <v>-7.86</v>
      </c>
    </row>
    <row r="533" spans="1:13" hidden="1">
      <c r="A533" s="2" t="s">
        <v>3771</v>
      </c>
      <c r="B533" s="2" t="s">
        <v>3333</v>
      </c>
      <c r="C533" s="2" t="s">
        <v>3774</v>
      </c>
      <c r="D533" s="2">
        <v>4.2300000000000004</v>
      </c>
      <c r="E533" s="2">
        <v>2.98</v>
      </c>
      <c r="F533" s="2">
        <v>2.14</v>
      </c>
      <c r="G533" s="205">
        <v>0</v>
      </c>
      <c r="H533" s="205">
        <v>3</v>
      </c>
      <c r="I533" s="2">
        <f t="shared" si="27"/>
        <v>-3</v>
      </c>
      <c r="J533" s="2">
        <f t="shared" si="28"/>
        <v>2.0900000000000003</v>
      </c>
      <c r="K533" s="2">
        <f t="shared" si="26"/>
        <v>2.0900000000000003</v>
      </c>
    </row>
    <row r="534" spans="1:13" hidden="1">
      <c r="A534" s="2" t="s">
        <v>3771</v>
      </c>
      <c r="B534" s="2" t="s">
        <v>3257</v>
      </c>
      <c r="C534" s="2" t="s">
        <v>3775</v>
      </c>
      <c r="D534" s="2">
        <v>2.37</v>
      </c>
      <c r="E534" s="2">
        <v>2.97</v>
      </c>
      <c r="F534" s="2">
        <v>3.33</v>
      </c>
      <c r="G534" s="205">
        <v>2</v>
      </c>
      <c r="H534" s="205">
        <v>0</v>
      </c>
      <c r="I534" s="2">
        <f t="shared" si="27"/>
        <v>2</v>
      </c>
      <c r="J534" s="2">
        <f t="shared" si="28"/>
        <v>0.96</v>
      </c>
      <c r="K534" s="2">
        <f t="shared" si="26"/>
        <v>-0.96</v>
      </c>
      <c r="L534" s="2" t="s">
        <v>3678</v>
      </c>
      <c r="M534" s="2" t="s">
        <v>3678</v>
      </c>
    </row>
    <row r="535" spans="1:13" hidden="1">
      <c r="A535" s="2" t="s">
        <v>3771</v>
      </c>
      <c r="B535" s="2" t="s">
        <v>3126</v>
      </c>
      <c r="C535" s="2" t="s">
        <v>3776</v>
      </c>
      <c r="D535" s="2">
        <v>1.3</v>
      </c>
      <c r="E535" s="2">
        <v>5.15</v>
      </c>
      <c r="F535" s="2">
        <v>10.25</v>
      </c>
      <c r="G535" s="205">
        <v>1</v>
      </c>
      <c r="H535" s="205">
        <v>1</v>
      </c>
      <c r="I535" s="2">
        <f t="shared" si="27"/>
        <v>0</v>
      </c>
      <c r="J535" s="2">
        <f t="shared" si="28"/>
        <v>8.9499999999999993</v>
      </c>
      <c r="K535" s="2">
        <f t="shared" si="26"/>
        <v>-8.9499999999999993</v>
      </c>
    </row>
    <row r="536" spans="1:13" hidden="1">
      <c r="A536" s="2" t="s">
        <v>3771</v>
      </c>
      <c r="B536" s="2" t="s">
        <v>3250</v>
      </c>
      <c r="C536" s="2" t="s">
        <v>3777</v>
      </c>
      <c r="D536" s="2">
        <v>2.25</v>
      </c>
      <c r="E536" s="2">
        <v>3.33</v>
      </c>
      <c r="F536" s="2">
        <v>3.38</v>
      </c>
      <c r="G536" s="205">
        <v>0</v>
      </c>
      <c r="H536" s="205">
        <v>2</v>
      </c>
      <c r="I536" s="2">
        <f t="shared" si="27"/>
        <v>-2</v>
      </c>
      <c r="J536" s="2">
        <f t="shared" si="28"/>
        <v>1.1299999999999999</v>
      </c>
      <c r="K536" s="2">
        <f t="shared" si="26"/>
        <v>-1.1299999999999999</v>
      </c>
      <c r="L536" s="2" t="s">
        <v>3678</v>
      </c>
      <c r="M536" s="2" t="s">
        <v>3677</v>
      </c>
    </row>
    <row r="537" spans="1:13" hidden="1">
      <c r="A537" s="2" t="s">
        <v>3771</v>
      </c>
      <c r="B537" s="2" t="s">
        <v>3532</v>
      </c>
      <c r="C537" s="2" t="s">
        <v>3778</v>
      </c>
      <c r="D537" s="2">
        <v>1.94</v>
      </c>
      <c r="E537" s="2">
        <v>3.33</v>
      </c>
      <c r="F537" s="2">
        <v>3.53</v>
      </c>
      <c r="G537" s="205">
        <v>2</v>
      </c>
      <c r="H537" s="205">
        <v>0</v>
      </c>
      <c r="I537" s="2">
        <f t="shared" si="27"/>
        <v>2</v>
      </c>
      <c r="J537" s="2">
        <f t="shared" si="28"/>
        <v>1.5899999999999999</v>
      </c>
      <c r="K537" s="2">
        <f t="shared" si="26"/>
        <v>-1.5899999999999999</v>
      </c>
    </row>
    <row r="538" spans="1:13" hidden="1">
      <c r="A538" s="2" t="s">
        <v>3771</v>
      </c>
      <c r="B538" s="2" t="s">
        <v>3532</v>
      </c>
      <c r="C538" s="2" t="s">
        <v>3779</v>
      </c>
      <c r="D538" s="2">
        <v>1.91</v>
      </c>
      <c r="E538" s="2">
        <v>3.6</v>
      </c>
      <c r="F538" s="2">
        <v>3.37</v>
      </c>
      <c r="G538" s="205">
        <v>2</v>
      </c>
      <c r="H538" s="205">
        <v>0</v>
      </c>
      <c r="I538" s="2">
        <f t="shared" si="27"/>
        <v>2</v>
      </c>
      <c r="J538" s="2">
        <f t="shared" si="28"/>
        <v>1.4600000000000002</v>
      </c>
      <c r="K538" s="2">
        <f t="shared" si="26"/>
        <v>-1.4600000000000002</v>
      </c>
    </row>
    <row r="539" spans="1:13" hidden="1">
      <c r="A539" s="2" t="s">
        <v>3771</v>
      </c>
      <c r="B539" s="2" t="s">
        <v>3780</v>
      </c>
      <c r="C539" s="2" t="s">
        <v>3781</v>
      </c>
      <c r="D539" s="2">
        <v>1.81</v>
      </c>
      <c r="E539" s="2">
        <v>3.43</v>
      </c>
      <c r="F539" s="2">
        <v>3.93</v>
      </c>
      <c r="G539" s="205">
        <v>0</v>
      </c>
      <c r="H539" s="205">
        <v>1</v>
      </c>
      <c r="I539" s="2">
        <f t="shared" si="27"/>
        <v>-1</v>
      </c>
      <c r="J539" s="2">
        <f t="shared" si="28"/>
        <v>2.12</v>
      </c>
      <c r="K539" s="2">
        <f t="shared" si="26"/>
        <v>-2.12</v>
      </c>
    </row>
    <row r="540" spans="1:13">
      <c r="A540" s="2" t="s">
        <v>3771</v>
      </c>
      <c r="B540" s="2" t="s">
        <v>3589</v>
      </c>
      <c r="C540" s="2" t="s">
        <v>3782</v>
      </c>
      <c r="D540" s="2">
        <v>2.4700000000000002</v>
      </c>
      <c r="E540" s="2">
        <v>3.13</v>
      </c>
      <c r="F540" s="2">
        <v>2.66</v>
      </c>
      <c r="G540" s="205">
        <v>0</v>
      </c>
      <c r="H540" s="205">
        <v>2</v>
      </c>
      <c r="I540" s="2">
        <f t="shared" si="27"/>
        <v>-2</v>
      </c>
      <c r="J540" s="2">
        <f t="shared" si="28"/>
        <v>0.18999999999999995</v>
      </c>
      <c r="K540" s="2">
        <f t="shared" si="26"/>
        <v>-0.18999999999999995</v>
      </c>
      <c r="L540" s="2" t="s">
        <v>3677</v>
      </c>
      <c r="M540" s="2" t="s">
        <v>3678</v>
      </c>
    </row>
    <row r="541" spans="1:13" hidden="1">
      <c r="A541" s="2" t="s">
        <v>3771</v>
      </c>
      <c r="B541" s="2" t="s">
        <v>3532</v>
      </c>
      <c r="C541" s="2" t="s">
        <v>3783</v>
      </c>
      <c r="D541" s="2">
        <v>1.77</v>
      </c>
      <c r="E541" s="2">
        <v>3.5</v>
      </c>
      <c r="F541" s="2">
        <v>3.45</v>
      </c>
      <c r="G541" s="205">
        <v>1</v>
      </c>
      <c r="H541" s="205">
        <v>2</v>
      </c>
      <c r="I541" s="2">
        <f t="shared" si="27"/>
        <v>-1</v>
      </c>
      <c r="J541" s="2">
        <f t="shared" si="28"/>
        <v>1.6800000000000002</v>
      </c>
      <c r="K541" s="2">
        <f t="shared" si="26"/>
        <v>-1.6800000000000002</v>
      </c>
    </row>
    <row r="542" spans="1:13" hidden="1">
      <c r="A542" s="2" t="s">
        <v>3771</v>
      </c>
      <c r="B542" s="2" t="s">
        <v>3784</v>
      </c>
      <c r="C542" s="2" t="s">
        <v>3785</v>
      </c>
      <c r="D542" s="2">
        <v>2.35</v>
      </c>
      <c r="E542" s="2">
        <v>3.12</v>
      </c>
      <c r="F542" s="2">
        <v>2.54</v>
      </c>
      <c r="G542" s="205">
        <v>2</v>
      </c>
      <c r="H542" s="205">
        <v>0</v>
      </c>
      <c r="I542" s="2">
        <f t="shared" si="27"/>
        <v>2</v>
      </c>
      <c r="J542" s="2">
        <f t="shared" si="28"/>
        <v>0.18999999999999995</v>
      </c>
      <c r="K542" s="2">
        <f t="shared" si="26"/>
        <v>-0.18999999999999995</v>
      </c>
      <c r="L542" s="2" t="s">
        <v>3678</v>
      </c>
      <c r="M542" s="2" t="s">
        <v>3678</v>
      </c>
    </row>
    <row r="543" spans="1:13" hidden="1">
      <c r="A543" s="2" t="s">
        <v>3771</v>
      </c>
      <c r="B543" s="2" t="s">
        <v>3705</v>
      </c>
      <c r="C543" s="2" t="s">
        <v>3786</v>
      </c>
      <c r="D543" s="2">
        <v>2.8</v>
      </c>
      <c r="E543" s="2">
        <v>3.12</v>
      </c>
      <c r="F543" s="2">
        <v>2.16</v>
      </c>
      <c r="G543" s="205">
        <v>0</v>
      </c>
      <c r="H543" s="205">
        <v>3</v>
      </c>
      <c r="I543" s="2">
        <f t="shared" si="27"/>
        <v>-3</v>
      </c>
      <c r="J543" s="2">
        <f t="shared" si="28"/>
        <v>0.63999999999999968</v>
      </c>
      <c r="K543" s="2">
        <f t="shared" si="26"/>
        <v>0.63999999999999968</v>
      </c>
    </row>
    <row r="544" spans="1:13" hidden="1">
      <c r="A544" s="2" t="s">
        <v>3771</v>
      </c>
      <c r="B544" s="2" t="s">
        <v>3787</v>
      </c>
      <c r="C544" s="2" t="s">
        <v>3788</v>
      </c>
      <c r="D544" s="2">
        <v>3.87</v>
      </c>
      <c r="E544" s="2">
        <v>2.82</v>
      </c>
      <c r="F544" s="2">
        <v>1.9</v>
      </c>
      <c r="G544" s="205">
        <v>1</v>
      </c>
      <c r="H544" s="205">
        <v>1</v>
      </c>
      <c r="I544" s="2">
        <f t="shared" si="27"/>
        <v>0</v>
      </c>
      <c r="J544" s="2">
        <f t="shared" si="28"/>
        <v>1.9700000000000002</v>
      </c>
      <c r="K544" s="2">
        <f t="shared" si="26"/>
        <v>1.9700000000000002</v>
      </c>
    </row>
    <row r="545" spans="1:13" hidden="1">
      <c r="A545" s="2" t="s">
        <v>3771</v>
      </c>
      <c r="B545" s="2" t="s">
        <v>3789</v>
      </c>
      <c r="C545" s="2" t="s">
        <v>3790</v>
      </c>
      <c r="D545" s="2">
        <v>1.1200000000000001</v>
      </c>
      <c r="E545" s="2">
        <v>6.2</v>
      </c>
      <c r="F545" s="2">
        <v>11.25</v>
      </c>
      <c r="G545" s="205">
        <v>4</v>
      </c>
      <c r="H545" s="205">
        <v>1</v>
      </c>
      <c r="I545" s="2">
        <f t="shared" si="27"/>
        <v>3</v>
      </c>
      <c r="J545" s="2">
        <f t="shared" si="28"/>
        <v>10.129999999999999</v>
      </c>
      <c r="K545" s="2">
        <f t="shared" si="26"/>
        <v>-10.129999999999999</v>
      </c>
    </row>
    <row r="546" spans="1:13" hidden="1">
      <c r="A546" s="2" t="s">
        <v>3771</v>
      </c>
      <c r="B546" s="2" t="s">
        <v>3791</v>
      </c>
      <c r="C546" s="2" t="s">
        <v>3792</v>
      </c>
      <c r="D546" s="2">
        <v>1.27</v>
      </c>
      <c r="E546" s="2">
        <v>4.5199999999999996</v>
      </c>
      <c r="F546" s="2">
        <v>7.65</v>
      </c>
      <c r="G546" s="205">
        <v>1</v>
      </c>
      <c r="H546" s="205">
        <v>0</v>
      </c>
      <c r="I546" s="2">
        <f t="shared" si="27"/>
        <v>1</v>
      </c>
      <c r="J546" s="2">
        <f t="shared" si="28"/>
        <v>6.3800000000000008</v>
      </c>
      <c r="K546" s="2">
        <f t="shared" si="26"/>
        <v>-6.3800000000000008</v>
      </c>
    </row>
    <row r="547" spans="1:13" hidden="1">
      <c r="A547" s="2" t="s">
        <v>3771</v>
      </c>
      <c r="B547" s="2" t="s">
        <v>3791</v>
      </c>
      <c r="C547" s="2" t="s">
        <v>3793</v>
      </c>
      <c r="D547" s="2">
        <v>1.38</v>
      </c>
      <c r="E547" s="2">
        <v>4.13</v>
      </c>
      <c r="F547" s="2">
        <v>5.7</v>
      </c>
      <c r="G547" s="205">
        <v>3</v>
      </c>
      <c r="H547" s="205">
        <v>1</v>
      </c>
      <c r="I547" s="2">
        <f t="shared" si="27"/>
        <v>2</v>
      </c>
      <c r="J547" s="2">
        <f t="shared" si="28"/>
        <v>4.32</v>
      </c>
      <c r="K547" s="2">
        <f t="shared" si="26"/>
        <v>-4.32</v>
      </c>
    </row>
    <row r="548" spans="1:13" hidden="1">
      <c r="A548" s="2" t="s">
        <v>3771</v>
      </c>
      <c r="B548" s="2" t="s">
        <v>3692</v>
      </c>
      <c r="C548" s="2" t="s">
        <v>3794</v>
      </c>
      <c r="D548" s="2">
        <v>3.88</v>
      </c>
      <c r="E548" s="2">
        <v>3.42</v>
      </c>
      <c r="F548" s="2">
        <v>1.7</v>
      </c>
      <c r="G548" s="205">
        <v>0</v>
      </c>
      <c r="H548" s="205">
        <v>2</v>
      </c>
      <c r="I548" s="2">
        <f t="shared" si="27"/>
        <v>-2</v>
      </c>
      <c r="J548" s="2">
        <f t="shared" si="28"/>
        <v>2.1799999999999997</v>
      </c>
      <c r="K548" s="2">
        <f t="shared" si="26"/>
        <v>2.1799999999999997</v>
      </c>
    </row>
    <row r="549" spans="1:13" hidden="1">
      <c r="A549" s="2" t="s">
        <v>3771</v>
      </c>
      <c r="B549" s="2" t="s">
        <v>3705</v>
      </c>
      <c r="C549" s="2" t="s">
        <v>3795</v>
      </c>
      <c r="D549" s="2">
        <v>2.06</v>
      </c>
      <c r="E549" s="2">
        <v>2.72</v>
      </c>
      <c r="F549" s="2">
        <v>3.48</v>
      </c>
      <c r="G549" s="205">
        <v>1</v>
      </c>
      <c r="H549" s="205">
        <v>2</v>
      </c>
      <c r="I549" s="2">
        <f t="shared" si="27"/>
        <v>-1</v>
      </c>
      <c r="J549" s="2">
        <f t="shared" si="28"/>
        <v>1.42</v>
      </c>
      <c r="K549" s="2">
        <f t="shared" si="26"/>
        <v>-1.42</v>
      </c>
      <c r="L549" s="2" t="s">
        <v>3678</v>
      </c>
      <c r="M549" s="2" t="s">
        <v>3678</v>
      </c>
    </row>
    <row r="550" spans="1:13" hidden="1">
      <c r="A550" s="2" t="s">
        <v>3771</v>
      </c>
      <c r="B550" s="2" t="s">
        <v>3692</v>
      </c>
      <c r="C550" s="2" t="s">
        <v>3796</v>
      </c>
      <c r="D550" s="2">
        <v>1.69</v>
      </c>
      <c r="E550" s="2">
        <v>3.65</v>
      </c>
      <c r="F550" s="2">
        <v>3.63</v>
      </c>
      <c r="G550" s="205">
        <v>2</v>
      </c>
      <c r="H550" s="205">
        <v>0</v>
      </c>
      <c r="I550" s="2">
        <f t="shared" si="27"/>
        <v>2</v>
      </c>
      <c r="J550" s="2">
        <f t="shared" si="28"/>
        <v>1.94</v>
      </c>
      <c r="K550" s="2">
        <f t="shared" si="26"/>
        <v>-1.94</v>
      </c>
    </row>
    <row r="551" spans="1:13" hidden="1">
      <c r="A551" s="2" t="s">
        <v>3771</v>
      </c>
      <c r="B551" s="2" t="s">
        <v>3692</v>
      </c>
      <c r="C551" s="2" t="s">
        <v>3797</v>
      </c>
      <c r="D551" s="2">
        <v>2.25</v>
      </c>
      <c r="E551" s="2">
        <v>3.12</v>
      </c>
      <c r="F551" s="2">
        <v>2.68</v>
      </c>
      <c r="G551" s="205">
        <v>2</v>
      </c>
      <c r="H551" s="205">
        <v>0</v>
      </c>
      <c r="I551" s="2">
        <f t="shared" si="27"/>
        <v>2</v>
      </c>
      <c r="J551" s="2">
        <f t="shared" si="28"/>
        <v>0.43000000000000016</v>
      </c>
      <c r="K551" s="2">
        <f t="shared" si="26"/>
        <v>-0.43000000000000016</v>
      </c>
      <c r="L551" s="2" t="s">
        <v>3678</v>
      </c>
      <c r="M551" s="2" t="s">
        <v>3678</v>
      </c>
    </row>
    <row r="552" spans="1:13" hidden="1">
      <c r="A552" s="2" t="s">
        <v>3771</v>
      </c>
      <c r="B552" s="2" t="s">
        <v>3705</v>
      </c>
      <c r="C552" s="2" t="s">
        <v>3798</v>
      </c>
      <c r="D552" s="2">
        <v>2.54</v>
      </c>
      <c r="E552" s="2">
        <v>2.68</v>
      </c>
      <c r="F552" s="2">
        <v>2.68</v>
      </c>
      <c r="G552" s="205">
        <v>0</v>
      </c>
      <c r="H552" s="205">
        <v>3</v>
      </c>
      <c r="I552" s="2">
        <f t="shared" si="27"/>
        <v>-3</v>
      </c>
      <c r="J552" s="2">
        <f t="shared" si="28"/>
        <v>0.14000000000000012</v>
      </c>
      <c r="K552" s="2">
        <f t="shared" si="26"/>
        <v>-0.14000000000000012</v>
      </c>
      <c r="L552" s="2" t="s">
        <v>3677</v>
      </c>
      <c r="M552" s="2" t="s">
        <v>3678</v>
      </c>
    </row>
    <row r="553" spans="1:13" hidden="1">
      <c r="A553" s="2" t="s">
        <v>3771</v>
      </c>
      <c r="B553" s="2" t="s">
        <v>3787</v>
      </c>
      <c r="C553" s="2" t="s">
        <v>3799</v>
      </c>
      <c r="D553" s="2">
        <v>1.48</v>
      </c>
      <c r="E553" s="2">
        <v>3.43</v>
      </c>
      <c r="F553" s="2">
        <v>5.8</v>
      </c>
      <c r="G553" s="205">
        <v>0</v>
      </c>
      <c r="H553" s="205">
        <v>1</v>
      </c>
      <c r="I553" s="2">
        <f t="shared" si="27"/>
        <v>-1</v>
      </c>
      <c r="J553" s="2">
        <f t="shared" si="28"/>
        <v>4.32</v>
      </c>
      <c r="K553" s="2">
        <f t="shared" si="26"/>
        <v>-4.32</v>
      </c>
    </row>
    <row r="554" spans="1:13" hidden="1">
      <c r="A554" s="2" t="s">
        <v>3771</v>
      </c>
      <c r="B554" s="2" t="s">
        <v>3236</v>
      </c>
      <c r="C554" s="2" t="s">
        <v>3800</v>
      </c>
      <c r="D554" s="2">
        <v>3.22</v>
      </c>
      <c r="E554" s="2">
        <v>2.85</v>
      </c>
      <c r="F554" s="2">
        <v>2.23</v>
      </c>
      <c r="G554" s="205">
        <v>2</v>
      </c>
      <c r="H554" s="205">
        <v>1</v>
      </c>
      <c r="I554" s="2">
        <f t="shared" si="27"/>
        <v>1</v>
      </c>
      <c r="J554" s="2">
        <f t="shared" si="28"/>
        <v>0.99000000000000021</v>
      </c>
      <c r="K554" s="2">
        <f t="shared" si="26"/>
        <v>0.99000000000000021</v>
      </c>
    </row>
    <row r="555" spans="1:13" hidden="1">
      <c r="A555" s="2" t="s">
        <v>3771</v>
      </c>
      <c r="B555" s="2" t="s">
        <v>3236</v>
      </c>
      <c r="C555" s="2" t="s">
        <v>3801</v>
      </c>
      <c r="D555" s="2">
        <v>1.68</v>
      </c>
      <c r="E555" s="2">
        <v>3.3</v>
      </c>
      <c r="F555" s="2">
        <v>4.7699999999999996</v>
      </c>
      <c r="G555" s="205">
        <v>1</v>
      </c>
      <c r="H555" s="205">
        <v>1</v>
      </c>
      <c r="I555" s="2">
        <f t="shared" si="27"/>
        <v>0</v>
      </c>
      <c r="J555" s="2">
        <f t="shared" si="28"/>
        <v>3.09</v>
      </c>
      <c r="K555" s="2">
        <f t="shared" si="26"/>
        <v>-3.09</v>
      </c>
    </row>
    <row r="556" spans="1:13" hidden="1">
      <c r="A556" s="2" t="s">
        <v>3771</v>
      </c>
      <c r="B556" s="2" t="s">
        <v>3224</v>
      </c>
      <c r="C556" s="2" t="s">
        <v>3802</v>
      </c>
      <c r="D556" s="2">
        <v>2.54</v>
      </c>
      <c r="E556" s="2">
        <v>3.02</v>
      </c>
      <c r="F556" s="2">
        <v>3.28</v>
      </c>
      <c r="G556" s="205">
        <v>2</v>
      </c>
      <c r="H556" s="205">
        <v>0</v>
      </c>
      <c r="I556" s="2">
        <f t="shared" si="27"/>
        <v>2</v>
      </c>
      <c r="J556" s="2">
        <f t="shared" si="28"/>
        <v>0.73999999999999977</v>
      </c>
      <c r="K556" s="2">
        <f t="shared" si="26"/>
        <v>-0.73999999999999977</v>
      </c>
      <c r="L556" s="2" t="s">
        <v>3678</v>
      </c>
      <c r="M556" s="2" t="s">
        <v>3678</v>
      </c>
    </row>
    <row r="557" spans="1:13" hidden="1">
      <c r="A557" s="2" t="s">
        <v>3771</v>
      </c>
      <c r="B557" s="2" t="s">
        <v>3226</v>
      </c>
      <c r="C557" s="2" t="s">
        <v>3803</v>
      </c>
      <c r="D557" s="2">
        <v>3.02</v>
      </c>
      <c r="E557" s="2">
        <v>3.35</v>
      </c>
      <c r="F557" s="2">
        <v>2.33</v>
      </c>
      <c r="G557" s="205">
        <v>2</v>
      </c>
      <c r="H557" s="205">
        <v>1</v>
      </c>
      <c r="I557" s="2">
        <f t="shared" si="27"/>
        <v>1</v>
      </c>
      <c r="J557" s="2">
        <f t="shared" si="28"/>
        <v>0.69</v>
      </c>
      <c r="K557" s="2">
        <f t="shared" si="26"/>
        <v>0.69</v>
      </c>
    </row>
    <row r="558" spans="1:13" hidden="1">
      <c r="A558" s="2" t="s">
        <v>3771</v>
      </c>
      <c r="B558" s="2" t="s">
        <v>3787</v>
      </c>
      <c r="C558" s="2" t="s">
        <v>3804</v>
      </c>
      <c r="D558" s="2">
        <v>2.65</v>
      </c>
      <c r="E558" s="2">
        <v>2.69</v>
      </c>
      <c r="F558" s="2">
        <v>2.5499999999999998</v>
      </c>
      <c r="G558" s="205">
        <v>2</v>
      </c>
      <c r="H558" s="205">
        <v>1</v>
      </c>
      <c r="I558" s="2">
        <f t="shared" si="27"/>
        <v>1</v>
      </c>
      <c r="J558" s="2">
        <f t="shared" si="28"/>
        <v>0.10000000000000009</v>
      </c>
      <c r="K558" s="2">
        <f t="shared" si="26"/>
        <v>0.10000000000000009</v>
      </c>
    </row>
    <row r="559" spans="1:13" hidden="1">
      <c r="A559" s="2" t="s">
        <v>3771</v>
      </c>
      <c r="B559" s="2" t="s">
        <v>3805</v>
      </c>
      <c r="C559" s="2" t="s">
        <v>3806</v>
      </c>
      <c r="D559" s="2">
        <v>3.03</v>
      </c>
      <c r="E559" s="2">
        <v>3</v>
      </c>
      <c r="F559" s="2">
        <v>2.1</v>
      </c>
      <c r="G559" s="205">
        <v>2</v>
      </c>
      <c r="H559" s="205">
        <v>0</v>
      </c>
      <c r="I559" s="2">
        <f t="shared" si="27"/>
        <v>2</v>
      </c>
      <c r="J559" s="2">
        <f t="shared" si="28"/>
        <v>0.92999999999999972</v>
      </c>
      <c r="K559" s="2">
        <f t="shared" si="26"/>
        <v>0.92999999999999972</v>
      </c>
    </row>
    <row r="560" spans="1:13" hidden="1">
      <c r="A560" s="2" t="s">
        <v>3771</v>
      </c>
      <c r="B560" s="2" t="s">
        <v>3738</v>
      </c>
      <c r="C560" s="2" t="s">
        <v>3807</v>
      </c>
      <c r="D560" s="2">
        <v>3.12</v>
      </c>
      <c r="E560" s="2">
        <v>3.22</v>
      </c>
      <c r="F560" s="2">
        <v>1.97</v>
      </c>
      <c r="G560" s="205">
        <v>0</v>
      </c>
      <c r="H560" s="205">
        <v>3</v>
      </c>
      <c r="I560" s="2">
        <f t="shared" si="27"/>
        <v>-3</v>
      </c>
      <c r="J560" s="2">
        <f t="shared" si="28"/>
        <v>1.1500000000000001</v>
      </c>
      <c r="K560" s="2">
        <f t="shared" si="26"/>
        <v>1.1500000000000001</v>
      </c>
    </row>
    <row r="561" spans="1:13" hidden="1">
      <c r="A561" s="2" t="s">
        <v>3771</v>
      </c>
      <c r="B561" s="2" t="s">
        <v>3738</v>
      </c>
      <c r="C561" s="2" t="s">
        <v>3808</v>
      </c>
      <c r="D561" s="2">
        <v>1.7</v>
      </c>
      <c r="E561" s="2">
        <v>3.55</v>
      </c>
      <c r="F561" s="2">
        <v>3.72</v>
      </c>
      <c r="G561" s="205">
        <v>0</v>
      </c>
      <c r="H561" s="205">
        <v>0</v>
      </c>
      <c r="I561" s="2">
        <f t="shared" si="27"/>
        <v>0</v>
      </c>
      <c r="J561" s="2">
        <f t="shared" si="28"/>
        <v>2.0200000000000005</v>
      </c>
      <c r="K561" s="2">
        <f t="shared" si="26"/>
        <v>-2.0200000000000005</v>
      </c>
    </row>
    <row r="562" spans="1:13" hidden="1">
      <c r="A562" s="2" t="s">
        <v>3771</v>
      </c>
      <c r="B562" s="2" t="s">
        <v>3738</v>
      </c>
      <c r="C562" s="2" t="s">
        <v>3809</v>
      </c>
      <c r="D562" s="2">
        <v>1.7</v>
      </c>
      <c r="E562" s="2">
        <v>3.45</v>
      </c>
      <c r="F562" s="2">
        <v>3.83</v>
      </c>
      <c r="G562" s="205">
        <v>2</v>
      </c>
      <c r="H562" s="205">
        <v>0</v>
      </c>
      <c r="I562" s="2">
        <f t="shared" si="27"/>
        <v>2</v>
      </c>
      <c r="J562" s="2">
        <f t="shared" si="28"/>
        <v>2.13</v>
      </c>
      <c r="K562" s="2">
        <f t="shared" si="26"/>
        <v>-2.13</v>
      </c>
    </row>
    <row r="563" spans="1:13" hidden="1">
      <c r="A563" s="2" t="s">
        <v>3771</v>
      </c>
      <c r="B563" s="2" t="s">
        <v>3738</v>
      </c>
      <c r="C563" s="2" t="s">
        <v>3810</v>
      </c>
      <c r="D563" s="2">
        <v>1.71</v>
      </c>
      <c r="E563" s="2">
        <v>3.5</v>
      </c>
      <c r="F563" s="2">
        <v>3.7</v>
      </c>
      <c r="G563" s="205">
        <v>0</v>
      </c>
      <c r="H563" s="205">
        <v>1</v>
      </c>
      <c r="I563" s="2">
        <f t="shared" si="27"/>
        <v>-1</v>
      </c>
      <c r="J563" s="2">
        <f t="shared" si="28"/>
        <v>1.9900000000000002</v>
      </c>
      <c r="K563" s="2">
        <f t="shared" si="26"/>
        <v>-1.9900000000000002</v>
      </c>
    </row>
    <row r="564" spans="1:13" hidden="1">
      <c r="A564" s="2" t="s">
        <v>3771</v>
      </c>
      <c r="B564" s="2" t="s">
        <v>3738</v>
      </c>
      <c r="C564" s="2" t="s">
        <v>3811</v>
      </c>
      <c r="D564" s="2">
        <v>1.64</v>
      </c>
      <c r="E564" s="2">
        <v>3.5</v>
      </c>
      <c r="F564" s="2">
        <v>4.08</v>
      </c>
      <c r="G564" s="205">
        <v>2</v>
      </c>
      <c r="H564" s="205">
        <v>1</v>
      </c>
      <c r="I564" s="2">
        <f t="shared" si="27"/>
        <v>1</v>
      </c>
      <c r="J564" s="2">
        <f t="shared" si="28"/>
        <v>2.4400000000000004</v>
      </c>
      <c r="K564" s="2">
        <f t="shared" si="26"/>
        <v>-2.4400000000000004</v>
      </c>
    </row>
    <row r="565" spans="1:13" hidden="1">
      <c r="A565" s="2" t="s">
        <v>3771</v>
      </c>
      <c r="B565" s="2" t="s">
        <v>3812</v>
      </c>
      <c r="C565" s="2" t="s">
        <v>3813</v>
      </c>
      <c r="D565" s="2">
        <v>2.5</v>
      </c>
      <c r="E565" s="2">
        <v>3.1</v>
      </c>
      <c r="F565" s="2">
        <v>2.4</v>
      </c>
      <c r="G565" s="205">
        <v>1</v>
      </c>
      <c r="H565" s="205">
        <v>2</v>
      </c>
      <c r="I565" s="2">
        <f t="shared" si="27"/>
        <v>-1</v>
      </c>
      <c r="J565" s="2">
        <f t="shared" si="28"/>
        <v>0.10000000000000009</v>
      </c>
      <c r="K565" s="2">
        <f t="shared" si="26"/>
        <v>0.10000000000000009</v>
      </c>
    </row>
    <row r="566" spans="1:13" hidden="1">
      <c r="A566" s="2" t="s">
        <v>3771</v>
      </c>
      <c r="B566" s="2" t="s">
        <v>3812</v>
      </c>
      <c r="C566" s="2" t="s">
        <v>3814</v>
      </c>
      <c r="D566" s="2">
        <v>2.21</v>
      </c>
      <c r="E566" s="2">
        <v>3.05</v>
      </c>
      <c r="F566" s="2">
        <v>2.79</v>
      </c>
      <c r="G566" s="205">
        <v>1</v>
      </c>
      <c r="H566" s="205">
        <v>2</v>
      </c>
      <c r="I566" s="2">
        <f t="shared" si="27"/>
        <v>-1</v>
      </c>
      <c r="J566" s="2">
        <f t="shared" si="28"/>
        <v>0.58000000000000007</v>
      </c>
      <c r="K566" s="2">
        <f t="shared" si="26"/>
        <v>-0.58000000000000007</v>
      </c>
      <c r="L566" s="2" t="s">
        <v>3677</v>
      </c>
      <c r="M566" s="2" t="s">
        <v>3678</v>
      </c>
    </row>
    <row r="567" spans="1:13" hidden="1">
      <c r="A567" s="2" t="s">
        <v>3771</v>
      </c>
      <c r="B567" s="2" t="s">
        <v>3812</v>
      </c>
      <c r="C567" s="2" t="s">
        <v>3815</v>
      </c>
      <c r="D567" s="2">
        <v>1.74</v>
      </c>
      <c r="E567" s="2">
        <v>3.4</v>
      </c>
      <c r="F567" s="2">
        <v>3.68</v>
      </c>
      <c r="G567" s="205">
        <v>1</v>
      </c>
      <c r="H567" s="205">
        <v>2</v>
      </c>
      <c r="I567" s="2">
        <f t="shared" si="27"/>
        <v>-1</v>
      </c>
      <c r="J567" s="2">
        <f t="shared" si="28"/>
        <v>1.9400000000000002</v>
      </c>
      <c r="K567" s="2">
        <f t="shared" si="26"/>
        <v>-1.9400000000000002</v>
      </c>
    </row>
    <row r="568" spans="1:13" hidden="1">
      <c r="A568" s="2" t="s">
        <v>3771</v>
      </c>
      <c r="B568" s="2" t="s">
        <v>3812</v>
      </c>
      <c r="C568" s="2" t="s">
        <v>3816</v>
      </c>
      <c r="D568" s="2">
        <v>2.93</v>
      </c>
      <c r="E568" s="2">
        <v>3.4</v>
      </c>
      <c r="F568" s="2">
        <v>1.98</v>
      </c>
      <c r="G568" s="205">
        <v>0</v>
      </c>
      <c r="H568" s="205">
        <v>3</v>
      </c>
      <c r="I568" s="2">
        <f t="shared" si="27"/>
        <v>-3</v>
      </c>
      <c r="J568" s="2">
        <f t="shared" si="28"/>
        <v>0.95000000000000018</v>
      </c>
      <c r="K568" s="2">
        <f t="shared" si="26"/>
        <v>0.95000000000000018</v>
      </c>
    </row>
    <row r="569" spans="1:13" hidden="1">
      <c r="A569" s="2" t="s">
        <v>3771</v>
      </c>
      <c r="B569" s="2" t="s">
        <v>3740</v>
      </c>
      <c r="C569" s="2" t="s">
        <v>3817</v>
      </c>
      <c r="D569" s="2">
        <v>1.96</v>
      </c>
      <c r="E569" s="2">
        <v>3.45</v>
      </c>
      <c r="F569" s="2">
        <v>4.3499999999999996</v>
      </c>
      <c r="G569" s="205">
        <v>1</v>
      </c>
      <c r="H569" s="205">
        <v>0</v>
      </c>
      <c r="I569" s="2">
        <f t="shared" si="27"/>
        <v>1</v>
      </c>
      <c r="J569" s="2">
        <f t="shared" si="28"/>
        <v>2.3899999999999997</v>
      </c>
      <c r="K569" s="2">
        <f t="shared" si="26"/>
        <v>-2.3899999999999997</v>
      </c>
    </row>
    <row r="570" spans="1:13" hidden="1">
      <c r="A570" s="2" t="s">
        <v>3771</v>
      </c>
      <c r="B570" s="2" t="s">
        <v>3742</v>
      </c>
      <c r="C570" s="2" t="s">
        <v>3818</v>
      </c>
      <c r="D570" s="2">
        <v>2.44</v>
      </c>
      <c r="E570" s="2">
        <v>3.42</v>
      </c>
      <c r="F570" s="2">
        <v>2.4500000000000002</v>
      </c>
      <c r="G570" s="205">
        <v>0</v>
      </c>
      <c r="H570" s="205">
        <v>2</v>
      </c>
      <c r="I570" s="2">
        <f t="shared" si="27"/>
        <v>-2</v>
      </c>
      <c r="J570" s="2">
        <f t="shared" si="28"/>
        <v>1.0000000000000231E-2</v>
      </c>
      <c r="K570" s="2">
        <f t="shared" si="26"/>
        <v>-1.0000000000000231E-2</v>
      </c>
      <c r="L570" s="2" t="s">
        <v>3677</v>
      </c>
      <c r="M570" s="2" t="s">
        <v>3678</v>
      </c>
    </row>
    <row r="571" spans="1:13" hidden="1">
      <c r="A571" s="2" t="s">
        <v>3771</v>
      </c>
      <c r="B571" s="2" t="s">
        <v>3742</v>
      </c>
      <c r="C571" s="2" t="s">
        <v>3819</v>
      </c>
      <c r="D571" s="2">
        <v>1.82</v>
      </c>
      <c r="E571" s="2">
        <v>3.57</v>
      </c>
      <c r="F571" s="2">
        <v>3.55</v>
      </c>
      <c r="G571" s="205">
        <v>0</v>
      </c>
      <c r="H571" s="205">
        <v>2</v>
      </c>
      <c r="I571" s="2">
        <f t="shared" si="27"/>
        <v>-2</v>
      </c>
      <c r="J571" s="2">
        <f t="shared" si="28"/>
        <v>1.7299999999999998</v>
      </c>
      <c r="K571" s="2">
        <f t="shared" si="26"/>
        <v>-1.7299999999999998</v>
      </c>
    </row>
    <row r="572" spans="1:13" hidden="1">
      <c r="A572" s="2" t="s">
        <v>3771</v>
      </c>
      <c r="B572" s="2" t="s">
        <v>3820</v>
      </c>
      <c r="C572" s="2" t="s">
        <v>3821</v>
      </c>
      <c r="D572" s="2">
        <v>2.35</v>
      </c>
      <c r="E572" s="2">
        <v>3.22</v>
      </c>
      <c r="F572" s="2">
        <v>3.1</v>
      </c>
      <c r="G572" s="205">
        <v>1</v>
      </c>
      <c r="H572" s="205">
        <v>2</v>
      </c>
      <c r="I572" s="2">
        <f t="shared" si="27"/>
        <v>-1</v>
      </c>
      <c r="J572" s="2">
        <f t="shared" si="28"/>
        <v>0.75</v>
      </c>
      <c r="K572" s="2">
        <f t="shared" si="26"/>
        <v>-0.75</v>
      </c>
      <c r="L572" s="2" t="s">
        <v>3677</v>
      </c>
      <c r="M572" s="2" t="s">
        <v>3678</v>
      </c>
    </row>
    <row r="573" spans="1:13" hidden="1">
      <c r="A573" s="2" t="s">
        <v>3771</v>
      </c>
      <c r="B573" s="2" t="s">
        <v>3822</v>
      </c>
      <c r="C573" s="2" t="s">
        <v>3823</v>
      </c>
      <c r="D573" s="2">
        <v>4.13</v>
      </c>
      <c r="E573" s="2">
        <v>3.58</v>
      </c>
      <c r="F573" s="2">
        <v>1.86</v>
      </c>
      <c r="G573" s="205">
        <v>0</v>
      </c>
      <c r="H573" s="205">
        <v>1</v>
      </c>
      <c r="I573" s="2">
        <f t="shared" si="27"/>
        <v>-1</v>
      </c>
      <c r="J573" s="2">
        <f t="shared" si="28"/>
        <v>2.2699999999999996</v>
      </c>
      <c r="K573" s="2">
        <f t="shared" si="26"/>
        <v>2.2699999999999996</v>
      </c>
    </row>
    <row r="574" spans="1:13" hidden="1">
      <c r="A574" s="2" t="s">
        <v>3771</v>
      </c>
      <c r="B574" s="2" t="s">
        <v>3824</v>
      </c>
      <c r="C574" s="2" t="s">
        <v>3825</v>
      </c>
      <c r="D574" s="2">
        <v>1.78</v>
      </c>
      <c r="E574" s="2">
        <v>3.32</v>
      </c>
      <c r="F574" s="2">
        <v>3.58</v>
      </c>
      <c r="G574" s="205">
        <v>0</v>
      </c>
      <c r="H574" s="205">
        <v>2</v>
      </c>
      <c r="I574" s="2">
        <f t="shared" si="27"/>
        <v>-2</v>
      </c>
      <c r="J574" s="2">
        <f t="shared" si="28"/>
        <v>1.8</v>
      </c>
      <c r="K574" s="2">
        <f t="shared" si="26"/>
        <v>-1.8</v>
      </c>
    </row>
    <row r="575" spans="1:13" hidden="1">
      <c r="A575" s="2" t="s">
        <v>3771</v>
      </c>
      <c r="B575" s="2" t="s">
        <v>3824</v>
      </c>
      <c r="C575" s="2" t="s">
        <v>3826</v>
      </c>
      <c r="D575" s="2">
        <v>3.2</v>
      </c>
      <c r="E575" s="2">
        <v>3.05</v>
      </c>
      <c r="F575" s="2">
        <v>2</v>
      </c>
      <c r="G575" s="205">
        <v>2</v>
      </c>
      <c r="H575" s="205">
        <v>0</v>
      </c>
      <c r="I575" s="2">
        <f t="shared" si="27"/>
        <v>2</v>
      </c>
      <c r="J575" s="2">
        <f t="shared" si="28"/>
        <v>1.2000000000000002</v>
      </c>
      <c r="K575" s="2">
        <f t="shared" si="26"/>
        <v>1.2000000000000002</v>
      </c>
    </row>
    <row r="576" spans="1:13" hidden="1">
      <c r="A576" s="2" t="s">
        <v>3771</v>
      </c>
      <c r="B576" s="2" t="s">
        <v>3824</v>
      </c>
      <c r="C576" s="2" t="s">
        <v>3827</v>
      </c>
      <c r="D576" s="2">
        <v>3.43</v>
      </c>
      <c r="E576" s="2">
        <v>3.15</v>
      </c>
      <c r="F576" s="2">
        <v>1.88</v>
      </c>
      <c r="G576" s="205">
        <v>2</v>
      </c>
      <c r="H576" s="205">
        <v>0</v>
      </c>
      <c r="I576" s="2">
        <f t="shared" si="27"/>
        <v>2</v>
      </c>
      <c r="J576" s="2">
        <f t="shared" si="28"/>
        <v>1.5500000000000003</v>
      </c>
      <c r="K576" s="2">
        <f t="shared" si="26"/>
        <v>1.5500000000000003</v>
      </c>
    </row>
    <row r="577" spans="1:13" hidden="1">
      <c r="A577" s="2" t="s">
        <v>3771</v>
      </c>
      <c r="B577" s="2" t="s">
        <v>3824</v>
      </c>
      <c r="C577" s="2" t="s">
        <v>3828</v>
      </c>
      <c r="D577" s="2">
        <v>2.8</v>
      </c>
      <c r="E577" s="2">
        <v>2.84</v>
      </c>
      <c r="F577" s="2">
        <v>2.3199999999999998</v>
      </c>
      <c r="G577" s="205">
        <v>2</v>
      </c>
      <c r="H577" s="205">
        <v>0</v>
      </c>
      <c r="I577" s="2">
        <f t="shared" si="27"/>
        <v>2</v>
      </c>
      <c r="J577" s="2">
        <f t="shared" si="28"/>
        <v>0.48</v>
      </c>
      <c r="K577" s="2">
        <f t="shared" ref="K577:K589" si="29">+D577-F577</f>
        <v>0.48</v>
      </c>
    </row>
    <row r="578" spans="1:13" hidden="1">
      <c r="A578" s="2" t="s">
        <v>3771</v>
      </c>
      <c r="B578" s="2" t="s">
        <v>3824</v>
      </c>
      <c r="C578" s="2" t="s">
        <v>3829</v>
      </c>
      <c r="D578" s="2">
        <v>2.17</v>
      </c>
      <c r="E578" s="2">
        <v>3.12</v>
      </c>
      <c r="F578" s="2">
        <v>2.8</v>
      </c>
      <c r="G578" s="205">
        <v>0</v>
      </c>
      <c r="H578" s="205">
        <v>1</v>
      </c>
      <c r="I578" s="2">
        <f t="shared" ref="I578:I589" si="30">+G578-H578</f>
        <v>-1</v>
      </c>
      <c r="J578" s="2">
        <f t="shared" ref="J578:J589" si="31">ABS(+D578-F578)</f>
        <v>0.62999999999999989</v>
      </c>
      <c r="K578" s="2">
        <f t="shared" si="29"/>
        <v>-0.62999999999999989</v>
      </c>
      <c r="L578" s="2" t="s">
        <v>3678</v>
      </c>
      <c r="M578" s="2" t="s">
        <v>3678</v>
      </c>
    </row>
    <row r="579" spans="1:13" hidden="1">
      <c r="A579" s="2" t="s">
        <v>3771</v>
      </c>
      <c r="B579" s="2" t="s">
        <v>3824</v>
      </c>
      <c r="C579" s="2" t="s">
        <v>3830</v>
      </c>
      <c r="D579" s="2">
        <v>1.76</v>
      </c>
      <c r="E579" s="2">
        <v>3.3</v>
      </c>
      <c r="F579" s="2">
        <v>3.7</v>
      </c>
      <c r="G579" s="205">
        <v>1</v>
      </c>
      <c r="H579" s="205">
        <v>1</v>
      </c>
      <c r="I579" s="2">
        <f t="shared" si="30"/>
        <v>0</v>
      </c>
      <c r="J579" s="2">
        <f t="shared" si="31"/>
        <v>1.9400000000000002</v>
      </c>
      <c r="K579" s="2">
        <f t="shared" si="29"/>
        <v>-1.9400000000000002</v>
      </c>
    </row>
    <row r="580" spans="1:13" hidden="1">
      <c r="A580" s="2" t="s">
        <v>3771</v>
      </c>
      <c r="B580" s="2" t="s">
        <v>3745</v>
      </c>
      <c r="C580" s="2" t="s">
        <v>3831</v>
      </c>
      <c r="D580" s="2">
        <v>2.06</v>
      </c>
      <c r="E580" s="2">
        <v>3.15</v>
      </c>
      <c r="F580" s="2">
        <v>2.96</v>
      </c>
      <c r="G580" s="205">
        <v>2</v>
      </c>
      <c r="H580" s="205">
        <v>0</v>
      </c>
      <c r="I580" s="2">
        <f t="shared" si="30"/>
        <v>2</v>
      </c>
      <c r="J580" s="2">
        <f t="shared" si="31"/>
        <v>0.89999999999999991</v>
      </c>
      <c r="K580" s="2">
        <f t="shared" si="29"/>
        <v>-0.89999999999999991</v>
      </c>
      <c r="L580" s="2" t="s">
        <v>1564</v>
      </c>
      <c r="M580" s="2" t="s">
        <v>1564</v>
      </c>
    </row>
    <row r="581" spans="1:13" hidden="1">
      <c r="A581" s="2" t="s">
        <v>3771</v>
      </c>
      <c r="B581" s="2" t="s">
        <v>3832</v>
      </c>
      <c r="C581" s="2" t="s">
        <v>3833</v>
      </c>
      <c r="D581" s="2">
        <v>3.25</v>
      </c>
      <c r="E581" s="2">
        <v>3.43</v>
      </c>
      <c r="F581" s="2">
        <v>1.85</v>
      </c>
      <c r="G581" s="205">
        <v>0</v>
      </c>
      <c r="H581" s="205">
        <v>3</v>
      </c>
      <c r="I581" s="2">
        <f t="shared" si="30"/>
        <v>-3</v>
      </c>
      <c r="J581" s="2">
        <f t="shared" si="31"/>
        <v>1.4</v>
      </c>
      <c r="K581" s="2">
        <f t="shared" si="29"/>
        <v>1.4</v>
      </c>
    </row>
    <row r="582" spans="1:13" hidden="1">
      <c r="A582" s="2" t="s">
        <v>3771</v>
      </c>
      <c r="B582" s="2" t="s">
        <v>3834</v>
      </c>
      <c r="C582" s="2" t="s">
        <v>3835</v>
      </c>
      <c r="D582" s="2">
        <v>1.1299999999999999</v>
      </c>
      <c r="E582" s="2">
        <v>5.7</v>
      </c>
      <c r="F582" s="2">
        <v>12</v>
      </c>
      <c r="G582" s="205">
        <v>3</v>
      </c>
      <c r="H582" s="205">
        <v>1</v>
      </c>
      <c r="I582" s="2">
        <f t="shared" si="30"/>
        <v>2</v>
      </c>
      <c r="J582" s="2">
        <f t="shared" si="31"/>
        <v>10.870000000000001</v>
      </c>
      <c r="K582" s="2">
        <f t="shared" si="29"/>
        <v>-10.870000000000001</v>
      </c>
    </row>
    <row r="583" spans="1:13" hidden="1">
      <c r="A583" s="2" t="s">
        <v>3771</v>
      </c>
      <c r="B583" s="2" t="s">
        <v>3834</v>
      </c>
      <c r="C583" s="2" t="s">
        <v>3836</v>
      </c>
      <c r="D583" s="2">
        <v>5.4</v>
      </c>
      <c r="E583" s="2">
        <v>3.8</v>
      </c>
      <c r="F583" s="2">
        <v>1.45</v>
      </c>
      <c r="G583" s="205">
        <v>0</v>
      </c>
      <c r="H583" s="205">
        <v>4</v>
      </c>
      <c r="I583" s="2">
        <f t="shared" si="30"/>
        <v>-4</v>
      </c>
      <c r="J583" s="2">
        <f t="shared" si="31"/>
        <v>3.95</v>
      </c>
      <c r="K583" s="2">
        <f t="shared" si="29"/>
        <v>3.95</v>
      </c>
    </row>
    <row r="584" spans="1:13" hidden="1">
      <c r="A584" s="2" t="s">
        <v>3771</v>
      </c>
      <c r="B584" s="2" t="s">
        <v>3575</v>
      </c>
      <c r="C584" s="2" t="s">
        <v>3837</v>
      </c>
      <c r="D584" s="2">
        <v>2.2000000000000002</v>
      </c>
      <c r="E584" s="2">
        <v>2.92</v>
      </c>
      <c r="F584" s="2">
        <v>2.91</v>
      </c>
      <c r="G584" s="205">
        <v>0</v>
      </c>
      <c r="H584" s="205">
        <v>1</v>
      </c>
      <c r="I584" s="2">
        <f t="shared" si="30"/>
        <v>-1</v>
      </c>
      <c r="J584" s="2">
        <f t="shared" si="31"/>
        <v>0.71</v>
      </c>
      <c r="K584" s="2">
        <f t="shared" si="29"/>
        <v>-0.71</v>
      </c>
      <c r="L584" s="2" t="s">
        <v>3678</v>
      </c>
      <c r="M584" s="2" t="s">
        <v>3677</v>
      </c>
    </row>
    <row r="585" spans="1:13" hidden="1">
      <c r="A585" s="2" t="s">
        <v>3771</v>
      </c>
      <c r="B585" s="2" t="s">
        <v>3838</v>
      </c>
      <c r="C585" s="2" t="s">
        <v>3839</v>
      </c>
      <c r="D585" s="2">
        <v>1.66</v>
      </c>
      <c r="E585" s="2">
        <v>4.3499999999999996</v>
      </c>
      <c r="F585" s="2">
        <v>5.4</v>
      </c>
      <c r="G585" s="205">
        <v>3</v>
      </c>
      <c r="H585" s="205">
        <v>0</v>
      </c>
      <c r="I585" s="2">
        <f t="shared" si="30"/>
        <v>3</v>
      </c>
      <c r="J585" s="2">
        <f t="shared" si="31"/>
        <v>3.74</v>
      </c>
      <c r="K585" s="2">
        <f t="shared" si="29"/>
        <v>-3.74</v>
      </c>
    </row>
    <row r="586" spans="1:13" hidden="1">
      <c r="A586" s="2" t="s">
        <v>3771</v>
      </c>
      <c r="B586" s="2" t="s">
        <v>3838</v>
      </c>
      <c r="C586" s="2" t="s">
        <v>3840</v>
      </c>
      <c r="D586" s="2">
        <v>2</v>
      </c>
      <c r="E586" s="2">
        <v>3.95</v>
      </c>
      <c r="F586" s="2">
        <v>3.8</v>
      </c>
      <c r="G586" s="205">
        <v>2</v>
      </c>
      <c r="H586" s="205">
        <v>1</v>
      </c>
      <c r="I586" s="2">
        <f t="shared" si="30"/>
        <v>1</v>
      </c>
      <c r="J586" s="2">
        <f t="shared" si="31"/>
        <v>1.7999999999999998</v>
      </c>
      <c r="K586" s="2">
        <f t="shared" si="29"/>
        <v>-1.7999999999999998</v>
      </c>
      <c r="L586" s="2" t="s">
        <v>3678</v>
      </c>
      <c r="M586" s="2" t="s">
        <v>3678</v>
      </c>
    </row>
    <row r="587" spans="1:13" hidden="1">
      <c r="A587" s="2" t="s">
        <v>3771</v>
      </c>
      <c r="B587" s="2" t="s">
        <v>3841</v>
      </c>
      <c r="C587" s="2" t="s">
        <v>3842</v>
      </c>
      <c r="D587" s="2">
        <v>1.37</v>
      </c>
      <c r="E587" s="2">
        <v>4.92</v>
      </c>
      <c r="F587" s="2">
        <v>7.95</v>
      </c>
      <c r="G587" s="205">
        <v>3</v>
      </c>
      <c r="H587" s="205">
        <v>1</v>
      </c>
      <c r="I587" s="2">
        <f t="shared" si="30"/>
        <v>2</v>
      </c>
      <c r="J587" s="2">
        <f t="shared" si="31"/>
        <v>6.58</v>
      </c>
      <c r="K587" s="2">
        <f t="shared" si="29"/>
        <v>-6.58</v>
      </c>
    </row>
    <row r="588" spans="1:13" hidden="1">
      <c r="A588" s="2" t="s">
        <v>3771</v>
      </c>
      <c r="B588" s="2" t="s">
        <v>3843</v>
      </c>
      <c r="C588" s="2" t="s">
        <v>3844</v>
      </c>
      <c r="D588" s="2">
        <v>3.1</v>
      </c>
      <c r="E588" s="2">
        <v>3.38</v>
      </c>
      <c r="F588" s="2">
        <v>2.0699999999999998</v>
      </c>
      <c r="G588" s="205">
        <v>2</v>
      </c>
      <c r="H588" s="205">
        <v>1</v>
      </c>
      <c r="I588" s="2">
        <f t="shared" si="30"/>
        <v>1</v>
      </c>
      <c r="J588" s="2">
        <f t="shared" si="31"/>
        <v>1.0300000000000002</v>
      </c>
      <c r="K588" s="2">
        <f t="shared" si="29"/>
        <v>1.0300000000000002</v>
      </c>
    </row>
    <row r="589" spans="1:13" hidden="1">
      <c r="A589" s="2" t="s">
        <v>3771</v>
      </c>
      <c r="B589" s="2" t="s">
        <v>3309</v>
      </c>
      <c r="C589" s="2" t="s">
        <v>3845</v>
      </c>
      <c r="D589" s="2">
        <v>2.31</v>
      </c>
      <c r="E589" s="2">
        <v>3.22</v>
      </c>
      <c r="F589" s="2">
        <v>2.74</v>
      </c>
      <c r="G589" s="205">
        <v>2</v>
      </c>
      <c r="H589" s="205">
        <v>0</v>
      </c>
      <c r="I589" s="2">
        <f t="shared" si="30"/>
        <v>2</v>
      </c>
      <c r="J589" s="2">
        <f t="shared" si="31"/>
        <v>0.43000000000000016</v>
      </c>
      <c r="K589" s="2">
        <f t="shared" si="29"/>
        <v>-0.43000000000000016</v>
      </c>
      <c r="L589" s="2" t="s">
        <v>3677</v>
      </c>
      <c r="M589" s="2" t="s">
        <v>3677</v>
      </c>
    </row>
    <row r="590" spans="1:13" hidden="1">
      <c r="A590" s="2" t="s">
        <v>3851</v>
      </c>
      <c r="B590" s="2" t="s">
        <v>3852</v>
      </c>
      <c r="C590" s="2" t="s">
        <v>3853</v>
      </c>
      <c r="D590" s="2">
        <v>1.49</v>
      </c>
      <c r="E590" s="2">
        <v>3.92</v>
      </c>
      <c r="F590" s="2">
        <v>7.95</v>
      </c>
      <c r="G590" s="205">
        <v>1</v>
      </c>
      <c r="H590" s="205">
        <v>0</v>
      </c>
      <c r="I590" s="2">
        <f t="shared" ref="I590:I653" si="32">+G590-H590</f>
        <v>1</v>
      </c>
      <c r="J590" s="2">
        <f t="shared" ref="J590:J653" si="33">ABS(+D590-F590)</f>
        <v>6.46</v>
      </c>
      <c r="K590" s="2">
        <f t="shared" ref="K590:K653" si="34">+D590-F590</f>
        <v>-6.46</v>
      </c>
    </row>
    <row r="591" spans="1:13" hidden="1">
      <c r="A591" s="2" t="s">
        <v>3851</v>
      </c>
      <c r="B591" s="2" t="s">
        <v>3854</v>
      </c>
      <c r="C591" s="2" t="s">
        <v>3855</v>
      </c>
      <c r="D591" s="2">
        <v>2.15</v>
      </c>
      <c r="E591" s="2">
        <v>2.94</v>
      </c>
      <c r="F591" s="2">
        <v>3.38</v>
      </c>
      <c r="G591" s="205">
        <v>0</v>
      </c>
      <c r="H591" s="205">
        <v>0</v>
      </c>
      <c r="I591" s="2">
        <f t="shared" si="32"/>
        <v>0</v>
      </c>
      <c r="J591" s="2">
        <f t="shared" si="33"/>
        <v>1.23</v>
      </c>
      <c r="K591" s="2">
        <f t="shared" si="34"/>
        <v>-1.23</v>
      </c>
    </row>
    <row r="592" spans="1:13" hidden="1">
      <c r="A592" s="2" t="s">
        <v>3851</v>
      </c>
      <c r="B592" s="2" t="s">
        <v>3854</v>
      </c>
      <c r="C592" s="2" t="s">
        <v>3856</v>
      </c>
      <c r="D592" s="2">
        <v>1.93</v>
      </c>
      <c r="E592" s="2">
        <v>3.15</v>
      </c>
      <c r="F592" s="2">
        <v>3.78</v>
      </c>
      <c r="G592" s="205">
        <v>2</v>
      </c>
      <c r="H592" s="205">
        <v>0</v>
      </c>
      <c r="I592" s="2">
        <f t="shared" si="32"/>
        <v>2</v>
      </c>
      <c r="J592" s="2">
        <f t="shared" si="33"/>
        <v>1.8499999999999999</v>
      </c>
      <c r="K592" s="2">
        <f t="shared" si="34"/>
        <v>-1.8499999999999999</v>
      </c>
    </row>
    <row r="593" spans="1:13" hidden="1">
      <c r="A593" s="2" t="s">
        <v>3851</v>
      </c>
      <c r="B593" s="2" t="s">
        <v>3257</v>
      </c>
      <c r="C593" s="2" t="s">
        <v>3857</v>
      </c>
      <c r="D593" s="2">
        <v>2.14</v>
      </c>
      <c r="E593" s="2">
        <v>3.05</v>
      </c>
      <c r="F593" s="2">
        <v>3.78</v>
      </c>
      <c r="G593" s="205">
        <v>0</v>
      </c>
      <c r="H593" s="205">
        <v>0</v>
      </c>
      <c r="I593" s="2">
        <f t="shared" si="32"/>
        <v>0</v>
      </c>
      <c r="J593" s="2">
        <f t="shared" si="33"/>
        <v>1.6399999999999997</v>
      </c>
      <c r="K593" s="2">
        <f t="shared" si="34"/>
        <v>-1.6399999999999997</v>
      </c>
    </row>
    <row r="594" spans="1:13" hidden="1">
      <c r="A594" s="2" t="s">
        <v>3851</v>
      </c>
      <c r="B594" s="2" t="s">
        <v>3858</v>
      </c>
      <c r="C594" s="2" t="s">
        <v>3859</v>
      </c>
      <c r="D594" s="2">
        <v>1.1100000000000001</v>
      </c>
      <c r="E594" s="2">
        <v>6.95</v>
      </c>
      <c r="F594" s="2">
        <v>14.5</v>
      </c>
      <c r="G594" s="205">
        <v>4</v>
      </c>
      <c r="H594" s="205">
        <v>0</v>
      </c>
      <c r="I594" s="2">
        <f t="shared" si="32"/>
        <v>4</v>
      </c>
      <c r="J594" s="2">
        <f t="shared" si="33"/>
        <v>13.39</v>
      </c>
      <c r="K594" s="2">
        <f t="shared" si="34"/>
        <v>-13.39</v>
      </c>
    </row>
    <row r="595" spans="1:13" hidden="1">
      <c r="A595" s="2" t="s">
        <v>3851</v>
      </c>
      <c r="B595" s="2" t="s">
        <v>3306</v>
      </c>
      <c r="C595" s="2" t="s">
        <v>3860</v>
      </c>
      <c r="D595" s="2">
        <v>4.12</v>
      </c>
      <c r="E595" s="2">
        <v>3.5</v>
      </c>
      <c r="F595" s="2">
        <v>1.75</v>
      </c>
      <c r="G595" s="205">
        <v>1</v>
      </c>
      <c r="H595" s="205">
        <v>3</v>
      </c>
      <c r="I595" s="2">
        <f t="shared" si="32"/>
        <v>-2</v>
      </c>
      <c r="J595" s="2">
        <f t="shared" si="33"/>
        <v>2.37</v>
      </c>
      <c r="K595" s="2">
        <f t="shared" si="34"/>
        <v>2.37</v>
      </c>
    </row>
    <row r="596" spans="1:13" hidden="1">
      <c r="A596" s="2" t="s">
        <v>3851</v>
      </c>
      <c r="B596" s="2" t="s">
        <v>3852</v>
      </c>
      <c r="C596" s="2" t="s">
        <v>3861</v>
      </c>
      <c r="D596" s="2">
        <v>3.83</v>
      </c>
      <c r="E596" s="2">
        <v>2.92</v>
      </c>
      <c r="F596" s="2">
        <v>2.35</v>
      </c>
      <c r="G596" s="205">
        <v>0</v>
      </c>
      <c r="H596" s="205">
        <v>1</v>
      </c>
      <c r="I596" s="2">
        <f t="shared" si="32"/>
        <v>-1</v>
      </c>
      <c r="J596" s="2">
        <f t="shared" si="33"/>
        <v>1.48</v>
      </c>
      <c r="K596" s="2">
        <f t="shared" si="34"/>
        <v>1.48</v>
      </c>
    </row>
    <row r="597" spans="1:13" hidden="1">
      <c r="A597" s="2" t="s">
        <v>3851</v>
      </c>
      <c r="B597" s="2" t="s">
        <v>3444</v>
      </c>
      <c r="C597" s="2" t="s">
        <v>3862</v>
      </c>
      <c r="D597" s="2">
        <v>1.51</v>
      </c>
      <c r="E597" s="2">
        <v>4.0999999999999996</v>
      </c>
      <c r="F597" s="2">
        <v>5.15</v>
      </c>
      <c r="G597" s="205">
        <v>3</v>
      </c>
      <c r="H597" s="205">
        <v>1</v>
      </c>
      <c r="I597" s="2">
        <f t="shared" si="32"/>
        <v>2</v>
      </c>
      <c r="J597" s="2">
        <f t="shared" si="33"/>
        <v>3.6400000000000006</v>
      </c>
      <c r="K597" s="2">
        <f t="shared" si="34"/>
        <v>-3.6400000000000006</v>
      </c>
    </row>
    <row r="598" spans="1:13" hidden="1">
      <c r="A598" s="2" t="s">
        <v>3851</v>
      </c>
      <c r="B598" s="2" t="s">
        <v>3192</v>
      </c>
      <c r="C598" s="2" t="s">
        <v>3863</v>
      </c>
      <c r="D598" s="2">
        <v>5.25</v>
      </c>
      <c r="E598" s="2">
        <v>4.67</v>
      </c>
      <c r="F598" s="2">
        <v>1.42</v>
      </c>
      <c r="G598" s="205">
        <v>1</v>
      </c>
      <c r="H598" s="205">
        <v>1</v>
      </c>
      <c r="I598" s="2">
        <f t="shared" si="32"/>
        <v>0</v>
      </c>
      <c r="J598" s="2">
        <f t="shared" si="33"/>
        <v>3.83</v>
      </c>
      <c r="K598" s="2">
        <f t="shared" si="34"/>
        <v>3.83</v>
      </c>
      <c r="L598" s="2" t="s">
        <v>3678</v>
      </c>
    </row>
    <row r="599" spans="1:13" hidden="1">
      <c r="A599" s="2" t="s">
        <v>3851</v>
      </c>
      <c r="B599" s="2" t="s">
        <v>3864</v>
      </c>
      <c r="C599" s="2" t="s">
        <v>3865</v>
      </c>
      <c r="D599" s="2">
        <v>6.1</v>
      </c>
      <c r="E599" s="2">
        <v>4.72</v>
      </c>
      <c r="F599" s="2">
        <v>1.36</v>
      </c>
      <c r="G599" s="205">
        <v>0</v>
      </c>
      <c r="H599" s="205">
        <v>3</v>
      </c>
      <c r="I599" s="2">
        <f t="shared" si="32"/>
        <v>-3</v>
      </c>
      <c r="J599" s="2">
        <f t="shared" si="33"/>
        <v>4.7399999999999993</v>
      </c>
      <c r="K599" s="2">
        <f t="shared" si="34"/>
        <v>4.7399999999999993</v>
      </c>
      <c r="L599" s="2" t="s">
        <v>3677</v>
      </c>
    </row>
    <row r="600" spans="1:13" hidden="1">
      <c r="A600" s="2" t="s">
        <v>3851</v>
      </c>
      <c r="B600" s="2" t="s">
        <v>3866</v>
      </c>
      <c r="C600" s="2" t="s">
        <v>3867</v>
      </c>
      <c r="D600" s="2">
        <v>4.78</v>
      </c>
      <c r="E600" s="2">
        <v>4.2300000000000004</v>
      </c>
      <c r="F600" s="2">
        <v>1.5</v>
      </c>
      <c r="G600" s="205">
        <v>1</v>
      </c>
      <c r="H600" s="205">
        <v>1</v>
      </c>
      <c r="I600" s="2">
        <f t="shared" si="32"/>
        <v>0</v>
      </c>
      <c r="J600" s="2">
        <f t="shared" si="33"/>
        <v>3.2800000000000002</v>
      </c>
      <c r="K600" s="2">
        <f t="shared" si="34"/>
        <v>3.2800000000000002</v>
      </c>
      <c r="L600" s="2" t="s">
        <v>3678</v>
      </c>
    </row>
    <row r="601" spans="1:13" hidden="1">
      <c r="A601" s="2" t="s">
        <v>3851</v>
      </c>
      <c r="B601" s="2" t="s">
        <v>1518</v>
      </c>
      <c r="C601" s="2" t="s">
        <v>3868</v>
      </c>
      <c r="D601" s="2">
        <v>2.77</v>
      </c>
      <c r="E601" s="2">
        <v>3.85</v>
      </c>
      <c r="F601" s="2">
        <v>2.39</v>
      </c>
      <c r="G601" s="205">
        <v>0</v>
      </c>
      <c r="H601" s="205">
        <v>1</v>
      </c>
      <c r="I601" s="2">
        <f t="shared" si="32"/>
        <v>-1</v>
      </c>
      <c r="J601" s="2">
        <f t="shared" si="33"/>
        <v>0.37999999999999989</v>
      </c>
      <c r="K601" s="2">
        <f t="shared" si="34"/>
        <v>0.37999999999999989</v>
      </c>
      <c r="L601" s="2" t="s">
        <v>3677</v>
      </c>
    </row>
    <row r="602" spans="1:13" hidden="1">
      <c r="A602" s="2" t="s">
        <v>3851</v>
      </c>
      <c r="B602" s="2" t="s">
        <v>3866</v>
      </c>
      <c r="C602" s="2" t="s">
        <v>3869</v>
      </c>
      <c r="D602" s="2">
        <v>2.0099999999999998</v>
      </c>
      <c r="E602" s="2">
        <v>3.37</v>
      </c>
      <c r="F602" s="2">
        <v>3.17</v>
      </c>
      <c r="G602" s="205">
        <v>3</v>
      </c>
      <c r="H602" s="205">
        <v>1</v>
      </c>
      <c r="I602" s="2">
        <f t="shared" si="32"/>
        <v>2</v>
      </c>
      <c r="J602" s="2">
        <f t="shared" si="33"/>
        <v>1.1600000000000001</v>
      </c>
      <c r="K602" s="2">
        <f t="shared" si="34"/>
        <v>-1.1600000000000001</v>
      </c>
      <c r="L602" s="2" t="s">
        <v>3677</v>
      </c>
      <c r="M602" s="2" t="s">
        <v>3677</v>
      </c>
    </row>
    <row r="603" spans="1:13" hidden="1">
      <c r="A603" s="2" t="s">
        <v>3851</v>
      </c>
      <c r="B603" s="2" t="s">
        <v>3697</v>
      </c>
      <c r="C603" s="2" t="s">
        <v>3870</v>
      </c>
      <c r="D603" s="2">
        <v>1.1599999999999999</v>
      </c>
      <c r="E603" s="2">
        <v>7.15</v>
      </c>
      <c r="F603" s="2">
        <v>9.5500000000000007</v>
      </c>
      <c r="G603" s="205">
        <v>2</v>
      </c>
      <c r="H603" s="205">
        <v>0</v>
      </c>
      <c r="I603" s="2">
        <f t="shared" si="32"/>
        <v>2</v>
      </c>
      <c r="J603" s="2">
        <f t="shared" si="33"/>
        <v>8.39</v>
      </c>
      <c r="K603" s="2">
        <f t="shared" si="34"/>
        <v>-8.39</v>
      </c>
    </row>
    <row r="604" spans="1:13" hidden="1">
      <c r="A604" s="2" t="s">
        <v>3851</v>
      </c>
      <c r="B604" s="2" t="s">
        <v>3444</v>
      </c>
      <c r="C604" s="2" t="s">
        <v>3871</v>
      </c>
      <c r="D604" s="2">
        <v>1.38</v>
      </c>
      <c r="E604" s="2">
        <v>4.7</v>
      </c>
      <c r="F604" s="2">
        <v>6.15</v>
      </c>
      <c r="G604" s="205">
        <v>2</v>
      </c>
      <c r="H604" s="205">
        <v>1</v>
      </c>
      <c r="I604" s="2">
        <f t="shared" si="32"/>
        <v>1</v>
      </c>
      <c r="J604" s="2">
        <f t="shared" si="33"/>
        <v>4.7700000000000005</v>
      </c>
      <c r="K604" s="2">
        <f t="shared" si="34"/>
        <v>-4.7700000000000005</v>
      </c>
    </row>
    <row r="605" spans="1:13" hidden="1">
      <c r="A605" s="2" t="s">
        <v>3851</v>
      </c>
      <c r="B605" s="2" t="s">
        <v>3872</v>
      </c>
      <c r="C605" s="2" t="s">
        <v>3873</v>
      </c>
      <c r="D605" s="2">
        <v>3.9</v>
      </c>
      <c r="E605" s="2">
        <v>3.77</v>
      </c>
      <c r="F605" s="2">
        <v>1.73</v>
      </c>
      <c r="G605" s="205">
        <v>1</v>
      </c>
      <c r="H605" s="205">
        <v>1</v>
      </c>
      <c r="I605" s="2">
        <f t="shared" si="32"/>
        <v>0</v>
      </c>
      <c r="J605" s="2">
        <f t="shared" si="33"/>
        <v>2.17</v>
      </c>
      <c r="K605" s="2">
        <f t="shared" si="34"/>
        <v>2.17</v>
      </c>
    </row>
    <row r="606" spans="1:13" hidden="1">
      <c r="A606" s="2" t="s">
        <v>3851</v>
      </c>
      <c r="B606" s="2" t="s">
        <v>3872</v>
      </c>
      <c r="C606" s="2" t="s">
        <v>3874</v>
      </c>
      <c r="D606" s="2">
        <v>3.28</v>
      </c>
      <c r="E606" s="2">
        <v>3.32</v>
      </c>
      <c r="F606" s="2">
        <v>2.02</v>
      </c>
      <c r="G606" s="205">
        <v>2</v>
      </c>
      <c r="H606" s="205">
        <v>1</v>
      </c>
      <c r="I606" s="2">
        <f t="shared" si="32"/>
        <v>1</v>
      </c>
      <c r="J606" s="2">
        <f t="shared" si="33"/>
        <v>1.2599999999999998</v>
      </c>
      <c r="K606" s="2">
        <f t="shared" si="34"/>
        <v>1.2599999999999998</v>
      </c>
    </row>
    <row r="607" spans="1:13" hidden="1">
      <c r="A607" s="2" t="s">
        <v>3851</v>
      </c>
      <c r="B607" s="2" t="s">
        <v>3872</v>
      </c>
      <c r="C607" s="2" t="s">
        <v>3875</v>
      </c>
      <c r="D607" s="2">
        <v>4.38</v>
      </c>
      <c r="E607" s="2">
        <v>4.22</v>
      </c>
      <c r="F607" s="2">
        <v>1.58</v>
      </c>
      <c r="G607" s="205">
        <v>0</v>
      </c>
      <c r="H607" s="205">
        <v>1</v>
      </c>
      <c r="I607" s="2">
        <f t="shared" si="32"/>
        <v>-1</v>
      </c>
      <c r="J607" s="2">
        <f t="shared" si="33"/>
        <v>2.8</v>
      </c>
      <c r="K607" s="2">
        <f t="shared" si="34"/>
        <v>2.8</v>
      </c>
    </row>
    <row r="608" spans="1:13" hidden="1">
      <c r="A608" s="2" t="s">
        <v>3851</v>
      </c>
      <c r="B608" s="2" t="s">
        <v>3697</v>
      </c>
      <c r="C608" s="2" t="s">
        <v>3876</v>
      </c>
      <c r="D608" s="2">
        <v>1.91</v>
      </c>
      <c r="E608" s="2">
        <v>3.88</v>
      </c>
      <c r="F608" s="2">
        <v>3.03</v>
      </c>
      <c r="G608" s="205">
        <v>2</v>
      </c>
      <c r="H608" s="205">
        <v>0</v>
      </c>
      <c r="I608" s="2">
        <f t="shared" si="32"/>
        <v>2</v>
      </c>
      <c r="J608" s="2">
        <f t="shared" si="33"/>
        <v>1.1199999999999999</v>
      </c>
      <c r="K608" s="2">
        <f t="shared" si="34"/>
        <v>-1.1199999999999999</v>
      </c>
    </row>
    <row r="609" spans="1:11" hidden="1">
      <c r="A609" s="2" t="s">
        <v>3851</v>
      </c>
      <c r="B609" s="2" t="s">
        <v>3697</v>
      </c>
      <c r="C609" s="2" t="s">
        <v>3877</v>
      </c>
      <c r="D609" s="2">
        <v>1.82</v>
      </c>
      <c r="E609" s="2">
        <v>3.93</v>
      </c>
      <c r="F609" s="2">
        <v>3.28</v>
      </c>
      <c r="G609" s="205">
        <v>0</v>
      </c>
      <c r="H609" s="205">
        <v>1</v>
      </c>
      <c r="I609" s="2">
        <f t="shared" si="32"/>
        <v>-1</v>
      </c>
      <c r="J609" s="2">
        <f t="shared" si="33"/>
        <v>1.4599999999999997</v>
      </c>
      <c r="K609" s="2">
        <f t="shared" si="34"/>
        <v>-1.4599999999999997</v>
      </c>
    </row>
    <row r="610" spans="1:11" hidden="1">
      <c r="A610" s="2" t="s">
        <v>3851</v>
      </c>
      <c r="B610" s="2" t="s">
        <v>3878</v>
      </c>
      <c r="C610" s="2" t="s">
        <v>3879</v>
      </c>
      <c r="D610" s="2">
        <v>3.63</v>
      </c>
      <c r="E610" s="2">
        <v>3.05</v>
      </c>
      <c r="F610" s="2">
        <v>2.0099999999999998</v>
      </c>
      <c r="G610" s="205">
        <v>2</v>
      </c>
      <c r="H610" s="205">
        <v>1</v>
      </c>
      <c r="I610" s="2">
        <f t="shared" si="32"/>
        <v>1</v>
      </c>
      <c r="J610" s="2">
        <f t="shared" si="33"/>
        <v>1.62</v>
      </c>
      <c r="K610" s="2">
        <f t="shared" si="34"/>
        <v>1.62</v>
      </c>
    </row>
    <row r="611" spans="1:11" hidden="1">
      <c r="A611" s="2" t="s">
        <v>3851</v>
      </c>
      <c r="B611" s="2" t="s">
        <v>3132</v>
      </c>
      <c r="C611" s="2" t="s">
        <v>3880</v>
      </c>
      <c r="D611" s="2">
        <v>4.2699999999999996</v>
      </c>
      <c r="E611" s="2">
        <v>3.72</v>
      </c>
      <c r="F611" s="2">
        <v>1.67</v>
      </c>
      <c r="G611" s="205">
        <v>1</v>
      </c>
      <c r="H611" s="205">
        <v>4</v>
      </c>
      <c r="I611" s="2">
        <f t="shared" si="32"/>
        <v>-3</v>
      </c>
      <c r="J611" s="2">
        <f t="shared" si="33"/>
        <v>2.5999999999999996</v>
      </c>
      <c r="K611" s="2">
        <f t="shared" si="34"/>
        <v>2.5999999999999996</v>
      </c>
    </row>
    <row r="612" spans="1:11" hidden="1">
      <c r="A612" s="2" t="s">
        <v>3851</v>
      </c>
      <c r="B612" s="2" t="s">
        <v>3194</v>
      </c>
      <c r="C612" s="2" t="s">
        <v>3881</v>
      </c>
      <c r="D612" s="2">
        <v>1.28</v>
      </c>
      <c r="E612" s="2">
        <v>6.55</v>
      </c>
      <c r="F612" s="2">
        <v>9.5500000000000007</v>
      </c>
      <c r="G612" s="205">
        <v>2</v>
      </c>
      <c r="H612" s="205">
        <v>1</v>
      </c>
      <c r="I612" s="2">
        <f t="shared" si="32"/>
        <v>1</v>
      </c>
      <c r="J612" s="2">
        <f t="shared" si="33"/>
        <v>8.2700000000000014</v>
      </c>
      <c r="K612" s="2">
        <f t="shared" si="34"/>
        <v>-8.2700000000000014</v>
      </c>
    </row>
    <row r="613" spans="1:11" hidden="1">
      <c r="A613" s="2" t="s">
        <v>3851</v>
      </c>
      <c r="B613" s="2" t="s">
        <v>3130</v>
      </c>
      <c r="C613" s="2" t="s">
        <v>3882</v>
      </c>
      <c r="D613" s="2">
        <v>1.72</v>
      </c>
      <c r="E613" s="2">
        <v>4.0199999999999996</v>
      </c>
      <c r="F613" s="2">
        <v>4.37</v>
      </c>
      <c r="G613" s="205">
        <v>2</v>
      </c>
      <c r="H613" s="205">
        <v>0</v>
      </c>
      <c r="I613" s="2">
        <f t="shared" si="32"/>
        <v>2</v>
      </c>
      <c r="J613" s="2">
        <f t="shared" si="33"/>
        <v>2.6500000000000004</v>
      </c>
      <c r="K613" s="2">
        <f t="shared" si="34"/>
        <v>-2.6500000000000004</v>
      </c>
    </row>
    <row r="614" spans="1:11" hidden="1">
      <c r="A614" s="2" t="s">
        <v>3851</v>
      </c>
      <c r="B614" s="2" t="s">
        <v>3883</v>
      </c>
      <c r="C614" s="2" t="s">
        <v>3884</v>
      </c>
      <c r="D614" s="2">
        <v>1.88</v>
      </c>
      <c r="E614" s="2">
        <v>3.73</v>
      </c>
      <c r="F614" s="2">
        <v>3.85</v>
      </c>
      <c r="G614" s="205">
        <v>1</v>
      </c>
      <c r="H614" s="205">
        <v>1</v>
      </c>
      <c r="I614" s="2">
        <f t="shared" si="32"/>
        <v>0</v>
      </c>
      <c r="J614" s="2">
        <f t="shared" si="33"/>
        <v>1.9700000000000002</v>
      </c>
      <c r="K614" s="2">
        <f t="shared" si="34"/>
        <v>-1.9700000000000002</v>
      </c>
    </row>
    <row r="615" spans="1:11" hidden="1">
      <c r="A615" s="2" t="s">
        <v>3851</v>
      </c>
      <c r="B615" s="2" t="s">
        <v>3885</v>
      </c>
      <c r="C615" s="2" t="s">
        <v>3886</v>
      </c>
      <c r="D615" s="2">
        <v>4.3</v>
      </c>
      <c r="E615" s="2">
        <v>3.27</v>
      </c>
      <c r="F615" s="2">
        <v>1.92</v>
      </c>
      <c r="G615" s="205">
        <v>1</v>
      </c>
      <c r="H615" s="205">
        <v>2</v>
      </c>
      <c r="I615" s="2">
        <f t="shared" si="32"/>
        <v>-1</v>
      </c>
      <c r="J615" s="2">
        <f t="shared" si="33"/>
        <v>2.38</v>
      </c>
      <c r="K615" s="2">
        <f t="shared" si="34"/>
        <v>2.38</v>
      </c>
    </row>
    <row r="616" spans="1:11" hidden="1">
      <c r="A616" s="2" t="s">
        <v>3851</v>
      </c>
      <c r="B616" s="2" t="s">
        <v>3887</v>
      </c>
      <c r="C616" s="2" t="s">
        <v>3888</v>
      </c>
      <c r="D616" s="2">
        <v>4.33</v>
      </c>
      <c r="E616" s="2">
        <v>3.6</v>
      </c>
      <c r="F616" s="2">
        <v>1.58</v>
      </c>
      <c r="G616" s="205">
        <v>2</v>
      </c>
      <c r="H616" s="205">
        <v>1</v>
      </c>
      <c r="I616" s="2">
        <f t="shared" si="32"/>
        <v>1</v>
      </c>
      <c r="J616" s="2">
        <f t="shared" si="33"/>
        <v>2.75</v>
      </c>
      <c r="K616" s="2">
        <f t="shared" si="34"/>
        <v>2.75</v>
      </c>
    </row>
    <row r="617" spans="1:11" hidden="1">
      <c r="A617" s="2" t="s">
        <v>3851</v>
      </c>
      <c r="B617" s="2" t="s">
        <v>3885</v>
      </c>
      <c r="C617" s="2" t="s">
        <v>3889</v>
      </c>
      <c r="D617" s="2">
        <v>1.65</v>
      </c>
      <c r="E617" s="2">
        <v>3.73</v>
      </c>
      <c r="F617" s="2">
        <v>5.35</v>
      </c>
      <c r="G617" s="205">
        <v>1</v>
      </c>
      <c r="H617" s="205">
        <v>2</v>
      </c>
      <c r="I617" s="2">
        <f t="shared" si="32"/>
        <v>-1</v>
      </c>
      <c r="J617" s="2">
        <f t="shared" si="33"/>
        <v>3.6999999999999997</v>
      </c>
      <c r="K617" s="2">
        <f t="shared" si="34"/>
        <v>-3.6999999999999997</v>
      </c>
    </row>
    <row r="618" spans="1:11" hidden="1">
      <c r="A618" s="2" t="s">
        <v>3851</v>
      </c>
      <c r="B618" s="2" t="s">
        <v>3718</v>
      </c>
      <c r="C618" s="2" t="s">
        <v>3890</v>
      </c>
      <c r="D618" s="2">
        <v>2.44</v>
      </c>
      <c r="E618" s="2">
        <v>3.12</v>
      </c>
      <c r="F618" s="2">
        <v>2.44</v>
      </c>
      <c r="G618" s="205">
        <v>0</v>
      </c>
      <c r="H618" s="205">
        <v>2</v>
      </c>
      <c r="I618" s="2">
        <f t="shared" si="32"/>
        <v>-2</v>
      </c>
      <c r="J618" s="2">
        <f t="shared" si="33"/>
        <v>0</v>
      </c>
      <c r="K618" s="2">
        <f t="shared" si="34"/>
        <v>0</v>
      </c>
    </row>
    <row r="619" spans="1:11" hidden="1">
      <c r="A619" s="2" t="s">
        <v>3851</v>
      </c>
      <c r="B619" s="2" t="s">
        <v>3718</v>
      </c>
      <c r="C619" s="2" t="s">
        <v>3891</v>
      </c>
      <c r="D619" s="2">
        <v>2.25</v>
      </c>
      <c r="E619" s="2">
        <v>3.1</v>
      </c>
      <c r="F619" s="2">
        <v>2.68</v>
      </c>
      <c r="G619" s="205">
        <v>2</v>
      </c>
      <c r="H619" s="205">
        <v>0</v>
      </c>
      <c r="I619" s="2">
        <f t="shared" si="32"/>
        <v>2</v>
      </c>
      <c r="J619" s="2">
        <f t="shared" si="33"/>
        <v>0.43000000000000016</v>
      </c>
      <c r="K619" s="2">
        <f t="shared" si="34"/>
        <v>-0.43000000000000016</v>
      </c>
    </row>
    <row r="620" spans="1:11" hidden="1">
      <c r="A620" s="2" t="s">
        <v>3851</v>
      </c>
      <c r="B620" s="2" t="s">
        <v>3718</v>
      </c>
      <c r="C620" s="2" t="s">
        <v>3892</v>
      </c>
      <c r="D620" s="2">
        <v>2.06</v>
      </c>
      <c r="E620" s="2">
        <v>3.2</v>
      </c>
      <c r="F620" s="2">
        <v>2.92</v>
      </c>
      <c r="G620" s="205">
        <v>2</v>
      </c>
      <c r="H620" s="205">
        <v>0</v>
      </c>
      <c r="I620" s="2">
        <f t="shared" si="32"/>
        <v>2</v>
      </c>
      <c r="J620" s="2">
        <f t="shared" si="33"/>
        <v>0.85999999999999988</v>
      </c>
      <c r="K620" s="2">
        <f t="shared" si="34"/>
        <v>-0.85999999999999988</v>
      </c>
    </row>
    <row r="621" spans="1:11" hidden="1">
      <c r="A621" s="2" t="s">
        <v>3851</v>
      </c>
      <c r="B621" s="2" t="s">
        <v>3718</v>
      </c>
      <c r="C621" s="2" t="s">
        <v>3893</v>
      </c>
      <c r="D621" s="2">
        <v>2.16</v>
      </c>
      <c r="E621" s="2">
        <v>3.15</v>
      </c>
      <c r="F621" s="2">
        <v>2.79</v>
      </c>
      <c r="G621" s="205">
        <v>0</v>
      </c>
      <c r="H621" s="205">
        <v>1</v>
      </c>
      <c r="I621" s="2">
        <f t="shared" si="32"/>
        <v>-1</v>
      </c>
      <c r="J621" s="2">
        <f t="shared" si="33"/>
        <v>0.62999999999999989</v>
      </c>
      <c r="K621" s="2">
        <f t="shared" si="34"/>
        <v>-0.62999999999999989</v>
      </c>
    </row>
    <row r="622" spans="1:11" hidden="1">
      <c r="A622" s="2" t="s">
        <v>3851</v>
      </c>
      <c r="B622" s="2" t="s">
        <v>3718</v>
      </c>
      <c r="C622" s="2" t="s">
        <v>3894</v>
      </c>
      <c r="D622" s="2">
        <v>2.34</v>
      </c>
      <c r="E622" s="2">
        <v>3.12</v>
      </c>
      <c r="F622" s="2">
        <v>2.5499999999999998</v>
      </c>
      <c r="G622" s="205">
        <v>2</v>
      </c>
      <c r="H622" s="205">
        <v>0</v>
      </c>
      <c r="I622" s="2">
        <f t="shared" si="32"/>
        <v>2</v>
      </c>
      <c r="J622" s="2">
        <f t="shared" si="33"/>
        <v>0.20999999999999996</v>
      </c>
      <c r="K622" s="2">
        <f t="shared" si="34"/>
        <v>-0.20999999999999996</v>
      </c>
    </row>
    <row r="623" spans="1:11" hidden="1">
      <c r="A623" s="2" t="s">
        <v>3851</v>
      </c>
      <c r="B623" s="2" t="s">
        <v>3895</v>
      </c>
      <c r="C623" s="2" t="s">
        <v>3896</v>
      </c>
      <c r="D623" s="2">
        <v>2.06</v>
      </c>
      <c r="E623" s="2">
        <v>3.48</v>
      </c>
      <c r="F623" s="2">
        <v>2.71</v>
      </c>
      <c r="G623" s="205">
        <v>0</v>
      </c>
      <c r="H623" s="205">
        <v>2</v>
      </c>
      <c r="I623" s="2">
        <f t="shared" si="32"/>
        <v>-2</v>
      </c>
      <c r="J623" s="2">
        <f t="shared" si="33"/>
        <v>0.64999999999999991</v>
      </c>
      <c r="K623" s="2">
        <f t="shared" si="34"/>
        <v>-0.64999999999999991</v>
      </c>
    </row>
    <row r="624" spans="1:11" hidden="1">
      <c r="A624" s="2" t="s">
        <v>3851</v>
      </c>
      <c r="B624" s="2" t="s">
        <v>3621</v>
      </c>
      <c r="C624" s="2" t="s">
        <v>3897</v>
      </c>
      <c r="D624" s="2">
        <v>1.98</v>
      </c>
      <c r="E624" s="2">
        <v>3.4</v>
      </c>
      <c r="F624" s="2">
        <v>2.94</v>
      </c>
      <c r="G624" s="205">
        <v>1</v>
      </c>
      <c r="H624" s="205">
        <v>1</v>
      </c>
      <c r="I624" s="2">
        <f t="shared" si="32"/>
        <v>0</v>
      </c>
      <c r="J624" s="2">
        <f t="shared" si="33"/>
        <v>0.96</v>
      </c>
      <c r="K624" s="2">
        <f t="shared" si="34"/>
        <v>-0.96</v>
      </c>
    </row>
    <row r="625" spans="1:11" hidden="1">
      <c r="A625" s="2" t="s">
        <v>3851</v>
      </c>
      <c r="B625" s="2" t="s">
        <v>3220</v>
      </c>
      <c r="C625" s="2" t="s">
        <v>3898</v>
      </c>
      <c r="D625" s="2">
        <v>3.23</v>
      </c>
      <c r="E625" s="2">
        <v>3.53</v>
      </c>
      <c r="F625" s="2">
        <v>1.82</v>
      </c>
      <c r="G625" s="205">
        <v>0</v>
      </c>
      <c r="H625" s="205">
        <v>2</v>
      </c>
      <c r="I625" s="2">
        <f t="shared" si="32"/>
        <v>-2</v>
      </c>
      <c r="J625" s="2">
        <f t="shared" si="33"/>
        <v>1.41</v>
      </c>
      <c r="K625" s="2">
        <f t="shared" si="34"/>
        <v>1.41</v>
      </c>
    </row>
    <row r="626" spans="1:11" hidden="1">
      <c r="A626" s="2" t="s">
        <v>3851</v>
      </c>
      <c r="B626" s="2" t="s">
        <v>3527</v>
      </c>
      <c r="C626" s="2" t="s">
        <v>3899</v>
      </c>
      <c r="D626" s="2">
        <v>1.84</v>
      </c>
      <c r="E626" s="2">
        <v>3.18</v>
      </c>
      <c r="F626" s="2">
        <v>3.55</v>
      </c>
      <c r="G626" s="205">
        <v>1</v>
      </c>
      <c r="H626" s="205">
        <v>2</v>
      </c>
      <c r="I626" s="2">
        <f t="shared" si="32"/>
        <v>-1</v>
      </c>
      <c r="J626" s="2">
        <f t="shared" si="33"/>
        <v>1.7099999999999997</v>
      </c>
      <c r="K626" s="2">
        <f t="shared" si="34"/>
        <v>-1.7099999999999997</v>
      </c>
    </row>
    <row r="627" spans="1:11" hidden="1">
      <c r="A627" s="2" t="s">
        <v>3851</v>
      </c>
      <c r="B627" s="2" t="s">
        <v>3885</v>
      </c>
      <c r="C627" s="2" t="s">
        <v>3900</v>
      </c>
      <c r="D627" s="2">
        <v>1.73</v>
      </c>
      <c r="E627" s="2">
        <v>3.43</v>
      </c>
      <c r="F627" s="2">
        <v>5.2</v>
      </c>
      <c r="G627" s="205">
        <v>1</v>
      </c>
      <c r="H627" s="205">
        <v>0</v>
      </c>
      <c r="I627" s="2">
        <f t="shared" si="32"/>
        <v>1</v>
      </c>
      <c r="J627" s="2">
        <f t="shared" si="33"/>
        <v>3.47</v>
      </c>
      <c r="K627" s="2">
        <f t="shared" si="34"/>
        <v>-3.47</v>
      </c>
    </row>
    <row r="628" spans="1:11" hidden="1">
      <c r="A628" s="2" t="s">
        <v>3851</v>
      </c>
      <c r="B628" s="2" t="s">
        <v>3901</v>
      </c>
      <c r="C628" s="2" t="s">
        <v>3902</v>
      </c>
      <c r="D628" s="2">
        <v>1.23</v>
      </c>
      <c r="E628" s="2">
        <v>4.5</v>
      </c>
      <c r="F628" s="2">
        <v>9.35</v>
      </c>
      <c r="G628" s="205">
        <v>4</v>
      </c>
      <c r="H628" s="205">
        <v>0</v>
      </c>
      <c r="I628" s="2">
        <f t="shared" si="32"/>
        <v>4</v>
      </c>
      <c r="J628" s="2">
        <f t="shared" si="33"/>
        <v>8.1199999999999992</v>
      </c>
      <c r="K628" s="2">
        <f t="shared" si="34"/>
        <v>-8.1199999999999992</v>
      </c>
    </row>
    <row r="629" spans="1:11" hidden="1">
      <c r="A629" s="2" t="s">
        <v>3851</v>
      </c>
      <c r="B629" s="2" t="s">
        <v>3903</v>
      </c>
      <c r="C629" s="2" t="s">
        <v>3904</v>
      </c>
      <c r="D629" s="2">
        <v>1.86</v>
      </c>
      <c r="E629" s="2">
        <v>3.85</v>
      </c>
      <c r="F629" s="2">
        <v>2.91</v>
      </c>
      <c r="G629" s="205">
        <v>2</v>
      </c>
      <c r="H629" s="205">
        <v>1</v>
      </c>
      <c r="I629" s="2">
        <f t="shared" si="32"/>
        <v>1</v>
      </c>
      <c r="J629" s="2">
        <f t="shared" si="33"/>
        <v>1.05</v>
      </c>
      <c r="K629" s="2">
        <f t="shared" si="34"/>
        <v>-1.05</v>
      </c>
    </row>
    <row r="630" spans="1:11" hidden="1">
      <c r="A630" s="2" t="s">
        <v>3851</v>
      </c>
      <c r="B630" s="2" t="s">
        <v>3148</v>
      </c>
      <c r="C630" s="2" t="s">
        <v>3905</v>
      </c>
      <c r="D630" s="2">
        <v>2.63</v>
      </c>
      <c r="E630" s="2">
        <v>3</v>
      </c>
      <c r="F630" s="2">
        <v>2.34</v>
      </c>
      <c r="G630" s="205">
        <v>1</v>
      </c>
      <c r="H630" s="205">
        <v>3</v>
      </c>
      <c r="I630" s="2">
        <f t="shared" si="32"/>
        <v>-2</v>
      </c>
      <c r="J630" s="2">
        <f t="shared" si="33"/>
        <v>0.29000000000000004</v>
      </c>
      <c r="K630" s="2">
        <f t="shared" si="34"/>
        <v>0.29000000000000004</v>
      </c>
    </row>
    <row r="631" spans="1:11" hidden="1">
      <c r="A631" s="2" t="s">
        <v>3851</v>
      </c>
      <c r="B631" s="2" t="s">
        <v>3189</v>
      </c>
      <c r="C631" s="2" t="s">
        <v>3906</v>
      </c>
      <c r="D631" s="2">
        <v>2.13</v>
      </c>
      <c r="E631" s="2">
        <v>2.81</v>
      </c>
      <c r="F631" s="2">
        <v>3.5</v>
      </c>
      <c r="G631" s="205">
        <v>0</v>
      </c>
      <c r="H631" s="205">
        <v>2</v>
      </c>
      <c r="I631" s="2">
        <f t="shared" si="32"/>
        <v>-2</v>
      </c>
      <c r="J631" s="2">
        <f t="shared" si="33"/>
        <v>1.37</v>
      </c>
      <c r="K631" s="2">
        <f t="shared" si="34"/>
        <v>-1.37</v>
      </c>
    </row>
    <row r="632" spans="1:11" hidden="1">
      <c r="A632" s="2" t="s">
        <v>3851</v>
      </c>
      <c r="B632" s="2" t="s">
        <v>3527</v>
      </c>
      <c r="C632" s="2" t="s">
        <v>3907</v>
      </c>
      <c r="D632" s="2">
        <v>1.64</v>
      </c>
      <c r="E632" s="2">
        <v>3.55</v>
      </c>
      <c r="F632" s="2">
        <v>4</v>
      </c>
      <c r="G632" s="205">
        <v>0</v>
      </c>
      <c r="H632" s="205">
        <v>1</v>
      </c>
      <c r="I632" s="2">
        <f t="shared" si="32"/>
        <v>-1</v>
      </c>
      <c r="J632" s="2">
        <f t="shared" si="33"/>
        <v>2.3600000000000003</v>
      </c>
      <c r="K632" s="2">
        <f t="shared" si="34"/>
        <v>-2.3600000000000003</v>
      </c>
    </row>
    <row r="633" spans="1:11" hidden="1">
      <c r="A633" s="2" t="s">
        <v>3851</v>
      </c>
      <c r="B633" s="2" t="s">
        <v>3885</v>
      </c>
      <c r="C633" s="2" t="s">
        <v>3908</v>
      </c>
      <c r="D633" s="2">
        <v>1.43</v>
      </c>
      <c r="E633" s="2">
        <v>4.17</v>
      </c>
      <c r="F633" s="2">
        <v>8.25</v>
      </c>
      <c r="G633" s="205">
        <v>1</v>
      </c>
      <c r="H633" s="205">
        <v>1</v>
      </c>
      <c r="I633" s="2">
        <f t="shared" si="32"/>
        <v>0</v>
      </c>
      <c r="J633" s="2">
        <f t="shared" si="33"/>
        <v>6.82</v>
      </c>
      <c r="K633" s="2">
        <f t="shared" si="34"/>
        <v>-6.82</v>
      </c>
    </row>
    <row r="634" spans="1:11" hidden="1">
      <c r="A634" s="2" t="s">
        <v>3851</v>
      </c>
      <c r="B634" s="2" t="s">
        <v>3135</v>
      </c>
      <c r="C634" s="2" t="s">
        <v>3909</v>
      </c>
      <c r="D634" s="2">
        <v>1.1599999999999999</v>
      </c>
      <c r="E634" s="2">
        <v>7.75</v>
      </c>
      <c r="F634" s="2">
        <v>14.5</v>
      </c>
      <c r="G634" s="205">
        <v>5</v>
      </c>
      <c r="H634" s="205">
        <v>1</v>
      </c>
      <c r="I634" s="2">
        <f t="shared" si="32"/>
        <v>4</v>
      </c>
      <c r="J634" s="2">
        <f t="shared" si="33"/>
        <v>13.34</v>
      </c>
      <c r="K634" s="2">
        <f t="shared" si="34"/>
        <v>-13.34</v>
      </c>
    </row>
    <row r="635" spans="1:11" hidden="1">
      <c r="A635" s="2" t="s">
        <v>3851</v>
      </c>
      <c r="B635" s="2" t="s">
        <v>3887</v>
      </c>
      <c r="C635" s="2" t="s">
        <v>3910</v>
      </c>
      <c r="D635" s="2">
        <v>1.41</v>
      </c>
      <c r="E635" s="2">
        <v>3.8</v>
      </c>
      <c r="F635" s="2">
        <v>5.9</v>
      </c>
      <c r="G635" s="205">
        <v>2</v>
      </c>
      <c r="H635" s="205">
        <v>1</v>
      </c>
      <c r="I635" s="2">
        <f t="shared" si="32"/>
        <v>1</v>
      </c>
      <c r="J635" s="2">
        <f t="shared" si="33"/>
        <v>4.49</v>
      </c>
      <c r="K635" s="2">
        <f t="shared" si="34"/>
        <v>-4.49</v>
      </c>
    </row>
    <row r="636" spans="1:11" hidden="1">
      <c r="A636" s="2" t="s">
        <v>3851</v>
      </c>
      <c r="B636" s="2" t="s">
        <v>3911</v>
      </c>
      <c r="C636" s="2" t="s">
        <v>3912</v>
      </c>
      <c r="D636" s="2">
        <v>3.17</v>
      </c>
      <c r="E636" s="2">
        <v>3.25</v>
      </c>
      <c r="F636" s="2">
        <v>2.29</v>
      </c>
      <c r="G636" s="205">
        <v>2</v>
      </c>
      <c r="H636" s="205">
        <v>1</v>
      </c>
      <c r="I636" s="2">
        <f t="shared" si="32"/>
        <v>1</v>
      </c>
      <c r="J636" s="2">
        <f t="shared" si="33"/>
        <v>0.87999999999999989</v>
      </c>
      <c r="K636" s="2">
        <f t="shared" si="34"/>
        <v>0.87999999999999989</v>
      </c>
    </row>
    <row r="637" spans="1:11" hidden="1">
      <c r="A637" s="2" t="s">
        <v>3851</v>
      </c>
      <c r="B637" s="2" t="s">
        <v>3911</v>
      </c>
      <c r="C637" s="2" t="s">
        <v>3913</v>
      </c>
      <c r="D637" s="2">
        <v>1.4</v>
      </c>
      <c r="E637" s="2">
        <v>4.5199999999999996</v>
      </c>
      <c r="F637" s="2">
        <v>8.15</v>
      </c>
      <c r="G637" s="205">
        <v>4</v>
      </c>
      <c r="H637" s="205">
        <v>0</v>
      </c>
      <c r="I637" s="2">
        <f t="shared" si="32"/>
        <v>4</v>
      </c>
      <c r="J637" s="2">
        <f t="shared" si="33"/>
        <v>6.75</v>
      </c>
      <c r="K637" s="2">
        <f t="shared" si="34"/>
        <v>-6.75</v>
      </c>
    </row>
    <row r="638" spans="1:11" hidden="1">
      <c r="A638" s="2" t="s">
        <v>3851</v>
      </c>
      <c r="B638" s="2" t="s">
        <v>3169</v>
      </c>
      <c r="C638" s="2" t="s">
        <v>3914</v>
      </c>
      <c r="D638" s="2">
        <v>1.48</v>
      </c>
      <c r="E638" s="2">
        <v>3.88</v>
      </c>
      <c r="F638" s="2">
        <v>4.83</v>
      </c>
      <c r="G638" s="205">
        <v>4</v>
      </c>
      <c r="H638" s="205">
        <v>0</v>
      </c>
      <c r="I638" s="2">
        <f t="shared" si="32"/>
        <v>4</v>
      </c>
      <c r="J638" s="2">
        <f t="shared" si="33"/>
        <v>3.35</v>
      </c>
      <c r="K638" s="2">
        <f t="shared" si="34"/>
        <v>-3.35</v>
      </c>
    </row>
    <row r="639" spans="1:11" hidden="1">
      <c r="A639" s="2" t="s">
        <v>3851</v>
      </c>
      <c r="B639" s="2" t="s">
        <v>3915</v>
      </c>
      <c r="C639" s="2" t="s">
        <v>3916</v>
      </c>
      <c r="D639" s="2">
        <v>2.25</v>
      </c>
      <c r="E639" s="2">
        <v>3.5</v>
      </c>
      <c r="F639" s="2">
        <v>2.63</v>
      </c>
      <c r="G639" s="205">
        <v>2</v>
      </c>
      <c r="H639" s="205">
        <v>1</v>
      </c>
      <c r="I639" s="2">
        <f t="shared" si="32"/>
        <v>1</v>
      </c>
      <c r="J639" s="2">
        <f t="shared" si="33"/>
        <v>0.37999999999999989</v>
      </c>
      <c r="K639" s="2">
        <f t="shared" si="34"/>
        <v>-0.37999999999999989</v>
      </c>
    </row>
    <row r="640" spans="1:11" hidden="1">
      <c r="A640" s="2" t="s">
        <v>3851</v>
      </c>
      <c r="B640" s="2" t="s">
        <v>3901</v>
      </c>
      <c r="C640" s="2" t="s">
        <v>3917</v>
      </c>
      <c r="D640" s="2">
        <v>1.31</v>
      </c>
      <c r="E640" s="2">
        <v>4.17</v>
      </c>
      <c r="F640" s="2">
        <v>7.2</v>
      </c>
      <c r="G640" s="205">
        <v>4</v>
      </c>
      <c r="H640" s="205">
        <v>0</v>
      </c>
      <c r="I640" s="2">
        <f t="shared" si="32"/>
        <v>4</v>
      </c>
      <c r="J640" s="2">
        <f t="shared" si="33"/>
        <v>5.8900000000000006</v>
      </c>
      <c r="K640" s="2">
        <f t="shared" si="34"/>
        <v>-5.8900000000000006</v>
      </c>
    </row>
    <row r="641" spans="1:11" hidden="1">
      <c r="A641" s="2" t="s">
        <v>3851</v>
      </c>
      <c r="B641" s="2" t="s">
        <v>3148</v>
      </c>
      <c r="C641" s="2" t="s">
        <v>3918</v>
      </c>
      <c r="D641" s="2">
        <v>2.74</v>
      </c>
      <c r="E641" s="2">
        <v>3.02</v>
      </c>
      <c r="F641" s="2">
        <v>2.25</v>
      </c>
      <c r="G641" s="205">
        <v>1</v>
      </c>
      <c r="H641" s="205">
        <v>2</v>
      </c>
      <c r="I641" s="2">
        <f t="shared" si="32"/>
        <v>-1</v>
      </c>
      <c r="J641" s="2">
        <f t="shared" si="33"/>
        <v>0.49000000000000021</v>
      </c>
      <c r="K641" s="2">
        <f t="shared" si="34"/>
        <v>0.49000000000000021</v>
      </c>
    </row>
    <row r="642" spans="1:11" hidden="1">
      <c r="A642" s="2" t="s">
        <v>3851</v>
      </c>
      <c r="B642" s="2" t="s">
        <v>3164</v>
      </c>
      <c r="C642" s="2" t="s">
        <v>3919</v>
      </c>
      <c r="D642" s="2">
        <v>4.18</v>
      </c>
      <c r="E642" s="2">
        <v>3.53</v>
      </c>
      <c r="F642" s="2">
        <v>1.62</v>
      </c>
      <c r="G642" s="205">
        <v>1</v>
      </c>
      <c r="H642" s="205">
        <v>1</v>
      </c>
      <c r="I642" s="2">
        <f t="shared" si="32"/>
        <v>0</v>
      </c>
      <c r="J642" s="2">
        <f t="shared" si="33"/>
        <v>2.5599999999999996</v>
      </c>
      <c r="K642" s="2">
        <f t="shared" si="34"/>
        <v>2.5599999999999996</v>
      </c>
    </row>
    <row r="643" spans="1:11" hidden="1">
      <c r="A643" s="2" t="s">
        <v>3851</v>
      </c>
      <c r="B643" s="2" t="s">
        <v>3115</v>
      </c>
      <c r="C643" s="2" t="s">
        <v>3920</v>
      </c>
      <c r="D643" s="2">
        <v>1.38</v>
      </c>
      <c r="E643" s="2">
        <v>4.75</v>
      </c>
      <c r="F643" s="2">
        <v>8.15</v>
      </c>
      <c r="G643" s="205">
        <v>3</v>
      </c>
      <c r="H643" s="205">
        <v>1</v>
      </c>
      <c r="I643" s="2">
        <f t="shared" si="32"/>
        <v>2</v>
      </c>
      <c r="J643" s="2">
        <f t="shared" si="33"/>
        <v>6.7700000000000005</v>
      </c>
      <c r="K643" s="2">
        <f t="shared" si="34"/>
        <v>-6.7700000000000005</v>
      </c>
    </row>
    <row r="644" spans="1:11" hidden="1">
      <c r="A644" s="2" t="s">
        <v>3851</v>
      </c>
      <c r="B644" s="2" t="s">
        <v>3199</v>
      </c>
      <c r="C644" s="2" t="s">
        <v>3921</v>
      </c>
      <c r="D644" s="2">
        <v>1.79</v>
      </c>
      <c r="E644" s="2">
        <v>3.4</v>
      </c>
      <c r="F644" s="2">
        <v>3.88</v>
      </c>
      <c r="G644" s="205">
        <v>2</v>
      </c>
      <c r="H644" s="205">
        <v>1</v>
      </c>
      <c r="I644" s="2">
        <f t="shared" si="32"/>
        <v>1</v>
      </c>
      <c r="J644" s="2">
        <f t="shared" si="33"/>
        <v>2.09</v>
      </c>
      <c r="K644" s="2">
        <f t="shared" si="34"/>
        <v>-2.09</v>
      </c>
    </row>
    <row r="645" spans="1:11" hidden="1">
      <c r="A645" s="2" t="s">
        <v>3851</v>
      </c>
      <c r="B645" s="2" t="s">
        <v>3199</v>
      </c>
      <c r="C645" s="2" t="s">
        <v>3922</v>
      </c>
      <c r="D645" s="2">
        <v>1.92</v>
      </c>
      <c r="E645" s="2">
        <v>3.2</v>
      </c>
      <c r="F645" s="2">
        <v>3.62</v>
      </c>
      <c r="G645" s="205">
        <v>0</v>
      </c>
      <c r="H645" s="205">
        <v>1</v>
      </c>
      <c r="I645" s="2">
        <f t="shared" si="32"/>
        <v>-1</v>
      </c>
      <c r="J645" s="2">
        <f t="shared" si="33"/>
        <v>1.7000000000000002</v>
      </c>
      <c r="K645" s="2">
        <f t="shared" si="34"/>
        <v>-1.7000000000000002</v>
      </c>
    </row>
    <row r="646" spans="1:11" hidden="1">
      <c r="A646" s="2" t="s">
        <v>3851</v>
      </c>
      <c r="B646" s="2" t="s">
        <v>3923</v>
      </c>
      <c r="C646" s="2" t="s">
        <v>3924</v>
      </c>
      <c r="D646" s="2">
        <v>1.2</v>
      </c>
      <c r="E646" s="2">
        <v>5.35</v>
      </c>
      <c r="F646" s="2">
        <v>8.15</v>
      </c>
      <c r="G646" s="205">
        <v>2</v>
      </c>
      <c r="H646" s="205">
        <v>1</v>
      </c>
      <c r="I646" s="2">
        <f t="shared" si="32"/>
        <v>1</v>
      </c>
      <c r="J646" s="2">
        <f t="shared" si="33"/>
        <v>6.95</v>
      </c>
      <c r="K646" s="2">
        <f t="shared" si="34"/>
        <v>-6.95</v>
      </c>
    </row>
    <row r="647" spans="1:11" hidden="1">
      <c r="A647" s="2" t="s">
        <v>3851</v>
      </c>
      <c r="B647" s="2" t="s">
        <v>3925</v>
      </c>
      <c r="C647" s="2" t="s">
        <v>3926</v>
      </c>
      <c r="D647" s="2">
        <v>6.05</v>
      </c>
      <c r="E647" s="2">
        <v>3.58</v>
      </c>
      <c r="F647" s="2">
        <v>1.44</v>
      </c>
      <c r="G647" s="205">
        <v>1</v>
      </c>
      <c r="H647" s="205">
        <v>3</v>
      </c>
      <c r="I647" s="2">
        <f t="shared" si="32"/>
        <v>-2</v>
      </c>
      <c r="J647" s="2">
        <f t="shared" si="33"/>
        <v>4.6099999999999994</v>
      </c>
      <c r="K647" s="2">
        <f t="shared" si="34"/>
        <v>4.6099999999999994</v>
      </c>
    </row>
    <row r="648" spans="1:11" hidden="1">
      <c r="A648" s="2" t="s">
        <v>3851</v>
      </c>
      <c r="B648" s="2" t="s">
        <v>3216</v>
      </c>
      <c r="C648" s="2" t="s">
        <v>3927</v>
      </c>
      <c r="D648" s="2">
        <v>2.2000000000000002</v>
      </c>
      <c r="E648" s="2">
        <v>3.2</v>
      </c>
      <c r="F648" s="2">
        <v>3.43</v>
      </c>
      <c r="G648" s="205">
        <v>2</v>
      </c>
      <c r="H648" s="205">
        <v>1</v>
      </c>
      <c r="I648" s="2">
        <f t="shared" si="32"/>
        <v>1</v>
      </c>
      <c r="J648" s="2">
        <f t="shared" si="33"/>
        <v>1.23</v>
      </c>
      <c r="K648" s="2">
        <f t="shared" si="34"/>
        <v>-1.23</v>
      </c>
    </row>
    <row r="649" spans="1:11" hidden="1">
      <c r="A649" s="2" t="s">
        <v>3851</v>
      </c>
      <c r="B649" s="2" t="s">
        <v>3216</v>
      </c>
      <c r="C649" s="2" t="s">
        <v>3928</v>
      </c>
      <c r="D649" s="2">
        <v>2.67</v>
      </c>
      <c r="E649" s="2">
        <v>3.28</v>
      </c>
      <c r="F649" s="2">
        <v>2.63</v>
      </c>
      <c r="G649" s="205">
        <v>1</v>
      </c>
      <c r="H649" s="205">
        <v>0</v>
      </c>
      <c r="I649" s="2">
        <f t="shared" si="32"/>
        <v>1</v>
      </c>
      <c r="J649" s="2">
        <f t="shared" si="33"/>
        <v>4.0000000000000036E-2</v>
      </c>
      <c r="K649" s="2">
        <f t="shared" si="34"/>
        <v>4.0000000000000036E-2</v>
      </c>
    </row>
    <row r="650" spans="1:11" hidden="1">
      <c r="A650" s="2" t="s">
        <v>3851</v>
      </c>
      <c r="B650" s="2" t="s">
        <v>3197</v>
      </c>
      <c r="C650" s="2" t="s">
        <v>3929</v>
      </c>
      <c r="D650" s="2">
        <v>2.97</v>
      </c>
      <c r="E650" s="2">
        <v>3.28</v>
      </c>
      <c r="F650" s="2">
        <v>2.5099999999999998</v>
      </c>
      <c r="G650" s="205">
        <v>1</v>
      </c>
      <c r="H650" s="205">
        <v>1</v>
      </c>
      <c r="I650" s="2">
        <f t="shared" si="32"/>
        <v>0</v>
      </c>
      <c r="J650" s="2">
        <f t="shared" si="33"/>
        <v>0.46000000000000041</v>
      </c>
      <c r="K650" s="2">
        <f t="shared" si="34"/>
        <v>0.46000000000000041</v>
      </c>
    </row>
    <row r="651" spans="1:11" hidden="1">
      <c r="A651" s="2" t="s">
        <v>3851</v>
      </c>
      <c r="B651" s="2" t="s">
        <v>1698</v>
      </c>
      <c r="C651" s="2" t="s">
        <v>3930</v>
      </c>
      <c r="D651" s="2">
        <v>2.25</v>
      </c>
      <c r="E651" s="2">
        <v>3.53</v>
      </c>
      <c r="F651" s="2">
        <v>3.2</v>
      </c>
      <c r="G651" s="205">
        <v>2</v>
      </c>
      <c r="H651" s="205">
        <v>1</v>
      </c>
      <c r="I651" s="2">
        <f t="shared" si="32"/>
        <v>1</v>
      </c>
      <c r="J651" s="2">
        <f t="shared" si="33"/>
        <v>0.95000000000000018</v>
      </c>
      <c r="K651" s="2">
        <f t="shared" si="34"/>
        <v>-0.95000000000000018</v>
      </c>
    </row>
    <row r="652" spans="1:11" hidden="1">
      <c r="A652" s="2" t="s">
        <v>3851</v>
      </c>
      <c r="B652" s="2" t="s">
        <v>1698</v>
      </c>
      <c r="C652" s="2" t="s">
        <v>3931</v>
      </c>
      <c r="D652" s="2">
        <v>1.85</v>
      </c>
      <c r="E652" s="2">
        <v>3.53</v>
      </c>
      <c r="F652" s="2">
        <v>4.63</v>
      </c>
      <c r="G652" s="205">
        <v>2</v>
      </c>
      <c r="H652" s="205">
        <v>1</v>
      </c>
      <c r="I652" s="2">
        <f t="shared" si="32"/>
        <v>1</v>
      </c>
      <c r="J652" s="2">
        <f t="shared" si="33"/>
        <v>2.78</v>
      </c>
      <c r="K652" s="2">
        <f t="shared" si="34"/>
        <v>-2.78</v>
      </c>
    </row>
    <row r="653" spans="1:11" hidden="1">
      <c r="A653" s="2" t="s">
        <v>3851</v>
      </c>
      <c r="B653" s="2" t="s">
        <v>3932</v>
      </c>
      <c r="C653" s="2" t="s">
        <v>3933</v>
      </c>
      <c r="D653" s="2">
        <v>1.64</v>
      </c>
      <c r="E653" s="2">
        <v>3.42</v>
      </c>
      <c r="F653" s="2">
        <v>4.2</v>
      </c>
      <c r="G653" s="205">
        <v>2</v>
      </c>
      <c r="H653" s="205">
        <v>1</v>
      </c>
      <c r="I653" s="2">
        <f t="shared" si="32"/>
        <v>1</v>
      </c>
      <c r="J653" s="2">
        <f t="shared" si="33"/>
        <v>2.5600000000000005</v>
      </c>
      <c r="K653" s="2">
        <f t="shared" si="34"/>
        <v>-2.5600000000000005</v>
      </c>
    </row>
    <row r="654" spans="1:11" hidden="1">
      <c r="A654" s="2" t="s">
        <v>3851</v>
      </c>
      <c r="B654" s="2" t="s">
        <v>3887</v>
      </c>
      <c r="C654" s="2" t="s">
        <v>3934</v>
      </c>
      <c r="D654" s="2">
        <v>1.44</v>
      </c>
      <c r="E654" s="2">
        <v>3.6</v>
      </c>
      <c r="F654" s="2">
        <v>5.85</v>
      </c>
      <c r="G654" s="205">
        <v>0</v>
      </c>
      <c r="H654" s="205">
        <v>2</v>
      </c>
      <c r="I654" s="2">
        <f t="shared" ref="I654:I717" si="35">+G654-H654</f>
        <v>-2</v>
      </c>
      <c r="J654" s="2">
        <f t="shared" ref="J654:J717" si="36">ABS(+D654-F654)</f>
        <v>4.41</v>
      </c>
      <c r="K654" s="2">
        <f t="shared" ref="K654:K717" si="37">+D654-F654</f>
        <v>-4.41</v>
      </c>
    </row>
    <row r="655" spans="1:11" hidden="1">
      <c r="A655" s="2" t="s">
        <v>3851</v>
      </c>
      <c r="B655" s="2" t="s">
        <v>3887</v>
      </c>
      <c r="C655" s="2" t="s">
        <v>3935</v>
      </c>
      <c r="D655" s="2">
        <v>1.29</v>
      </c>
      <c r="E655" s="2">
        <v>4.8499999999999996</v>
      </c>
      <c r="F655" s="2">
        <v>6.4</v>
      </c>
      <c r="G655" s="205">
        <v>2</v>
      </c>
      <c r="H655" s="205">
        <v>1</v>
      </c>
      <c r="I655" s="2">
        <f t="shared" si="35"/>
        <v>1</v>
      </c>
      <c r="J655" s="2">
        <f t="shared" si="36"/>
        <v>5.1100000000000003</v>
      </c>
      <c r="K655" s="2">
        <f t="shared" si="37"/>
        <v>-5.1100000000000003</v>
      </c>
    </row>
    <row r="656" spans="1:11" hidden="1">
      <c r="A656" s="2" t="s">
        <v>3851</v>
      </c>
      <c r="B656" s="2" t="s">
        <v>3140</v>
      </c>
      <c r="C656" s="2" t="s">
        <v>3936</v>
      </c>
      <c r="D656" s="2">
        <v>1.78</v>
      </c>
      <c r="E656" s="2">
        <v>3.68</v>
      </c>
      <c r="F656" s="2">
        <v>4.42</v>
      </c>
      <c r="G656" s="205">
        <v>0</v>
      </c>
      <c r="H656" s="205">
        <v>1</v>
      </c>
      <c r="I656" s="2">
        <f t="shared" si="35"/>
        <v>-1</v>
      </c>
      <c r="J656" s="2">
        <f t="shared" si="36"/>
        <v>2.6399999999999997</v>
      </c>
      <c r="K656" s="2">
        <f t="shared" si="37"/>
        <v>-2.6399999999999997</v>
      </c>
    </row>
    <row r="657" spans="1:11" hidden="1">
      <c r="A657" s="2" t="s">
        <v>3851</v>
      </c>
      <c r="B657" s="2" t="s">
        <v>3937</v>
      </c>
      <c r="C657" s="2" t="s">
        <v>3938</v>
      </c>
      <c r="D657" s="2">
        <v>1.48</v>
      </c>
      <c r="E657" s="2">
        <v>4.07</v>
      </c>
      <c r="F657" s="2">
        <v>4.58</v>
      </c>
      <c r="G657" s="205">
        <v>4</v>
      </c>
      <c r="H657" s="205">
        <v>1</v>
      </c>
      <c r="I657" s="2">
        <f t="shared" si="35"/>
        <v>3</v>
      </c>
      <c r="J657" s="2">
        <f t="shared" si="36"/>
        <v>3.1</v>
      </c>
      <c r="K657" s="2">
        <f t="shared" si="37"/>
        <v>-3.1</v>
      </c>
    </row>
    <row r="658" spans="1:11" hidden="1">
      <c r="A658" s="2" t="s">
        <v>3851</v>
      </c>
      <c r="B658" s="2" t="s">
        <v>3937</v>
      </c>
      <c r="C658" s="2" t="s">
        <v>3939</v>
      </c>
      <c r="D658" s="2">
        <v>1.43</v>
      </c>
      <c r="E658" s="2">
        <v>4.32</v>
      </c>
      <c r="F658" s="2">
        <v>4.83</v>
      </c>
      <c r="G658" s="205">
        <v>1</v>
      </c>
      <c r="H658" s="205">
        <v>0</v>
      </c>
      <c r="I658" s="2">
        <f t="shared" si="35"/>
        <v>1</v>
      </c>
      <c r="J658" s="2">
        <f t="shared" si="36"/>
        <v>3.4000000000000004</v>
      </c>
      <c r="K658" s="2">
        <f t="shared" si="37"/>
        <v>-3.4000000000000004</v>
      </c>
    </row>
    <row r="659" spans="1:11" hidden="1">
      <c r="A659" s="2" t="s">
        <v>3851</v>
      </c>
      <c r="B659" s="2" t="s">
        <v>3937</v>
      </c>
      <c r="C659" s="2" t="s">
        <v>3940</v>
      </c>
      <c r="D659" s="2">
        <v>1.38</v>
      </c>
      <c r="E659" s="2">
        <v>4.38</v>
      </c>
      <c r="F659" s="2">
        <v>5.3</v>
      </c>
      <c r="G659" s="205">
        <v>1</v>
      </c>
      <c r="H659" s="205">
        <v>1</v>
      </c>
      <c r="I659" s="2">
        <f t="shared" si="35"/>
        <v>0</v>
      </c>
      <c r="J659" s="2">
        <f t="shared" si="36"/>
        <v>3.92</v>
      </c>
      <c r="K659" s="2">
        <f t="shared" si="37"/>
        <v>-3.92</v>
      </c>
    </row>
    <row r="660" spans="1:11" hidden="1">
      <c r="A660" s="2" t="s">
        <v>3851</v>
      </c>
      <c r="B660" s="2" t="s">
        <v>3937</v>
      </c>
      <c r="C660" s="2" t="s">
        <v>3941</v>
      </c>
      <c r="D660" s="2">
        <v>3.3</v>
      </c>
      <c r="E660" s="2">
        <v>3.65</v>
      </c>
      <c r="F660" s="2">
        <v>1.78</v>
      </c>
      <c r="G660" s="205">
        <v>1</v>
      </c>
      <c r="H660" s="205">
        <v>3</v>
      </c>
      <c r="I660" s="2">
        <f t="shared" si="35"/>
        <v>-2</v>
      </c>
      <c r="J660" s="2">
        <f t="shared" si="36"/>
        <v>1.5199999999999998</v>
      </c>
      <c r="K660" s="2">
        <f t="shared" si="37"/>
        <v>1.5199999999999998</v>
      </c>
    </row>
    <row r="661" spans="1:11" hidden="1">
      <c r="A661" s="2" t="s">
        <v>3851</v>
      </c>
      <c r="B661" s="2" t="s">
        <v>3937</v>
      </c>
      <c r="C661" s="2" t="s">
        <v>3942</v>
      </c>
      <c r="D661" s="2">
        <v>1.45</v>
      </c>
      <c r="E661" s="2">
        <v>4.2699999999999996</v>
      </c>
      <c r="F661" s="2">
        <v>4.68</v>
      </c>
      <c r="G661" s="205">
        <v>1</v>
      </c>
      <c r="H661" s="205">
        <v>1</v>
      </c>
      <c r="I661" s="2">
        <f t="shared" si="35"/>
        <v>0</v>
      </c>
      <c r="J661" s="2">
        <f t="shared" si="36"/>
        <v>3.2299999999999995</v>
      </c>
      <c r="K661" s="2">
        <f t="shared" si="37"/>
        <v>-3.2299999999999995</v>
      </c>
    </row>
    <row r="662" spans="1:11" hidden="1">
      <c r="A662" s="2" t="s">
        <v>3851</v>
      </c>
      <c r="B662" s="2" t="s">
        <v>3937</v>
      </c>
      <c r="C662" s="2" t="s">
        <v>3943</v>
      </c>
      <c r="D662" s="2">
        <v>2.54</v>
      </c>
      <c r="E662" s="2">
        <v>3.32</v>
      </c>
      <c r="F662" s="2">
        <v>2.25</v>
      </c>
      <c r="G662" s="205">
        <v>2</v>
      </c>
      <c r="H662" s="205">
        <v>1</v>
      </c>
      <c r="I662" s="2">
        <f t="shared" si="35"/>
        <v>1</v>
      </c>
      <c r="J662" s="2">
        <f t="shared" si="36"/>
        <v>0.29000000000000004</v>
      </c>
      <c r="K662" s="2">
        <f t="shared" si="37"/>
        <v>0.29000000000000004</v>
      </c>
    </row>
    <row r="663" spans="1:11" hidden="1">
      <c r="A663" s="2" t="s">
        <v>3851</v>
      </c>
      <c r="B663" s="2" t="s">
        <v>3184</v>
      </c>
      <c r="C663" s="2" t="s">
        <v>3944</v>
      </c>
      <c r="D663" s="2">
        <v>8.8000000000000007</v>
      </c>
      <c r="E663" s="2">
        <v>5.4</v>
      </c>
      <c r="F663" s="2">
        <v>1.37</v>
      </c>
      <c r="G663" s="205">
        <v>1</v>
      </c>
      <c r="H663" s="205">
        <v>2</v>
      </c>
      <c r="I663" s="2">
        <f t="shared" si="35"/>
        <v>-1</v>
      </c>
      <c r="J663" s="2">
        <f t="shared" si="36"/>
        <v>7.4300000000000006</v>
      </c>
      <c r="K663" s="2">
        <f t="shared" si="37"/>
        <v>7.4300000000000006</v>
      </c>
    </row>
    <row r="664" spans="1:11" hidden="1">
      <c r="A664" s="2" t="s">
        <v>3851</v>
      </c>
      <c r="B664" s="2" t="s">
        <v>3248</v>
      </c>
      <c r="C664" s="2" t="s">
        <v>3945</v>
      </c>
      <c r="D664" s="2">
        <v>3.05</v>
      </c>
      <c r="E664" s="2">
        <v>2.97</v>
      </c>
      <c r="F664" s="2">
        <v>2.1</v>
      </c>
      <c r="G664" s="205">
        <v>1</v>
      </c>
      <c r="H664" s="205">
        <v>3</v>
      </c>
      <c r="I664" s="2">
        <f t="shared" si="35"/>
        <v>-2</v>
      </c>
      <c r="J664" s="2">
        <f t="shared" si="36"/>
        <v>0.94999999999999973</v>
      </c>
      <c r="K664" s="2">
        <f t="shared" si="37"/>
        <v>0.94999999999999973</v>
      </c>
    </row>
    <row r="665" spans="1:11" hidden="1">
      <c r="A665" s="2" t="s">
        <v>3851</v>
      </c>
      <c r="B665" s="2" t="s">
        <v>3600</v>
      </c>
      <c r="C665" s="2" t="s">
        <v>3946</v>
      </c>
      <c r="D665" s="2">
        <v>2.34</v>
      </c>
      <c r="E665" s="2">
        <v>3.3</v>
      </c>
      <c r="F665" s="2">
        <v>2.4300000000000002</v>
      </c>
      <c r="G665" s="205">
        <v>2</v>
      </c>
      <c r="H665" s="205">
        <v>1</v>
      </c>
      <c r="I665" s="2">
        <f t="shared" si="35"/>
        <v>1</v>
      </c>
      <c r="J665" s="2">
        <f t="shared" si="36"/>
        <v>9.0000000000000302E-2</v>
      </c>
      <c r="K665" s="2">
        <f t="shared" si="37"/>
        <v>-9.0000000000000302E-2</v>
      </c>
    </row>
    <row r="666" spans="1:11" hidden="1">
      <c r="A666" s="2" t="s">
        <v>3851</v>
      </c>
      <c r="B666" s="2" t="s">
        <v>3932</v>
      </c>
      <c r="C666" s="2" t="s">
        <v>3947</v>
      </c>
      <c r="D666" s="2">
        <v>1.59</v>
      </c>
      <c r="E666" s="2">
        <v>3.67</v>
      </c>
      <c r="F666" s="2">
        <v>4.2</v>
      </c>
      <c r="G666" s="205">
        <v>1</v>
      </c>
      <c r="H666" s="205">
        <v>1</v>
      </c>
      <c r="I666" s="2">
        <f t="shared" si="35"/>
        <v>0</v>
      </c>
      <c r="J666" s="2">
        <f t="shared" si="36"/>
        <v>2.6100000000000003</v>
      </c>
      <c r="K666" s="2">
        <f t="shared" si="37"/>
        <v>-2.6100000000000003</v>
      </c>
    </row>
    <row r="667" spans="1:11" hidden="1">
      <c r="A667" s="2" t="s">
        <v>3851</v>
      </c>
      <c r="B667" s="2" t="s">
        <v>3932</v>
      </c>
      <c r="C667" s="2" t="s">
        <v>3948</v>
      </c>
      <c r="D667" s="2">
        <v>2.25</v>
      </c>
      <c r="E667" s="2">
        <v>3.32</v>
      </c>
      <c r="F667" s="2">
        <v>2.54</v>
      </c>
      <c r="G667" s="205">
        <v>0</v>
      </c>
      <c r="H667" s="205">
        <v>1</v>
      </c>
      <c r="I667" s="2">
        <f t="shared" si="35"/>
        <v>-1</v>
      </c>
      <c r="J667" s="2">
        <f t="shared" si="36"/>
        <v>0.29000000000000004</v>
      </c>
      <c r="K667" s="2">
        <f t="shared" si="37"/>
        <v>-0.29000000000000004</v>
      </c>
    </row>
    <row r="668" spans="1:11" hidden="1">
      <c r="A668" s="2" t="s">
        <v>3851</v>
      </c>
      <c r="B668" s="2" t="s">
        <v>3932</v>
      </c>
      <c r="C668" s="2" t="s">
        <v>3949</v>
      </c>
      <c r="D668" s="2">
        <v>1.42</v>
      </c>
      <c r="E668" s="2">
        <v>4.07</v>
      </c>
      <c r="F668" s="2">
        <v>5.3</v>
      </c>
      <c r="G668" s="205">
        <v>4</v>
      </c>
      <c r="H668" s="205">
        <v>1</v>
      </c>
      <c r="I668" s="2">
        <f t="shared" si="35"/>
        <v>3</v>
      </c>
      <c r="J668" s="2">
        <f t="shared" si="36"/>
        <v>3.88</v>
      </c>
      <c r="K668" s="2">
        <f t="shared" si="37"/>
        <v>-3.88</v>
      </c>
    </row>
    <row r="669" spans="1:11" hidden="1">
      <c r="A669" s="2" t="s">
        <v>3851</v>
      </c>
      <c r="B669" s="2" t="s">
        <v>3932</v>
      </c>
      <c r="C669" s="2" t="s">
        <v>3950</v>
      </c>
      <c r="D669" s="2">
        <v>1.78</v>
      </c>
      <c r="E669" s="2">
        <v>3.32</v>
      </c>
      <c r="F669" s="2">
        <v>3.63</v>
      </c>
      <c r="G669" s="205">
        <v>1</v>
      </c>
      <c r="H669" s="205">
        <v>0</v>
      </c>
      <c r="I669" s="2">
        <f t="shared" si="35"/>
        <v>1</v>
      </c>
      <c r="J669" s="2">
        <f t="shared" si="36"/>
        <v>1.8499999999999999</v>
      </c>
      <c r="K669" s="2">
        <f t="shared" si="37"/>
        <v>-1.8499999999999999</v>
      </c>
    </row>
    <row r="670" spans="1:11" hidden="1">
      <c r="A670" s="2" t="s">
        <v>3851</v>
      </c>
      <c r="B670" s="2" t="s">
        <v>3951</v>
      </c>
      <c r="C670" s="2" t="s">
        <v>3952</v>
      </c>
      <c r="D670" s="2">
        <v>1.97</v>
      </c>
      <c r="E670" s="2">
        <v>3.32</v>
      </c>
      <c r="F670" s="2">
        <v>3.03</v>
      </c>
      <c r="G670" s="205">
        <v>0</v>
      </c>
      <c r="H670" s="205">
        <v>1</v>
      </c>
      <c r="I670" s="2">
        <f t="shared" si="35"/>
        <v>-1</v>
      </c>
      <c r="J670" s="2">
        <f t="shared" si="36"/>
        <v>1.0599999999999998</v>
      </c>
      <c r="K670" s="2">
        <f t="shared" si="37"/>
        <v>-1.0599999999999998</v>
      </c>
    </row>
    <row r="671" spans="1:11" hidden="1">
      <c r="A671" s="2" t="s">
        <v>3851</v>
      </c>
      <c r="B671" s="2" t="s">
        <v>3925</v>
      </c>
      <c r="C671" s="2" t="s">
        <v>3953</v>
      </c>
      <c r="D671" s="2">
        <v>3.93</v>
      </c>
      <c r="E671" s="2">
        <v>3.25</v>
      </c>
      <c r="F671" s="2">
        <v>1.73</v>
      </c>
      <c r="G671" s="205">
        <v>2</v>
      </c>
      <c r="H671" s="205">
        <v>1</v>
      </c>
      <c r="I671" s="2">
        <f t="shared" si="35"/>
        <v>1</v>
      </c>
      <c r="J671" s="2">
        <f t="shared" si="36"/>
        <v>2.2000000000000002</v>
      </c>
      <c r="K671" s="2">
        <f t="shared" si="37"/>
        <v>2.2000000000000002</v>
      </c>
    </row>
    <row r="672" spans="1:11" hidden="1">
      <c r="A672" s="2" t="s">
        <v>3851</v>
      </c>
      <c r="B672" s="2" t="s">
        <v>3396</v>
      </c>
      <c r="C672" s="2" t="s">
        <v>3954</v>
      </c>
      <c r="D672" s="2">
        <v>2.1</v>
      </c>
      <c r="E672" s="2">
        <v>2.92</v>
      </c>
      <c r="F672" s="2">
        <v>3.1</v>
      </c>
      <c r="G672" s="205">
        <v>1</v>
      </c>
      <c r="H672" s="205">
        <v>1</v>
      </c>
      <c r="I672" s="2">
        <f t="shared" si="35"/>
        <v>0</v>
      </c>
      <c r="J672" s="2">
        <f t="shared" si="36"/>
        <v>1</v>
      </c>
      <c r="K672" s="2">
        <f t="shared" si="37"/>
        <v>-1</v>
      </c>
    </row>
    <row r="673" spans="1:11" hidden="1">
      <c r="A673" s="2" t="s">
        <v>3851</v>
      </c>
      <c r="B673" s="2" t="s">
        <v>3226</v>
      </c>
      <c r="C673" s="2" t="s">
        <v>3955</v>
      </c>
      <c r="D673" s="2">
        <v>4.2699999999999996</v>
      </c>
      <c r="E673" s="2">
        <v>4.0999999999999996</v>
      </c>
      <c r="F673" s="2">
        <v>1.72</v>
      </c>
      <c r="G673" s="205">
        <v>2</v>
      </c>
      <c r="H673" s="205">
        <v>1</v>
      </c>
      <c r="I673" s="2">
        <f t="shared" si="35"/>
        <v>1</v>
      </c>
      <c r="J673" s="2">
        <f t="shared" si="36"/>
        <v>2.5499999999999998</v>
      </c>
      <c r="K673" s="2">
        <f t="shared" si="37"/>
        <v>2.5499999999999998</v>
      </c>
    </row>
    <row r="674" spans="1:11" hidden="1">
      <c r="A674" s="2" t="s">
        <v>3851</v>
      </c>
      <c r="B674" s="2" t="s">
        <v>3226</v>
      </c>
      <c r="C674" s="2" t="s">
        <v>3956</v>
      </c>
      <c r="D674" s="2">
        <v>2.83</v>
      </c>
      <c r="E674" s="2">
        <v>3.42</v>
      </c>
      <c r="F674" s="2">
        <v>2.41</v>
      </c>
      <c r="G674" s="205">
        <v>0</v>
      </c>
      <c r="H674" s="205">
        <v>2</v>
      </c>
      <c r="I674" s="2">
        <f t="shared" si="35"/>
        <v>-2</v>
      </c>
      <c r="J674" s="2">
        <f t="shared" si="36"/>
        <v>0.41999999999999993</v>
      </c>
      <c r="K674" s="2">
        <f t="shared" si="37"/>
        <v>0.41999999999999993</v>
      </c>
    </row>
    <row r="675" spans="1:11" hidden="1">
      <c r="A675" s="2" t="s">
        <v>3851</v>
      </c>
      <c r="B675" s="2" t="s">
        <v>3226</v>
      </c>
      <c r="C675" s="2" t="s">
        <v>3957</v>
      </c>
      <c r="D675" s="2">
        <v>1.48</v>
      </c>
      <c r="E675" s="2">
        <v>4.4000000000000004</v>
      </c>
      <c r="F675" s="2">
        <v>6.4</v>
      </c>
      <c r="G675" s="205">
        <v>2</v>
      </c>
      <c r="H675" s="205">
        <v>1</v>
      </c>
      <c r="I675" s="2">
        <f t="shared" si="35"/>
        <v>1</v>
      </c>
      <c r="J675" s="2">
        <f t="shared" si="36"/>
        <v>4.92</v>
      </c>
      <c r="K675" s="2">
        <f t="shared" si="37"/>
        <v>-4.92</v>
      </c>
    </row>
    <row r="676" spans="1:11" hidden="1">
      <c r="A676" s="2" t="s">
        <v>3851</v>
      </c>
      <c r="B676" s="2" t="s">
        <v>3226</v>
      </c>
      <c r="C676" s="2" t="s">
        <v>3958</v>
      </c>
      <c r="D676" s="2">
        <v>2.0299999999999998</v>
      </c>
      <c r="E676" s="2">
        <v>3.55</v>
      </c>
      <c r="F676" s="2">
        <v>3.52</v>
      </c>
      <c r="G676" s="205">
        <v>1</v>
      </c>
      <c r="H676" s="205">
        <v>2</v>
      </c>
      <c r="I676" s="2">
        <f t="shared" si="35"/>
        <v>-1</v>
      </c>
      <c r="J676" s="2">
        <f t="shared" si="36"/>
        <v>1.4900000000000002</v>
      </c>
      <c r="K676" s="2">
        <f t="shared" si="37"/>
        <v>-1.4900000000000002</v>
      </c>
    </row>
    <row r="677" spans="1:11" hidden="1">
      <c r="A677" s="2" t="s">
        <v>3851</v>
      </c>
      <c r="B677" s="2" t="s">
        <v>3226</v>
      </c>
      <c r="C677" s="2" t="s">
        <v>3959</v>
      </c>
      <c r="D677" s="2">
        <v>1.94</v>
      </c>
      <c r="E677" s="2">
        <v>3.63</v>
      </c>
      <c r="F677" s="2">
        <v>3.7</v>
      </c>
      <c r="G677" s="205">
        <v>2</v>
      </c>
      <c r="H677" s="205">
        <v>1</v>
      </c>
      <c r="I677" s="2">
        <f t="shared" si="35"/>
        <v>1</v>
      </c>
      <c r="J677" s="2">
        <f t="shared" si="36"/>
        <v>1.7600000000000002</v>
      </c>
      <c r="K677" s="2">
        <f t="shared" si="37"/>
        <v>-1.7600000000000002</v>
      </c>
    </row>
    <row r="678" spans="1:11" hidden="1">
      <c r="A678" s="2" t="s">
        <v>3851</v>
      </c>
      <c r="B678" s="2" t="s">
        <v>3937</v>
      </c>
      <c r="C678" s="2" t="s">
        <v>3960</v>
      </c>
      <c r="D678" s="2">
        <v>4.82</v>
      </c>
      <c r="E678" s="2">
        <v>4.37</v>
      </c>
      <c r="F678" s="2">
        <v>1.42</v>
      </c>
      <c r="G678" s="205">
        <v>0</v>
      </c>
      <c r="H678" s="205">
        <v>2</v>
      </c>
      <c r="I678" s="2">
        <f t="shared" si="35"/>
        <v>-2</v>
      </c>
      <c r="J678" s="2">
        <f t="shared" si="36"/>
        <v>3.4000000000000004</v>
      </c>
      <c r="K678" s="2">
        <f t="shared" si="37"/>
        <v>3.4000000000000004</v>
      </c>
    </row>
    <row r="679" spans="1:11" hidden="1">
      <c r="A679" s="2" t="s">
        <v>3851</v>
      </c>
      <c r="B679" s="2" t="s">
        <v>3937</v>
      </c>
      <c r="C679" s="2" t="s">
        <v>3961</v>
      </c>
      <c r="D679" s="2">
        <v>1.41</v>
      </c>
      <c r="E679" s="2">
        <v>4.3499999999999996</v>
      </c>
      <c r="F679" s="2">
        <v>4.95</v>
      </c>
      <c r="G679" s="205">
        <v>2</v>
      </c>
      <c r="H679" s="205">
        <v>1</v>
      </c>
      <c r="I679" s="2">
        <f t="shared" si="35"/>
        <v>1</v>
      </c>
      <c r="J679" s="2">
        <f t="shared" si="36"/>
        <v>3.54</v>
      </c>
      <c r="K679" s="2">
        <f t="shared" si="37"/>
        <v>-3.54</v>
      </c>
    </row>
    <row r="680" spans="1:11" hidden="1">
      <c r="A680" s="2" t="s">
        <v>3851</v>
      </c>
      <c r="B680" s="2" t="s">
        <v>3932</v>
      </c>
      <c r="C680" s="2" t="s">
        <v>3962</v>
      </c>
      <c r="D680" s="2">
        <v>1.32</v>
      </c>
      <c r="E680" s="2">
        <v>4.55</v>
      </c>
      <c r="F680" s="2">
        <v>6.05</v>
      </c>
      <c r="G680" s="205">
        <v>1</v>
      </c>
      <c r="H680" s="205">
        <v>0</v>
      </c>
      <c r="I680" s="2">
        <f t="shared" si="35"/>
        <v>1</v>
      </c>
      <c r="J680" s="2">
        <f t="shared" si="36"/>
        <v>4.7299999999999995</v>
      </c>
      <c r="K680" s="2">
        <f t="shared" si="37"/>
        <v>-4.7299999999999995</v>
      </c>
    </row>
    <row r="681" spans="1:11" hidden="1">
      <c r="A681" s="2" t="s">
        <v>3851</v>
      </c>
      <c r="B681" s="2" t="s">
        <v>3239</v>
      </c>
      <c r="C681" s="2" t="s">
        <v>3963</v>
      </c>
      <c r="D681" s="2">
        <v>1.65</v>
      </c>
      <c r="E681" s="2">
        <v>3.55</v>
      </c>
      <c r="F681" s="2">
        <v>5.8</v>
      </c>
      <c r="G681" s="205">
        <v>0</v>
      </c>
      <c r="H681" s="205">
        <v>2</v>
      </c>
      <c r="I681" s="2">
        <f t="shared" si="35"/>
        <v>-2</v>
      </c>
      <c r="J681" s="2">
        <f t="shared" si="36"/>
        <v>4.1500000000000004</v>
      </c>
      <c r="K681" s="2">
        <f t="shared" si="37"/>
        <v>-4.1500000000000004</v>
      </c>
    </row>
    <row r="682" spans="1:11" hidden="1">
      <c r="A682" s="2" t="s">
        <v>3851</v>
      </c>
      <c r="B682" s="2" t="s">
        <v>3964</v>
      </c>
      <c r="C682" s="2" t="s">
        <v>3965</v>
      </c>
      <c r="D682" s="2">
        <v>1.27</v>
      </c>
      <c r="E682" s="2">
        <v>4.82</v>
      </c>
      <c r="F682" s="2">
        <v>6.95</v>
      </c>
      <c r="G682" s="205">
        <v>3</v>
      </c>
      <c r="H682" s="205">
        <v>0</v>
      </c>
      <c r="I682" s="2">
        <f t="shared" si="35"/>
        <v>3</v>
      </c>
      <c r="J682" s="2">
        <f t="shared" si="36"/>
        <v>5.68</v>
      </c>
      <c r="K682" s="2">
        <f t="shared" si="37"/>
        <v>-5.68</v>
      </c>
    </row>
    <row r="683" spans="1:11" hidden="1">
      <c r="A683" s="2" t="s">
        <v>3851</v>
      </c>
      <c r="B683" s="2" t="s">
        <v>3911</v>
      </c>
      <c r="C683" s="2" t="s">
        <v>3966</v>
      </c>
      <c r="D683" s="2">
        <v>1.34</v>
      </c>
      <c r="E683" s="2">
        <v>4.78</v>
      </c>
      <c r="F683" s="2">
        <v>9.5</v>
      </c>
      <c r="G683" s="205">
        <v>5</v>
      </c>
      <c r="H683" s="205">
        <v>1</v>
      </c>
      <c r="I683" s="2">
        <f t="shared" si="35"/>
        <v>4</v>
      </c>
      <c r="J683" s="2">
        <f t="shared" si="36"/>
        <v>8.16</v>
      </c>
      <c r="K683" s="2">
        <f t="shared" si="37"/>
        <v>-8.16</v>
      </c>
    </row>
    <row r="684" spans="1:11" hidden="1">
      <c r="A684" s="2" t="s">
        <v>3851</v>
      </c>
      <c r="B684" s="2" t="s">
        <v>3911</v>
      </c>
      <c r="C684" s="2" t="s">
        <v>3967</v>
      </c>
      <c r="D684" s="2">
        <v>1.37</v>
      </c>
      <c r="E684" s="2">
        <v>4.87</v>
      </c>
      <c r="F684" s="2">
        <v>8.15</v>
      </c>
      <c r="G684" s="205">
        <v>1</v>
      </c>
      <c r="H684" s="205">
        <v>1</v>
      </c>
      <c r="I684" s="2">
        <f t="shared" si="35"/>
        <v>0</v>
      </c>
      <c r="J684" s="2">
        <f t="shared" si="36"/>
        <v>6.78</v>
      </c>
      <c r="K684" s="2">
        <f t="shared" si="37"/>
        <v>-6.78</v>
      </c>
    </row>
    <row r="685" spans="1:11" hidden="1">
      <c r="A685" s="2" t="s">
        <v>3851</v>
      </c>
      <c r="B685" s="2" t="s">
        <v>3732</v>
      </c>
      <c r="C685" s="2" t="s">
        <v>3968</v>
      </c>
      <c r="D685" s="2">
        <v>2.58</v>
      </c>
      <c r="E685" s="2">
        <v>3.53</v>
      </c>
      <c r="F685" s="2">
        <v>2.57</v>
      </c>
      <c r="G685" s="205">
        <v>1</v>
      </c>
      <c r="H685" s="205">
        <v>1</v>
      </c>
      <c r="I685" s="2">
        <f t="shared" si="35"/>
        <v>0</v>
      </c>
      <c r="J685" s="2">
        <f t="shared" si="36"/>
        <v>1.0000000000000231E-2</v>
      </c>
      <c r="K685" s="2">
        <f t="shared" si="37"/>
        <v>1.0000000000000231E-2</v>
      </c>
    </row>
    <row r="686" spans="1:11" hidden="1">
      <c r="A686" s="2" t="s">
        <v>3851</v>
      </c>
      <c r="B686" s="2" t="s">
        <v>3732</v>
      </c>
      <c r="C686" s="2" t="s">
        <v>3969</v>
      </c>
      <c r="D686" s="2">
        <v>1.31</v>
      </c>
      <c r="E686" s="2">
        <v>5.65</v>
      </c>
      <c r="F686" s="2">
        <v>8.4499999999999993</v>
      </c>
      <c r="G686" s="205">
        <v>1</v>
      </c>
      <c r="H686" s="205">
        <v>0</v>
      </c>
      <c r="I686" s="2">
        <f t="shared" si="35"/>
        <v>1</v>
      </c>
      <c r="J686" s="2">
        <f t="shared" si="36"/>
        <v>7.1399999999999988</v>
      </c>
      <c r="K686" s="2">
        <f t="shared" si="37"/>
        <v>-7.1399999999999988</v>
      </c>
    </row>
    <row r="687" spans="1:11" hidden="1">
      <c r="A687" s="2" t="s">
        <v>3851</v>
      </c>
      <c r="B687" s="2" t="s">
        <v>3732</v>
      </c>
      <c r="C687" s="2" t="s">
        <v>3970</v>
      </c>
      <c r="D687" s="2">
        <v>2.12</v>
      </c>
      <c r="E687" s="2">
        <v>3.63</v>
      </c>
      <c r="F687" s="2">
        <v>3.2</v>
      </c>
      <c r="G687" s="205">
        <v>0</v>
      </c>
      <c r="H687" s="205">
        <v>1</v>
      </c>
      <c r="I687" s="2">
        <f t="shared" si="35"/>
        <v>-1</v>
      </c>
      <c r="J687" s="2">
        <f t="shared" si="36"/>
        <v>1.08</v>
      </c>
      <c r="K687" s="2">
        <f t="shared" si="37"/>
        <v>-1.08</v>
      </c>
    </row>
    <row r="688" spans="1:11" hidden="1">
      <c r="A688" s="2" t="s">
        <v>3851</v>
      </c>
      <c r="B688" s="2" t="s">
        <v>3732</v>
      </c>
      <c r="C688" s="2" t="s">
        <v>3971</v>
      </c>
      <c r="D688" s="2">
        <v>3.43</v>
      </c>
      <c r="E688" s="2">
        <v>3.77</v>
      </c>
      <c r="F688" s="2">
        <v>1.99</v>
      </c>
      <c r="G688" s="205">
        <v>1</v>
      </c>
      <c r="H688" s="205">
        <v>2</v>
      </c>
      <c r="I688" s="2">
        <f t="shared" si="35"/>
        <v>-1</v>
      </c>
      <c r="J688" s="2">
        <f t="shared" si="36"/>
        <v>1.4400000000000002</v>
      </c>
      <c r="K688" s="2">
        <f t="shared" si="37"/>
        <v>1.4400000000000002</v>
      </c>
    </row>
    <row r="689" spans="1:11" hidden="1">
      <c r="A689" s="2" t="s">
        <v>3851</v>
      </c>
      <c r="B689" s="2" t="s">
        <v>3732</v>
      </c>
      <c r="C689" s="2" t="s">
        <v>3972</v>
      </c>
      <c r="D689" s="2">
        <v>4.62</v>
      </c>
      <c r="E689" s="2">
        <v>3.98</v>
      </c>
      <c r="F689" s="2">
        <v>1.69</v>
      </c>
      <c r="G689" s="205">
        <v>2</v>
      </c>
      <c r="H689" s="205">
        <v>1</v>
      </c>
      <c r="I689" s="2">
        <f t="shared" si="35"/>
        <v>1</v>
      </c>
      <c r="J689" s="2">
        <f t="shared" si="36"/>
        <v>2.93</v>
      </c>
      <c r="K689" s="2">
        <f t="shared" si="37"/>
        <v>2.93</v>
      </c>
    </row>
    <row r="690" spans="1:11" hidden="1">
      <c r="A690" s="2" t="s">
        <v>3851</v>
      </c>
      <c r="B690" s="2" t="s">
        <v>3732</v>
      </c>
      <c r="C690" s="2" t="s">
        <v>3973</v>
      </c>
      <c r="D690" s="2">
        <v>2.21</v>
      </c>
      <c r="E690" s="2">
        <v>3.52</v>
      </c>
      <c r="F690" s="2">
        <v>3.1</v>
      </c>
      <c r="G690" s="205">
        <v>2</v>
      </c>
      <c r="H690" s="205">
        <v>1</v>
      </c>
      <c r="I690" s="2">
        <f t="shared" si="35"/>
        <v>1</v>
      </c>
      <c r="J690" s="2">
        <f t="shared" si="36"/>
        <v>0.89000000000000012</v>
      </c>
      <c r="K690" s="2">
        <f t="shared" si="37"/>
        <v>-0.89000000000000012</v>
      </c>
    </row>
    <row r="691" spans="1:11" hidden="1">
      <c r="A691" s="2" t="s">
        <v>3851</v>
      </c>
      <c r="B691" s="2" t="s">
        <v>3732</v>
      </c>
      <c r="C691" s="2" t="s">
        <v>3974</v>
      </c>
      <c r="D691" s="2">
        <v>1.36</v>
      </c>
      <c r="E691" s="2">
        <v>5.2</v>
      </c>
      <c r="F691" s="2">
        <v>7.6</v>
      </c>
      <c r="G691" s="205">
        <v>4</v>
      </c>
      <c r="H691" s="205">
        <v>1</v>
      </c>
      <c r="I691" s="2">
        <f t="shared" si="35"/>
        <v>3</v>
      </c>
      <c r="J691" s="2">
        <f t="shared" si="36"/>
        <v>6.2399999999999993</v>
      </c>
      <c r="K691" s="2">
        <f t="shared" si="37"/>
        <v>-6.2399999999999993</v>
      </c>
    </row>
    <row r="692" spans="1:11" hidden="1">
      <c r="A692" s="2" t="s">
        <v>3851</v>
      </c>
      <c r="B692" s="2" t="s">
        <v>3732</v>
      </c>
      <c r="C692" s="2" t="s">
        <v>3975</v>
      </c>
      <c r="D692" s="2">
        <v>2.91</v>
      </c>
      <c r="E692" s="2">
        <v>3.68</v>
      </c>
      <c r="F692" s="2">
        <v>2.25</v>
      </c>
      <c r="G692" s="205">
        <v>2</v>
      </c>
      <c r="H692" s="205">
        <v>0</v>
      </c>
      <c r="I692" s="2">
        <f t="shared" si="35"/>
        <v>2</v>
      </c>
      <c r="J692" s="2">
        <f t="shared" si="36"/>
        <v>0.66000000000000014</v>
      </c>
      <c r="K692" s="2">
        <f t="shared" si="37"/>
        <v>0.66000000000000014</v>
      </c>
    </row>
    <row r="693" spans="1:11" hidden="1">
      <c r="A693" s="2" t="s">
        <v>3851</v>
      </c>
      <c r="B693" s="2" t="s">
        <v>3732</v>
      </c>
      <c r="C693" s="2" t="s">
        <v>3976</v>
      </c>
      <c r="D693" s="2">
        <v>1.63</v>
      </c>
      <c r="E693" s="2">
        <v>4.32</v>
      </c>
      <c r="F693" s="2">
        <v>4.62</v>
      </c>
      <c r="G693" s="205">
        <v>3</v>
      </c>
      <c r="H693" s="205">
        <v>0</v>
      </c>
      <c r="I693" s="2">
        <f t="shared" si="35"/>
        <v>3</v>
      </c>
      <c r="J693" s="2">
        <f t="shared" si="36"/>
        <v>2.99</v>
      </c>
      <c r="K693" s="2">
        <f t="shared" si="37"/>
        <v>-2.99</v>
      </c>
    </row>
    <row r="694" spans="1:11" hidden="1">
      <c r="A694" s="2" t="s">
        <v>3851</v>
      </c>
      <c r="B694" s="2" t="s">
        <v>3502</v>
      </c>
      <c r="C694" s="2" t="s">
        <v>3977</v>
      </c>
      <c r="D694" s="2">
        <v>1.83</v>
      </c>
      <c r="E694" s="2">
        <v>3.83</v>
      </c>
      <c r="F694" s="2">
        <v>4.3</v>
      </c>
      <c r="G694" s="205">
        <v>0</v>
      </c>
      <c r="H694" s="205">
        <v>2</v>
      </c>
      <c r="I694" s="2">
        <f t="shared" si="35"/>
        <v>-2</v>
      </c>
      <c r="J694" s="2">
        <f t="shared" si="36"/>
        <v>2.4699999999999998</v>
      </c>
      <c r="K694" s="2">
        <f t="shared" si="37"/>
        <v>-2.4699999999999998</v>
      </c>
    </row>
    <row r="695" spans="1:11" hidden="1">
      <c r="A695" s="2" t="s">
        <v>3851</v>
      </c>
      <c r="B695" s="2" t="s">
        <v>3274</v>
      </c>
      <c r="C695" s="2" t="s">
        <v>3978</v>
      </c>
      <c r="D695" s="2">
        <v>1.94</v>
      </c>
      <c r="E695" s="2">
        <v>3.23</v>
      </c>
      <c r="F695" s="2">
        <v>4.87</v>
      </c>
      <c r="G695" s="205">
        <v>1</v>
      </c>
      <c r="H695" s="205">
        <v>2</v>
      </c>
      <c r="I695" s="2">
        <f t="shared" si="35"/>
        <v>-1</v>
      </c>
      <c r="J695" s="2">
        <f t="shared" si="36"/>
        <v>2.93</v>
      </c>
      <c r="K695" s="2">
        <f t="shared" si="37"/>
        <v>-2.93</v>
      </c>
    </row>
    <row r="696" spans="1:11" hidden="1">
      <c r="A696" s="2" t="s">
        <v>3851</v>
      </c>
      <c r="B696" s="2" t="s">
        <v>3274</v>
      </c>
      <c r="C696" s="2" t="s">
        <v>3979</v>
      </c>
      <c r="D696" s="2">
        <v>3.1</v>
      </c>
      <c r="E696" s="2">
        <v>3.05</v>
      </c>
      <c r="F696" s="2">
        <v>2.64</v>
      </c>
      <c r="G696" s="205">
        <v>0</v>
      </c>
      <c r="H696" s="205">
        <v>3</v>
      </c>
      <c r="I696" s="2">
        <f t="shared" si="35"/>
        <v>-3</v>
      </c>
      <c r="J696" s="2">
        <f t="shared" si="36"/>
        <v>0.45999999999999996</v>
      </c>
      <c r="K696" s="2">
        <f t="shared" si="37"/>
        <v>0.45999999999999996</v>
      </c>
    </row>
    <row r="697" spans="1:11" hidden="1">
      <c r="A697" s="2" t="s">
        <v>3851</v>
      </c>
      <c r="B697" s="2" t="s">
        <v>3274</v>
      </c>
      <c r="C697" s="2" t="s">
        <v>3980</v>
      </c>
      <c r="D697" s="2">
        <v>2</v>
      </c>
      <c r="E697" s="2">
        <v>3.45</v>
      </c>
      <c r="F697" s="2">
        <v>4.17</v>
      </c>
      <c r="G697" s="205">
        <v>0</v>
      </c>
      <c r="H697" s="205">
        <v>0</v>
      </c>
      <c r="I697" s="2">
        <f t="shared" si="35"/>
        <v>0</v>
      </c>
      <c r="J697" s="2">
        <f t="shared" si="36"/>
        <v>2.17</v>
      </c>
      <c r="K697" s="2">
        <f t="shared" si="37"/>
        <v>-2.17</v>
      </c>
    </row>
    <row r="698" spans="1:11" hidden="1">
      <c r="A698" s="2" t="s">
        <v>3851</v>
      </c>
      <c r="B698" s="2" t="s">
        <v>3274</v>
      </c>
      <c r="C698" s="2" t="s">
        <v>3981</v>
      </c>
      <c r="D698" s="2">
        <v>1.82</v>
      </c>
      <c r="E698" s="2">
        <v>3.25</v>
      </c>
      <c r="F698" s="2">
        <v>5.75</v>
      </c>
      <c r="G698" s="205">
        <v>0</v>
      </c>
      <c r="H698" s="205">
        <v>2</v>
      </c>
      <c r="I698" s="2">
        <f t="shared" si="35"/>
        <v>-2</v>
      </c>
      <c r="J698" s="2">
        <f t="shared" si="36"/>
        <v>3.9299999999999997</v>
      </c>
      <c r="K698" s="2">
        <f t="shared" si="37"/>
        <v>-3.9299999999999997</v>
      </c>
    </row>
    <row r="699" spans="1:11" hidden="1">
      <c r="A699" s="2" t="s">
        <v>3851</v>
      </c>
      <c r="B699" s="2" t="s">
        <v>3274</v>
      </c>
      <c r="C699" s="2" t="s">
        <v>3982</v>
      </c>
      <c r="D699" s="2">
        <v>2.2000000000000002</v>
      </c>
      <c r="E699" s="2">
        <v>3.25</v>
      </c>
      <c r="F699" s="2">
        <v>3.72</v>
      </c>
      <c r="G699" s="205">
        <v>0</v>
      </c>
      <c r="H699" s="205">
        <v>2</v>
      </c>
      <c r="I699" s="2">
        <f t="shared" si="35"/>
        <v>-2</v>
      </c>
      <c r="J699" s="2">
        <f t="shared" si="36"/>
        <v>1.52</v>
      </c>
      <c r="K699" s="2">
        <f t="shared" si="37"/>
        <v>-1.52</v>
      </c>
    </row>
    <row r="700" spans="1:11" hidden="1">
      <c r="A700" s="2" t="s">
        <v>3851</v>
      </c>
      <c r="B700" s="2" t="s">
        <v>3274</v>
      </c>
      <c r="C700" s="2" t="s">
        <v>3983</v>
      </c>
      <c r="D700" s="2">
        <v>1.6</v>
      </c>
      <c r="E700" s="2">
        <v>4.1500000000000004</v>
      </c>
      <c r="F700" s="2">
        <v>6.2</v>
      </c>
      <c r="G700" s="205">
        <v>1</v>
      </c>
      <c r="H700" s="205">
        <v>2</v>
      </c>
      <c r="I700" s="2">
        <f t="shared" si="35"/>
        <v>-1</v>
      </c>
      <c r="J700" s="2">
        <f t="shared" si="36"/>
        <v>4.5999999999999996</v>
      </c>
      <c r="K700" s="2">
        <f t="shared" si="37"/>
        <v>-4.5999999999999996</v>
      </c>
    </row>
    <row r="701" spans="1:11" hidden="1">
      <c r="A701" s="2" t="s">
        <v>3851</v>
      </c>
      <c r="B701" s="2" t="s">
        <v>3274</v>
      </c>
      <c r="C701" s="2" t="s">
        <v>3984</v>
      </c>
      <c r="D701" s="2">
        <v>2.2000000000000002</v>
      </c>
      <c r="E701" s="2">
        <v>3.08</v>
      </c>
      <c r="F701" s="2">
        <v>3.97</v>
      </c>
      <c r="G701" s="205">
        <v>1</v>
      </c>
      <c r="H701" s="205">
        <v>0</v>
      </c>
      <c r="I701" s="2">
        <f t="shared" si="35"/>
        <v>1</v>
      </c>
      <c r="J701" s="2">
        <f t="shared" si="36"/>
        <v>1.77</v>
      </c>
      <c r="K701" s="2">
        <f t="shared" si="37"/>
        <v>-1.77</v>
      </c>
    </row>
    <row r="702" spans="1:11" hidden="1">
      <c r="A702" s="2" t="s">
        <v>3851</v>
      </c>
      <c r="B702" s="2" t="s">
        <v>3274</v>
      </c>
      <c r="C702" s="2" t="s">
        <v>3985</v>
      </c>
      <c r="D702" s="2">
        <v>4.05</v>
      </c>
      <c r="E702" s="2">
        <v>3.12</v>
      </c>
      <c r="F702" s="2">
        <v>2.16</v>
      </c>
      <c r="G702" s="205">
        <v>0</v>
      </c>
      <c r="H702" s="205">
        <v>3</v>
      </c>
      <c r="I702" s="2">
        <f t="shared" si="35"/>
        <v>-3</v>
      </c>
      <c r="J702" s="2">
        <f t="shared" si="36"/>
        <v>1.8899999999999997</v>
      </c>
      <c r="K702" s="2">
        <f t="shared" si="37"/>
        <v>1.8899999999999997</v>
      </c>
    </row>
    <row r="703" spans="1:11" hidden="1">
      <c r="A703" s="2" t="s">
        <v>3851</v>
      </c>
      <c r="B703" s="2" t="s">
        <v>3986</v>
      </c>
      <c r="C703" s="2" t="s">
        <v>3987</v>
      </c>
      <c r="D703" s="2">
        <v>1.97</v>
      </c>
      <c r="E703" s="2">
        <v>2.82</v>
      </c>
      <c r="F703" s="2">
        <v>3.6</v>
      </c>
      <c r="G703" s="205">
        <v>0</v>
      </c>
      <c r="H703" s="205">
        <v>2</v>
      </c>
      <c r="I703" s="2">
        <f t="shared" si="35"/>
        <v>-2</v>
      </c>
      <c r="J703" s="2">
        <f t="shared" si="36"/>
        <v>1.6300000000000001</v>
      </c>
      <c r="K703" s="2">
        <f t="shared" si="37"/>
        <v>-1.6300000000000001</v>
      </c>
    </row>
    <row r="704" spans="1:11" hidden="1">
      <c r="A704" s="2" t="s">
        <v>3851</v>
      </c>
      <c r="B704" s="2" t="s">
        <v>3986</v>
      </c>
      <c r="C704" s="2" t="s">
        <v>3988</v>
      </c>
      <c r="D704" s="2">
        <v>1.93</v>
      </c>
      <c r="E704" s="2">
        <v>2.83</v>
      </c>
      <c r="F704" s="2">
        <v>3.7</v>
      </c>
      <c r="G704" s="205">
        <v>1</v>
      </c>
      <c r="H704" s="205">
        <v>1</v>
      </c>
      <c r="I704" s="2">
        <f t="shared" si="35"/>
        <v>0</v>
      </c>
      <c r="J704" s="2">
        <f t="shared" si="36"/>
        <v>1.7700000000000002</v>
      </c>
      <c r="K704" s="2">
        <f t="shared" si="37"/>
        <v>-1.7700000000000002</v>
      </c>
    </row>
    <row r="705" spans="1:11" hidden="1">
      <c r="A705" s="2" t="s">
        <v>3851</v>
      </c>
      <c r="B705" s="2" t="s">
        <v>3986</v>
      </c>
      <c r="C705" s="2" t="s">
        <v>3989</v>
      </c>
      <c r="D705" s="2">
        <v>2.74</v>
      </c>
      <c r="E705" s="2">
        <v>2.74</v>
      </c>
      <c r="F705" s="2">
        <v>2.4300000000000002</v>
      </c>
      <c r="G705" s="205">
        <v>2</v>
      </c>
      <c r="H705" s="205">
        <v>1</v>
      </c>
      <c r="I705" s="2">
        <f t="shared" si="35"/>
        <v>1</v>
      </c>
      <c r="J705" s="2">
        <f t="shared" si="36"/>
        <v>0.31000000000000005</v>
      </c>
      <c r="K705" s="2">
        <f t="shared" si="37"/>
        <v>0.31000000000000005</v>
      </c>
    </row>
    <row r="706" spans="1:11" hidden="1">
      <c r="A706" s="2" t="s">
        <v>3851</v>
      </c>
      <c r="B706" s="2" t="s">
        <v>3986</v>
      </c>
      <c r="C706" s="2" t="s">
        <v>3990</v>
      </c>
      <c r="D706" s="2">
        <v>2.63</v>
      </c>
      <c r="E706" s="2">
        <v>2.75</v>
      </c>
      <c r="F706" s="2">
        <v>2.5299999999999998</v>
      </c>
      <c r="G706" s="205">
        <v>0</v>
      </c>
      <c r="H706" s="205">
        <v>0</v>
      </c>
      <c r="I706" s="2">
        <f t="shared" si="35"/>
        <v>0</v>
      </c>
      <c r="J706" s="2">
        <f t="shared" si="36"/>
        <v>0.10000000000000009</v>
      </c>
      <c r="K706" s="2">
        <f t="shared" si="37"/>
        <v>0.10000000000000009</v>
      </c>
    </row>
    <row r="707" spans="1:11" hidden="1">
      <c r="A707" s="2" t="s">
        <v>3851</v>
      </c>
      <c r="B707" s="2" t="s">
        <v>3986</v>
      </c>
      <c r="C707" s="2" t="s">
        <v>3991</v>
      </c>
      <c r="D707" s="2">
        <v>2.09</v>
      </c>
      <c r="E707" s="2">
        <v>2.76</v>
      </c>
      <c r="F707" s="2">
        <v>3.35</v>
      </c>
      <c r="G707" s="205">
        <v>2</v>
      </c>
      <c r="H707" s="205">
        <v>0</v>
      </c>
      <c r="I707" s="2">
        <f t="shared" si="35"/>
        <v>2</v>
      </c>
      <c r="J707" s="2">
        <f t="shared" si="36"/>
        <v>1.2600000000000002</v>
      </c>
      <c r="K707" s="2">
        <f t="shared" si="37"/>
        <v>-1.2600000000000002</v>
      </c>
    </row>
    <row r="708" spans="1:11" hidden="1">
      <c r="A708" s="2" t="s">
        <v>3851</v>
      </c>
      <c r="B708" s="2" t="s">
        <v>3986</v>
      </c>
      <c r="C708" s="2" t="s">
        <v>3992</v>
      </c>
      <c r="D708" s="2">
        <v>2.68</v>
      </c>
      <c r="E708" s="2">
        <v>2.66</v>
      </c>
      <c r="F708" s="2">
        <v>2.56</v>
      </c>
      <c r="G708" s="205">
        <v>1</v>
      </c>
      <c r="H708" s="205">
        <v>2</v>
      </c>
      <c r="I708" s="2">
        <f t="shared" si="35"/>
        <v>-1</v>
      </c>
      <c r="J708" s="2">
        <f t="shared" si="36"/>
        <v>0.12000000000000011</v>
      </c>
      <c r="K708" s="2">
        <f t="shared" si="37"/>
        <v>0.12000000000000011</v>
      </c>
    </row>
    <row r="709" spans="1:11" hidden="1">
      <c r="A709" s="2" t="s">
        <v>3851</v>
      </c>
      <c r="B709" s="2" t="s">
        <v>3986</v>
      </c>
      <c r="C709" s="2" t="s">
        <v>3993</v>
      </c>
      <c r="D709" s="2">
        <v>1.74</v>
      </c>
      <c r="E709" s="2">
        <v>3</v>
      </c>
      <c r="F709" s="2">
        <v>4.3</v>
      </c>
      <c r="G709" s="205">
        <v>1</v>
      </c>
      <c r="H709" s="205">
        <v>0</v>
      </c>
      <c r="I709" s="2">
        <f t="shared" si="35"/>
        <v>1</v>
      </c>
      <c r="J709" s="2">
        <f t="shared" si="36"/>
        <v>2.5599999999999996</v>
      </c>
      <c r="K709" s="2">
        <f t="shared" si="37"/>
        <v>-2.5599999999999996</v>
      </c>
    </row>
    <row r="710" spans="1:11" hidden="1">
      <c r="A710" s="2" t="s">
        <v>3851</v>
      </c>
      <c r="B710" s="2" t="s">
        <v>3286</v>
      </c>
      <c r="C710" s="2" t="s">
        <v>3994</v>
      </c>
      <c r="D710" s="2">
        <v>2.88</v>
      </c>
      <c r="E710" s="2">
        <v>3.28</v>
      </c>
      <c r="F710" s="2">
        <v>2.4500000000000002</v>
      </c>
      <c r="G710" s="205">
        <v>0</v>
      </c>
      <c r="H710" s="205">
        <v>2</v>
      </c>
      <c r="I710" s="2">
        <f t="shared" si="35"/>
        <v>-2</v>
      </c>
      <c r="J710" s="2">
        <f t="shared" si="36"/>
        <v>0.42999999999999972</v>
      </c>
      <c r="K710" s="2">
        <f t="shared" si="37"/>
        <v>0.42999999999999972</v>
      </c>
    </row>
    <row r="711" spans="1:11" hidden="1">
      <c r="A711" s="2" t="s">
        <v>3851</v>
      </c>
      <c r="B711" s="2" t="s">
        <v>3995</v>
      </c>
      <c r="C711" s="2" t="s">
        <v>3996</v>
      </c>
      <c r="D711" s="2">
        <v>3.47</v>
      </c>
      <c r="E711" s="2">
        <v>3.23</v>
      </c>
      <c r="F711" s="2">
        <v>1.85</v>
      </c>
      <c r="G711" s="205">
        <v>1</v>
      </c>
      <c r="H711" s="205">
        <v>2</v>
      </c>
      <c r="I711" s="2">
        <f t="shared" si="35"/>
        <v>-1</v>
      </c>
      <c r="J711" s="2">
        <f t="shared" si="36"/>
        <v>1.62</v>
      </c>
      <c r="K711" s="2">
        <f t="shared" si="37"/>
        <v>1.62</v>
      </c>
    </row>
    <row r="712" spans="1:11" hidden="1">
      <c r="A712" s="2" t="s">
        <v>3851</v>
      </c>
      <c r="B712" s="2" t="s">
        <v>3925</v>
      </c>
      <c r="C712" s="2" t="s">
        <v>3997</v>
      </c>
      <c r="D712" s="2">
        <v>1.73</v>
      </c>
      <c r="E712" s="2">
        <v>3.27</v>
      </c>
      <c r="F712" s="2">
        <v>3.93</v>
      </c>
      <c r="G712" s="205">
        <v>2</v>
      </c>
      <c r="H712" s="205">
        <v>1</v>
      </c>
      <c r="I712" s="2">
        <f t="shared" si="35"/>
        <v>1</v>
      </c>
      <c r="J712" s="2">
        <f t="shared" si="36"/>
        <v>2.2000000000000002</v>
      </c>
      <c r="K712" s="2">
        <f t="shared" si="37"/>
        <v>-2.2000000000000002</v>
      </c>
    </row>
    <row r="713" spans="1:11" hidden="1">
      <c r="A713" s="2" t="s">
        <v>3851</v>
      </c>
      <c r="B713" s="2" t="s">
        <v>3422</v>
      </c>
      <c r="C713" s="2" t="s">
        <v>3998</v>
      </c>
      <c r="D713" s="2">
        <v>2.0099999999999998</v>
      </c>
      <c r="E713" s="2">
        <v>3.62</v>
      </c>
      <c r="F713" s="2">
        <v>3.92</v>
      </c>
      <c r="G713" s="205">
        <v>1</v>
      </c>
      <c r="H713" s="205">
        <v>2</v>
      </c>
      <c r="I713" s="2">
        <f t="shared" si="35"/>
        <v>-1</v>
      </c>
      <c r="J713" s="2">
        <f t="shared" si="36"/>
        <v>1.9100000000000001</v>
      </c>
      <c r="K713" s="2">
        <f t="shared" si="37"/>
        <v>-1.9100000000000001</v>
      </c>
    </row>
    <row r="714" spans="1:11" hidden="1">
      <c r="A714" s="2" t="s">
        <v>3851</v>
      </c>
      <c r="B714" s="2" t="s">
        <v>3670</v>
      </c>
      <c r="C714" s="2" t="s">
        <v>3999</v>
      </c>
      <c r="D714" s="2">
        <v>7.05</v>
      </c>
      <c r="E714" s="2">
        <v>5.15</v>
      </c>
      <c r="F714" s="2">
        <v>1.24</v>
      </c>
      <c r="G714" s="205">
        <v>0</v>
      </c>
      <c r="H714" s="205">
        <v>2</v>
      </c>
      <c r="I714" s="2">
        <f t="shared" si="35"/>
        <v>-2</v>
      </c>
      <c r="J714" s="2">
        <f t="shared" si="36"/>
        <v>5.81</v>
      </c>
      <c r="K714" s="2">
        <f t="shared" si="37"/>
        <v>5.81</v>
      </c>
    </row>
    <row r="715" spans="1:11" hidden="1">
      <c r="A715" s="2" t="s">
        <v>3851</v>
      </c>
      <c r="B715" s="2" t="s">
        <v>1686</v>
      </c>
      <c r="C715" s="2" t="s">
        <v>4000</v>
      </c>
      <c r="D715" s="2">
        <v>1.37</v>
      </c>
      <c r="E715" s="2">
        <v>5.2</v>
      </c>
      <c r="F715" s="2">
        <v>9.35</v>
      </c>
      <c r="G715" s="205">
        <v>3</v>
      </c>
      <c r="H715" s="205">
        <v>1</v>
      </c>
      <c r="I715" s="2">
        <f t="shared" si="35"/>
        <v>2</v>
      </c>
      <c r="J715" s="2">
        <f t="shared" si="36"/>
        <v>7.9799999999999995</v>
      </c>
      <c r="K715" s="2">
        <f t="shared" si="37"/>
        <v>-7.9799999999999995</v>
      </c>
    </row>
    <row r="716" spans="1:11" hidden="1">
      <c r="A716" s="2" t="s">
        <v>3851</v>
      </c>
      <c r="B716" s="2" t="s">
        <v>3197</v>
      </c>
      <c r="C716" s="2" t="s">
        <v>4001</v>
      </c>
      <c r="D716" s="2">
        <v>2.44</v>
      </c>
      <c r="E716" s="2">
        <v>3.38</v>
      </c>
      <c r="F716" s="2">
        <v>3</v>
      </c>
      <c r="G716" s="205">
        <v>1</v>
      </c>
      <c r="H716" s="205">
        <v>1</v>
      </c>
      <c r="I716" s="2">
        <f t="shared" si="35"/>
        <v>0</v>
      </c>
      <c r="J716" s="2">
        <f t="shared" si="36"/>
        <v>0.56000000000000005</v>
      </c>
      <c r="K716" s="2">
        <f t="shared" si="37"/>
        <v>-0.56000000000000005</v>
      </c>
    </row>
    <row r="717" spans="1:11" hidden="1">
      <c r="A717" s="2" t="s">
        <v>3851</v>
      </c>
      <c r="B717" s="2" t="s">
        <v>3740</v>
      </c>
      <c r="C717" s="2" t="s">
        <v>4002</v>
      </c>
      <c r="D717" s="2">
        <v>1.7</v>
      </c>
      <c r="E717" s="2">
        <v>4.1500000000000004</v>
      </c>
      <c r="F717" s="2">
        <v>5</v>
      </c>
      <c r="G717" s="205">
        <v>0</v>
      </c>
      <c r="H717" s="205">
        <v>0</v>
      </c>
      <c r="I717" s="2">
        <f t="shared" si="35"/>
        <v>0</v>
      </c>
      <c r="J717" s="2">
        <f t="shared" si="36"/>
        <v>3.3</v>
      </c>
      <c r="K717" s="2">
        <f t="shared" si="37"/>
        <v>-3.3</v>
      </c>
    </row>
    <row r="718" spans="1:11" hidden="1">
      <c r="A718" s="2" t="s">
        <v>3851</v>
      </c>
      <c r="B718" s="2" t="s">
        <v>3820</v>
      </c>
      <c r="C718" s="2" t="s">
        <v>4003</v>
      </c>
      <c r="D718" s="2">
        <v>2.33</v>
      </c>
      <c r="E718" s="2">
        <v>3.27</v>
      </c>
      <c r="F718" s="2">
        <v>3.08</v>
      </c>
      <c r="G718" s="205">
        <v>2</v>
      </c>
      <c r="H718" s="205">
        <v>0</v>
      </c>
      <c r="I718" s="2">
        <f t="shared" ref="I718:I752" si="38">+G718-H718</f>
        <v>2</v>
      </c>
      <c r="J718" s="2">
        <f t="shared" ref="J718:J752" si="39">ABS(+D718-F718)</f>
        <v>0.75</v>
      </c>
      <c r="K718" s="2">
        <f t="shared" ref="K718:K752" si="40">+D718-F718</f>
        <v>-0.75</v>
      </c>
    </row>
    <row r="719" spans="1:11" hidden="1">
      <c r="A719" s="2" t="s">
        <v>3851</v>
      </c>
      <c r="B719" s="2" t="s">
        <v>3822</v>
      </c>
      <c r="C719" s="2" t="s">
        <v>4004</v>
      </c>
      <c r="D719" s="2">
        <v>2.4300000000000002</v>
      </c>
      <c r="E719" s="2">
        <v>3.32</v>
      </c>
      <c r="F719" s="2">
        <v>2.88</v>
      </c>
      <c r="G719" s="205">
        <v>0</v>
      </c>
      <c r="H719" s="205">
        <v>1</v>
      </c>
      <c r="I719" s="2">
        <f t="shared" si="38"/>
        <v>-1</v>
      </c>
      <c r="J719" s="2">
        <f t="shared" si="39"/>
        <v>0.44999999999999973</v>
      </c>
      <c r="K719" s="2">
        <f t="shared" si="40"/>
        <v>-0.44999999999999973</v>
      </c>
    </row>
    <row r="720" spans="1:11" hidden="1">
      <c r="A720" s="2" t="s">
        <v>3851</v>
      </c>
      <c r="B720" s="2" t="s">
        <v>3822</v>
      </c>
      <c r="C720" s="2" t="s">
        <v>4005</v>
      </c>
      <c r="D720" s="2">
        <v>1.57</v>
      </c>
      <c r="E720" s="2">
        <v>3.87</v>
      </c>
      <c r="F720" s="2">
        <v>6.1</v>
      </c>
      <c r="G720" s="205">
        <v>0</v>
      </c>
      <c r="H720" s="205">
        <v>0</v>
      </c>
      <c r="I720" s="2">
        <f t="shared" si="38"/>
        <v>0</v>
      </c>
      <c r="J720" s="2">
        <f t="shared" si="39"/>
        <v>4.5299999999999994</v>
      </c>
      <c r="K720" s="2">
        <f t="shared" si="40"/>
        <v>-4.5299999999999994</v>
      </c>
    </row>
    <row r="721" spans="1:11" hidden="1">
      <c r="A721" s="2" t="s">
        <v>3851</v>
      </c>
      <c r="B721" s="2" t="s">
        <v>4006</v>
      </c>
      <c r="C721" s="2" t="s">
        <v>4007</v>
      </c>
      <c r="D721" s="2">
        <v>3.9</v>
      </c>
      <c r="E721" s="2">
        <v>3.58</v>
      </c>
      <c r="F721" s="2">
        <v>1.91</v>
      </c>
      <c r="G721" s="205">
        <v>0</v>
      </c>
      <c r="H721" s="205">
        <v>3</v>
      </c>
      <c r="I721" s="2">
        <f t="shared" si="38"/>
        <v>-3</v>
      </c>
      <c r="J721" s="2">
        <f t="shared" si="39"/>
        <v>1.99</v>
      </c>
      <c r="K721" s="2">
        <f t="shared" si="40"/>
        <v>1.99</v>
      </c>
    </row>
    <row r="722" spans="1:11" hidden="1">
      <c r="A722" s="2" t="s">
        <v>3851</v>
      </c>
      <c r="B722" s="2" t="s">
        <v>4006</v>
      </c>
      <c r="C722" s="2" t="s">
        <v>4008</v>
      </c>
      <c r="D722" s="2">
        <v>4.6500000000000004</v>
      </c>
      <c r="E722" s="2">
        <v>3.9</v>
      </c>
      <c r="F722" s="2">
        <v>1.7</v>
      </c>
      <c r="G722" s="205">
        <v>2</v>
      </c>
      <c r="H722" s="205">
        <v>3</v>
      </c>
      <c r="I722" s="2">
        <f t="shared" si="38"/>
        <v>-1</v>
      </c>
      <c r="J722" s="2">
        <f t="shared" si="39"/>
        <v>2.95</v>
      </c>
      <c r="K722" s="2">
        <f t="shared" si="40"/>
        <v>2.95</v>
      </c>
    </row>
    <row r="723" spans="1:11" hidden="1">
      <c r="A723" s="2" t="s">
        <v>3851</v>
      </c>
      <c r="B723" s="2" t="s">
        <v>4006</v>
      </c>
      <c r="C723" s="2" t="s">
        <v>4009</v>
      </c>
      <c r="D723" s="2">
        <v>3.8</v>
      </c>
      <c r="E723" s="2">
        <v>3.52</v>
      </c>
      <c r="F723" s="2">
        <v>1.95</v>
      </c>
      <c r="G723" s="205">
        <v>1</v>
      </c>
      <c r="H723" s="205">
        <v>1</v>
      </c>
      <c r="I723" s="2">
        <f t="shared" si="38"/>
        <v>0</v>
      </c>
      <c r="J723" s="2">
        <f t="shared" si="39"/>
        <v>1.8499999999999999</v>
      </c>
      <c r="K723" s="2">
        <f t="shared" si="40"/>
        <v>1.8499999999999999</v>
      </c>
    </row>
    <row r="724" spans="1:11" hidden="1">
      <c r="A724" s="2" t="s">
        <v>3851</v>
      </c>
      <c r="B724" s="2" t="s">
        <v>4006</v>
      </c>
      <c r="C724" s="2" t="s">
        <v>4010</v>
      </c>
      <c r="D724" s="2">
        <v>5.4</v>
      </c>
      <c r="E724" s="2">
        <v>4.13</v>
      </c>
      <c r="F724" s="2">
        <v>1.58</v>
      </c>
      <c r="G724" s="205">
        <v>0</v>
      </c>
      <c r="H724" s="205">
        <v>2</v>
      </c>
      <c r="I724" s="2">
        <f t="shared" si="38"/>
        <v>-2</v>
      </c>
      <c r="J724" s="2">
        <f t="shared" si="39"/>
        <v>3.8200000000000003</v>
      </c>
      <c r="K724" s="2">
        <f t="shared" si="40"/>
        <v>3.8200000000000003</v>
      </c>
    </row>
    <row r="725" spans="1:11" hidden="1">
      <c r="A725" s="2" t="s">
        <v>3851</v>
      </c>
      <c r="B725" s="2" t="s">
        <v>3754</v>
      </c>
      <c r="C725" s="2" t="s">
        <v>4011</v>
      </c>
      <c r="D725" s="2">
        <v>3.43</v>
      </c>
      <c r="E725" s="2">
        <v>3.15</v>
      </c>
      <c r="F725" s="2">
        <v>2.2200000000000002</v>
      </c>
      <c r="G725" s="205">
        <v>2</v>
      </c>
      <c r="H725" s="205">
        <v>1</v>
      </c>
      <c r="I725" s="2">
        <f t="shared" si="38"/>
        <v>1</v>
      </c>
      <c r="J725" s="2">
        <f t="shared" si="39"/>
        <v>1.21</v>
      </c>
      <c r="K725" s="2">
        <f t="shared" si="40"/>
        <v>1.21</v>
      </c>
    </row>
    <row r="726" spans="1:11" hidden="1">
      <c r="A726" s="2" t="s">
        <v>3851</v>
      </c>
      <c r="B726" s="2" t="s">
        <v>3754</v>
      </c>
      <c r="C726" s="2" t="s">
        <v>4012</v>
      </c>
      <c r="D726" s="2">
        <v>1.44</v>
      </c>
      <c r="E726" s="2">
        <v>4.4800000000000004</v>
      </c>
      <c r="F726" s="2">
        <v>7.1</v>
      </c>
      <c r="G726" s="205">
        <v>3</v>
      </c>
      <c r="H726" s="205">
        <v>1</v>
      </c>
      <c r="I726" s="2">
        <f t="shared" si="38"/>
        <v>2</v>
      </c>
      <c r="J726" s="2">
        <f t="shared" si="39"/>
        <v>5.66</v>
      </c>
      <c r="K726" s="2">
        <f t="shared" si="40"/>
        <v>-5.66</v>
      </c>
    </row>
    <row r="727" spans="1:11" hidden="1">
      <c r="A727" s="2" t="s">
        <v>3851</v>
      </c>
      <c r="B727" s="2" t="s">
        <v>3754</v>
      </c>
      <c r="C727" s="2" t="s">
        <v>4013</v>
      </c>
      <c r="D727" s="2">
        <v>2.04</v>
      </c>
      <c r="E727" s="2">
        <v>3.3</v>
      </c>
      <c r="F727" s="2">
        <v>3.73</v>
      </c>
      <c r="G727" s="205">
        <v>0</v>
      </c>
      <c r="H727" s="205">
        <v>1</v>
      </c>
      <c r="I727" s="2">
        <f t="shared" si="38"/>
        <v>-1</v>
      </c>
      <c r="J727" s="2">
        <f t="shared" si="39"/>
        <v>1.69</v>
      </c>
      <c r="K727" s="2">
        <f t="shared" si="40"/>
        <v>-1.69</v>
      </c>
    </row>
    <row r="728" spans="1:11" hidden="1">
      <c r="A728" s="2" t="s">
        <v>3851</v>
      </c>
      <c r="B728" s="2" t="s">
        <v>4014</v>
      </c>
      <c r="C728" s="2" t="s">
        <v>4015</v>
      </c>
      <c r="D728" s="2">
        <v>3.3</v>
      </c>
      <c r="E728" s="2">
        <v>3.33</v>
      </c>
      <c r="F728" s="2">
        <v>1.86</v>
      </c>
      <c r="G728" s="205">
        <v>1</v>
      </c>
      <c r="H728" s="205">
        <v>3</v>
      </c>
      <c r="I728" s="2">
        <f t="shared" si="38"/>
        <v>-2</v>
      </c>
      <c r="J728" s="2">
        <f t="shared" si="39"/>
        <v>1.4399999999999997</v>
      </c>
      <c r="K728" s="2">
        <f t="shared" si="40"/>
        <v>1.4399999999999997</v>
      </c>
    </row>
    <row r="729" spans="1:11" hidden="1">
      <c r="A729" s="2" t="s">
        <v>3851</v>
      </c>
      <c r="B729" s="2" t="s">
        <v>4016</v>
      </c>
      <c r="C729" s="2" t="s">
        <v>4017</v>
      </c>
      <c r="D729" s="2">
        <v>5.15</v>
      </c>
      <c r="E729" s="2">
        <v>4.08</v>
      </c>
      <c r="F729" s="2">
        <v>1.61</v>
      </c>
      <c r="G729" s="205">
        <v>1</v>
      </c>
      <c r="H729" s="205">
        <v>3</v>
      </c>
      <c r="I729" s="2">
        <f t="shared" si="38"/>
        <v>-2</v>
      </c>
      <c r="J729" s="2">
        <f t="shared" si="39"/>
        <v>3.54</v>
      </c>
      <c r="K729" s="2">
        <f t="shared" si="40"/>
        <v>3.54</v>
      </c>
    </row>
    <row r="730" spans="1:11" hidden="1">
      <c r="A730" s="2" t="s">
        <v>3851</v>
      </c>
      <c r="B730" s="2" t="s">
        <v>4018</v>
      </c>
      <c r="C730" s="2" t="s">
        <v>4019</v>
      </c>
      <c r="D730" s="2">
        <v>1.69</v>
      </c>
      <c r="E730" s="2">
        <v>3.9</v>
      </c>
      <c r="F730" s="2">
        <v>3.42</v>
      </c>
      <c r="G730" s="205">
        <v>0</v>
      </c>
      <c r="H730" s="205">
        <v>0</v>
      </c>
      <c r="I730" s="2">
        <f t="shared" si="38"/>
        <v>0</v>
      </c>
      <c r="J730" s="2">
        <f t="shared" si="39"/>
        <v>1.73</v>
      </c>
      <c r="K730" s="2">
        <f t="shared" si="40"/>
        <v>-1.73</v>
      </c>
    </row>
    <row r="731" spans="1:11" hidden="1">
      <c r="A731" s="2" t="s">
        <v>3851</v>
      </c>
      <c r="B731" s="2" t="s">
        <v>4018</v>
      </c>
      <c r="C731" s="2" t="s">
        <v>4020</v>
      </c>
      <c r="D731" s="2">
        <v>4.82</v>
      </c>
      <c r="E731" s="2">
        <v>4.82</v>
      </c>
      <c r="F731" s="2">
        <v>1.38</v>
      </c>
      <c r="G731" s="205">
        <v>0</v>
      </c>
      <c r="H731" s="205">
        <v>2</v>
      </c>
      <c r="I731" s="2">
        <f t="shared" si="38"/>
        <v>-2</v>
      </c>
      <c r="J731" s="2">
        <f t="shared" si="39"/>
        <v>3.4400000000000004</v>
      </c>
      <c r="K731" s="2">
        <f t="shared" si="40"/>
        <v>3.4400000000000004</v>
      </c>
    </row>
    <row r="732" spans="1:11" hidden="1">
      <c r="A732" s="2" t="s">
        <v>3851</v>
      </c>
      <c r="B732" s="2" t="s">
        <v>4018</v>
      </c>
      <c r="C732" s="2" t="s">
        <v>4021</v>
      </c>
      <c r="D732" s="2">
        <v>1.77</v>
      </c>
      <c r="E732" s="2">
        <v>3.88</v>
      </c>
      <c r="F732" s="2">
        <v>3.15</v>
      </c>
      <c r="G732" s="205">
        <v>2</v>
      </c>
      <c r="H732" s="205">
        <v>0</v>
      </c>
      <c r="I732" s="2">
        <f t="shared" si="38"/>
        <v>2</v>
      </c>
      <c r="J732" s="2">
        <f t="shared" si="39"/>
        <v>1.38</v>
      </c>
      <c r="K732" s="2">
        <f t="shared" si="40"/>
        <v>-1.38</v>
      </c>
    </row>
    <row r="733" spans="1:11" hidden="1">
      <c r="A733" s="2" t="s">
        <v>3851</v>
      </c>
      <c r="B733" s="2" t="s">
        <v>4018</v>
      </c>
      <c r="C733" s="2" t="s">
        <v>4022</v>
      </c>
      <c r="D733" s="2">
        <v>2.11</v>
      </c>
      <c r="E733" s="2">
        <v>3.9</v>
      </c>
      <c r="F733" s="2">
        <v>2.44</v>
      </c>
      <c r="G733" s="205">
        <v>2</v>
      </c>
      <c r="H733" s="205">
        <v>0</v>
      </c>
      <c r="I733" s="2">
        <f t="shared" si="38"/>
        <v>2</v>
      </c>
      <c r="J733" s="2">
        <f t="shared" si="39"/>
        <v>0.33000000000000007</v>
      </c>
      <c r="K733" s="2">
        <f t="shared" si="40"/>
        <v>-0.33000000000000007</v>
      </c>
    </row>
    <row r="734" spans="1:11" hidden="1">
      <c r="A734" s="2" t="s">
        <v>3851</v>
      </c>
      <c r="B734" s="2" t="s">
        <v>3575</v>
      </c>
      <c r="C734" s="2" t="s">
        <v>4023</v>
      </c>
      <c r="D734" s="2">
        <v>1.87</v>
      </c>
      <c r="E734" s="2">
        <v>3.02</v>
      </c>
      <c r="F734" s="2">
        <v>3.63</v>
      </c>
      <c r="G734" s="205">
        <v>2</v>
      </c>
      <c r="H734" s="205">
        <v>1</v>
      </c>
      <c r="I734" s="2">
        <f t="shared" si="38"/>
        <v>1</v>
      </c>
      <c r="J734" s="2">
        <f t="shared" si="39"/>
        <v>1.7599999999999998</v>
      </c>
      <c r="K734" s="2">
        <f t="shared" si="40"/>
        <v>-1.7599999999999998</v>
      </c>
    </row>
    <row r="735" spans="1:11" hidden="1">
      <c r="A735" s="2" t="s">
        <v>3851</v>
      </c>
      <c r="B735" s="2" t="s">
        <v>3575</v>
      </c>
      <c r="C735" s="2" t="s">
        <v>4024</v>
      </c>
      <c r="D735" s="2">
        <v>2.35</v>
      </c>
      <c r="E735" s="2">
        <v>2.8</v>
      </c>
      <c r="F735" s="2">
        <v>2.8</v>
      </c>
      <c r="G735" s="205">
        <v>0</v>
      </c>
      <c r="H735" s="205">
        <v>2</v>
      </c>
      <c r="I735" s="2">
        <f t="shared" si="38"/>
        <v>-2</v>
      </c>
      <c r="J735" s="2">
        <f t="shared" si="39"/>
        <v>0.44999999999999973</v>
      </c>
      <c r="K735" s="2">
        <f t="shared" si="40"/>
        <v>-0.44999999999999973</v>
      </c>
    </row>
    <row r="736" spans="1:11" hidden="1">
      <c r="A736" s="2" t="s">
        <v>3851</v>
      </c>
      <c r="B736" s="2" t="s">
        <v>3575</v>
      </c>
      <c r="C736" s="2" t="s">
        <v>4025</v>
      </c>
      <c r="D736" s="2">
        <v>1.64</v>
      </c>
      <c r="E736" s="2">
        <v>3.18</v>
      </c>
      <c r="F736" s="2">
        <v>4.62</v>
      </c>
      <c r="G736" s="205">
        <v>1</v>
      </c>
      <c r="H736" s="205">
        <v>1</v>
      </c>
      <c r="I736" s="2">
        <f t="shared" si="38"/>
        <v>0</v>
      </c>
      <c r="J736" s="2">
        <f t="shared" si="39"/>
        <v>2.9800000000000004</v>
      </c>
      <c r="K736" s="2">
        <f t="shared" si="40"/>
        <v>-2.9800000000000004</v>
      </c>
    </row>
    <row r="737" spans="1:11" hidden="1">
      <c r="A737" s="2" t="s">
        <v>3851</v>
      </c>
      <c r="B737" s="2" t="s">
        <v>3754</v>
      </c>
      <c r="C737" s="2" t="s">
        <v>4026</v>
      </c>
      <c r="D737" s="2">
        <v>5.3</v>
      </c>
      <c r="E737" s="2">
        <v>3.7</v>
      </c>
      <c r="F737" s="2">
        <v>1.66</v>
      </c>
      <c r="G737" s="205">
        <v>0</v>
      </c>
      <c r="H737" s="205">
        <v>1</v>
      </c>
      <c r="I737" s="2">
        <f t="shared" si="38"/>
        <v>-1</v>
      </c>
      <c r="J737" s="2">
        <f t="shared" si="39"/>
        <v>3.6399999999999997</v>
      </c>
      <c r="K737" s="2">
        <f t="shared" si="40"/>
        <v>3.6399999999999997</v>
      </c>
    </row>
    <row r="738" spans="1:11" hidden="1">
      <c r="A738" s="2" t="s">
        <v>3851</v>
      </c>
      <c r="B738" s="2" t="s">
        <v>3377</v>
      </c>
      <c r="C738" s="2" t="s">
        <v>4027</v>
      </c>
      <c r="D738" s="2">
        <v>2.4300000000000002</v>
      </c>
      <c r="E738" s="2">
        <v>3.1</v>
      </c>
      <c r="F738" s="2">
        <v>3.27</v>
      </c>
      <c r="G738" s="205">
        <v>0</v>
      </c>
      <c r="H738" s="205">
        <v>0</v>
      </c>
      <c r="I738" s="2">
        <f t="shared" si="38"/>
        <v>0</v>
      </c>
      <c r="J738" s="2">
        <f t="shared" si="39"/>
        <v>0.83999999999999986</v>
      </c>
      <c r="K738" s="2">
        <f t="shared" si="40"/>
        <v>-0.83999999999999986</v>
      </c>
    </row>
    <row r="739" spans="1:11" hidden="1">
      <c r="A739" s="2" t="s">
        <v>3851</v>
      </c>
      <c r="B739" s="2" t="s">
        <v>3174</v>
      </c>
      <c r="C739" s="2" t="s">
        <v>4028</v>
      </c>
      <c r="D739" s="2">
        <v>1.77</v>
      </c>
      <c r="E739" s="2">
        <v>3.57</v>
      </c>
      <c r="F739" s="2">
        <v>5.4</v>
      </c>
      <c r="G739" s="205">
        <v>2</v>
      </c>
      <c r="H739" s="205">
        <v>1</v>
      </c>
      <c r="I739" s="2">
        <f t="shared" si="38"/>
        <v>1</v>
      </c>
      <c r="J739" s="2">
        <f t="shared" si="39"/>
        <v>3.6300000000000003</v>
      </c>
      <c r="K739" s="2">
        <f t="shared" si="40"/>
        <v>-3.6300000000000003</v>
      </c>
    </row>
    <row r="740" spans="1:11" hidden="1">
      <c r="A740" s="2" t="s">
        <v>3851</v>
      </c>
      <c r="B740" s="2" t="s">
        <v>3575</v>
      </c>
      <c r="C740" s="2" t="s">
        <v>4029</v>
      </c>
      <c r="D740" s="2">
        <v>1.32</v>
      </c>
      <c r="E740" s="2">
        <v>4.12</v>
      </c>
      <c r="F740" s="2">
        <v>7.15</v>
      </c>
      <c r="G740" s="205">
        <v>2</v>
      </c>
      <c r="H740" s="205">
        <v>0</v>
      </c>
      <c r="I740" s="2">
        <f t="shared" si="38"/>
        <v>2</v>
      </c>
      <c r="J740" s="2">
        <f t="shared" si="39"/>
        <v>5.83</v>
      </c>
      <c r="K740" s="2">
        <f t="shared" si="40"/>
        <v>-5.83</v>
      </c>
    </row>
    <row r="741" spans="1:11" hidden="1">
      <c r="A741" s="2" t="s">
        <v>3851</v>
      </c>
      <c r="B741" s="2" t="s">
        <v>3126</v>
      </c>
      <c r="C741" s="2" t="s">
        <v>4030</v>
      </c>
      <c r="D741" s="2">
        <v>2.27</v>
      </c>
      <c r="E741" s="2">
        <v>3.65</v>
      </c>
      <c r="F741" s="2">
        <v>2.9</v>
      </c>
      <c r="G741" s="205">
        <v>2</v>
      </c>
      <c r="H741" s="205">
        <v>1</v>
      </c>
      <c r="I741" s="2">
        <f t="shared" si="38"/>
        <v>1</v>
      </c>
      <c r="J741" s="2">
        <f t="shared" si="39"/>
        <v>0.62999999999999989</v>
      </c>
      <c r="K741" s="2">
        <f t="shared" si="40"/>
        <v>-0.62999999999999989</v>
      </c>
    </row>
    <row r="742" spans="1:11" hidden="1">
      <c r="A742" s="2" t="s">
        <v>3851</v>
      </c>
      <c r="B742" s="2" t="s">
        <v>3158</v>
      </c>
      <c r="C742" s="2" t="s">
        <v>4031</v>
      </c>
      <c r="D742" s="2">
        <v>2.44</v>
      </c>
      <c r="E742" s="2">
        <v>3.2</v>
      </c>
      <c r="F742" s="2">
        <v>3.15</v>
      </c>
      <c r="G742" s="205">
        <v>1</v>
      </c>
      <c r="H742" s="205">
        <v>2</v>
      </c>
      <c r="I742" s="2">
        <f t="shared" si="38"/>
        <v>-1</v>
      </c>
      <c r="J742" s="2">
        <f t="shared" si="39"/>
        <v>0.71</v>
      </c>
      <c r="K742" s="2">
        <f t="shared" si="40"/>
        <v>-0.71</v>
      </c>
    </row>
    <row r="743" spans="1:11" hidden="1">
      <c r="A743" s="2" t="s">
        <v>3851</v>
      </c>
      <c r="B743" s="2" t="s">
        <v>4032</v>
      </c>
      <c r="C743" s="2" t="s">
        <v>4033</v>
      </c>
      <c r="D743" s="2">
        <v>2.86</v>
      </c>
      <c r="E743" s="2">
        <v>3.23</v>
      </c>
      <c r="F743" s="2">
        <v>2.08</v>
      </c>
      <c r="G743" s="205">
        <v>2</v>
      </c>
      <c r="H743" s="205">
        <v>1</v>
      </c>
      <c r="I743" s="2">
        <f t="shared" si="38"/>
        <v>1</v>
      </c>
      <c r="J743" s="2">
        <f t="shared" si="39"/>
        <v>0.7799999999999998</v>
      </c>
      <c r="K743" s="2">
        <f t="shared" si="40"/>
        <v>0.7799999999999998</v>
      </c>
    </row>
    <row r="744" spans="1:11" hidden="1">
      <c r="A744" s="2" t="s">
        <v>3851</v>
      </c>
      <c r="B744" s="2" t="s">
        <v>3137</v>
      </c>
      <c r="C744" s="2" t="s">
        <v>4034</v>
      </c>
      <c r="D744" s="2">
        <v>2.39</v>
      </c>
      <c r="E744" s="2">
        <v>3.08</v>
      </c>
      <c r="F744" s="2">
        <v>3.17</v>
      </c>
      <c r="G744" s="205">
        <v>1</v>
      </c>
      <c r="H744" s="205">
        <v>3</v>
      </c>
      <c r="I744" s="2">
        <f t="shared" si="38"/>
        <v>-2</v>
      </c>
      <c r="J744" s="2">
        <f t="shared" si="39"/>
        <v>0.7799999999999998</v>
      </c>
      <c r="K744" s="2">
        <f t="shared" si="40"/>
        <v>-0.7799999999999998</v>
      </c>
    </row>
    <row r="745" spans="1:11" hidden="1">
      <c r="A745" s="2" t="s">
        <v>3851</v>
      </c>
      <c r="B745" s="2" t="s">
        <v>3333</v>
      </c>
      <c r="C745" s="2" t="s">
        <v>4035</v>
      </c>
      <c r="D745" s="2">
        <v>1.72</v>
      </c>
      <c r="E745" s="2">
        <v>3.47</v>
      </c>
      <c r="F745" s="2">
        <v>5.25</v>
      </c>
      <c r="G745" s="205">
        <v>1</v>
      </c>
      <c r="H745" s="205">
        <v>0</v>
      </c>
      <c r="I745" s="2">
        <f t="shared" si="38"/>
        <v>1</v>
      </c>
      <c r="J745" s="2">
        <f t="shared" si="39"/>
        <v>3.5300000000000002</v>
      </c>
      <c r="K745" s="2">
        <f t="shared" si="40"/>
        <v>-3.5300000000000002</v>
      </c>
    </row>
    <row r="746" spans="1:11" hidden="1">
      <c r="A746" s="2" t="s">
        <v>3851</v>
      </c>
      <c r="B746" s="2" t="s">
        <v>3137</v>
      </c>
      <c r="C746" s="2" t="s">
        <v>4036</v>
      </c>
      <c r="D746" s="2">
        <v>3.1</v>
      </c>
      <c r="E746" s="2">
        <v>3.08</v>
      </c>
      <c r="F746" s="2">
        <v>2.42</v>
      </c>
      <c r="G746" s="205">
        <v>0</v>
      </c>
      <c r="H746" s="205">
        <v>2</v>
      </c>
      <c r="I746" s="2">
        <f t="shared" si="38"/>
        <v>-2</v>
      </c>
      <c r="J746" s="2">
        <f t="shared" si="39"/>
        <v>0.68000000000000016</v>
      </c>
      <c r="K746" s="2">
        <f t="shared" si="40"/>
        <v>0.68000000000000016</v>
      </c>
    </row>
    <row r="747" spans="1:11" hidden="1">
      <c r="A747" s="2" t="s">
        <v>3851</v>
      </c>
      <c r="B747" s="2" t="s">
        <v>3178</v>
      </c>
      <c r="C747" s="2" t="s">
        <v>4037</v>
      </c>
      <c r="D747" s="2">
        <v>2</v>
      </c>
      <c r="E747" s="2">
        <v>3.4</v>
      </c>
      <c r="F747" s="2">
        <v>3.75</v>
      </c>
      <c r="G747" s="205">
        <v>1</v>
      </c>
      <c r="H747" s="205">
        <v>0</v>
      </c>
      <c r="I747" s="2">
        <f t="shared" si="38"/>
        <v>1</v>
      </c>
      <c r="J747" s="2">
        <f t="shared" si="39"/>
        <v>1.75</v>
      </c>
      <c r="K747" s="2">
        <f t="shared" si="40"/>
        <v>-1.75</v>
      </c>
    </row>
    <row r="748" spans="1:11" hidden="1">
      <c r="A748" s="2" t="s">
        <v>3851</v>
      </c>
      <c r="B748" s="2" t="s">
        <v>3410</v>
      </c>
      <c r="C748" s="2" t="s">
        <v>4038</v>
      </c>
      <c r="D748" s="2">
        <v>1.85</v>
      </c>
      <c r="E748" s="2">
        <v>3.83</v>
      </c>
      <c r="F748" s="2">
        <v>3.87</v>
      </c>
      <c r="G748" s="205">
        <v>1</v>
      </c>
      <c r="H748" s="205">
        <v>0</v>
      </c>
      <c r="I748" s="2">
        <f t="shared" si="38"/>
        <v>1</v>
      </c>
      <c r="J748" s="2">
        <f t="shared" si="39"/>
        <v>2.02</v>
      </c>
      <c r="K748" s="2">
        <f t="shared" si="40"/>
        <v>-2.02</v>
      </c>
    </row>
    <row r="749" spans="1:11" hidden="1">
      <c r="A749" s="2" t="s">
        <v>3851</v>
      </c>
      <c r="B749" s="2" t="s">
        <v>3577</v>
      </c>
      <c r="C749" s="2" t="s">
        <v>4039</v>
      </c>
      <c r="D749" s="2">
        <v>1.42</v>
      </c>
      <c r="E749" s="2">
        <v>4.05</v>
      </c>
      <c r="F749" s="2">
        <v>5.3</v>
      </c>
      <c r="G749" s="205">
        <v>1</v>
      </c>
      <c r="H749" s="205">
        <v>1</v>
      </c>
      <c r="I749" s="2">
        <f t="shared" si="38"/>
        <v>0</v>
      </c>
      <c r="J749" s="2">
        <f t="shared" si="39"/>
        <v>3.88</v>
      </c>
      <c r="K749" s="2">
        <f t="shared" si="40"/>
        <v>-3.88</v>
      </c>
    </row>
    <row r="750" spans="1:11" hidden="1">
      <c r="A750" s="2" t="s">
        <v>3851</v>
      </c>
      <c r="B750" s="2" t="s">
        <v>4040</v>
      </c>
      <c r="C750" s="2" t="s">
        <v>4041</v>
      </c>
      <c r="D750" s="2">
        <v>1.06</v>
      </c>
      <c r="E750" s="2">
        <v>8.1999999999999993</v>
      </c>
      <c r="F750" s="2">
        <v>13.75</v>
      </c>
      <c r="G750" s="205">
        <v>4</v>
      </c>
      <c r="H750" s="205">
        <v>0</v>
      </c>
      <c r="I750" s="2">
        <f t="shared" si="38"/>
        <v>4</v>
      </c>
      <c r="J750" s="2">
        <f t="shared" si="39"/>
        <v>12.69</v>
      </c>
      <c r="K750" s="2">
        <f t="shared" si="40"/>
        <v>-12.69</v>
      </c>
    </row>
    <row r="751" spans="1:11" hidden="1">
      <c r="A751" s="2" t="s">
        <v>3851</v>
      </c>
      <c r="B751" s="2" t="s">
        <v>3535</v>
      </c>
      <c r="C751" s="2" t="s">
        <v>4042</v>
      </c>
      <c r="D751" s="2">
        <v>1.88</v>
      </c>
      <c r="E751" s="2">
        <v>3.23</v>
      </c>
      <c r="F751" s="2">
        <v>3.37</v>
      </c>
      <c r="G751" s="205">
        <v>1</v>
      </c>
      <c r="H751" s="205">
        <v>0</v>
      </c>
      <c r="I751" s="2">
        <f t="shared" si="38"/>
        <v>1</v>
      </c>
      <c r="J751" s="2">
        <f t="shared" si="39"/>
        <v>1.4900000000000002</v>
      </c>
      <c r="K751" s="2">
        <f t="shared" si="40"/>
        <v>-1.4900000000000002</v>
      </c>
    </row>
    <row r="752" spans="1:11" hidden="1">
      <c r="A752" s="2" t="s">
        <v>3851</v>
      </c>
      <c r="B752" s="2" t="s">
        <v>3477</v>
      </c>
      <c r="C752" s="2" t="s">
        <v>4043</v>
      </c>
      <c r="D752" s="2">
        <v>1.38</v>
      </c>
      <c r="E752" s="2">
        <v>4.1500000000000004</v>
      </c>
      <c r="F752" s="2">
        <v>5.75</v>
      </c>
      <c r="G752" s="205">
        <v>2</v>
      </c>
      <c r="H752" s="205">
        <v>0</v>
      </c>
      <c r="I752" s="2">
        <f t="shared" si="38"/>
        <v>2</v>
      </c>
      <c r="J752" s="2">
        <f t="shared" si="39"/>
        <v>4.37</v>
      </c>
      <c r="K752" s="2">
        <f t="shared" si="40"/>
        <v>-4.37</v>
      </c>
    </row>
  </sheetData>
  <autoFilter ref="A1:M752">
    <filterColumn colId="1">
      <filters>
        <filter val="Friendly Intls. W."/>
      </filters>
    </filterColumn>
  </autoFilter>
  <sortState ref="A2:O452">
    <sortCondition descending="1" ref="F2:F452"/>
  </sortState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30"/>
  <sheetViews>
    <sheetView zoomScale="80" zoomScaleNormal="80" workbookViewId="0">
      <selection activeCell="B4" sqref="B4"/>
    </sheetView>
  </sheetViews>
  <sheetFormatPr defaultRowHeight="12.75"/>
  <cols>
    <col min="1" max="1" width="11" style="144" bestFit="1" customWidth="1"/>
    <col min="2" max="2" width="23.85546875" style="165" bestFit="1" customWidth="1"/>
    <col min="3" max="3" width="30.140625" style="144" bestFit="1" customWidth="1"/>
    <col min="4" max="4" width="40.5703125" style="144" customWidth="1"/>
    <col min="5" max="6" width="8.28515625" style="145" customWidth="1"/>
    <col min="7" max="7" width="8.28515625" style="146" customWidth="1"/>
    <col min="8" max="8" width="8.28515625" style="145" customWidth="1"/>
    <col min="9" max="9" width="2.85546875" style="144" customWidth="1"/>
    <col min="10" max="10" width="13.7109375" style="144" customWidth="1"/>
    <col min="11" max="12" width="9.140625" style="144"/>
    <col min="13" max="13" width="2.7109375" style="144" customWidth="1"/>
    <col min="14" max="14" width="17.7109375" style="144" customWidth="1"/>
    <col min="15" max="16384" width="9.140625" style="144"/>
  </cols>
  <sheetData>
    <row r="1" spans="1:10" s="165" customFormat="1">
      <c r="A1" s="88" t="s">
        <v>1244</v>
      </c>
      <c r="B1" s="164"/>
      <c r="G1" s="146"/>
      <c r="H1" s="145"/>
      <c r="J1" s="145"/>
    </row>
    <row r="3" spans="1:10" s="165" customFormat="1">
      <c r="A3" s="166" t="s">
        <v>0</v>
      </c>
      <c r="B3" s="166" t="s">
        <v>1</v>
      </c>
      <c r="C3" s="166" t="s">
        <v>2</v>
      </c>
      <c r="D3" s="166" t="s">
        <v>3</v>
      </c>
      <c r="E3" s="166" t="s">
        <v>6</v>
      </c>
      <c r="F3" s="166" t="s">
        <v>5</v>
      </c>
      <c r="G3" s="193" t="s">
        <v>7</v>
      </c>
      <c r="H3" s="167" t="s">
        <v>1216</v>
      </c>
      <c r="J3" s="152"/>
    </row>
    <row r="4" spans="1:10">
      <c r="A4" s="162"/>
      <c r="B4" s="73"/>
      <c r="D4" s="73"/>
      <c r="J4" s="152" t="str">
        <f>CONCATENATE(B4," vs ",C4)</f>
        <v xml:space="preserve"> vs </v>
      </c>
    </row>
    <row r="5" spans="1:10">
      <c r="A5" s="162"/>
      <c r="B5" s="156"/>
      <c r="D5" s="73"/>
      <c r="J5" s="152" t="str">
        <f t="shared" ref="J5:J68" si="0">CONCATENATE(B5," vs ",C5)</f>
        <v xml:space="preserve"> vs </v>
      </c>
    </row>
    <row r="6" spans="1:10">
      <c r="A6" s="162"/>
      <c r="B6" s="156"/>
      <c r="D6" s="73"/>
      <c r="J6" s="152" t="str">
        <f t="shared" si="0"/>
        <v xml:space="preserve"> vs </v>
      </c>
    </row>
    <row r="7" spans="1:10">
      <c r="A7" s="162"/>
      <c r="B7" s="156"/>
      <c r="D7" s="73"/>
      <c r="J7" s="152" t="str">
        <f t="shared" si="0"/>
        <v xml:space="preserve"> vs </v>
      </c>
    </row>
    <row r="8" spans="1:10">
      <c r="A8" s="162"/>
      <c r="B8" s="156"/>
      <c r="D8" s="73"/>
      <c r="J8" s="152" t="str">
        <f t="shared" si="0"/>
        <v xml:space="preserve"> vs </v>
      </c>
    </row>
    <row r="9" spans="1:10">
      <c r="A9" s="162"/>
      <c r="B9" s="156"/>
      <c r="D9" s="73"/>
      <c r="J9" s="152" t="str">
        <f t="shared" si="0"/>
        <v xml:space="preserve"> vs </v>
      </c>
    </row>
    <row r="10" spans="1:10">
      <c r="A10" s="162"/>
      <c r="B10" s="156"/>
      <c r="D10" s="73"/>
      <c r="J10" s="152" t="str">
        <f t="shared" si="0"/>
        <v xml:space="preserve"> vs </v>
      </c>
    </row>
    <row r="11" spans="1:10">
      <c r="A11" s="162"/>
      <c r="B11" s="156"/>
      <c r="D11" s="73"/>
      <c r="J11" s="152" t="str">
        <f t="shared" si="0"/>
        <v xml:space="preserve"> vs </v>
      </c>
    </row>
    <row r="12" spans="1:10">
      <c r="A12" s="162"/>
      <c r="B12" s="156"/>
      <c r="D12" s="73"/>
      <c r="J12" s="152" t="str">
        <f t="shared" si="0"/>
        <v xml:space="preserve"> vs </v>
      </c>
    </row>
    <row r="13" spans="1:10">
      <c r="A13" s="162"/>
      <c r="B13" s="156"/>
      <c r="D13" s="73"/>
      <c r="J13" s="152" t="str">
        <f t="shared" si="0"/>
        <v xml:space="preserve"> vs </v>
      </c>
    </row>
    <row r="14" spans="1:10">
      <c r="A14" s="162"/>
      <c r="B14" s="156"/>
      <c r="D14" s="73"/>
      <c r="J14" s="152" t="str">
        <f t="shared" si="0"/>
        <v xml:space="preserve"> vs </v>
      </c>
    </row>
    <row r="15" spans="1:10">
      <c r="A15" s="162"/>
      <c r="B15" s="156"/>
      <c r="D15" s="73"/>
      <c r="J15" s="152" t="str">
        <f t="shared" si="0"/>
        <v xml:space="preserve"> vs </v>
      </c>
    </row>
    <row r="16" spans="1:10">
      <c r="A16" s="162"/>
      <c r="B16" s="156"/>
      <c r="D16" s="73"/>
      <c r="J16" s="152" t="str">
        <f t="shared" si="0"/>
        <v xml:space="preserve"> vs </v>
      </c>
    </row>
    <row r="17" spans="1:10">
      <c r="A17" s="162"/>
      <c r="B17" s="156"/>
      <c r="D17" s="73"/>
      <c r="J17" s="152" t="str">
        <f t="shared" si="0"/>
        <v xml:space="preserve"> vs </v>
      </c>
    </row>
    <row r="18" spans="1:10">
      <c r="A18" s="162"/>
      <c r="B18" s="156"/>
      <c r="D18" s="73"/>
      <c r="J18" s="152" t="str">
        <f t="shared" si="0"/>
        <v xml:space="preserve"> vs </v>
      </c>
    </row>
    <row r="19" spans="1:10">
      <c r="A19" s="162"/>
      <c r="B19" s="156"/>
      <c r="D19" s="73"/>
      <c r="J19" s="152" t="str">
        <f t="shared" si="0"/>
        <v xml:space="preserve"> vs </v>
      </c>
    </row>
    <row r="20" spans="1:10">
      <c r="A20" s="162"/>
      <c r="B20" s="156"/>
      <c r="D20" s="73"/>
      <c r="J20" s="152" t="str">
        <f t="shared" si="0"/>
        <v xml:space="preserve"> vs </v>
      </c>
    </row>
    <row r="21" spans="1:10">
      <c r="A21" s="162"/>
      <c r="B21" s="156"/>
      <c r="D21" s="73"/>
      <c r="J21" s="152" t="str">
        <f t="shared" si="0"/>
        <v xml:space="preserve"> vs </v>
      </c>
    </row>
    <row r="22" spans="1:10">
      <c r="A22" s="162"/>
      <c r="B22" s="156"/>
      <c r="D22" s="73"/>
      <c r="J22" s="152" t="str">
        <f t="shared" si="0"/>
        <v xml:space="preserve"> vs </v>
      </c>
    </row>
    <row r="23" spans="1:10">
      <c r="A23" s="162"/>
      <c r="B23" s="156"/>
      <c r="D23" s="73"/>
      <c r="J23" s="152" t="str">
        <f t="shared" si="0"/>
        <v xml:space="preserve"> vs </v>
      </c>
    </row>
    <row r="24" spans="1:10">
      <c r="A24" s="162"/>
      <c r="B24" s="156"/>
      <c r="D24" s="73"/>
      <c r="J24" s="152" t="str">
        <f t="shared" si="0"/>
        <v xml:space="preserve"> vs </v>
      </c>
    </row>
    <row r="25" spans="1:10">
      <c r="A25" s="162"/>
      <c r="B25" s="156"/>
      <c r="D25" s="73"/>
      <c r="J25" s="152" t="str">
        <f t="shared" si="0"/>
        <v xml:space="preserve"> vs </v>
      </c>
    </row>
    <row r="26" spans="1:10">
      <c r="A26" s="162"/>
      <c r="B26" s="156"/>
      <c r="D26" s="73"/>
      <c r="J26" s="152" t="str">
        <f t="shared" si="0"/>
        <v xml:space="preserve"> vs </v>
      </c>
    </row>
    <row r="27" spans="1:10">
      <c r="A27" s="162"/>
      <c r="B27" s="156"/>
      <c r="D27" s="73"/>
      <c r="J27" s="152" t="str">
        <f t="shared" si="0"/>
        <v xml:space="preserve"> vs </v>
      </c>
    </row>
    <row r="28" spans="1:10">
      <c r="A28" s="162"/>
      <c r="B28" s="156"/>
      <c r="D28" s="73"/>
      <c r="J28" s="152" t="str">
        <f t="shared" si="0"/>
        <v xml:space="preserve"> vs </v>
      </c>
    </row>
    <row r="29" spans="1:10">
      <c r="A29" s="162"/>
      <c r="B29" s="156"/>
      <c r="D29" s="73"/>
      <c r="J29" s="152" t="str">
        <f t="shared" si="0"/>
        <v xml:space="preserve"> vs </v>
      </c>
    </row>
    <row r="30" spans="1:10">
      <c r="A30" s="162"/>
      <c r="B30" s="156"/>
      <c r="D30" s="73"/>
      <c r="J30" s="152" t="str">
        <f t="shared" si="0"/>
        <v xml:space="preserve"> vs </v>
      </c>
    </row>
    <row r="31" spans="1:10">
      <c r="A31" s="162"/>
      <c r="B31" s="151"/>
      <c r="D31" s="143"/>
      <c r="J31" s="152" t="str">
        <f t="shared" si="0"/>
        <v xml:space="preserve"> vs </v>
      </c>
    </row>
    <row r="32" spans="1:10">
      <c r="A32" s="162"/>
      <c r="B32" s="73"/>
      <c r="D32" s="73"/>
      <c r="J32" s="152" t="str">
        <f t="shared" si="0"/>
        <v xml:space="preserve"> vs </v>
      </c>
    </row>
    <row r="33" spans="1:10">
      <c r="A33" s="162"/>
      <c r="B33" s="156"/>
      <c r="D33" s="73"/>
      <c r="J33" s="152" t="str">
        <f t="shared" si="0"/>
        <v xml:space="preserve"> vs </v>
      </c>
    </row>
    <row r="34" spans="1:10">
      <c r="A34" s="162"/>
      <c r="B34" s="151"/>
      <c r="D34" s="143"/>
      <c r="J34" s="152" t="str">
        <f t="shared" si="0"/>
        <v xml:space="preserve"> vs </v>
      </c>
    </row>
    <row r="35" spans="1:10">
      <c r="A35" s="162"/>
      <c r="B35" s="156"/>
      <c r="D35" s="73"/>
      <c r="J35" s="152" t="str">
        <f t="shared" si="0"/>
        <v xml:space="preserve"> vs </v>
      </c>
    </row>
    <row r="36" spans="1:10">
      <c r="A36" s="162"/>
      <c r="B36" s="151"/>
      <c r="D36" s="143"/>
      <c r="J36" s="152" t="str">
        <f t="shared" si="0"/>
        <v xml:space="preserve"> vs </v>
      </c>
    </row>
    <row r="37" spans="1:10">
      <c r="A37" s="162"/>
      <c r="B37" s="151"/>
      <c r="D37" s="143"/>
      <c r="J37" s="152" t="str">
        <f t="shared" si="0"/>
        <v xml:space="preserve"> vs </v>
      </c>
    </row>
    <row r="38" spans="1:10">
      <c r="A38" s="162"/>
      <c r="B38" s="151"/>
      <c r="D38" s="143"/>
      <c r="J38" s="152" t="str">
        <f t="shared" si="0"/>
        <v xml:space="preserve"> vs </v>
      </c>
    </row>
    <row r="39" spans="1:10">
      <c r="A39" s="162"/>
      <c r="B39" s="73"/>
      <c r="D39" s="73"/>
      <c r="J39" s="152" t="str">
        <f t="shared" si="0"/>
        <v xml:space="preserve"> vs </v>
      </c>
    </row>
    <row r="40" spans="1:10">
      <c r="A40" s="162"/>
      <c r="B40" s="151"/>
      <c r="D40" s="143"/>
      <c r="J40" s="152" t="str">
        <f t="shared" si="0"/>
        <v xml:space="preserve"> vs </v>
      </c>
    </row>
    <row r="41" spans="1:10">
      <c r="A41" s="162"/>
      <c r="B41" s="151"/>
      <c r="D41" s="143"/>
      <c r="J41" s="152" t="str">
        <f t="shared" si="0"/>
        <v xml:space="preserve"> vs </v>
      </c>
    </row>
    <row r="42" spans="1:10">
      <c r="A42" s="162"/>
      <c r="B42" s="151"/>
      <c r="D42" s="143"/>
      <c r="J42" s="152" t="str">
        <f t="shared" si="0"/>
        <v xml:space="preserve"> vs </v>
      </c>
    </row>
    <row r="43" spans="1:10">
      <c r="A43" s="162"/>
      <c r="B43" s="151"/>
      <c r="D43" s="143"/>
      <c r="J43" s="152" t="str">
        <f t="shared" si="0"/>
        <v xml:space="preserve"> vs </v>
      </c>
    </row>
    <row r="44" spans="1:10">
      <c r="A44" s="162"/>
      <c r="B44" s="151"/>
      <c r="D44" s="143"/>
      <c r="J44" s="152" t="str">
        <f t="shared" si="0"/>
        <v xml:space="preserve"> vs </v>
      </c>
    </row>
    <row r="45" spans="1:10">
      <c r="A45" s="162"/>
      <c r="B45" s="151"/>
      <c r="D45" s="143"/>
      <c r="J45" s="152" t="str">
        <f t="shared" si="0"/>
        <v xml:space="preserve"> vs </v>
      </c>
    </row>
    <row r="46" spans="1:10">
      <c r="A46" s="162"/>
      <c r="B46" s="73"/>
      <c r="D46" s="73"/>
      <c r="J46" s="152" t="str">
        <f t="shared" si="0"/>
        <v xml:space="preserve"> vs </v>
      </c>
    </row>
    <row r="47" spans="1:10">
      <c r="A47" s="162"/>
      <c r="B47" s="151"/>
      <c r="D47" s="143"/>
      <c r="J47" s="152" t="str">
        <f t="shared" si="0"/>
        <v xml:space="preserve"> vs </v>
      </c>
    </row>
    <row r="48" spans="1:10">
      <c r="A48" s="162"/>
      <c r="B48" s="151"/>
      <c r="D48" s="143"/>
      <c r="J48" s="152" t="str">
        <f t="shared" si="0"/>
        <v xml:space="preserve"> vs </v>
      </c>
    </row>
    <row r="49" spans="1:10">
      <c r="A49" s="162"/>
      <c r="B49" s="151"/>
      <c r="D49" s="143"/>
      <c r="J49" s="152" t="str">
        <f t="shared" si="0"/>
        <v xml:space="preserve"> vs </v>
      </c>
    </row>
    <row r="50" spans="1:10">
      <c r="A50" s="162"/>
      <c r="B50" s="73"/>
      <c r="D50" s="73"/>
      <c r="J50" s="152" t="str">
        <f t="shared" si="0"/>
        <v xml:space="preserve"> vs </v>
      </c>
    </row>
    <row r="51" spans="1:10">
      <c r="A51" s="162"/>
      <c r="B51" s="156"/>
      <c r="D51" s="73"/>
      <c r="J51" s="152" t="str">
        <f t="shared" si="0"/>
        <v xml:space="preserve"> vs </v>
      </c>
    </row>
    <row r="52" spans="1:10">
      <c r="A52" s="162"/>
      <c r="B52" s="73"/>
      <c r="D52" s="73"/>
      <c r="J52" s="152" t="str">
        <f t="shared" si="0"/>
        <v xml:space="preserve"> vs </v>
      </c>
    </row>
    <row r="53" spans="1:10">
      <c r="A53" s="162"/>
      <c r="B53" s="73"/>
      <c r="D53" s="73"/>
      <c r="J53" s="152" t="str">
        <f t="shared" si="0"/>
        <v xml:space="preserve"> vs </v>
      </c>
    </row>
    <row r="54" spans="1:10">
      <c r="A54" s="162"/>
      <c r="B54" s="156"/>
      <c r="D54" s="73"/>
      <c r="J54" s="152" t="str">
        <f t="shared" si="0"/>
        <v xml:space="preserve"> vs </v>
      </c>
    </row>
    <row r="55" spans="1:10">
      <c r="A55" s="162"/>
      <c r="B55" s="156"/>
      <c r="D55" s="73"/>
      <c r="J55" s="152" t="str">
        <f t="shared" si="0"/>
        <v xml:space="preserve"> vs </v>
      </c>
    </row>
    <row r="56" spans="1:10">
      <c r="A56" s="162"/>
      <c r="B56" s="156"/>
      <c r="D56" s="73"/>
      <c r="J56" s="152" t="str">
        <f t="shared" si="0"/>
        <v xml:space="preserve"> vs </v>
      </c>
    </row>
    <row r="57" spans="1:10">
      <c r="A57" s="162"/>
      <c r="B57" s="73"/>
      <c r="D57" s="73"/>
      <c r="J57" s="152" t="str">
        <f t="shared" si="0"/>
        <v xml:space="preserve"> vs </v>
      </c>
    </row>
    <row r="58" spans="1:10">
      <c r="A58" s="162"/>
      <c r="B58" s="156"/>
      <c r="D58" s="73"/>
      <c r="J58" s="152" t="str">
        <f t="shared" si="0"/>
        <v xml:space="preserve"> vs </v>
      </c>
    </row>
    <row r="59" spans="1:10">
      <c r="A59" s="162"/>
      <c r="B59" s="156"/>
      <c r="D59" s="73"/>
      <c r="J59" s="152" t="str">
        <f t="shared" si="0"/>
        <v xml:space="preserve"> vs </v>
      </c>
    </row>
    <row r="60" spans="1:10">
      <c r="A60" s="162"/>
      <c r="B60" s="156"/>
      <c r="D60" s="73"/>
      <c r="J60" s="152" t="str">
        <f t="shared" si="0"/>
        <v xml:space="preserve"> vs </v>
      </c>
    </row>
    <row r="61" spans="1:10">
      <c r="A61" s="162"/>
      <c r="B61" s="156"/>
      <c r="D61" s="73"/>
      <c r="J61" s="152" t="str">
        <f t="shared" si="0"/>
        <v xml:space="preserve"> vs </v>
      </c>
    </row>
    <row r="62" spans="1:10">
      <c r="A62" s="162"/>
      <c r="B62" s="156"/>
      <c r="D62" s="73"/>
      <c r="J62" s="152" t="str">
        <f t="shared" si="0"/>
        <v xml:space="preserve"> vs </v>
      </c>
    </row>
    <row r="63" spans="1:10">
      <c r="A63" s="162"/>
      <c r="B63" s="156"/>
      <c r="D63" s="73"/>
      <c r="J63" s="152" t="str">
        <f t="shared" si="0"/>
        <v xml:space="preserve"> vs </v>
      </c>
    </row>
    <row r="64" spans="1:10">
      <c r="A64" s="162"/>
      <c r="B64" s="156"/>
      <c r="D64" s="73"/>
      <c r="J64" s="152" t="str">
        <f t="shared" si="0"/>
        <v xml:space="preserve"> vs </v>
      </c>
    </row>
    <row r="65" spans="1:10">
      <c r="A65" s="162"/>
      <c r="B65" s="156"/>
      <c r="D65" s="73"/>
      <c r="J65" s="152" t="str">
        <f t="shared" si="0"/>
        <v xml:space="preserve"> vs </v>
      </c>
    </row>
    <row r="66" spans="1:10">
      <c r="A66" s="162"/>
      <c r="B66" s="156"/>
      <c r="D66" s="73"/>
      <c r="J66" s="152" t="str">
        <f t="shared" si="0"/>
        <v xml:space="preserve"> vs </v>
      </c>
    </row>
    <row r="67" spans="1:10">
      <c r="A67" s="162"/>
      <c r="B67" s="156"/>
      <c r="D67" s="73"/>
      <c r="J67" s="152" t="str">
        <f t="shared" si="0"/>
        <v xml:space="preserve"> vs </v>
      </c>
    </row>
    <row r="68" spans="1:10">
      <c r="A68" s="162"/>
      <c r="B68" s="73"/>
      <c r="D68" s="73"/>
      <c r="J68" s="152" t="str">
        <f t="shared" si="0"/>
        <v xml:space="preserve"> vs </v>
      </c>
    </row>
    <row r="69" spans="1:10">
      <c r="A69" s="162"/>
      <c r="B69" s="156"/>
      <c r="D69" s="73"/>
      <c r="J69" s="152" t="str">
        <f t="shared" ref="J69:J91" si="1">CONCATENATE(B69," vs ",C69)</f>
        <v xml:space="preserve"> vs </v>
      </c>
    </row>
    <row r="70" spans="1:10">
      <c r="A70" s="162"/>
      <c r="B70" s="156"/>
      <c r="D70" s="73"/>
      <c r="J70" s="152" t="str">
        <f t="shared" si="1"/>
        <v xml:space="preserve"> vs </v>
      </c>
    </row>
    <row r="71" spans="1:10">
      <c r="A71" s="162"/>
      <c r="B71" s="156"/>
      <c r="D71" s="73"/>
      <c r="J71" s="152" t="str">
        <f t="shared" si="1"/>
        <v xml:space="preserve"> vs </v>
      </c>
    </row>
    <row r="72" spans="1:10">
      <c r="A72" s="162"/>
      <c r="B72" s="156"/>
      <c r="D72" s="73"/>
      <c r="J72" s="152" t="str">
        <f t="shared" si="1"/>
        <v xml:space="preserve"> vs </v>
      </c>
    </row>
    <row r="73" spans="1:10">
      <c r="A73" s="162"/>
      <c r="B73" s="73"/>
      <c r="D73" s="73"/>
      <c r="J73" s="152" t="str">
        <f t="shared" si="1"/>
        <v xml:space="preserve"> vs </v>
      </c>
    </row>
    <row r="74" spans="1:10">
      <c r="A74" s="162"/>
      <c r="B74" s="156"/>
      <c r="D74" s="73"/>
      <c r="J74" s="152" t="str">
        <f t="shared" si="1"/>
        <v xml:space="preserve"> vs </v>
      </c>
    </row>
    <row r="75" spans="1:10">
      <c r="A75" s="162"/>
      <c r="B75" s="156"/>
      <c r="D75" s="73"/>
      <c r="J75" s="152" t="str">
        <f t="shared" si="1"/>
        <v xml:space="preserve"> vs </v>
      </c>
    </row>
    <row r="76" spans="1:10">
      <c r="A76" s="162"/>
      <c r="B76" s="156"/>
      <c r="D76" s="73"/>
      <c r="J76" s="152" t="str">
        <f t="shared" si="1"/>
        <v xml:space="preserve"> vs </v>
      </c>
    </row>
    <row r="77" spans="1:10">
      <c r="A77" s="162"/>
      <c r="B77" s="156"/>
      <c r="D77" s="73"/>
      <c r="J77" s="152" t="str">
        <f t="shared" si="1"/>
        <v xml:space="preserve"> vs </v>
      </c>
    </row>
    <row r="78" spans="1:10">
      <c r="A78" s="162"/>
      <c r="B78" s="156"/>
      <c r="D78" s="73"/>
      <c r="J78" s="152" t="str">
        <f t="shared" si="1"/>
        <v xml:space="preserve"> vs </v>
      </c>
    </row>
    <row r="79" spans="1:10">
      <c r="A79" s="162"/>
      <c r="B79" s="156"/>
      <c r="D79" s="73"/>
      <c r="J79" s="152" t="str">
        <f t="shared" si="1"/>
        <v xml:space="preserve"> vs </v>
      </c>
    </row>
    <row r="80" spans="1:10">
      <c r="A80" s="162"/>
      <c r="B80" s="73"/>
      <c r="D80" s="73"/>
      <c r="J80" s="152" t="str">
        <f t="shared" si="1"/>
        <v xml:space="preserve"> vs </v>
      </c>
    </row>
    <row r="81" spans="1:10">
      <c r="A81" s="162"/>
      <c r="B81" s="156"/>
      <c r="D81" s="73"/>
      <c r="J81" s="152" t="str">
        <f t="shared" si="1"/>
        <v xml:space="preserve"> vs </v>
      </c>
    </row>
    <row r="82" spans="1:10">
      <c r="A82" s="162"/>
      <c r="B82" s="156"/>
      <c r="D82" s="73"/>
      <c r="J82" s="152" t="str">
        <f t="shared" si="1"/>
        <v xml:space="preserve"> vs </v>
      </c>
    </row>
    <row r="83" spans="1:10">
      <c r="A83" s="162"/>
      <c r="B83" s="73"/>
      <c r="D83" s="73"/>
      <c r="J83" s="152" t="str">
        <f t="shared" si="1"/>
        <v xml:space="preserve"> vs </v>
      </c>
    </row>
    <row r="84" spans="1:10">
      <c r="A84" s="162"/>
      <c r="B84" s="156"/>
      <c r="D84" s="73"/>
      <c r="J84" s="152" t="str">
        <f t="shared" si="1"/>
        <v xml:space="preserve"> vs </v>
      </c>
    </row>
    <row r="85" spans="1:10">
      <c r="A85" s="162"/>
      <c r="B85" s="156"/>
      <c r="D85" s="73"/>
      <c r="J85" s="152" t="str">
        <f t="shared" si="1"/>
        <v xml:space="preserve"> vs </v>
      </c>
    </row>
    <row r="86" spans="1:10">
      <c r="A86" s="162"/>
      <c r="B86" s="73"/>
      <c r="D86" s="73"/>
      <c r="J86" s="152" t="str">
        <f t="shared" si="1"/>
        <v xml:space="preserve"> vs </v>
      </c>
    </row>
    <row r="87" spans="1:10">
      <c r="A87" s="162"/>
      <c r="B87" s="156"/>
      <c r="D87" s="73"/>
      <c r="J87" s="152" t="str">
        <f t="shared" si="1"/>
        <v xml:space="preserve"> vs </v>
      </c>
    </row>
    <row r="88" spans="1:10">
      <c r="A88" s="162"/>
      <c r="B88" s="156"/>
      <c r="D88" s="73"/>
      <c r="J88" s="152" t="str">
        <f t="shared" si="1"/>
        <v xml:space="preserve"> vs </v>
      </c>
    </row>
    <row r="89" spans="1:10">
      <c r="A89" s="162"/>
      <c r="B89" s="156"/>
      <c r="D89" s="73"/>
      <c r="J89" s="152" t="str">
        <f t="shared" si="1"/>
        <v xml:space="preserve"> vs </v>
      </c>
    </row>
    <row r="90" spans="1:10">
      <c r="A90" s="162"/>
      <c r="B90" s="73"/>
      <c r="D90" s="73"/>
      <c r="J90" s="152" t="str">
        <f t="shared" si="1"/>
        <v xml:space="preserve"> vs </v>
      </c>
    </row>
    <row r="91" spans="1:10">
      <c r="A91" s="162"/>
      <c r="B91" s="156"/>
      <c r="D91" s="73"/>
      <c r="G91" s="145"/>
      <c r="J91" s="152" t="str">
        <f t="shared" si="1"/>
        <v xml:space="preserve"> vs </v>
      </c>
    </row>
    <row r="118" spans="6:6">
      <c r="F118" s="145">
        <v>50</v>
      </c>
    </row>
    <row r="119" spans="6:6">
      <c r="F119" s="145">
        <v>30</v>
      </c>
    </row>
    <row r="120" spans="6:6">
      <c r="F120" s="145">
        <v>5</v>
      </c>
    </row>
    <row r="121" spans="6:6">
      <c r="F121" s="145">
        <v>40</v>
      </c>
    </row>
    <row r="122" spans="6:6">
      <c r="F122" s="145">
        <v>20</v>
      </c>
    </row>
    <row r="123" spans="6:6">
      <c r="F123" s="145">
        <v>420</v>
      </c>
    </row>
    <row r="124" spans="6:6">
      <c r="F124" s="145">
        <v>40</v>
      </c>
    </row>
    <row r="125" spans="6:6">
      <c r="F125" s="145">
        <v>250</v>
      </c>
    </row>
    <row r="126" spans="6:6">
      <c r="F126" s="145">
        <v>20</v>
      </c>
    </row>
    <row r="127" spans="6:6">
      <c r="F127" s="145">
        <v>6</v>
      </c>
    </row>
    <row r="128" spans="6:6">
      <c r="F128" s="145">
        <v>10</v>
      </c>
    </row>
    <row r="129" spans="6:6">
      <c r="F129" s="145">
        <v>60</v>
      </c>
    </row>
    <row r="130" spans="6:6">
      <c r="F130" s="145">
        <f>SUBTOTAL(9,F118:F129)</f>
        <v>951</v>
      </c>
    </row>
  </sheetData>
  <autoFilter ref="A3:H91">
    <sortState ref="A4:H91">
      <sortCondition descending="1" ref="F4:F91"/>
    </sortState>
  </autoFilter>
  <sortState ref="A7:N28">
    <sortCondition ref="D7:D2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154"/>
  <sheetViews>
    <sheetView zoomScale="80" zoomScaleNormal="80" workbookViewId="0">
      <pane ySplit="6" topLeftCell="A1144" activePane="bottomLeft" state="frozen"/>
      <selection pane="bottomLeft" activeCell="O1173" sqref="O1173"/>
    </sheetView>
  </sheetViews>
  <sheetFormatPr defaultRowHeight="12.75"/>
  <cols>
    <col min="1" max="1" width="11" style="3" bestFit="1" customWidth="1"/>
    <col min="2" max="2" width="23.85546875" style="3" bestFit="1" customWidth="1"/>
    <col min="3" max="3" width="30.140625" style="3" bestFit="1" customWidth="1"/>
    <col min="4" max="4" width="40.5703125" style="3" bestFit="1" customWidth="1"/>
    <col min="5" max="6" width="8.28515625" style="23" customWidth="1"/>
    <col min="7" max="7" width="8.28515625" style="159" customWidth="1"/>
    <col min="8" max="8" width="8.28515625" style="23" customWidth="1"/>
    <col min="9" max="9" width="2.85546875" style="3" customWidth="1"/>
    <col min="10" max="10" width="12.85546875" style="3" customWidth="1"/>
    <col min="11" max="12" width="9.140625" style="3"/>
    <col min="13" max="13" width="2.7109375" style="3" customWidth="1"/>
    <col min="14" max="14" width="14.28515625" style="3" customWidth="1"/>
    <col min="15" max="16384" width="9.140625" style="3"/>
  </cols>
  <sheetData>
    <row r="1" spans="1:19" s="2" customFormat="1">
      <c r="A1" s="13" t="s">
        <v>1243</v>
      </c>
      <c r="B1" s="27"/>
      <c r="D1" s="8"/>
      <c r="E1" s="23"/>
      <c r="F1" s="23"/>
      <c r="G1" s="159"/>
      <c r="H1" s="23"/>
      <c r="J1" s="13" t="s">
        <v>1160</v>
      </c>
      <c r="N1" s="216" t="s">
        <v>1783</v>
      </c>
      <c r="O1" s="217"/>
      <c r="P1" s="95">
        <v>1</v>
      </c>
      <c r="Q1" s="95" t="s">
        <v>1626</v>
      </c>
      <c r="R1" s="95">
        <v>2</v>
      </c>
      <c r="S1" s="95" t="s">
        <v>1733</v>
      </c>
    </row>
    <row r="2" spans="1:19" s="2" customFormat="1">
      <c r="A2" s="87"/>
      <c r="D2" s="8"/>
      <c r="E2" s="23"/>
      <c r="F2" s="23"/>
      <c r="G2" s="159"/>
      <c r="H2" s="23"/>
      <c r="J2" s="79" t="s">
        <v>1155</v>
      </c>
      <c r="K2" s="10">
        <f>COUNT(A7:A1154)</f>
        <v>1148</v>
      </c>
      <c r="L2" s="14">
        <f>SUM(L3:L5)</f>
        <v>1</v>
      </c>
      <c r="N2" s="10">
        <f>SUBTOTAL(2,A7:A1154)</f>
        <v>1148</v>
      </c>
      <c r="O2" s="155" t="s">
        <v>1733</v>
      </c>
      <c r="P2" s="78">
        <f>COUNTIF(E7:E1154,1)</f>
        <v>588</v>
      </c>
      <c r="Q2" s="78">
        <f>COUNTIF(E7:E1154,"X")</f>
        <v>329</v>
      </c>
      <c r="R2" s="78">
        <f>COUNTIF(E7:E1154,2)</f>
        <v>231</v>
      </c>
      <c r="S2" s="78">
        <f t="shared" ref="S2:S5" si="0">SUBTOTAL(9,P2:R2)</f>
        <v>1148</v>
      </c>
    </row>
    <row r="3" spans="1:19" s="2" customFormat="1">
      <c r="D3" s="8"/>
      <c r="E3" s="23"/>
      <c r="F3" s="23"/>
      <c r="G3" s="159"/>
      <c r="H3" s="23"/>
      <c r="J3" s="79" t="s">
        <v>1156</v>
      </c>
      <c r="K3" s="18">
        <f>COUNTIF($H$7:$H$1154,"WON")</f>
        <v>508</v>
      </c>
      <c r="L3" s="19">
        <f>+K3/$K$2</f>
        <v>0.4425087108013937</v>
      </c>
      <c r="N3" s="78"/>
      <c r="O3" s="155" t="s">
        <v>1154</v>
      </c>
      <c r="P3" s="78">
        <v>317</v>
      </c>
      <c r="Q3" s="78">
        <v>90</v>
      </c>
      <c r="R3" s="78">
        <v>101</v>
      </c>
      <c r="S3" s="78">
        <f t="shared" si="0"/>
        <v>508</v>
      </c>
    </row>
    <row r="4" spans="1:19" s="2" customFormat="1">
      <c r="D4" s="8"/>
      <c r="E4" s="23"/>
      <c r="F4" s="23"/>
      <c r="G4" s="159"/>
      <c r="H4" s="23"/>
      <c r="J4" s="79" t="s">
        <v>1158</v>
      </c>
      <c r="K4" s="10">
        <f>COUNTIF($H$7:$H$1154,"LOST")</f>
        <v>615</v>
      </c>
      <c r="L4" s="11">
        <f>+K4/$K$2</f>
        <v>0.5357142857142857</v>
      </c>
      <c r="N4" s="78"/>
      <c r="O4" s="155" t="s">
        <v>1153</v>
      </c>
      <c r="P4" s="78">
        <v>259</v>
      </c>
      <c r="Q4" s="78">
        <v>231</v>
      </c>
      <c r="R4" s="78">
        <v>125</v>
      </c>
      <c r="S4" s="78">
        <f t="shared" si="0"/>
        <v>615</v>
      </c>
    </row>
    <row r="5" spans="1:19" s="2" customFormat="1">
      <c r="E5" s="23"/>
      <c r="F5" s="23"/>
      <c r="G5" s="159"/>
      <c r="H5" s="23"/>
      <c r="J5" s="79" t="s">
        <v>1159</v>
      </c>
      <c r="K5" s="161">
        <f>COUNTIF($H$7:$H$1154,"-")</f>
        <v>25</v>
      </c>
      <c r="L5" s="163">
        <f>+K5/$K$2</f>
        <v>2.1777003484320559E-2</v>
      </c>
      <c r="N5" s="78"/>
      <c r="O5" s="155" t="s">
        <v>1564</v>
      </c>
      <c r="P5" s="78">
        <v>12</v>
      </c>
      <c r="Q5" s="78">
        <v>8</v>
      </c>
      <c r="R5" s="78">
        <v>5</v>
      </c>
      <c r="S5" s="78">
        <f t="shared" si="0"/>
        <v>25</v>
      </c>
    </row>
    <row r="6" spans="1:19" s="2" customFormat="1">
      <c r="A6" s="29" t="s">
        <v>0</v>
      </c>
      <c r="B6" s="29" t="s">
        <v>1</v>
      </c>
      <c r="C6" s="29" t="s">
        <v>2</v>
      </c>
      <c r="D6" s="29" t="s">
        <v>3</v>
      </c>
      <c r="E6" s="29" t="s">
        <v>6</v>
      </c>
      <c r="F6" s="29" t="s">
        <v>5</v>
      </c>
      <c r="G6" s="187" t="s">
        <v>7</v>
      </c>
      <c r="H6" s="20" t="s">
        <v>1216</v>
      </c>
      <c r="N6" s="78"/>
      <c r="O6" s="155" t="s">
        <v>2135</v>
      </c>
      <c r="P6" s="19">
        <f>+P3/P2</f>
        <v>0.53911564625850339</v>
      </c>
      <c r="Q6" s="163">
        <f>+Q3/Q2</f>
        <v>0.2735562310030395</v>
      </c>
      <c r="R6" s="163">
        <f>+R3/R2</f>
        <v>0.43722943722943725</v>
      </c>
      <c r="S6" s="161">
        <f>+S2-SUM(S3:S5)</f>
        <v>0</v>
      </c>
    </row>
    <row r="7" spans="1:19">
      <c r="A7" s="6">
        <v>43466</v>
      </c>
      <c r="B7" s="3" t="s">
        <v>1268</v>
      </c>
      <c r="C7" s="3" t="s">
        <v>1365</v>
      </c>
      <c r="D7" s="3" t="s">
        <v>1257</v>
      </c>
      <c r="E7" s="23" t="s">
        <v>1626</v>
      </c>
      <c r="G7" s="188" t="s">
        <v>1509</v>
      </c>
      <c r="H7" s="23" t="s">
        <v>1153</v>
      </c>
      <c r="J7" s="150" t="str">
        <f>CONCATENATE(B7," vs ",C7)</f>
        <v>Western Sydney Wanderers  vs  Melbourne City</v>
      </c>
      <c r="P7" s="198">
        <f>+P2-P3-P4-P5</f>
        <v>0</v>
      </c>
      <c r="Q7" s="198">
        <f t="shared" ref="Q7:S7" si="1">+Q2-Q3-Q4-Q5</f>
        <v>0</v>
      </c>
      <c r="R7" s="198">
        <f t="shared" si="1"/>
        <v>0</v>
      </c>
      <c r="S7" s="198">
        <f t="shared" si="1"/>
        <v>0</v>
      </c>
    </row>
    <row r="8" spans="1:19">
      <c r="A8" s="6">
        <v>43467</v>
      </c>
      <c r="B8" s="3" t="s">
        <v>1272</v>
      </c>
      <c r="C8" s="3" t="s">
        <v>1371</v>
      </c>
      <c r="D8" s="3" t="s">
        <v>1267</v>
      </c>
      <c r="E8" s="23" t="s">
        <v>1626</v>
      </c>
      <c r="G8" s="188" t="s">
        <v>1512</v>
      </c>
      <c r="H8" s="23" t="s">
        <v>1154</v>
      </c>
      <c r="J8" s="150" t="str">
        <f t="shared" ref="J8:J71" si="2">CONCATENATE(B8," vs ",C8)</f>
        <v>Bournemouth  vs  Watford</v>
      </c>
    </row>
    <row r="9" spans="1:19">
      <c r="A9" s="6">
        <v>43467</v>
      </c>
      <c r="B9" s="3" t="s">
        <v>1275</v>
      </c>
      <c r="C9" s="3" t="s">
        <v>1374</v>
      </c>
      <c r="D9" s="3" t="s">
        <v>1267</v>
      </c>
      <c r="E9" s="23" t="s">
        <v>1626</v>
      </c>
      <c r="G9" s="188" t="s">
        <v>1513</v>
      </c>
      <c r="H9" s="23" t="s">
        <v>1154</v>
      </c>
      <c r="J9" s="150" t="str">
        <f t="shared" si="2"/>
        <v>West Ham United  vs  Brighton &amp; Hove Albion</v>
      </c>
    </row>
    <row r="10" spans="1:19">
      <c r="A10" s="6">
        <v>43467</v>
      </c>
      <c r="B10" s="3" t="s">
        <v>1375</v>
      </c>
      <c r="C10" s="3" t="s">
        <v>1376</v>
      </c>
      <c r="D10" s="3" t="s">
        <v>1267</v>
      </c>
      <c r="E10" s="23" t="s">
        <v>1626</v>
      </c>
      <c r="G10" s="188" t="s">
        <v>1509</v>
      </c>
      <c r="H10" s="23" t="s">
        <v>1153</v>
      </c>
      <c r="J10" s="150" t="str">
        <f t="shared" si="2"/>
        <v>Wolverhampton Wanderers  vs  Crystal Palace</v>
      </c>
    </row>
    <row r="11" spans="1:19">
      <c r="A11" s="6">
        <v>43467</v>
      </c>
      <c r="B11" s="3" t="s">
        <v>1277</v>
      </c>
      <c r="C11" s="3" t="s">
        <v>1378</v>
      </c>
      <c r="D11" s="3" t="s">
        <v>1242</v>
      </c>
      <c r="E11" s="23" t="s">
        <v>1626</v>
      </c>
      <c r="G11" s="188" t="s">
        <v>1515</v>
      </c>
      <c r="H11" s="23" t="s">
        <v>1153</v>
      </c>
      <c r="J11" s="150" t="str">
        <f t="shared" si="2"/>
        <v>Santa Clara  vs  Tondela</v>
      </c>
    </row>
    <row r="12" spans="1:19">
      <c r="A12" s="6">
        <v>43467</v>
      </c>
      <c r="B12" s="3" t="s">
        <v>1280</v>
      </c>
      <c r="C12" s="3" t="s">
        <v>1383</v>
      </c>
      <c r="D12" s="3" t="s">
        <v>1242</v>
      </c>
      <c r="E12" s="23" t="s">
        <v>1626</v>
      </c>
      <c r="G12" s="189" t="s">
        <v>1520</v>
      </c>
      <c r="H12" s="23" t="s">
        <v>1153</v>
      </c>
      <c r="J12" s="150" t="str">
        <f t="shared" si="2"/>
        <v>Portimonense  vs  SL Benfica</v>
      </c>
    </row>
    <row r="13" spans="1:19">
      <c r="A13" s="6">
        <v>43467</v>
      </c>
      <c r="B13" s="3" t="s">
        <v>1386</v>
      </c>
      <c r="C13" s="3" t="s">
        <v>1387</v>
      </c>
      <c r="D13" s="3" t="s">
        <v>1266</v>
      </c>
      <c r="E13" s="23" t="s">
        <v>1626</v>
      </c>
      <c r="G13" s="188" t="s">
        <v>1522</v>
      </c>
      <c r="H13" s="23" t="s">
        <v>1153</v>
      </c>
      <c r="J13" s="150" t="str">
        <f t="shared" si="2"/>
        <v>Sporting Covilha  vs  Sporting Braga II</v>
      </c>
    </row>
    <row r="14" spans="1:19">
      <c r="A14" s="6">
        <v>43468</v>
      </c>
      <c r="B14" s="3" t="s">
        <v>1284</v>
      </c>
      <c r="C14" s="3" t="s">
        <v>1391</v>
      </c>
      <c r="D14" s="3" t="s">
        <v>1267</v>
      </c>
      <c r="E14" s="23" t="s">
        <v>1626</v>
      </c>
      <c r="G14" s="188" t="s">
        <v>1522</v>
      </c>
      <c r="H14" s="23" t="s">
        <v>1153</v>
      </c>
      <c r="J14" s="150" t="str">
        <f t="shared" si="2"/>
        <v>Manchester City  vs  Liverpool</v>
      </c>
    </row>
    <row r="15" spans="1:19">
      <c r="A15" s="6">
        <v>43468</v>
      </c>
      <c r="B15" s="3" t="s">
        <v>1286</v>
      </c>
      <c r="C15" s="3" t="s">
        <v>1397</v>
      </c>
      <c r="D15" s="3" t="s">
        <v>1265</v>
      </c>
      <c r="E15" s="23" t="s">
        <v>1626</v>
      </c>
      <c r="G15" s="188" t="s">
        <v>1513</v>
      </c>
      <c r="H15" s="23" t="s">
        <v>1154</v>
      </c>
      <c r="J15" s="150" t="str">
        <f t="shared" si="2"/>
        <v>Villarreal CF  vs  Real Madrid</v>
      </c>
    </row>
    <row r="16" spans="1:19">
      <c r="A16" s="6">
        <v>43469</v>
      </c>
      <c r="B16" s="3" t="s">
        <v>1403</v>
      </c>
      <c r="C16" s="3" t="s">
        <v>1404</v>
      </c>
      <c r="D16" s="3" t="s">
        <v>1265</v>
      </c>
      <c r="E16" s="23" t="s">
        <v>1626</v>
      </c>
      <c r="G16" s="189" t="s">
        <v>1517</v>
      </c>
      <c r="H16" s="23" t="s">
        <v>1154</v>
      </c>
      <c r="J16" s="150" t="str">
        <f t="shared" si="2"/>
        <v>Levante CF  vs  Girona</v>
      </c>
    </row>
    <row r="17" spans="1:10">
      <c r="A17" s="6">
        <v>43470</v>
      </c>
      <c r="B17" s="3" t="s">
        <v>1293</v>
      </c>
      <c r="C17" s="3" t="s">
        <v>1407</v>
      </c>
      <c r="D17" s="3" t="s">
        <v>1257</v>
      </c>
      <c r="E17" s="23" t="s">
        <v>1626</v>
      </c>
      <c r="G17" s="189" t="s">
        <v>1514</v>
      </c>
      <c r="H17" s="23" t="s">
        <v>1154</v>
      </c>
      <c r="J17" s="150" t="str">
        <f t="shared" si="2"/>
        <v>Adelaide United  vs  Wellington Phoenix</v>
      </c>
    </row>
    <row r="18" spans="1:10">
      <c r="A18" s="6">
        <v>43470</v>
      </c>
      <c r="B18" s="3" t="s">
        <v>1272</v>
      </c>
      <c r="C18" s="3" t="s">
        <v>1374</v>
      </c>
      <c r="D18" s="3" t="s">
        <v>1262</v>
      </c>
      <c r="E18" s="23" t="s">
        <v>1626</v>
      </c>
      <c r="G18" s="189" t="s">
        <v>1534</v>
      </c>
      <c r="H18" s="23" t="s">
        <v>1153</v>
      </c>
      <c r="J18" s="150" t="str">
        <f t="shared" si="2"/>
        <v>Bournemouth  vs  Brighton &amp; Hove Albion</v>
      </c>
    </row>
    <row r="19" spans="1:10">
      <c r="A19" s="6">
        <v>43470</v>
      </c>
      <c r="B19" s="3" t="s">
        <v>1296</v>
      </c>
      <c r="C19" s="3" t="s">
        <v>1411</v>
      </c>
      <c r="D19" s="3" t="s">
        <v>1262</v>
      </c>
      <c r="E19" s="23" t="s">
        <v>1626</v>
      </c>
      <c r="G19" s="189" t="s">
        <v>1519</v>
      </c>
      <c r="H19" s="23" t="s">
        <v>1153</v>
      </c>
      <c r="J19" s="150" t="str">
        <f t="shared" si="2"/>
        <v>Burnley  vs  Barnsley</v>
      </c>
    </row>
    <row r="20" spans="1:10">
      <c r="A20" s="6">
        <v>43470</v>
      </c>
      <c r="B20" s="3" t="s">
        <v>1297</v>
      </c>
      <c r="C20" s="3" t="s">
        <v>1414</v>
      </c>
      <c r="D20" s="3" t="s">
        <v>1262</v>
      </c>
      <c r="E20" s="23" t="s">
        <v>1626</v>
      </c>
      <c r="G20" s="189" t="s">
        <v>1517</v>
      </c>
      <c r="H20" s="23" t="s">
        <v>1154</v>
      </c>
      <c r="J20" s="150" t="str">
        <f t="shared" si="2"/>
        <v>Derby County  vs  Southampton</v>
      </c>
    </row>
    <row r="21" spans="1:10">
      <c r="A21" s="6">
        <v>43470</v>
      </c>
      <c r="B21" s="3" t="s">
        <v>1298</v>
      </c>
      <c r="C21" s="3" t="s">
        <v>1415</v>
      </c>
      <c r="D21" s="3" t="s">
        <v>1262</v>
      </c>
      <c r="E21" s="23" t="s">
        <v>1626</v>
      </c>
      <c r="G21" s="189" t="s">
        <v>1528</v>
      </c>
      <c r="H21" s="23" t="s">
        <v>1154</v>
      </c>
      <c r="J21" s="150" t="str">
        <f t="shared" si="2"/>
        <v>Newcastle United  vs  Blackburn Rovers</v>
      </c>
    </row>
    <row r="22" spans="1:10">
      <c r="A22" s="6">
        <v>43470</v>
      </c>
      <c r="B22" s="3" t="s">
        <v>1306</v>
      </c>
      <c r="C22" s="3" t="s">
        <v>1425</v>
      </c>
      <c r="D22" s="3" t="s">
        <v>1263</v>
      </c>
      <c r="E22" s="23" t="s">
        <v>1626</v>
      </c>
      <c r="G22" s="159" t="s">
        <v>1531</v>
      </c>
      <c r="H22" s="23" t="s">
        <v>1153</v>
      </c>
      <c r="J22" s="150" t="str">
        <f t="shared" si="2"/>
        <v>Red Star 93  vs  Stade Malherbe de Caen</v>
      </c>
    </row>
    <row r="23" spans="1:10">
      <c r="A23" s="6">
        <v>43470</v>
      </c>
      <c r="B23" s="3" t="s">
        <v>1308</v>
      </c>
      <c r="C23" s="3" t="s">
        <v>1427</v>
      </c>
      <c r="D23" s="3" t="s">
        <v>1263</v>
      </c>
      <c r="E23" s="23" t="s">
        <v>1626</v>
      </c>
      <c r="G23" s="188" t="s">
        <v>1564</v>
      </c>
      <c r="H23" s="30" t="s">
        <v>1564</v>
      </c>
      <c r="J23" s="150" t="str">
        <f t="shared" si="2"/>
        <v>Toulouse  vs  OGC Nice</v>
      </c>
    </row>
    <row r="24" spans="1:10">
      <c r="A24" s="6">
        <v>43470</v>
      </c>
      <c r="B24" s="3" t="s">
        <v>1314</v>
      </c>
      <c r="C24" s="3" t="s">
        <v>1435</v>
      </c>
      <c r="D24" s="3" t="s">
        <v>1266</v>
      </c>
      <c r="E24" s="23" t="s">
        <v>1626</v>
      </c>
      <c r="G24" s="188" t="s">
        <v>1564</v>
      </c>
      <c r="H24" s="30" t="s">
        <v>1564</v>
      </c>
      <c r="J24" s="150" t="str">
        <f t="shared" si="2"/>
        <v>FC Porto II  vs  SL Benfica II</v>
      </c>
    </row>
    <row r="25" spans="1:10">
      <c r="A25" s="6">
        <v>43470</v>
      </c>
      <c r="B25" s="3" t="s">
        <v>1315</v>
      </c>
      <c r="C25" s="3" t="s">
        <v>1436</v>
      </c>
      <c r="D25" s="3" t="s">
        <v>1265</v>
      </c>
      <c r="E25" s="23" t="s">
        <v>1626</v>
      </c>
      <c r="G25" s="189" t="s">
        <v>1531</v>
      </c>
      <c r="H25" s="23" t="s">
        <v>1153</v>
      </c>
      <c r="J25" s="150" t="str">
        <f t="shared" si="2"/>
        <v>Real Valladolid  vs  Rayo Vallecano de Madrid</v>
      </c>
    </row>
    <row r="26" spans="1:10">
      <c r="A26" s="6">
        <v>43471</v>
      </c>
      <c r="B26" s="3" t="s">
        <v>1319</v>
      </c>
      <c r="C26" s="3" t="s">
        <v>1442</v>
      </c>
      <c r="D26" s="3" t="s">
        <v>1166</v>
      </c>
      <c r="E26" s="23" t="s">
        <v>1626</v>
      </c>
      <c r="G26" s="188" t="s">
        <v>1510</v>
      </c>
      <c r="H26" s="23" t="s">
        <v>1154</v>
      </c>
      <c r="J26" s="150" t="str">
        <f t="shared" si="2"/>
        <v>Syria  vs  Palestine</v>
      </c>
    </row>
    <row r="27" spans="1:10">
      <c r="A27" s="6">
        <v>43471</v>
      </c>
      <c r="B27" s="3" t="s">
        <v>1322</v>
      </c>
      <c r="C27" s="3" t="s">
        <v>1445</v>
      </c>
      <c r="D27" s="3" t="s">
        <v>1262</v>
      </c>
      <c r="E27" s="23" t="s">
        <v>1626</v>
      </c>
      <c r="G27" s="159" t="s">
        <v>1515</v>
      </c>
      <c r="H27" s="23" t="s">
        <v>1153</v>
      </c>
      <c r="J27" s="150" t="str">
        <f t="shared" si="2"/>
        <v>Fulham  vs  Oldham Athletic</v>
      </c>
    </row>
    <row r="28" spans="1:10">
      <c r="A28" s="6">
        <v>43471</v>
      </c>
      <c r="B28" s="3" t="s">
        <v>1326</v>
      </c>
      <c r="C28" s="3" t="s">
        <v>1449</v>
      </c>
      <c r="D28" s="3" t="s">
        <v>1263</v>
      </c>
      <c r="E28" s="23" t="s">
        <v>1626</v>
      </c>
      <c r="G28" s="159" t="s">
        <v>1520</v>
      </c>
      <c r="H28" s="23" t="s">
        <v>1153</v>
      </c>
      <c r="J28" s="150" t="str">
        <f t="shared" si="2"/>
        <v>Andrezieux  vs  Olympique de Marseille</v>
      </c>
    </row>
    <row r="29" spans="1:10">
      <c r="A29" s="6">
        <v>43471</v>
      </c>
      <c r="B29" s="3" t="s">
        <v>1456</v>
      </c>
      <c r="C29" s="3" t="s">
        <v>1457</v>
      </c>
      <c r="D29" s="3" t="s">
        <v>1264</v>
      </c>
      <c r="E29" s="23" t="s">
        <v>1626</v>
      </c>
      <c r="G29" s="189" t="s">
        <v>1521</v>
      </c>
      <c r="H29" s="23" t="s">
        <v>1153</v>
      </c>
      <c r="J29" s="150" t="str">
        <f t="shared" si="2"/>
        <v>Bnei Yehuda Tel-Aviv  vs  Hapoel Be’er Sheva</v>
      </c>
    </row>
    <row r="30" spans="1:10">
      <c r="A30" s="6">
        <v>43471</v>
      </c>
      <c r="B30" s="3" t="s">
        <v>1331</v>
      </c>
      <c r="C30" s="3" t="s">
        <v>1458</v>
      </c>
      <c r="D30" s="3" t="s">
        <v>1242</v>
      </c>
      <c r="E30" s="23" t="s">
        <v>1626</v>
      </c>
      <c r="G30" s="189" t="s">
        <v>1514</v>
      </c>
      <c r="H30" s="23" t="s">
        <v>1154</v>
      </c>
      <c r="J30" s="150" t="str">
        <f t="shared" si="2"/>
        <v>Vitoria Setubal  vs  Chaves</v>
      </c>
    </row>
    <row r="31" spans="1:10">
      <c r="A31" s="6">
        <v>43471</v>
      </c>
      <c r="B31" s="3" t="s">
        <v>1335</v>
      </c>
      <c r="C31" s="3" t="s">
        <v>1462</v>
      </c>
      <c r="D31" s="3" t="s">
        <v>1266</v>
      </c>
      <c r="E31" s="23" t="s">
        <v>1626</v>
      </c>
      <c r="G31" s="188" t="s">
        <v>1510</v>
      </c>
      <c r="H31" s="23" t="s">
        <v>1154</v>
      </c>
      <c r="J31" s="150" t="str">
        <f t="shared" si="2"/>
        <v>Famalicao  vs  Varzim</v>
      </c>
    </row>
    <row r="32" spans="1:10">
      <c r="A32" s="6">
        <v>43471</v>
      </c>
      <c r="B32" s="3" t="s">
        <v>1338</v>
      </c>
      <c r="C32" s="3" t="s">
        <v>1465</v>
      </c>
      <c r="D32" s="3" t="s">
        <v>1266</v>
      </c>
      <c r="E32" s="23" t="s">
        <v>1626</v>
      </c>
      <c r="G32" s="188" t="s">
        <v>1561</v>
      </c>
      <c r="H32" s="23" t="s">
        <v>1154</v>
      </c>
      <c r="J32" s="150" t="str">
        <f t="shared" si="2"/>
        <v>Mafra  vs  Pacos de Ferreira</v>
      </c>
    </row>
    <row r="33" spans="1:10">
      <c r="A33" s="6">
        <v>43471</v>
      </c>
      <c r="B33" s="3" t="s">
        <v>1467</v>
      </c>
      <c r="C33" s="3" t="s">
        <v>1468</v>
      </c>
      <c r="D33" s="3" t="s">
        <v>1266</v>
      </c>
      <c r="E33" s="23" t="s">
        <v>1626</v>
      </c>
      <c r="G33" s="188" t="s">
        <v>1522</v>
      </c>
      <c r="H33" s="23" t="s">
        <v>1153</v>
      </c>
      <c r="J33" s="150" t="str">
        <f t="shared" si="2"/>
        <v>UD Oliveirense  vs  Penafiel</v>
      </c>
    </row>
    <row r="34" spans="1:10">
      <c r="A34" s="6">
        <v>43471</v>
      </c>
      <c r="B34" s="3" t="s">
        <v>1340</v>
      </c>
      <c r="C34" s="3" t="s">
        <v>1469</v>
      </c>
      <c r="D34" s="3" t="s">
        <v>1265</v>
      </c>
      <c r="E34" s="23" t="s">
        <v>1626</v>
      </c>
      <c r="G34" s="189" t="s">
        <v>1514</v>
      </c>
      <c r="H34" s="23" t="s">
        <v>1154</v>
      </c>
      <c r="J34" s="150" t="str">
        <f t="shared" si="2"/>
        <v>Eibar  vs  Villarreal CF</v>
      </c>
    </row>
    <row r="35" spans="1:10">
      <c r="A35" s="6">
        <v>43471</v>
      </c>
      <c r="B35" s="3" t="s">
        <v>1470</v>
      </c>
      <c r="C35" s="3" t="s">
        <v>1471</v>
      </c>
      <c r="D35" s="3" t="s">
        <v>1265</v>
      </c>
      <c r="E35" s="23" t="s">
        <v>1626</v>
      </c>
      <c r="G35" s="189" t="s">
        <v>1528</v>
      </c>
      <c r="H35" s="23" t="s">
        <v>1154</v>
      </c>
      <c r="J35" s="150" t="str">
        <f t="shared" si="2"/>
        <v>Sevilla CF  vs  Atletico Madrid</v>
      </c>
    </row>
    <row r="36" spans="1:10">
      <c r="A36" s="6">
        <v>43472</v>
      </c>
      <c r="B36" s="3" t="s">
        <v>1349</v>
      </c>
      <c r="C36" s="3" t="s">
        <v>1484</v>
      </c>
      <c r="D36" s="1" t="s">
        <v>1265</v>
      </c>
      <c r="E36" s="23" t="s">
        <v>1626</v>
      </c>
      <c r="G36" s="159" t="s">
        <v>1515</v>
      </c>
      <c r="H36" s="23" t="s">
        <v>1153</v>
      </c>
      <c r="J36" s="150" t="str">
        <f t="shared" si="2"/>
        <v>Celta de Vigo  vs  Athletic Club (5) 2-2</v>
      </c>
    </row>
    <row r="37" spans="1:10">
      <c r="A37" s="6">
        <v>43473</v>
      </c>
      <c r="B37" s="3" t="s">
        <v>1350</v>
      </c>
      <c r="C37" s="3" t="s">
        <v>1485</v>
      </c>
      <c r="D37" s="1" t="s">
        <v>1166</v>
      </c>
      <c r="E37" s="23" t="s">
        <v>1626</v>
      </c>
      <c r="G37" s="159" t="s">
        <v>1532</v>
      </c>
      <c r="H37" s="23" t="s">
        <v>1153</v>
      </c>
      <c r="J37" s="150" t="str">
        <f t="shared" si="2"/>
        <v>Iraq  vs  Vietnam</v>
      </c>
    </row>
    <row r="38" spans="1:10">
      <c r="A38" s="6">
        <v>43473</v>
      </c>
      <c r="B38" s="3" t="s">
        <v>1268</v>
      </c>
      <c r="C38" s="3" t="s">
        <v>1407</v>
      </c>
      <c r="D38" s="1" t="s">
        <v>1257</v>
      </c>
      <c r="E38" s="23" t="s">
        <v>1626</v>
      </c>
      <c r="G38" s="159" t="s">
        <v>1536</v>
      </c>
      <c r="H38" s="23" t="s">
        <v>1153</v>
      </c>
      <c r="J38" s="150" t="str">
        <f t="shared" si="2"/>
        <v>Western Sydney Wanderers  vs  Wellington Phoenix</v>
      </c>
    </row>
    <row r="39" spans="1:10">
      <c r="A39" s="6">
        <v>43473</v>
      </c>
      <c r="B39" s="3" t="s">
        <v>1288</v>
      </c>
      <c r="C39" s="3" t="s">
        <v>1424</v>
      </c>
      <c r="D39" s="1" t="s">
        <v>1261</v>
      </c>
      <c r="E39" s="23" t="s">
        <v>1626</v>
      </c>
      <c r="G39" s="159" t="s">
        <v>1520</v>
      </c>
      <c r="H39" s="23" t="s">
        <v>1153</v>
      </c>
      <c r="J39" s="150" t="str">
        <f t="shared" si="2"/>
        <v>Nantes Atlantique  vs  Montpellier HSC</v>
      </c>
    </row>
    <row r="40" spans="1:10">
      <c r="A40" s="6">
        <v>43474</v>
      </c>
      <c r="B40" s="3" t="s">
        <v>1359</v>
      </c>
      <c r="C40" s="3" t="s">
        <v>1496</v>
      </c>
      <c r="D40" s="1" t="s">
        <v>1259</v>
      </c>
      <c r="E40" s="23" t="s">
        <v>1626</v>
      </c>
      <c r="G40" s="159" t="s">
        <v>1528</v>
      </c>
      <c r="H40" s="23" t="s">
        <v>1154</v>
      </c>
      <c r="J40" s="150" t="str">
        <f t="shared" si="2"/>
        <v>AS Monaco  vs  Stade Rennais</v>
      </c>
    </row>
    <row r="41" spans="1:10">
      <c r="A41" s="6">
        <v>43474</v>
      </c>
      <c r="B41" s="3" t="s">
        <v>1329</v>
      </c>
      <c r="C41" s="3" t="s">
        <v>1497</v>
      </c>
      <c r="D41" s="1" t="s">
        <v>1259</v>
      </c>
      <c r="E41" s="23" t="s">
        <v>1626</v>
      </c>
      <c r="G41" s="159" t="s">
        <v>1519</v>
      </c>
      <c r="H41" s="23" t="s">
        <v>1153</v>
      </c>
      <c r="J41" s="150" t="str">
        <f t="shared" si="2"/>
        <v>Girondins de Bordeaux  vs  Le Havre</v>
      </c>
    </row>
    <row r="42" spans="1:10">
      <c r="A42" s="6">
        <v>43474</v>
      </c>
      <c r="B42" s="3" t="s">
        <v>1281</v>
      </c>
      <c r="C42" s="3" t="s">
        <v>1435</v>
      </c>
      <c r="D42" s="1" t="s">
        <v>1260</v>
      </c>
      <c r="E42" s="23" t="s">
        <v>1626</v>
      </c>
      <c r="G42" s="190" t="s">
        <v>1522</v>
      </c>
      <c r="H42" s="23" t="s">
        <v>1153</v>
      </c>
      <c r="J42" s="150" t="str">
        <f t="shared" si="2"/>
        <v>Vitoria Guimaraes II  vs  SL Benfica II</v>
      </c>
    </row>
    <row r="43" spans="1:10">
      <c r="A43" s="6">
        <v>43474</v>
      </c>
      <c r="B43" s="3" t="s">
        <v>1336</v>
      </c>
      <c r="C43" s="3" t="s">
        <v>1500</v>
      </c>
      <c r="D43" s="1" t="s">
        <v>1260</v>
      </c>
      <c r="E43" s="23" t="s">
        <v>1626</v>
      </c>
      <c r="G43" s="190" t="s">
        <v>1506</v>
      </c>
      <c r="H43" s="23" t="s">
        <v>1153</v>
      </c>
      <c r="J43" s="150" t="str">
        <f t="shared" si="2"/>
        <v>Sporting Braga II  vs  FC Porto II</v>
      </c>
    </row>
    <row r="44" spans="1:10">
      <c r="A44" s="6">
        <v>43474</v>
      </c>
      <c r="B44" s="3" t="s">
        <v>1362</v>
      </c>
      <c r="C44" s="3" t="s">
        <v>1501</v>
      </c>
      <c r="D44" s="1" t="s">
        <v>1260</v>
      </c>
      <c r="E44" s="23" t="s">
        <v>1626</v>
      </c>
      <c r="G44" s="190" t="s">
        <v>1562</v>
      </c>
      <c r="H44" s="23" t="s">
        <v>1153</v>
      </c>
      <c r="J44" s="150" t="str">
        <f t="shared" si="2"/>
        <v>Penafiel  vs  Academico Viseu</v>
      </c>
    </row>
    <row r="45" spans="1:10">
      <c r="A45" s="6">
        <v>43474</v>
      </c>
      <c r="B45" s="3" t="s">
        <v>1286</v>
      </c>
      <c r="C45" s="3" t="s">
        <v>1504</v>
      </c>
      <c r="D45" s="1" t="s">
        <v>1215</v>
      </c>
      <c r="E45" s="23" t="s">
        <v>1626</v>
      </c>
      <c r="G45" s="159" t="s">
        <v>1517</v>
      </c>
      <c r="H45" s="23" t="s">
        <v>1154</v>
      </c>
      <c r="J45" s="150" t="str">
        <f t="shared" si="2"/>
        <v>Villarreal CF  vs  RCD Espanyol</v>
      </c>
    </row>
    <row r="46" spans="1:10">
      <c r="A46" s="6">
        <v>43474</v>
      </c>
      <c r="B46" s="3" t="s">
        <v>1341</v>
      </c>
      <c r="C46" s="3" t="s">
        <v>1505</v>
      </c>
      <c r="D46" s="1" t="s">
        <v>1215</v>
      </c>
      <c r="E46" s="23" t="s">
        <v>1626</v>
      </c>
      <c r="G46" s="159" t="s">
        <v>1541</v>
      </c>
      <c r="H46" s="23" t="s">
        <v>1153</v>
      </c>
      <c r="J46" s="150" t="str">
        <f t="shared" si="2"/>
        <v>Real Madrid  vs  Leganes CF</v>
      </c>
    </row>
    <row r="47" spans="1:10">
      <c r="A47" s="6">
        <v>43475</v>
      </c>
      <c r="B47" s="3" t="s">
        <v>1255</v>
      </c>
      <c r="C47" s="3" t="s">
        <v>1256</v>
      </c>
      <c r="D47" s="3" t="s">
        <v>1215</v>
      </c>
      <c r="E47" s="23" t="s">
        <v>1626</v>
      </c>
      <c r="F47" s="23">
        <v>4.8</v>
      </c>
      <c r="G47" s="159" t="s">
        <v>1522</v>
      </c>
      <c r="H47" s="23" t="s">
        <v>1153</v>
      </c>
      <c r="J47" s="150" t="str">
        <f t="shared" si="2"/>
        <v>Levante CF vs Barcelona CF</v>
      </c>
    </row>
    <row r="48" spans="1:10">
      <c r="A48" s="6">
        <v>43475</v>
      </c>
      <c r="B48" s="3" t="s">
        <v>810</v>
      </c>
      <c r="C48" s="3" t="s">
        <v>1251</v>
      </c>
      <c r="D48" s="3" t="s">
        <v>1242</v>
      </c>
      <c r="E48" s="23" t="s">
        <v>1626</v>
      </c>
      <c r="F48" s="23">
        <v>3.5</v>
      </c>
      <c r="G48" s="190" t="s">
        <v>1561</v>
      </c>
      <c r="H48" s="23" t="s">
        <v>1154</v>
      </c>
      <c r="J48" s="150" t="str">
        <f t="shared" si="2"/>
        <v>Portimonense vs Sporting Braga</v>
      </c>
    </row>
    <row r="49" spans="1:10">
      <c r="A49" s="6">
        <v>43475</v>
      </c>
      <c r="B49" s="3" t="s">
        <v>1246</v>
      </c>
      <c r="C49" s="3" t="s">
        <v>1249</v>
      </c>
      <c r="D49" s="3" t="s">
        <v>1166</v>
      </c>
      <c r="E49" s="23" t="s">
        <v>1626</v>
      </c>
      <c r="F49" s="23">
        <v>2.83</v>
      </c>
      <c r="G49" s="190" t="s">
        <v>1562</v>
      </c>
      <c r="H49" s="23" t="s">
        <v>1153</v>
      </c>
      <c r="J49" s="150" t="str">
        <f t="shared" si="2"/>
        <v>Jordan  vs  Syria</v>
      </c>
    </row>
    <row r="50" spans="1:10">
      <c r="A50" s="31">
        <v>43476</v>
      </c>
      <c r="B50" s="32" t="s">
        <v>1592</v>
      </c>
      <c r="C50" s="32" t="s">
        <v>1593</v>
      </c>
      <c r="D50" s="33" t="s">
        <v>1166</v>
      </c>
      <c r="E50" s="34" t="s">
        <v>1626</v>
      </c>
      <c r="F50" s="36">
        <v>5.0999999999999996</v>
      </c>
      <c r="G50" s="192" t="s">
        <v>1508</v>
      </c>
      <c r="H50" s="23" t="s">
        <v>1153</v>
      </c>
      <c r="J50" s="150" t="str">
        <f t="shared" si="2"/>
        <v>Palestine  vs  Australia</v>
      </c>
    </row>
    <row r="51" spans="1:10">
      <c r="A51" s="31">
        <v>43476</v>
      </c>
      <c r="B51" s="32" t="s">
        <v>1594</v>
      </c>
      <c r="C51" s="32" t="s">
        <v>1595</v>
      </c>
      <c r="D51" s="33" t="s">
        <v>1166</v>
      </c>
      <c r="E51" s="34" t="s">
        <v>1626</v>
      </c>
      <c r="F51" s="36">
        <v>3.75</v>
      </c>
      <c r="G51" s="192" t="s">
        <v>1508</v>
      </c>
      <c r="H51" s="23" t="s">
        <v>1153</v>
      </c>
      <c r="J51" s="150" t="str">
        <f t="shared" si="2"/>
        <v>Philippines  vs  China</v>
      </c>
    </row>
    <row r="52" spans="1:10">
      <c r="A52" s="31">
        <v>43476</v>
      </c>
      <c r="B52" s="32" t="s">
        <v>1602</v>
      </c>
      <c r="C52" s="32" t="s">
        <v>1603</v>
      </c>
      <c r="D52" s="32" t="s">
        <v>1265</v>
      </c>
      <c r="E52" s="35" t="s">
        <v>1626</v>
      </c>
      <c r="F52" s="36">
        <v>3.4</v>
      </c>
      <c r="G52" s="142" t="s">
        <v>1669</v>
      </c>
      <c r="H52" s="23" t="s">
        <v>1153</v>
      </c>
      <c r="J52" s="150" t="str">
        <f t="shared" si="2"/>
        <v>Rayo Vallecano de Madrid  vs  Celta de Vigo</v>
      </c>
    </row>
    <row r="53" spans="1:10">
      <c r="A53" s="31">
        <v>43494</v>
      </c>
      <c r="B53" s="3" t="s">
        <v>1707</v>
      </c>
      <c r="C53" s="3" t="s">
        <v>1708</v>
      </c>
      <c r="D53" s="3" t="s">
        <v>1691</v>
      </c>
      <c r="E53" s="23" t="s">
        <v>1626</v>
      </c>
      <c r="G53" s="159" t="s">
        <v>1511</v>
      </c>
      <c r="H53" s="23" t="s">
        <v>1153</v>
      </c>
      <c r="J53" s="150" t="str">
        <f t="shared" si="2"/>
        <v>Union Saint-Gilloise  vs  KV Mechelen</v>
      </c>
    </row>
    <row r="54" spans="1:10">
      <c r="A54" s="31">
        <v>43494</v>
      </c>
      <c r="B54" s="3" t="s">
        <v>1322</v>
      </c>
      <c r="C54" s="3" t="s">
        <v>1374</v>
      </c>
      <c r="D54" s="3" t="s">
        <v>1267</v>
      </c>
      <c r="E54" s="23" t="s">
        <v>1626</v>
      </c>
      <c r="G54" s="159" t="s">
        <v>1669</v>
      </c>
      <c r="H54" s="23" t="s">
        <v>1153</v>
      </c>
      <c r="J54" s="150" t="str">
        <f t="shared" si="2"/>
        <v>Fulham  vs  Brighton &amp; Hove Albion</v>
      </c>
    </row>
    <row r="55" spans="1:10">
      <c r="A55" s="31">
        <v>43494</v>
      </c>
      <c r="B55" s="3" t="s">
        <v>1724</v>
      </c>
      <c r="C55" s="3" t="s">
        <v>1725</v>
      </c>
      <c r="D55" s="3" t="s">
        <v>1693</v>
      </c>
      <c r="E55" s="23" t="s">
        <v>1626</v>
      </c>
      <c r="G55" s="159" t="s">
        <v>1523</v>
      </c>
      <c r="H55" s="23" t="s">
        <v>1153</v>
      </c>
      <c r="J55" s="150" t="str">
        <f t="shared" si="2"/>
        <v>Magdeburg  vs  Erzgebirge Aue</v>
      </c>
    </row>
    <row r="56" spans="1:10">
      <c r="A56" s="31">
        <v>43494</v>
      </c>
      <c r="B56" s="3" t="s">
        <v>1729</v>
      </c>
      <c r="C56" s="3" t="s">
        <v>1500</v>
      </c>
      <c r="D56" s="3" t="s">
        <v>1266</v>
      </c>
      <c r="E56" s="23" t="s">
        <v>1626</v>
      </c>
      <c r="G56" s="159" t="s">
        <v>1510</v>
      </c>
      <c r="H56" s="23" t="s">
        <v>1154</v>
      </c>
      <c r="J56" s="150" t="str">
        <f t="shared" si="2"/>
        <v>Farense  vs  FC Porto II</v>
      </c>
    </row>
    <row r="57" spans="1:10">
      <c r="A57" s="31">
        <v>43495</v>
      </c>
      <c r="B57" s="3" t="s">
        <v>1743</v>
      </c>
      <c r="C57" s="3" t="s">
        <v>1744</v>
      </c>
      <c r="D57" s="3" t="s">
        <v>1735</v>
      </c>
      <c r="E57" s="23" t="s">
        <v>1626</v>
      </c>
      <c r="F57" s="23">
        <v>3.8</v>
      </c>
      <c r="H57" s="23" t="s">
        <v>1564</v>
      </c>
      <c r="J57" s="150" t="str">
        <f t="shared" si="2"/>
        <v>Beijing Guoan  vs  SV Mattersburg</v>
      </c>
    </row>
    <row r="58" spans="1:10">
      <c r="A58" s="31">
        <v>43495</v>
      </c>
      <c r="B58" s="3" t="s">
        <v>1747</v>
      </c>
      <c r="C58" s="3" t="s">
        <v>1748</v>
      </c>
      <c r="D58" s="3" t="s">
        <v>1691</v>
      </c>
      <c r="E58" s="23" t="s">
        <v>1626</v>
      </c>
      <c r="F58" s="23">
        <v>3.75</v>
      </c>
      <c r="G58" s="159" t="s">
        <v>1513</v>
      </c>
      <c r="H58" s="23" t="s">
        <v>1154</v>
      </c>
      <c r="J58" s="150" t="str">
        <f t="shared" si="2"/>
        <v>KV Oostende  vs  AA Gent</v>
      </c>
    </row>
    <row r="59" spans="1:10">
      <c r="A59" s="31">
        <v>43495</v>
      </c>
      <c r="B59" s="3" t="s">
        <v>1749</v>
      </c>
      <c r="C59" s="3" t="s">
        <v>1750</v>
      </c>
      <c r="D59" s="3" t="s">
        <v>1737</v>
      </c>
      <c r="E59" s="23" t="s">
        <v>1626</v>
      </c>
      <c r="F59" s="23">
        <v>3.35</v>
      </c>
      <c r="G59" s="159" t="s">
        <v>1561</v>
      </c>
      <c r="H59" s="23" t="s">
        <v>1154</v>
      </c>
      <c r="J59" s="150" t="str">
        <f t="shared" si="2"/>
        <v>Slaven Koprivnica  vs  Rijeka</v>
      </c>
    </row>
    <row r="60" spans="1:10">
      <c r="A60" s="31">
        <v>43495</v>
      </c>
      <c r="B60" s="3" t="s">
        <v>1758</v>
      </c>
      <c r="C60" s="3" t="s">
        <v>1759</v>
      </c>
      <c r="D60" s="3" t="s">
        <v>1693</v>
      </c>
      <c r="E60" s="23" t="s">
        <v>1626</v>
      </c>
      <c r="F60" s="23">
        <v>3.7</v>
      </c>
      <c r="G60" s="159" t="s">
        <v>1562</v>
      </c>
      <c r="H60" s="23" t="s">
        <v>1153</v>
      </c>
      <c r="J60" s="150" t="str">
        <f t="shared" si="2"/>
        <v>Jahn Regenbsurg  vs  Paderborn 07</v>
      </c>
    </row>
    <row r="61" spans="1:10">
      <c r="A61" s="31">
        <v>43495</v>
      </c>
      <c r="B61" s="3" t="s">
        <v>1762</v>
      </c>
      <c r="C61" s="3" t="s">
        <v>1763</v>
      </c>
      <c r="D61" s="3" t="s">
        <v>1693</v>
      </c>
      <c r="E61" s="23" t="s">
        <v>1626</v>
      </c>
      <c r="F61" s="23">
        <v>3.5</v>
      </c>
      <c r="G61" s="159" t="s">
        <v>1513</v>
      </c>
      <c r="H61" s="23" t="s">
        <v>1154</v>
      </c>
      <c r="J61" s="150" t="str">
        <f t="shared" si="2"/>
        <v>Heidenheim  vs  Holsten Kiel</v>
      </c>
    </row>
    <row r="62" spans="1:10">
      <c r="A62" s="31">
        <v>43495</v>
      </c>
      <c r="B62" s="3" t="s">
        <v>1768</v>
      </c>
      <c r="C62" s="3" t="s">
        <v>1671</v>
      </c>
      <c r="D62" s="3" t="s">
        <v>1668</v>
      </c>
      <c r="E62" s="23" t="s">
        <v>1626</v>
      </c>
      <c r="F62" s="23">
        <v>3.4</v>
      </c>
      <c r="G62" s="159" t="s">
        <v>1560</v>
      </c>
      <c r="H62" s="23" t="s">
        <v>1153</v>
      </c>
      <c r="J62" s="150" t="str">
        <f t="shared" si="2"/>
        <v>Atalanta Bergamo  vs  Juventus</v>
      </c>
    </row>
    <row r="63" spans="1:10">
      <c r="A63" s="31">
        <v>43496</v>
      </c>
      <c r="B63" s="3" t="s">
        <v>1800</v>
      </c>
      <c r="C63" s="3" t="s">
        <v>1801</v>
      </c>
      <c r="D63" s="3" t="s">
        <v>1736</v>
      </c>
      <c r="E63" s="23" t="s">
        <v>1626</v>
      </c>
      <c r="F63" s="23">
        <v>3.4</v>
      </c>
      <c r="G63" s="159" t="s">
        <v>1794</v>
      </c>
      <c r="H63" s="23" t="s">
        <v>1153</v>
      </c>
      <c r="J63" s="150" t="str">
        <f t="shared" si="2"/>
        <v>San Martin de San Juan  vs  Boca Juniors</v>
      </c>
    </row>
    <row r="64" spans="1:10">
      <c r="A64" s="31">
        <v>43496</v>
      </c>
      <c r="B64" s="3" t="s">
        <v>1802</v>
      </c>
      <c r="C64" s="3" t="s">
        <v>1803</v>
      </c>
      <c r="D64" s="3" t="s">
        <v>1693</v>
      </c>
      <c r="E64" s="23" t="s">
        <v>1626</v>
      </c>
      <c r="F64" s="23">
        <v>3.3</v>
      </c>
      <c r="G64" s="159" t="s">
        <v>1562</v>
      </c>
      <c r="H64" s="23" t="s">
        <v>1153</v>
      </c>
      <c r="J64" s="150" t="str">
        <f t="shared" si="2"/>
        <v>Union Berlin  vs  Koln</v>
      </c>
    </row>
    <row r="65" spans="1:10">
      <c r="A65" s="31">
        <v>43496</v>
      </c>
      <c r="B65" s="3" t="s">
        <v>1804</v>
      </c>
      <c r="C65" s="3" t="s">
        <v>1805</v>
      </c>
      <c r="D65" s="3" t="s">
        <v>1668</v>
      </c>
      <c r="E65" s="23" t="s">
        <v>1626</v>
      </c>
      <c r="F65" s="23">
        <v>3.5</v>
      </c>
      <c r="G65" s="159" t="s">
        <v>1561</v>
      </c>
      <c r="H65" s="23" t="s">
        <v>1154</v>
      </c>
      <c r="J65" s="150" t="str">
        <f t="shared" si="2"/>
        <v>Internazionale  vs  SS Lazio</v>
      </c>
    </row>
    <row r="66" spans="1:10">
      <c r="A66" s="31">
        <v>43497</v>
      </c>
      <c r="B66" s="143" t="s">
        <v>1268</v>
      </c>
      <c r="C66" s="144" t="s">
        <v>1862</v>
      </c>
      <c r="D66" s="143" t="s">
        <v>1257</v>
      </c>
      <c r="E66" s="145" t="s">
        <v>1626</v>
      </c>
      <c r="F66" s="145">
        <v>3.55</v>
      </c>
      <c r="G66" s="154" t="s">
        <v>1892</v>
      </c>
      <c r="H66" s="145" t="s">
        <v>1153</v>
      </c>
      <c r="J66" s="150" t="str">
        <f t="shared" si="2"/>
        <v>Western Sydney Wanderers  vs  Newcastle Jets</v>
      </c>
    </row>
    <row r="67" spans="1:10">
      <c r="A67" s="31">
        <v>43497</v>
      </c>
      <c r="B67" s="143" t="s">
        <v>1881</v>
      </c>
      <c r="C67" s="144" t="s">
        <v>1882</v>
      </c>
      <c r="D67" s="143" t="s">
        <v>1265</v>
      </c>
      <c r="E67" s="145" t="s">
        <v>1626</v>
      </c>
      <c r="F67" s="145">
        <v>3.2</v>
      </c>
      <c r="G67" s="146" t="s">
        <v>1731</v>
      </c>
      <c r="H67" s="145" t="s">
        <v>1153</v>
      </c>
      <c r="J67" s="150" t="str">
        <f t="shared" si="2"/>
        <v>Huesca  vs  Real Valladolid</v>
      </c>
    </row>
    <row r="68" spans="1:10">
      <c r="A68" s="31">
        <v>43497</v>
      </c>
      <c r="B68" s="143" t="s">
        <v>1885</v>
      </c>
      <c r="C68" s="144" t="s">
        <v>1886</v>
      </c>
      <c r="D68" s="143" t="s">
        <v>1850</v>
      </c>
      <c r="E68" s="145" t="s">
        <v>1626</v>
      </c>
      <c r="F68" s="145">
        <v>3.85</v>
      </c>
      <c r="G68" s="146" t="s">
        <v>1562</v>
      </c>
      <c r="H68" s="145" t="s">
        <v>1153</v>
      </c>
      <c r="J68" s="150" t="str">
        <f t="shared" si="2"/>
        <v>Fenerbahce  vs  Goztepe</v>
      </c>
    </row>
    <row r="69" spans="1:10">
      <c r="A69" s="31">
        <v>43498</v>
      </c>
      <c r="B69" s="143" t="s">
        <v>1860</v>
      </c>
      <c r="C69" s="144" t="s">
        <v>1861</v>
      </c>
      <c r="D69" s="143" t="s">
        <v>1736</v>
      </c>
      <c r="E69" s="145" t="s">
        <v>1626</v>
      </c>
      <c r="F69" s="145">
        <v>3.05</v>
      </c>
      <c r="G69" s="146" t="s">
        <v>1511</v>
      </c>
      <c r="H69" s="145" t="s">
        <v>1153</v>
      </c>
      <c r="J69" s="150" t="str">
        <f t="shared" si="2"/>
        <v>San Martin de Tucuman  vs  Defensa y Justicia</v>
      </c>
    </row>
    <row r="70" spans="1:10">
      <c r="A70" s="31">
        <v>43498</v>
      </c>
      <c r="B70" s="143" t="s">
        <v>1858</v>
      </c>
      <c r="C70" s="144" t="s">
        <v>1859</v>
      </c>
      <c r="D70" s="143" t="s">
        <v>1736</v>
      </c>
      <c r="E70" s="145" t="s">
        <v>1626</v>
      </c>
      <c r="F70" s="145">
        <v>2.92</v>
      </c>
      <c r="G70" s="146" t="s">
        <v>1798</v>
      </c>
      <c r="H70" s="145" t="s">
        <v>1153</v>
      </c>
      <c r="J70" s="150" t="str">
        <f t="shared" si="2"/>
        <v>Talleres de Cordoba  vs  Banfield</v>
      </c>
    </row>
    <row r="71" spans="1:10">
      <c r="A71" s="31">
        <v>43498</v>
      </c>
      <c r="B71" s="151" t="s">
        <v>1915</v>
      </c>
      <c r="C71" s="144" t="s">
        <v>1916</v>
      </c>
      <c r="D71" s="143" t="s">
        <v>1845</v>
      </c>
      <c r="E71" s="145" t="s">
        <v>1626</v>
      </c>
      <c r="F71" s="145">
        <v>5.6</v>
      </c>
      <c r="G71" s="154" t="s">
        <v>1511</v>
      </c>
      <c r="H71" s="145" t="s">
        <v>1153</v>
      </c>
      <c r="J71" s="150" t="str">
        <f t="shared" si="2"/>
        <v>Waasland-Beveren  vs  Racing Genk</v>
      </c>
    </row>
    <row r="72" spans="1:10">
      <c r="A72" s="31">
        <v>43498</v>
      </c>
      <c r="B72" s="151" t="s">
        <v>1772</v>
      </c>
      <c r="C72" s="144" t="s">
        <v>1438</v>
      </c>
      <c r="D72" s="143" t="s">
        <v>1265</v>
      </c>
      <c r="E72" s="145" t="s">
        <v>1626</v>
      </c>
      <c r="F72" s="145">
        <v>5.6</v>
      </c>
      <c r="G72" s="146" t="s">
        <v>1513</v>
      </c>
      <c r="H72" s="145" t="s">
        <v>1154</v>
      </c>
      <c r="J72" s="150" t="str">
        <f t="shared" ref="J72:J135" si="3">CONCATENATE(B72," vs ",C72)</f>
        <v>Barcelona CF  vs  Valencia CF</v>
      </c>
    </row>
    <row r="73" spans="1:10">
      <c r="A73" s="31">
        <v>43498</v>
      </c>
      <c r="B73" s="151" t="s">
        <v>1934</v>
      </c>
      <c r="C73" s="144" t="s">
        <v>1935</v>
      </c>
      <c r="D73" s="143" t="s">
        <v>1692</v>
      </c>
      <c r="E73" s="145" t="s">
        <v>1626</v>
      </c>
      <c r="F73" s="145">
        <v>4.3499999999999996</v>
      </c>
      <c r="G73" s="146" t="s">
        <v>2127</v>
      </c>
      <c r="H73" s="145" t="s">
        <v>1153</v>
      </c>
      <c r="J73" s="150" t="str">
        <f t="shared" si="3"/>
        <v>TPV Tampere  vs  Kajaani</v>
      </c>
    </row>
    <row r="74" spans="1:10">
      <c r="A74" s="31">
        <v>43498</v>
      </c>
      <c r="B74" s="151" t="s">
        <v>1911</v>
      </c>
      <c r="C74" s="144" t="s">
        <v>1912</v>
      </c>
      <c r="D74" s="143" t="s">
        <v>1845</v>
      </c>
      <c r="E74" s="145" t="s">
        <v>1626</v>
      </c>
      <c r="F74" s="145">
        <v>4.05</v>
      </c>
      <c r="G74" s="154" t="s">
        <v>1522</v>
      </c>
      <c r="H74" s="145" t="s">
        <v>1153</v>
      </c>
      <c r="J74" s="150" t="str">
        <f t="shared" si="3"/>
        <v>Kortrijk  vs  Lokeren</v>
      </c>
    </row>
    <row r="75" spans="1:10">
      <c r="A75" s="31">
        <v>43498</v>
      </c>
      <c r="B75" s="151" t="s">
        <v>1950</v>
      </c>
      <c r="C75" s="144" t="s">
        <v>1951</v>
      </c>
      <c r="D75" s="143" t="s">
        <v>1846</v>
      </c>
      <c r="E75" s="145" t="s">
        <v>1626</v>
      </c>
      <c r="F75" s="145">
        <v>3.9</v>
      </c>
      <c r="G75" s="146" t="s">
        <v>1561</v>
      </c>
      <c r="H75" s="145" t="s">
        <v>1153</v>
      </c>
      <c r="J75" s="150" t="str">
        <f t="shared" si="3"/>
        <v>Nurnberg  vs  Werder Bremen</v>
      </c>
    </row>
    <row r="76" spans="1:10">
      <c r="A76" s="31">
        <v>43498</v>
      </c>
      <c r="B76" s="151" t="s">
        <v>2018</v>
      </c>
      <c r="C76" s="144" t="s">
        <v>2019</v>
      </c>
      <c r="D76" s="143" t="s">
        <v>1850</v>
      </c>
      <c r="E76" s="145" t="s">
        <v>1626</v>
      </c>
      <c r="F76" s="145">
        <v>3.8</v>
      </c>
      <c r="G76" s="146" t="s">
        <v>1591</v>
      </c>
      <c r="H76" s="145" t="s">
        <v>1153</v>
      </c>
      <c r="J76" s="150" t="str">
        <f t="shared" si="3"/>
        <v>Kasimpasa  vs  Sivasspor</v>
      </c>
    </row>
    <row r="77" spans="1:10">
      <c r="A77" s="31">
        <v>43498</v>
      </c>
      <c r="B77" s="151" t="s">
        <v>1954</v>
      </c>
      <c r="C77" s="144" t="s">
        <v>1955</v>
      </c>
      <c r="D77" s="143" t="s">
        <v>1693</v>
      </c>
      <c r="E77" s="145" t="s">
        <v>1626</v>
      </c>
      <c r="F77" s="145">
        <v>3.5</v>
      </c>
      <c r="G77" s="146" t="s">
        <v>1562</v>
      </c>
      <c r="H77" s="145" t="s">
        <v>1153</v>
      </c>
      <c r="J77" s="150" t="str">
        <f t="shared" si="3"/>
        <v>Arminia Bielefeld  vs  Hamburger SV</v>
      </c>
    </row>
    <row r="78" spans="1:10">
      <c r="A78" s="31">
        <v>43498</v>
      </c>
      <c r="B78" s="151" t="s">
        <v>1939</v>
      </c>
      <c r="C78" s="144" t="s">
        <v>1426</v>
      </c>
      <c r="D78" s="143" t="s">
        <v>1261</v>
      </c>
      <c r="E78" s="145" t="s">
        <v>1626</v>
      </c>
      <c r="F78" s="145">
        <v>3.4</v>
      </c>
      <c r="G78" s="146" t="s">
        <v>1523</v>
      </c>
      <c r="H78" s="145" t="s">
        <v>1153</v>
      </c>
      <c r="J78" s="150" t="str">
        <f t="shared" si="3"/>
        <v>Angers SCO  vs  Dijon FCO</v>
      </c>
    </row>
    <row r="79" spans="1:10">
      <c r="A79" s="31">
        <v>43498</v>
      </c>
      <c r="B79" s="151" t="s">
        <v>2006</v>
      </c>
      <c r="C79" s="144" t="s">
        <v>2007</v>
      </c>
      <c r="D79" s="143" t="s">
        <v>1899</v>
      </c>
      <c r="E79" s="145" t="s">
        <v>1626</v>
      </c>
      <c r="F79" s="145">
        <v>3.4</v>
      </c>
      <c r="G79" s="146" t="s">
        <v>1564</v>
      </c>
      <c r="H79" s="145" t="s">
        <v>1564</v>
      </c>
      <c r="J79" s="150" t="str">
        <f t="shared" si="3"/>
        <v>Lugano  vs  Thun</v>
      </c>
    </row>
    <row r="80" spans="1:10">
      <c r="A80" s="31">
        <v>43498</v>
      </c>
      <c r="B80" s="151" t="s">
        <v>1930</v>
      </c>
      <c r="C80" s="144" t="s">
        <v>1931</v>
      </c>
      <c r="D80" s="143" t="s">
        <v>1692</v>
      </c>
      <c r="E80" s="145" t="s">
        <v>1626</v>
      </c>
      <c r="F80" s="145">
        <v>3.35</v>
      </c>
      <c r="G80" s="146" t="s">
        <v>1522</v>
      </c>
      <c r="H80" s="145" t="s">
        <v>1153</v>
      </c>
      <c r="J80" s="150" t="str">
        <f t="shared" si="3"/>
        <v>Ilves  vs  SJK</v>
      </c>
    </row>
    <row r="81" spans="1:10">
      <c r="A81" s="31">
        <v>43498</v>
      </c>
      <c r="B81" s="151" t="s">
        <v>1966</v>
      </c>
      <c r="C81" s="144" t="s">
        <v>1967</v>
      </c>
      <c r="D81" s="143" t="s">
        <v>1897</v>
      </c>
      <c r="E81" s="145" t="s">
        <v>1626</v>
      </c>
      <c r="F81" s="145">
        <v>3.3</v>
      </c>
      <c r="G81" s="146" t="s">
        <v>1506</v>
      </c>
      <c r="H81" s="145" t="s">
        <v>1153</v>
      </c>
      <c r="J81" s="150" t="str">
        <f t="shared" si="3"/>
        <v>Szombathelyi Haladas  vs  Varda SE</v>
      </c>
    </row>
    <row r="82" spans="1:10">
      <c r="A82" s="31">
        <v>43498</v>
      </c>
      <c r="B82" s="151" t="s">
        <v>1922</v>
      </c>
      <c r="C82" s="144" t="s">
        <v>1371</v>
      </c>
      <c r="D82" s="143" t="s">
        <v>1267</v>
      </c>
      <c r="E82" s="145" t="s">
        <v>1626</v>
      </c>
      <c r="F82" s="145">
        <v>3.25</v>
      </c>
      <c r="G82" s="146" t="s">
        <v>1510</v>
      </c>
      <c r="H82" s="145" t="s">
        <v>1154</v>
      </c>
      <c r="J82" s="150" t="str">
        <f t="shared" si="3"/>
        <v>Brighton &amp; Hove Albion  vs  Watford</v>
      </c>
    </row>
    <row r="83" spans="1:10">
      <c r="A83" s="31">
        <v>43498</v>
      </c>
      <c r="B83" s="151" t="s">
        <v>1972</v>
      </c>
      <c r="C83" s="144" t="s">
        <v>1973</v>
      </c>
      <c r="D83" s="143" t="s">
        <v>1264</v>
      </c>
      <c r="E83" s="145" t="s">
        <v>1626</v>
      </c>
      <c r="F83" s="145">
        <v>3.25</v>
      </c>
      <c r="G83" s="146" t="s">
        <v>1561</v>
      </c>
      <c r="H83" s="145" t="s">
        <v>1154</v>
      </c>
      <c r="J83" s="150" t="str">
        <f t="shared" si="3"/>
        <v>Hapoel Be’er Sheva  vs  Maccabi Netanya</v>
      </c>
    </row>
    <row r="84" spans="1:10">
      <c r="A84" s="31">
        <v>43498</v>
      </c>
      <c r="B84" s="151" t="s">
        <v>1932</v>
      </c>
      <c r="C84" s="144" t="s">
        <v>1933</v>
      </c>
      <c r="D84" s="143" t="s">
        <v>1692</v>
      </c>
      <c r="E84" s="145" t="s">
        <v>1626</v>
      </c>
      <c r="F84" s="145">
        <v>3.2</v>
      </c>
      <c r="G84" s="146" t="s">
        <v>1522</v>
      </c>
      <c r="H84" s="145" t="s">
        <v>1153</v>
      </c>
      <c r="J84" s="150" t="str">
        <f t="shared" si="3"/>
        <v>Haka Valkeakoski  vs  AC Oulu</v>
      </c>
    </row>
    <row r="85" spans="1:10">
      <c r="A85" s="31">
        <v>43498</v>
      </c>
      <c r="B85" s="151" t="s">
        <v>1938</v>
      </c>
      <c r="C85" s="144" t="s">
        <v>1449</v>
      </c>
      <c r="D85" s="143" t="s">
        <v>1261</v>
      </c>
      <c r="E85" s="145" t="s">
        <v>1626</v>
      </c>
      <c r="F85" s="145">
        <v>3.15</v>
      </c>
      <c r="G85" s="146" t="s">
        <v>1522</v>
      </c>
      <c r="H85" s="145" t="s">
        <v>1153</v>
      </c>
      <c r="J85" s="150" t="str">
        <f t="shared" si="3"/>
        <v>Stade de Reims  vs  Olympique de Marseille</v>
      </c>
    </row>
    <row r="86" spans="1:10">
      <c r="A86" s="31">
        <v>43499</v>
      </c>
      <c r="B86" s="151" t="s">
        <v>1336</v>
      </c>
      <c r="C86" s="144" t="s">
        <v>2000</v>
      </c>
      <c r="D86" s="143" t="s">
        <v>1266</v>
      </c>
      <c r="E86" s="145" t="s">
        <v>1626</v>
      </c>
      <c r="F86" s="145">
        <v>3.1</v>
      </c>
      <c r="G86" s="146" t="s">
        <v>1564</v>
      </c>
      <c r="H86" s="145" t="s">
        <v>1564</v>
      </c>
      <c r="J86" s="150" t="str">
        <f t="shared" si="3"/>
        <v>Sporting Braga II  vs  Farense</v>
      </c>
    </row>
    <row r="87" spans="1:10">
      <c r="A87" s="31">
        <v>43498</v>
      </c>
      <c r="B87" s="151" t="s">
        <v>2024</v>
      </c>
      <c r="C87" s="144" t="s">
        <v>1963</v>
      </c>
      <c r="D87" s="143" t="s">
        <v>1897</v>
      </c>
      <c r="E87" s="145" t="s">
        <v>1626</v>
      </c>
      <c r="F87" s="145">
        <v>3.05</v>
      </c>
      <c r="G87" s="146" t="s">
        <v>1510</v>
      </c>
      <c r="H87" s="145" t="s">
        <v>1154</v>
      </c>
      <c r="J87" s="150" t="str">
        <f t="shared" si="3"/>
        <v>Debreceni VSC  vs  Ujpest</v>
      </c>
    </row>
    <row r="88" spans="1:10">
      <c r="A88" s="31">
        <v>43498</v>
      </c>
      <c r="B88" s="151" t="s">
        <v>1380</v>
      </c>
      <c r="C88" s="144" t="s">
        <v>1997</v>
      </c>
      <c r="D88" s="143" t="s">
        <v>1242</v>
      </c>
      <c r="E88" s="145" t="s">
        <v>1626</v>
      </c>
      <c r="F88" s="145">
        <v>3.05</v>
      </c>
      <c r="G88" s="146" t="s">
        <v>1562</v>
      </c>
      <c r="H88" s="145" t="s">
        <v>1153</v>
      </c>
      <c r="J88" s="150" t="str">
        <f t="shared" si="3"/>
        <v>Boavista  vs  Feirense</v>
      </c>
    </row>
    <row r="89" spans="1:10">
      <c r="A89" s="31">
        <v>43498</v>
      </c>
      <c r="B89" s="151" t="s">
        <v>1970</v>
      </c>
      <c r="C89" s="144" t="s">
        <v>1971</v>
      </c>
      <c r="D89" s="143" t="s">
        <v>1264</v>
      </c>
      <c r="E89" s="145" t="s">
        <v>1626</v>
      </c>
      <c r="F89" s="145">
        <v>3</v>
      </c>
      <c r="G89" s="146" t="s">
        <v>1559</v>
      </c>
      <c r="H89" s="145" t="s">
        <v>1153</v>
      </c>
      <c r="J89" s="150" t="str">
        <f t="shared" si="3"/>
        <v>MS Ashdod  vs  Hapoel Hadera</v>
      </c>
    </row>
    <row r="90" spans="1:10">
      <c r="A90" s="31">
        <v>43498</v>
      </c>
      <c r="B90" s="151" t="s">
        <v>1386</v>
      </c>
      <c r="C90" s="144" t="s">
        <v>1462</v>
      </c>
      <c r="D90" s="143" t="s">
        <v>1266</v>
      </c>
      <c r="E90" s="145" t="s">
        <v>1626</v>
      </c>
      <c r="F90" s="145">
        <v>3</v>
      </c>
      <c r="G90" s="146" t="s">
        <v>1523</v>
      </c>
      <c r="H90" s="145" t="s">
        <v>1153</v>
      </c>
      <c r="J90" s="150" t="str">
        <f t="shared" si="3"/>
        <v>Sporting Covilha  vs  Varzim</v>
      </c>
    </row>
    <row r="91" spans="1:10">
      <c r="A91" s="31">
        <v>43498</v>
      </c>
      <c r="B91" s="151" t="s">
        <v>2002</v>
      </c>
      <c r="C91" s="144" t="s">
        <v>2003</v>
      </c>
      <c r="D91" s="143" t="s">
        <v>1265</v>
      </c>
      <c r="E91" s="145" t="s">
        <v>1626</v>
      </c>
      <c r="F91" s="145">
        <v>3</v>
      </c>
      <c r="G91" s="146" t="s">
        <v>1522</v>
      </c>
      <c r="H91" s="145" t="s">
        <v>1153</v>
      </c>
      <c r="J91" s="150" t="str">
        <f t="shared" si="3"/>
        <v>Real Sociedad  vs  Athletic Club</v>
      </c>
    </row>
    <row r="92" spans="1:10">
      <c r="A92" s="31">
        <v>43498</v>
      </c>
      <c r="B92" s="151" t="s">
        <v>1902</v>
      </c>
      <c r="C92" s="144" t="s">
        <v>1903</v>
      </c>
      <c r="D92" s="143" t="s">
        <v>1736</v>
      </c>
      <c r="E92" s="145" t="s">
        <v>1626</v>
      </c>
      <c r="F92" s="145">
        <v>2.88</v>
      </c>
      <c r="G92" s="146" t="s">
        <v>1510</v>
      </c>
      <c r="H92" s="145" t="s">
        <v>1154</v>
      </c>
      <c r="J92" s="150" t="str">
        <f t="shared" si="3"/>
        <v>Argentinos Juniors  vs  Belgrano de Cordoba</v>
      </c>
    </row>
    <row r="93" spans="1:10">
      <c r="A93" s="31">
        <v>43498</v>
      </c>
      <c r="B93" s="151" t="s">
        <v>1919</v>
      </c>
      <c r="C93" s="144" t="s">
        <v>1920</v>
      </c>
      <c r="D93" s="143" t="s">
        <v>1737</v>
      </c>
      <c r="E93" s="145" t="s">
        <v>1626</v>
      </c>
      <c r="F93" s="145">
        <v>2.87</v>
      </c>
      <c r="G93" s="146" t="s">
        <v>1561</v>
      </c>
      <c r="H93" s="145" t="s">
        <v>1154</v>
      </c>
      <c r="J93" s="150" t="str">
        <f t="shared" si="3"/>
        <v>Istra 1961  vs  Slaven Koprivnica</v>
      </c>
    </row>
    <row r="94" spans="1:10">
      <c r="A94" s="31">
        <v>43499</v>
      </c>
      <c r="B94" s="151" t="s">
        <v>2114</v>
      </c>
      <c r="C94" s="144" t="s">
        <v>2115</v>
      </c>
      <c r="D94" s="143" t="s">
        <v>1850</v>
      </c>
      <c r="E94" s="145" t="s">
        <v>1626</v>
      </c>
      <c r="F94" s="145">
        <v>3.8</v>
      </c>
      <c r="G94" s="146" t="s">
        <v>2133</v>
      </c>
      <c r="H94" s="145" t="s">
        <v>1153</v>
      </c>
      <c r="J94" s="150" t="str">
        <f t="shared" si="3"/>
        <v>Antalyaspor  vs  Besiktas JK</v>
      </c>
    </row>
    <row r="95" spans="1:10">
      <c r="A95" s="31">
        <v>43499</v>
      </c>
      <c r="B95" s="151" t="s">
        <v>1286</v>
      </c>
      <c r="C95" s="144" t="s">
        <v>1504</v>
      </c>
      <c r="D95" s="143" t="s">
        <v>1265</v>
      </c>
      <c r="E95" s="145" t="s">
        <v>1626</v>
      </c>
      <c r="F95" s="145">
        <v>3.75</v>
      </c>
      <c r="G95" s="146" t="s">
        <v>1513</v>
      </c>
      <c r="H95" s="145" t="s">
        <v>1154</v>
      </c>
      <c r="J95" s="150" t="str">
        <f t="shared" si="3"/>
        <v>Villarreal CF  vs  RCD Espanyol</v>
      </c>
    </row>
    <row r="96" spans="1:10">
      <c r="A96" s="31">
        <v>43499</v>
      </c>
      <c r="B96" s="151" t="s">
        <v>2089</v>
      </c>
      <c r="C96" s="144" t="s">
        <v>2090</v>
      </c>
      <c r="D96" s="143" t="s">
        <v>1848</v>
      </c>
      <c r="E96" s="145" t="s">
        <v>1626</v>
      </c>
      <c r="F96" s="145">
        <v>3.65</v>
      </c>
      <c r="G96" s="146" t="s">
        <v>1562</v>
      </c>
      <c r="H96" s="145" t="s">
        <v>1153</v>
      </c>
      <c r="J96" s="150" t="str">
        <f t="shared" si="3"/>
        <v>ADO Den Haag  vs  Heracles Almelo</v>
      </c>
    </row>
    <row r="97" spans="1:10">
      <c r="A97" s="31">
        <v>43499</v>
      </c>
      <c r="B97" s="151" t="s">
        <v>2104</v>
      </c>
      <c r="C97" s="144" t="s">
        <v>2105</v>
      </c>
      <c r="D97" s="143" t="s">
        <v>1899</v>
      </c>
      <c r="E97" s="145" t="s">
        <v>1626</v>
      </c>
      <c r="F97" s="145">
        <v>3.65</v>
      </c>
      <c r="G97" s="146" t="s">
        <v>1564</v>
      </c>
      <c r="H97" s="145" t="s">
        <v>1564</v>
      </c>
      <c r="J97" s="150" t="str">
        <f t="shared" si="3"/>
        <v>Luzern  vs  Sion </v>
      </c>
    </row>
    <row r="98" spans="1:10">
      <c r="A98" s="31">
        <v>43499</v>
      </c>
      <c r="B98" s="151" t="s">
        <v>2056</v>
      </c>
      <c r="C98" s="144" t="s">
        <v>2057</v>
      </c>
      <c r="D98" s="143" t="s">
        <v>1846</v>
      </c>
      <c r="E98" s="145" t="s">
        <v>1626</v>
      </c>
      <c r="F98" s="145">
        <v>3.5</v>
      </c>
      <c r="G98" s="146" t="s">
        <v>1560</v>
      </c>
      <c r="H98" s="145" t="s">
        <v>1153</v>
      </c>
      <c r="J98" s="150" t="str">
        <f t="shared" si="3"/>
        <v>Augsburg  vs  Mainz 05</v>
      </c>
    </row>
    <row r="99" spans="1:10">
      <c r="A99" s="31">
        <v>43499</v>
      </c>
      <c r="B99" s="151" t="s">
        <v>2106</v>
      </c>
      <c r="C99" s="144" t="s">
        <v>2107</v>
      </c>
      <c r="D99" s="143" t="s">
        <v>1899</v>
      </c>
      <c r="E99" s="145" t="s">
        <v>1626</v>
      </c>
      <c r="F99" s="145">
        <v>3.45</v>
      </c>
      <c r="G99" s="146" t="s">
        <v>1564</v>
      </c>
      <c r="H99" s="145" t="s">
        <v>1564</v>
      </c>
      <c r="J99" s="150" t="str">
        <f t="shared" si="3"/>
        <v>St. Gallen  vs  FC Zurich</v>
      </c>
    </row>
    <row r="100" spans="1:10">
      <c r="A100" s="31">
        <v>43499</v>
      </c>
      <c r="B100" s="151" t="s">
        <v>2048</v>
      </c>
      <c r="C100" s="144" t="s">
        <v>2049</v>
      </c>
      <c r="D100" s="143" t="s">
        <v>1737</v>
      </c>
      <c r="E100" s="145" t="s">
        <v>1626</v>
      </c>
      <c r="F100" s="145">
        <v>3.4</v>
      </c>
      <c r="G100" s="146" t="s">
        <v>1506</v>
      </c>
      <c r="H100" s="145" t="s">
        <v>1153</v>
      </c>
      <c r="J100" s="150" t="str">
        <f t="shared" si="3"/>
        <v>NK Osijek  vs  Hajduk Split</v>
      </c>
    </row>
    <row r="101" spans="1:10">
      <c r="A101" s="31">
        <v>43499</v>
      </c>
      <c r="B101" s="151" t="s">
        <v>2075</v>
      </c>
      <c r="C101" s="144" t="s">
        <v>2076</v>
      </c>
      <c r="D101" s="143" t="s">
        <v>1898</v>
      </c>
      <c r="E101" s="145" t="s">
        <v>1626</v>
      </c>
      <c r="F101" s="145">
        <v>3.4</v>
      </c>
      <c r="G101" s="146" t="s">
        <v>1561</v>
      </c>
      <c r="H101" s="145" t="s">
        <v>1154</v>
      </c>
      <c r="J101" s="150" t="str">
        <f t="shared" si="3"/>
        <v>AS Roma  vs  AC Milan</v>
      </c>
    </row>
    <row r="102" spans="1:10">
      <c r="A102" s="31">
        <v>43499</v>
      </c>
      <c r="B102" s="151" t="s">
        <v>2079</v>
      </c>
      <c r="C102" s="144" t="s">
        <v>2080</v>
      </c>
      <c r="D102" s="143" t="s">
        <v>1847</v>
      </c>
      <c r="E102" s="145" t="s">
        <v>1626</v>
      </c>
      <c r="F102" s="145">
        <v>3.4</v>
      </c>
      <c r="G102" s="146" t="s">
        <v>1560</v>
      </c>
      <c r="H102" s="145" t="s">
        <v>1153</v>
      </c>
      <c r="J102" s="150" t="str">
        <f t="shared" si="3"/>
        <v>Benevento  vs  Venezia</v>
      </c>
    </row>
    <row r="103" spans="1:10">
      <c r="A103" s="31">
        <v>43499</v>
      </c>
      <c r="B103" s="151" t="s">
        <v>2072</v>
      </c>
      <c r="C103" s="144" t="s">
        <v>2073</v>
      </c>
      <c r="D103" s="143" t="s">
        <v>1898</v>
      </c>
      <c r="E103" s="145" t="s">
        <v>1626</v>
      </c>
      <c r="F103" s="145">
        <v>3.3</v>
      </c>
      <c r="G103" s="146" t="s">
        <v>1561</v>
      </c>
      <c r="H103" s="145" t="s">
        <v>1154</v>
      </c>
      <c r="J103" s="150" t="str">
        <f t="shared" si="3"/>
        <v>Genoa  vs  Sassuolo</v>
      </c>
    </row>
    <row r="104" spans="1:10">
      <c r="A104" s="31">
        <v>43499</v>
      </c>
      <c r="B104" s="151" t="s">
        <v>2062</v>
      </c>
      <c r="C104" s="144" t="s">
        <v>2063</v>
      </c>
      <c r="D104" s="143" t="s">
        <v>1693</v>
      </c>
      <c r="E104" s="145" t="s">
        <v>1626</v>
      </c>
      <c r="F104" s="145">
        <v>3.15</v>
      </c>
      <c r="G104" s="146" t="s">
        <v>1560</v>
      </c>
      <c r="H104" s="145" t="s">
        <v>1153</v>
      </c>
      <c r="J104" s="150" t="str">
        <f t="shared" si="3"/>
        <v>SV Sandhausen  vs  VfL Bochum</v>
      </c>
    </row>
    <row r="105" spans="1:10">
      <c r="A105" s="31">
        <v>43499</v>
      </c>
      <c r="B105" s="151" t="s">
        <v>2038</v>
      </c>
      <c r="C105" s="144" t="s">
        <v>2039</v>
      </c>
      <c r="D105" s="143" t="s">
        <v>1736</v>
      </c>
      <c r="E105" s="145" t="s">
        <v>1626</v>
      </c>
      <c r="F105" s="145">
        <v>3.05</v>
      </c>
      <c r="G105" s="146" t="s">
        <v>1510</v>
      </c>
      <c r="H105" s="145" t="s">
        <v>1154</v>
      </c>
      <c r="J105" s="150" t="str">
        <f t="shared" si="3"/>
        <v>Union de Santa Fe  vs  Newell’s Old Boys</v>
      </c>
    </row>
    <row r="106" spans="1:10">
      <c r="A106" s="31">
        <v>43499</v>
      </c>
      <c r="B106" s="151" t="s">
        <v>2065</v>
      </c>
      <c r="C106" s="144" t="s">
        <v>2066</v>
      </c>
      <c r="D106" s="143" t="s">
        <v>1264</v>
      </c>
      <c r="E106" s="145" t="s">
        <v>1626</v>
      </c>
      <c r="F106" s="145">
        <v>3</v>
      </c>
      <c r="G106" s="146" t="s">
        <v>1513</v>
      </c>
      <c r="H106" s="145" t="s">
        <v>1154</v>
      </c>
      <c r="J106" s="150" t="str">
        <f t="shared" si="3"/>
        <v>Ironi Kiryat Shmona  vs  Bnei Sakhnin</v>
      </c>
    </row>
    <row r="107" spans="1:10">
      <c r="A107" s="31">
        <v>43499</v>
      </c>
      <c r="B107" s="151" t="s">
        <v>2098</v>
      </c>
      <c r="C107" s="144" t="s">
        <v>2099</v>
      </c>
      <c r="D107" s="143" t="s">
        <v>1266</v>
      </c>
      <c r="E107" s="145" t="s">
        <v>1626</v>
      </c>
      <c r="F107" s="145">
        <v>3</v>
      </c>
      <c r="G107" s="146" t="s">
        <v>1506</v>
      </c>
      <c r="H107" s="145" t="s">
        <v>1153</v>
      </c>
      <c r="J107" s="150" t="str">
        <f t="shared" si="3"/>
        <v>Cova Piedade  vs  UD Oliveirense</v>
      </c>
    </row>
    <row r="108" spans="1:10">
      <c r="A108" s="31">
        <v>43499</v>
      </c>
      <c r="B108" s="151" t="s">
        <v>2054</v>
      </c>
      <c r="C108" s="144" t="s">
        <v>1424</v>
      </c>
      <c r="D108" s="143" t="s">
        <v>1261</v>
      </c>
      <c r="E108" s="145" t="s">
        <v>1626</v>
      </c>
      <c r="F108" s="145">
        <v>2.98</v>
      </c>
      <c r="G108" s="146" t="s">
        <v>1561</v>
      </c>
      <c r="H108" s="145" t="s">
        <v>1154</v>
      </c>
      <c r="J108" s="150" t="str">
        <f t="shared" si="3"/>
        <v>Nimes Olympique  vs  Montpellier HSC</v>
      </c>
    </row>
    <row r="109" spans="1:10">
      <c r="A109" s="31">
        <v>43500</v>
      </c>
      <c r="B109" s="151" t="s">
        <v>1275</v>
      </c>
      <c r="C109" s="144" t="s">
        <v>1391</v>
      </c>
      <c r="D109" s="143" t="s">
        <v>1267</v>
      </c>
      <c r="E109" s="145" t="s">
        <v>1626</v>
      </c>
      <c r="F109" s="145">
        <v>5</v>
      </c>
      <c r="G109" s="146" t="s">
        <v>1561</v>
      </c>
      <c r="H109" s="145" t="s">
        <v>1154</v>
      </c>
      <c r="J109" s="150" t="str">
        <f t="shared" si="3"/>
        <v>West Ham United  vs  Liverpool</v>
      </c>
    </row>
    <row r="110" spans="1:10">
      <c r="A110" s="31">
        <v>43500</v>
      </c>
      <c r="B110" s="151" t="s">
        <v>2165</v>
      </c>
      <c r="C110" s="144" t="s">
        <v>2166</v>
      </c>
      <c r="D110" s="143" t="s">
        <v>1693</v>
      </c>
      <c r="E110" s="145" t="s">
        <v>1626</v>
      </c>
      <c r="F110" s="145">
        <v>3.2</v>
      </c>
      <c r="G110" s="146" t="s">
        <v>1795</v>
      </c>
      <c r="H110" s="145" t="s">
        <v>1153</v>
      </c>
      <c r="J110" s="150" t="str">
        <f t="shared" si="3"/>
        <v>St. Pauli  vs  Union Berlin</v>
      </c>
    </row>
    <row r="111" spans="1:10">
      <c r="A111" s="31">
        <v>43500</v>
      </c>
      <c r="B111" s="151" t="s">
        <v>2167</v>
      </c>
      <c r="C111" s="144" t="s">
        <v>2168</v>
      </c>
      <c r="D111" s="143" t="s">
        <v>1242</v>
      </c>
      <c r="E111" s="145" t="s">
        <v>1626</v>
      </c>
      <c r="F111" s="145">
        <v>3.05</v>
      </c>
      <c r="G111" s="146" t="s">
        <v>1506</v>
      </c>
      <c r="H111" s="145" t="s">
        <v>1153</v>
      </c>
      <c r="J111" s="150" t="str">
        <f t="shared" si="3"/>
        <v>Belenenses  vs  Moreirense</v>
      </c>
    </row>
    <row r="112" spans="1:10">
      <c r="A112" s="31">
        <v>43500</v>
      </c>
      <c r="B112" s="151" t="s">
        <v>1800</v>
      </c>
      <c r="C112" s="144" t="s">
        <v>2171</v>
      </c>
      <c r="D112" s="143" t="s">
        <v>1736</v>
      </c>
      <c r="E112" s="145" t="s">
        <v>1626</v>
      </c>
      <c r="F112" s="145">
        <v>2.87</v>
      </c>
      <c r="G112" s="146" t="s">
        <v>1560</v>
      </c>
      <c r="H112" s="145" t="s">
        <v>1153</v>
      </c>
      <c r="J112" s="150" t="str">
        <f t="shared" si="3"/>
        <v>San Martin de San Juan  vs  Estudiantes de la Plata</v>
      </c>
    </row>
    <row r="113" spans="1:10">
      <c r="A113" s="6">
        <v>43501</v>
      </c>
      <c r="B113" s="156" t="s">
        <v>2150</v>
      </c>
      <c r="C113" s="3" t="s">
        <v>1425</v>
      </c>
      <c r="D113" s="73" t="s">
        <v>1263</v>
      </c>
      <c r="E113" s="23" t="s">
        <v>1626</v>
      </c>
      <c r="F113" s="23">
        <v>3.8</v>
      </c>
      <c r="G113" s="159" t="s">
        <v>1513</v>
      </c>
      <c r="H113" s="23" t="s">
        <v>1154</v>
      </c>
      <c r="J113" s="150" t="str">
        <f t="shared" si="3"/>
        <v>Bastia  vs  Stade Malherbe de Caen</v>
      </c>
    </row>
    <row r="114" spans="1:10">
      <c r="A114" s="6">
        <v>43501</v>
      </c>
      <c r="B114" s="156" t="s">
        <v>1872</v>
      </c>
      <c r="C114" s="3" t="s">
        <v>1759</v>
      </c>
      <c r="D114" s="73" t="s">
        <v>2137</v>
      </c>
      <c r="E114" s="23" t="s">
        <v>1626</v>
      </c>
      <c r="F114" s="23">
        <v>3.55</v>
      </c>
      <c r="G114" s="159" t="s">
        <v>1591</v>
      </c>
      <c r="H114" s="23" t="s">
        <v>1153</v>
      </c>
      <c r="J114" s="150" t="str">
        <f t="shared" si="3"/>
        <v>MSV Duisburg  vs  Paderborn 07</v>
      </c>
    </row>
    <row r="115" spans="1:10">
      <c r="A115" s="6">
        <v>43501</v>
      </c>
      <c r="B115" s="156" t="s">
        <v>2148</v>
      </c>
      <c r="C115" s="3" t="s">
        <v>2149</v>
      </c>
      <c r="D115" s="73" t="s">
        <v>1261</v>
      </c>
      <c r="E115" s="23" t="s">
        <v>1626</v>
      </c>
      <c r="F115" s="23">
        <v>3.2</v>
      </c>
      <c r="G115" s="159" t="s">
        <v>1523</v>
      </c>
      <c r="H115" s="23" t="s">
        <v>1153</v>
      </c>
      <c r="J115" s="150" t="str">
        <f t="shared" si="3"/>
        <v>Olympique de Marseille  vs  Girondins de Bordeaux</v>
      </c>
    </row>
    <row r="116" spans="1:10">
      <c r="A116" s="6">
        <v>43501</v>
      </c>
      <c r="B116" s="156" t="s">
        <v>2139</v>
      </c>
      <c r="C116" s="3" t="s">
        <v>2140</v>
      </c>
      <c r="D116" s="73" t="s">
        <v>1690</v>
      </c>
      <c r="E116" s="23" t="s">
        <v>1626</v>
      </c>
      <c r="F116" s="23">
        <v>3.05</v>
      </c>
      <c r="G116" s="159" t="s">
        <v>1513</v>
      </c>
      <c r="H116" s="23" t="s">
        <v>1154</v>
      </c>
      <c r="J116" s="150" t="str">
        <f t="shared" si="3"/>
        <v>Danubio  vs  Atletico Mineiro</v>
      </c>
    </row>
    <row r="117" spans="1:10">
      <c r="A117" s="6">
        <v>43501</v>
      </c>
      <c r="B117" s="156" t="s">
        <v>2141</v>
      </c>
      <c r="C117" s="3" t="s">
        <v>2142</v>
      </c>
      <c r="D117" s="73" t="s">
        <v>1690</v>
      </c>
      <c r="E117" s="23" t="s">
        <v>1626</v>
      </c>
      <c r="F117" s="23">
        <v>2.93</v>
      </c>
      <c r="G117" s="159" t="s">
        <v>1523</v>
      </c>
      <c r="H117" s="23" t="s">
        <v>1153</v>
      </c>
      <c r="J117" s="150" t="str">
        <f t="shared" si="3"/>
        <v>Melgar FBC  vs  Universidad de Chile</v>
      </c>
    </row>
    <row r="118" spans="1:10">
      <c r="A118" s="6">
        <v>43501</v>
      </c>
      <c r="B118" s="156" t="s">
        <v>2145</v>
      </c>
      <c r="C118" s="3" t="s">
        <v>2146</v>
      </c>
      <c r="D118" s="73" t="s">
        <v>2136</v>
      </c>
      <c r="E118" s="23" t="s">
        <v>1626</v>
      </c>
      <c r="F118" s="23">
        <v>2.87</v>
      </c>
      <c r="G118" s="159" t="s">
        <v>1510</v>
      </c>
      <c r="H118" s="23" t="s">
        <v>1154</v>
      </c>
      <c r="J118" s="150" t="str">
        <f t="shared" si="3"/>
        <v>Union La Calera  vs  Chapecoense</v>
      </c>
    </row>
    <row r="119" spans="1:10">
      <c r="A119" s="6">
        <v>43502</v>
      </c>
      <c r="B119" s="156" t="s">
        <v>1948</v>
      </c>
      <c r="C119" s="3" t="s">
        <v>1945</v>
      </c>
      <c r="D119" s="73" t="s">
        <v>2137</v>
      </c>
      <c r="E119" s="23" t="s">
        <v>1626</v>
      </c>
      <c r="F119" s="23">
        <v>5.0999999999999996</v>
      </c>
      <c r="G119" s="159" t="s">
        <v>1559</v>
      </c>
      <c r="H119" s="23" t="s">
        <v>1153</v>
      </c>
      <c r="J119" s="150" t="str">
        <f t="shared" si="3"/>
        <v>Hertha Berlin  vs  Bayern Munich</v>
      </c>
    </row>
    <row r="120" spans="1:10">
      <c r="A120" s="6">
        <v>43502</v>
      </c>
      <c r="B120" s="156" t="s">
        <v>2185</v>
      </c>
      <c r="C120" s="3" t="s">
        <v>2186</v>
      </c>
      <c r="D120" s="73" t="s">
        <v>1690</v>
      </c>
      <c r="E120" s="23" t="s">
        <v>1626</v>
      </c>
      <c r="F120" s="23">
        <v>4.0999999999999996</v>
      </c>
      <c r="G120" s="159" t="s">
        <v>1561</v>
      </c>
      <c r="H120" s="23" t="s">
        <v>1154</v>
      </c>
      <c r="J120" s="150" t="str">
        <f t="shared" si="3"/>
        <v>Delfin  vs  Caracas</v>
      </c>
    </row>
    <row r="121" spans="1:10">
      <c r="A121" s="6">
        <v>43502</v>
      </c>
      <c r="B121" s="156" t="s">
        <v>2060</v>
      </c>
      <c r="C121" s="3" t="s">
        <v>2187</v>
      </c>
      <c r="D121" s="73" t="s">
        <v>2137</v>
      </c>
      <c r="E121" s="23" t="s">
        <v>1626</v>
      </c>
      <c r="F121" s="23">
        <v>3.5</v>
      </c>
      <c r="G121" s="159" t="s">
        <v>1506</v>
      </c>
      <c r="H121" s="23" t="s">
        <v>1153</v>
      </c>
      <c r="J121" s="150" t="str">
        <f t="shared" si="3"/>
        <v>Holstein Kiel  vs  Augsburg</v>
      </c>
    </row>
    <row r="122" spans="1:10">
      <c r="A122" s="6">
        <v>43502</v>
      </c>
      <c r="B122" s="156" t="s">
        <v>2188</v>
      </c>
      <c r="C122" s="3" t="s">
        <v>2189</v>
      </c>
      <c r="D122" s="73" t="s">
        <v>2137</v>
      </c>
      <c r="E122" s="23" t="s">
        <v>1626</v>
      </c>
      <c r="F122" s="23">
        <v>3.45</v>
      </c>
      <c r="G122" s="159" t="s">
        <v>1507</v>
      </c>
      <c r="H122" s="23" t="s">
        <v>1153</v>
      </c>
      <c r="J122" s="150" t="str">
        <f t="shared" si="3"/>
        <v>Schalke 04  vs  Fortuna Dusseldorf</v>
      </c>
    </row>
    <row r="123" spans="1:10">
      <c r="A123" s="6">
        <v>43502</v>
      </c>
      <c r="B123" s="156" t="s">
        <v>2106</v>
      </c>
      <c r="C123" s="3" t="s">
        <v>2107</v>
      </c>
      <c r="D123" s="73" t="s">
        <v>1899</v>
      </c>
      <c r="E123" s="23" t="s">
        <v>1626</v>
      </c>
      <c r="F123" s="23">
        <v>3.45</v>
      </c>
      <c r="G123" s="159" t="s">
        <v>1798</v>
      </c>
      <c r="H123" s="23" t="s">
        <v>1153</v>
      </c>
      <c r="J123" s="150" t="str">
        <f t="shared" si="3"/>
        <v>St. Gallen  vs  FC Zurich</v>
      </c>
    </row>
    <row r="124" spans="1:10">
      <c r="A124" s="6">
        <v>43502</v>
      </c>
      <c r="B124" s="156" t="s">
        <v>2190</v>
      </c>
      <c r="C124" s="3" t="s">
        <v>1971</v>
      </c>
      <c r="D124" s="73" t="s">
        <v>2138</v>
      </c>
      <c r="E124" s="23" t="s">
        <v>1626</v>
      </c>
      <c r="F124" s="23">
        <v>3.4</v>
      </c>
      <c r="G124" s="159" t="s">
        <v>1559</v>
      </c>
      <c r="H124" s="23" t="s">
        <v>1153</v>
      </c>
      <c r="J124" s="150" t="str">
        <f t="shared" si="3"/>
        <v>Kafr Qasim  vs  Hapoel Hadera</v>
      </c>
    </row>
    <row r="125" spans="1:10">
      <c r="A125" s="6">
        <v>43502</v>
      </c>
      <c r="B125" s="158" t="s">
        <v>1327</v>
      </c>
      <c r="C125" s="3" t="s">
        <v>2193</v>
      </c>
      <c r="D125" s="73" t="s">
        <v>1263</v>
      </c>
      <c r="E125" s="23" t="s">
        <v>1626</v>
      </c>
      <c r="F125" s="23">
        <v>3.15</v>
      </c>
      <c r="G125" s="159" t="s">
        <v>1522</v>
      </c>
      <c r="H125" s="23" t="s">
        <v>1153</v>
      </c>
      <c r="J125" s="150" t="str">
        <f t="shared" si="3"/>
        <v>Stade Rennais  vs  Lille OSC</v>
      </c>
    </row>
    <row r="126" spans="1:10">
      <c r="A126" s="162">
        <v>43503</v>
      </c>
      <c r="B126" s="151" t="s">
        <v>2212</v>
      </c>
      <c r="C126" s="144" t="s">
        <v>2213</v>
      </c>
      <c r="D126" s="143" t="s">
        <v>2136</v>
      </c>
      <c r="E126" s="145" t="s">
        <v>1626</v>
      </c>
      <c r="F126" s="145">
        <v>4.1500000000000004</v>
      </c>
      <c r="G126" s="146" t="s">
        <v>1506</v>
      </c>
      <c r="H126" s="145" t="s">
        <v>1153</v>
      </c>
      <c r="J126" s="150" t="str">
        <f t="shared" si="3"/>
        <v>Bahia  vs  Liverpool Montevideo</v>
      </c>
    </row>
    <row r="127" spans="1:10">
      <c r="A127" s="162">
        <v>43503</v>
      </c>
      <c r="B127" s="151" t="s">
        <v>1670</v>
      </c>
      <c r="C127" s="144" t="s">
        <v>1428</v>
      </c>
      <c r="D127" s="143" t="s">
        <v>1263</v>
      </c>
      <c r="E127" s="145" t="s">
        <v>1626</v>
      </c>
      <c r="F127" s="145">
        <v>3.85</v>
      </c>
      <c r="G127" s="146" t="s">
        <v>1511</v>
      </c>
      <c r="H127" s="145" t="s">
        <v>1153</v>
      </c>
      <c r="J127" s="150" t="str">
        <f t="shared" si="3"/>
        <v>En Avant Guingamp  vs  Olympique Lyonnais</v>
      </c>
    </row>
    <row r="128" spans="1:10">
      <c r="A128" s="162">
        <v>43503</v>
      </c>
      <c r="B128" s="151" t="s">
        <v>1774</v>
      </c>
      <c r="C128" s="144" t="s">
        <v>1438</v>
      </c>
      <c r="D128" s="143" t="s">
        <v>1215</v>
      </c>
      <c r="E128" s="145" t="s">
        <v>1626</v>
      </c>
      <c r="F128" s="145">
        <v>3.2</v>
      </c>
      <c r="G128" s="146" t="s">
        <v>1513</v>
      </c>
      <c r="H128" s="145" t="s">
        <v>1154</v>
      </c>
      <c r="J128" s="150" t="str">
        <f t="shared" si="3"/>
        <v>Real Betis Balompie  vs  Valencia CF</v>
      </c>
    </row>
    <row r="129" spans="1:10">
      <c r="A129" s="162">
        <v>43504</v>
      </c>
      <c r="B129" s="151" t="s">
        <v>2221</v>
      </c>
      <c r="C129" s="144" t="s">
        <v>2222</v>
      </c>
      <c r="D129" s="143" t="s">
        <v>1693</v>
      </c>
      <c r="E129" s="145" t="s">
        <v>1626</v>
      </c>
      <c r="F129" s="145">
        <v>4.2</v>
      </c>
      <c r="G129" s="146" t="s">
        <v>1507</v>
      </c>
      <c r="H129" s="145" t="s">
        <v>1153</v>
      </c>
      <c r="J129" s="150" t="str">
        <f t="shared" si="3"/>
        <v>Koln  vs  St. Pauli</v>
      </c>
    </row>
    <row r="130" spans="1:10">
      <c r="A130" s="162">
        <v>43504</v>
      </c>
      <c r="B130" s="151" t="s">
        <v>2223</v>
      </c>
      <c r="C130" s="144" t="s">
        <v>2224</v>
      </c>
      <c r="D130" s="143" t="s">
        <v>1845</v>
      </c>
      <c r="E130" s="145" t="s">
        <v>1626</v>
      </c>
      <c r="F130" s="145">
        <v>4.0999999999999996</v>
      </c>
      <c r="G130" s="146" t="s">
        <v>1562</v>
      </c>
      <c r="H130" s="145" t="s">
        <v>1153</v>
      </c>
      <c r="J130" s="150" t="str">
        <f t="shared" si="3"/>
        <v>Racing Genk  vs  Standard de Liege</v>
      </c>
    </row>
    <row r="131" spans="1:10">
      <c r="A131" s="162">
        <v>43504</v>
      </c>
      <c r="B131" s="151" t="s">
        <v>2225</v>
      </c>
      <c r="C131" s="144" t="s">
        <v>2226</v>
      </c>
      <c r="D131" s="143" t="s">
        <v>1898</v>
      </c>
      <c r="E131" s="145" t="s">
        <v>1626</v>
      </c>
      <c r="F131" s="145">
        <v>4.0999999999999996</v>
      </c>
      <c r="G131" s="146" t="s">
        <v>1508</v>
      </c>
      <c r="H131" s="145" t="s">
        <v>1153</v>
      </c>
      <c r="J131" s="150" t="str">
        <f t="shared" si="3"/>
        <v>Chievo Verona  vs  AS Roma</v>
      </c>
    </row>
    <row r="132" spans="1:10">
      <c r="A132" s="162">
        <v>43504</v>
      </c>
      <c r="B132" s="151" t="s">
        <v>2229</v>
      </c>
      <c r="C132" s="144" t="s">
        <v>2154</v>
      </c>
      <c r="D132" s="143" t="s">
        <v>1846</v>
      </c>
      <c r="E132" s="145" t="s">
        <v>1626</v>
      </c>
      <c r="F132" s="145">
        <v>3.9</v>
      </c>
      <c r="G132" s="146" t="s">
        <v>1892</v>
      </c>
      <c r="H132" s="145" t="s">
        <v>1153</v>
      </c>
      <c r="J132" s="150" t="str">
        <f t="shared" si="3"/>
        <v>Mainz 05  vs  Bayer 04 Leverkusen</v>
      </c>
    </row>
    <row r="133" spans="1:10">
      <c r="A133" s="162">
        <v>43504</v>
      </c>
      <c r="B133" s="151" t="s">
        <v>2232</v>
      </c>
      <c r="C133" s="144" t="s">
        <v>1765</v>
      </c>
      <c r="D133" s="143" t="s">
        <v>1693</v>
      </c>
      <c r="E133" s="145" t="s">
        <v>1626</v>
      </c>
      <c r="F133" s="145">
        <v>3.55</v>
      </c>
      <c r="G133" s="146" t="s">
        <v>1508</v>
      </c>
      <c r="H133" s="145" t="s">
        <v>1153</v>
      </c>
      <c r="J133" s="150" t="str">
        <f t="shared" si="3"/>
        <v>Jahn Regensburg  vs  Arminia Bielefeld</v>
      </c>
    </row>
    <row r="134" spans="1:10">
      <c r="A134" s="162">
        <v>43504</v>
      </c>
      <c r="B134" s="151" t="s">
        <v>1315</v>
      </c>
      <c r="C134" s="144" t="s">
        <v>1469</v>
      </c>
      <c r="D134" s="143" t="s">
        <v>1265</v>
      </c>
      <c r="E134" s="145" t="s">
        <v>1626</v>
      </c>
      <c r="F134" s="145">
        <v>3.25</v>
      </c>
      <c r="G134" s="146" t="s">
        <v>1510</v>
      </c>
      <c r="H134" s="145" t="s">
        <v>1154</v>
      </c>
      <c r="J134" s="150" t="str">
        <f t="shared" si="3"/>
        <v>Real Valladolid  vs  Villarreal CF</v>
      </c>
    </row>
    <row r="135" spans="1:10">
      <c r="A135" s="162">
        <v>43504</v>
      </c>
      <c r="B135" s="151" t="s">
        <v>2237</v>
      </c>
      <c r="C135" s="144" t="s">
        <v>2238</v>
      </c>
      <c r="D135" s="143" t="s">
        <v>2219</v>
      </c>
      <c r="E135" s="145" t="s">
        <v>1626</v>
      </c>
      <c r="F135" s="145">
        <v>3.15</v>
      </c>
      <c r="G135" s="146" t="s">
        <v>1511</v>
      </c>
      <c r="H135" s="145" t="s">
        <v>1153</v>
      </c>
      <c r="J135" s="150" t="str">
        <f t="shared" si="3"/>
        <v>Sigma Olomouc  vs  Baumit Jablonec</v>
      </c>
    </row>
    <row r="136" spans="1:10">
      <c r="A136" s="162">
        <v>43504</v>
      </c>
      <c r="B136" s="151" t="s">
        <v>1904</v>
      </c>
      <c r="C136" s="144" t="s">
        <v>2239</v>
      </c>
      <c r="D136" s="143" t="s">
        <v>1736</v>
      </c>
      <c r="E136" s="145" t="s">
        <v>1626</v>
      </c>
      <c r="F136" s="145">
        <v>3.1</v>
      </c>
      <c r="G136" s="146" t="s">
        <v>1562</v>
      </c>
      <c r="H136" s="145" t="s">
        <v>1153</v>
      </c>
      <c r="J136" s="150" t="str">
        <f t="shared" ref="J136:J199" si="4">CONCATENATE(B136," vs ",C136)</f>
        <v>Atletico Lanus  vs  Gimnasia de la Plata</v>
      </c>
    </row>
    <row r="137" spans="1:10">
      <c r="A137" s="162">
        <v>43505</v>
      </c>
      <c r="B137" s="151" t="s">
        <v>2270</v>
      </c>
      <c r="C137" s="144" t="s">
        <v>2271</v>
      </c>
      <c r="D137" s="143" t="s">
        <v>1846</v>
      </c>
      <c r="E137" s="145" t="s">
        <v>1626</v>
      </c>
      <c r="F137" s="145">
        <v>4.2</v>
      </c>
      <c r="G137" s="146" t="s">
        <v>1508</v>
      </c>
      <c r="H137" s="145" t="s">
        <v>1153</v>
      </c>
      <c r="J137" s="150" t="str">
        <f t="shared" si="4"/>
        <v>Borussia Moenchengladbach  vs  Hertha Berlin</v>
      </c>
    </row>
    <row r="138" spans="1:10">
      <c r="A138" s="162">
        <v>43505</v>
      </c>
      <c r="B138" s="151" t="s">
        <v>2272</v>
      </c>
      <c r="C138" s="144" t="s">
        <v>2273</v>
      </c>
      <c r="D138" s="143" t="s">
        <v>1898</v>
      </c>
      <c r="E138" s="145" t="s">
        <v>1626</v>
      </c>
      <c r="F138" s="145">
        <v>3.9</v>
      </c>
      <c r="G138" s="146" t="s">
        <v>1506</v>
      </c>
      <c r="H138" s="145" t="s">
        <v>1153</v>
      </c>
      <c r="J138" s="150" t="str">
        <f t="shared" si="4"/>
        <v>Parma  vs  Internazionale</v>
      </c>
    </row>
    <row r="139" spans="1:10">
      <c r="A139" s="162">
        <v>43505</v>
      </c>
      <c r="B139" s="151" t="s">
        <v>2274</v>
      </c>
      <c r="C139" s="144" t="s">
        <v>2275</v>
      </c>
      <c r="D139" s="143" t="s">
        <v>1845</v>
      </c>
      <c r="E139" s="145" t="s">
        <v>1626</v>
      </c>
      <c r="F139" s="145">
        <v>3.85</v>
      </c>
      <c r="G139" s="146" t="s">
        <v>1561</v>
      </c>
      <c r="H139" s="145" t="s">
        <v>1154</v>
      </c>
      <c r="J139" s="150" t="str">
        <f t="shared" si="4"/>
        <v>Sporting Charleroi  vs  KV Oostende</v>
      </c>
    </row>
    <row r="140" spans="1:10">
      <c r="A140" s="162">
        <v>43505</v>
      </c>
      <c r="B140" s="151" t="s">
        <v>2276</v>
      </c>
      <c r="C140" s="144" t="s">
        <v>2277</v>
      </c>
      <c r="D140" s="143" t="s">
        <v>1692</v>
      </c>
      <c r="E140" s="145" t="s">
        <v>1626</v>
      </c>
      <c r="F140" s="145">
        <v>3.6</v>
      </c>
      <c r="G140" s="146" t="s">
        <v>1523</v>
      </c>
      <c r="H140" s="145" t="s">
        <v>1153</v>
      </c>
      <c r="J140" s="150" t="str">
        <f t="shared" si="4"/>
        <v>Inter Turku  vs  HJK Helsinki</v>
      </c>
    </row>
    <row r="141" spans="1:10">
      <c r="A141" s="162">
        <v>43505</v>
      </c>
      <c r="B141" s="151" t="s">
        <v>1718</v>
      </c>
      <c r="C141" s="144" t="s">
        <v>1759</v>
      </c>
      <c r="D141" s="143" t="s">
        <v>1693</v>
      </c>
      <c r="E141" s="145" t="s">
        <v>1626</v>
      </c>
      <c r="F141" s="145">
        <v>3.6</v>
      </c>
      <c r="G141" s="146" t="s">
        <v>1511</v>
      </c>
      <c r="H141" s="145" t="s">
        <v>1153</v>
      </c>
      <c r="J141" s="150" t="str">
        <f t="shared" si="4"/>
        <v>VfL Bochum  vs  Paderborn 07</v>
      </c>
    </row>
    <row r="142" spans="1:10">
      <c r="A142" s="162">
        <v>43505</v>
      </c>
      <c r="B142" s="151" t="s">
        <v>2278</v>
      </c>
      <c r="C142" s="144" t="s">
        <v>2279</v>
      </c>
      <c r="D142" s="143" t="s">
        <v>1692</v>
      </c>
      <c r="E142" s="145" t="s">
        <v>1626</v>
      </c>
      <c r="F142" s="145">
        <v>3.55</v>
      </c>
      <c r="G142" s="146" t="s">
        <v>1795</v>
      </c>
      <c r="H142" s="145" t="s">
        <v>1153</v>
      </c>
      <c r="J142" s="150" t="str">
        <f t="shared" si="4"/>
        <v>KTP  vs  TPS Turku</v>
      </c>
    </row>
    <row r="143" spans="1:10">
      <c r="A143" s="162">
        <v>43505</v>
      </c>
      <c r="B143" s="151" t="s">
        <v>1766</v>
      </c>
      <c r="C143" s="144" t="s">
        <v>1727</v>
      </c>
      <c r="D143" s="143" t="s">
        <v>1898</v>
      </c>
      <c r="E143" s="145" t="s">
        <v>1626</v>
      </c>
      <c r="F143" s="145">
        <v>3.55</v>
      </c>
      <c r="G143" s="146" t="s">
        <v>1510</v>
      </c>
      <c r="H143" s="145" t="s">
        <v>1154</v>
      </c>
      <c r="J143" s="150" t="str">
        <f t="shared" si="4"/>
        <v>ACF Fiorentina  vs  SSC Napoli</v>
      </c>
    </row>
    <row r="144" spans="1:10">
      <c r="A144" s="162">
        <v>43505</v>
      </c>
      <c r="B144" s="151" t="s">
        <v>2280</v>
      </c>
      <c r="C144" s="144" t="s">
        <v>2281</v>
      </c>
      <c r="D144" s="143" t="s">
        <v>1736</v>
      </c>
      <c r="E144" s="145" t="s">
        <v>1626</v>
      </c>
      <c r="F144" s="145">
        <v>3.5</v>
      </c>
      <c r="G144" s="146" t="s">
        <v>1510</v>
      </c>
      <c r="H144" s="145" t="s">
        <v>1154</v>
      </c>
      <c r="J144" s="150" t="str">
        <f t="shared" si="4"/>
        <v>Atletico Tucuman  vs  Talleres de Cordoba</v>
      </c>
    </row>
    <row r="145" spans="1:10">
      <c r="A145" s="162">
        <v>43505</v>
      </c>
      <c r="B145" s="151" t="s">
        <v>2282</v>
      </c>
      <c r="C145" s="144" t="s">
        <v>2283</v>
      </c>
      <c r="D145" s="143" t="s">
        <v>1692</v>
      </c>
      <c r="E145" s="145" t="s">
        <v>1626</v>
      </c>
      <c r="F145" s="145">
        <v>3.5</v>
      </c>
      <c r="G145" s="146" t="s">
        <v>2500</v>
      </c>
      <c r="H145" s="145" t="s">
        <v>1153</v>
      </c>
      <c r="J145" s="150" t="str">
        <f t="shared" si="4"/>
        <v>Ekenas IF  vs  TPV Tampere</v>
      </c>
    </row>
    <row r="146" spans="1:10">
      <c r="A146" s="162">
        <v>43505</v>
      </c>
      <c r="B146" s="151" t="s">
        <v>1936</v>
      </c>
      <c r="C146" s="144" t="s">
        <v>2284</v>
      </c>
      <c r="D146" s="143" t="s">
        <v>1692</v>
      </c>
      <c r="E146" s="145" t="s">
        <v>1626</v>
      </c>
      <c r="F146" s="145">
        <v>3.45</v>
      </c>
      <c r="G146" s="146" t="s">
        <v>1522</v>
      </c>
      <c r="H146" s="145" t="s">
        <v>1153</v>
      </c>
      <c r="J146" s="150" t="str">
        <f t="shared" si="4"/>
        <v>VPS Vaasa  vs  RoPS Rovaniemi</v>
      </c>
    </row>
    <row r="147" spans="1:10">
      <c r="A147" s="162">
        <v>43505</v>
      </c>
      <c r="B147" s="151" t="s">
        <v>2285</v>
      </c>
      <c r="C147" s="144" t="s">
        <v>2286</v>
      </c>
      <c r="D147" s="143" t="s">
        <v>1897</v>
      </c>
      <c r="E147" s="145" t="s">
        <v>1626</v>
      </c>
      <c r="F147" s="145">
        <v>3.4</v>
      </c>
      <c r="G147" s="146" t="s">
        <v>1522</v>
      </c>
      <c r="H147" s="145" t="s">
        <v>1153</v>
      </c>
      <c r="J147" s="150" t="str">
        <f t="shared" si="4"/>
        <v>Budapest Honved  vs  Puskas FC</v>
      </c>
    </row>
    <row r="148" spans="1:10">
      <c r="A148" s="162">
        <v>43505</v>
      </c>
      <c r="B148" s="151" t="s">
        <v>1722</v>
      </c>
      <c r="C148" s="144" t="s">
        <v>2287</v>
      </c>
      <c r="D148" s="143" t="s">
        <v>1693</v>
      </c>
      <c r="E148" s="145" t="s">
        <v>1626</v>
      </c>
      <c r="F148" s="145">
        <v>3.3</v>
      </c>
      <c r="G148" s="146" t="s">
        <v>1523</v>
      </c>
      <c r="H148" s="145" t="s">
        <v>1153</v>
      </c>
      <c r="J148" s="150" t="str">
        <f t="shared" si="4"/>
        <v>Greuther Furth  vs  MSV Duisburg</v>
      </c>
    </row>
    <row r="149" spans="1:10">
      <c r="A149" s="162">
        <v>43505</v>
      </c>
      <c r="B149" s="151" t="s">
        <v>2288</v>
      </c>
      <c r="C149" s="144" t="s">
        <v>2289</v>
      </c>
      <c r="D149" s="143" t="s">
        <v>1897</v>
      </c>
      <c r="E149" s="145" t="s">
        <v>1626</v>
      </c>
      <c r="F149" s="145">
        <v>3.3</v>
      </c>
      <c r="G149" s="146" t="s">
        <v>1559</v>
      </c>
      <c r="H149" s="145" t="s">
        <v>1153</v>
      </c>
      <c r="J149" s="150" t="str">
        <f t="shared" si="4"/>
        <v>Mezokovesd-Zsory  vs  MTK Budapest</v>
      </c>
    </row>
    <row r="150" spans="1:10">
      <c r="A150" s="162">
        <v>43505</v>
      </c>
      <c r="B150" s="151" t="s">
        <v>1922</v>
      </c>
      <c r="C150" s="144" t="s">
        <v>1373</v>
      </c>
      <c r="D150" s="143" t="s">
        <v>1267</v>
      </c>
      <c r="E150" s="145" t="s">
        <v>1626</v>
      </c>
      <c r="F150" s="145">
        <v>3.25</v>
      </c>
      <c r="G150" s="146" t="s">
        <v>1591</v>
      </c>
      <c r="H150" s="145" t="s">
        <v>1153</v>
      </c>
      <c r="J150" s="150" t="str">
        <f t="shared" si="4"/>
        <v>Brighton &amp; Hove Albion  vs  Burnley</v>
      </c>
    </row>
    <row r="151" spans="1:10">
      <c r="A151" s="162">
        <v>43505</v>
      </c>
      <c r="B151" s="151" t="s">
        <v>2292</v>
      </c>
      <c r="C151" s="144" t="s">
        <v>2293</v>
      </c>
      <c r="D151" s="143" t="s">
        <v>1846</v>
      </c>
      <c r="E151" s="145" t="s">
        <v>1626</v>
      </c>
      <c r="F151" s="145">
        <v>3.25</v>
      </c>
      <c r="G151" s="146" t="s">
        <v>1562</v>
      </c>
      <c r="H151" s="145" t="s">
        <v>1153</v>
      </c>
      <c r="J151" s="150" t="str">
        <f t="shared" si="4"/>
        <v>Hannover 96  vs  Nurnberg</v>
      </c>
    </row>
    <row r="152" spans="1:10">
      <c r="A152" s="162">
        <v>43505</v>
      </c>
      <c r="B152" s="151" t="s">
        <v>2294</v>
      </c>
      <c r="C152" s="144" t="s">
        <v>1397</v>
      </c>
      <c r="D152" s="143" t="s">
        <v>1265</v>
      </c>
      <c r="E152" s="145" t="s">
        <v>1626</v>
      </c>
      <c r="F152" s="145">
        <v>3.2</v>
      </c>
      <c r="G152" s="146" t="s">
        <v>1591</v>
      </c>
      <c r="H152" s="145" t="s">
        <v>1153</v>
      </c>
      <c r="J152" s="150" t="str">
        <f t="shared" si="4"/>
        <v>Atletico Madrid  vs  Real Madrid</v>
      </c>
    </row>
    <row r="153" spans="1:10">
      <c r="A153" s="162">
        <v>43505</v>
      </c>
      <c r="B153" s="151" t="s">
        <v>2295</v>
      </c>
      <c r="C153" s="144" t="s">
        <v>2296</v>
      </c>
      <c r="D153" s="143" t="s">
        <v>2219</v>
      </c>
      <c r="E153" s="145" t="s">
        <v>1626</v>
      </c>
      <c r="F153" s="145">
        <v>3.15</v>
      </c>
      <c r="G153" s="146" t="s">
        <v>1561</v>
      </c>
      <c r="H153" s="145" t="s">
        <v>1154</v>
      </c>
      <c r="J153" s="150" t="str">
        <f t="shared" si="4"/>
        <v>Karvina  vs  Opava</v>
      </c>
    </row>
    <row r="154" spans="1:10">
      <c r="A154" s="162">
        <v>43505</v>
      </c>
      <c r="B154" s="151" t="s">
        <v>2297</v>
      </c>
      <c r="C154" s="144" t="s">
        <v>2298</v>
      </c>
      <c r="D154" s="143" t="s">
        <v>2220</v>
      </c>
      <c r="E154" s="145" t="s">
        <v>1626</v>
      </c>
      <c r="F154" s="145">
        <v>3.15</v>
      </c>
      <c r="G154" s="146" t="s">
        <v>1562</v>
      </c>
      <c r="H154" s="145" t="s">
        <v>1153</v>
      </c>
      <c r="J154" s="150" t="str">
        <f t="shared" si="4"/>
        <v>Vejle  vs  SonderjyskE</v>
      </c>
    </row>
    <row r="155" spans="1:10">
      <c r="A155" s="162">
        <v>43505</v>
      </c>
      <c r="B155" s="151" t="s">
        <v>1303</v>
      </c>
      <c r="C155" s="144" t="s">
        <v>1425</v>
      </c>
      <c r="D155" s="143" t="s">
        <v>1261</v>
      </c>
      <c r="E155" s="145" t="s">
        <v>1626</v>
      </c>
      <c r="F155" s="145">
        <v>3.15</v>
      </c>
      <c r="G155" s="146" t="s">
        <v>1523</v>
      </c>
      <c r="H155" s="145" t="s">
        <v>1153</v>
      </c>
      <c r="J155" s="150" t="str">
        <f t="shared" si="4"/>
        <v>Amiens SC  vs  Stade Malherbe de Caen</v>
      </c>
    </row>
    <row r="156" spans="1:10">
      <c r="A156" s="162">
        <v>43505</v>
      </c>
      <c r="B156" s="151" t="s">
        <v>1313</v>
      </c>
      <c r="C156" s="144" t="s">
        <v>2301</v>
      </c>
      <c r="D156" s="143" t="s">
        <v>1242</v>
      </c>
      <c r="E156" s="145" t="s">
        <v>1626</v>
      </c>
      <c r="F156" s="145">
        <v>3.1</v>
      </c>
      <c r="G156" s="146" t="s">
        <v>1506</v>
      </c>
      <c r="H156" s="145" t="s">
        <v>1153</v>
      </c>
      <c r="J156" s="150" t="str">
        <f t="shared" si="4"/>
        <v>Maritimo Funchal  vs  Desportivo Aves</v>
      </c>
    </row>
    <row r="157" spans="1:10">
      <c r="A157" s="162">
        <v>43505</v>
      </c>
      <c r="B157" s="151" t="s">
        <v>2302</v>
      </c>
      <c r="C157" s="144" t="s">
        <v>2303</v>
      </c>
      <c r="D157" s="143" t="s">
        <v>1897</v>
      </c>
      <c r="E157" s="145" t="s">
        <v>1626</v>
      </c>
      <c r="F157" s="145">
        <v>3.05</v>
      </c>
      <c r="G157" s="146" t="s">
        <v>1561</v>
      </c>
      <c r="H157" s="145" t="s">
        <v>1154</v>
      </c>
      <c r="J157" s="150" t="str">
        <f t="shared" si="4"/>
        <v>Ujpest  vs  Ferencvaros</v>
      </c>
    </row>
    <row r="158" spans="1:10">
      <c r="A158" s="162">
        <v>43505</v>
      </c>
      <c r="B158" s="151" t="s">
        <v>2304</v>
      </c>
      <c r="C158" s="144" t="s">
        <v>2305</v>
      </c>
      <c r="D158" s="143" t="s">
        <v>1847</v>
      </c>
      <c r="E158" s="145" t="s">
        <v>1626</v>
      </c>
      <c r="F158" s="145">
        <v>3.05</v>
      </c>
      <c r="G158" s="146" t="s">
        <v>1511</v>
      </c>
      <c r="H158" s="145" t="s">
        <v>1153</v>
      </c>
      <c r="J158" s="150" t="str">
        <f t="shared" si="4"/>
        <v>Perugia  vs  Palermo</v>
      </c>
    </row>
    <row r="159" spans="1:10">
      <c r="A159" s="162">
        <v>43505</v>
      </c>
      <c r="B159" s="151" t="s">
        <v>2065</v>
      </c>
      <c r="C159" s="144" t="s">
        <v>2306</v>
      </c>
      <c r="D159" s="143" t="s">
        <v>1264</v>
      </c>
      <c r="E159" s="145" t="s">
        <v>1626</v>
      </c>
      <c r="F159" s="145">
        <v>2.88</v>
      </c>
      <c r="G159" s="146" t="s">
        <v>1509</v>
      </c>
      <c r="H159" s="145" t="s">
        <v>1153</v>
      </c>
      <c r="J159" s="150" t="str">
        <f t="shared" si="4"/>
        <v>Ironi Kiryat Shmona  vs  Maccabi Petah Tikva</v>
      </c>
    </row>
    <row r="160" spans="1:10">
      <c r="A160" s="162">
        <v>43506</v>
      </c>
      <c r="B160" s="151" t="s">
        <v>2388</v>
      </c>
      <c r="C160" s="144" t="s">
        <v>2389</v>
      </c>
      <c r="D160" s="143" t="s">
        <v>1848</v>
      </c>
      <c r="E160" s="145" t="s">
        <v>1626</v>
      </c>
      <c r="F160" s="145">
        <v>4.2</v>
      </c>
      <c r="G160" s="146" t="s">
        <v>1513</v>
      </c>
      <c r="H160" s="145" t="s">
        <v>1154</v>
      </c>
      <c r="J160" s="150" t="str">
        <f t="shared" si="4"/>
        <v>FC Utrecht  vs   PSV Eindhoven</v>
      </c>
    </row>
    <row r="161" spans="1:10">
      <c r="A161" s="162">
        <v>43506</v>
      </c>
      <c r="B161" s="151" t="s">
        <v>2390</v>
      </c>
      <c r="C161" s="144" t="s">
        <v>2391</v>
      </c>
      <c r="D161" s="143" t="s">
        <v>1850</v>
      </c>
      <c r="E161" s="145" t="s">
        <v>1626</v>
      </c>
      <c r="F161" s="145">
        <v>4.0999999999999996</v>
      </c>
      <c r="G161" s="146" t="s">
        <v>1798</v>
      </c>
      <c r="H161" s="145" t="s">
        <v>1153</v>
      </c>
      <c r="J161" s="150" t="str">
        <f t="shared" si="4"/>
        <v>Galatasaray  vs   Trabzonspor</v>
      </c>
    </row>
    <row r="162" spans="1:10">
      <c r="A162" s="162">
        <v>43506</v>
      </c>
      <c r="B162" s="151" t="s">
        <v>2392</v>
      </c>
      <c r="C162" s="144" t="s">
        <v>2393</v>
      </c>
      <c r="D162" s="143" t="s">
        <v>1845</v>
      </c>
      <c r="E162" s="145" t="s">
        <v>1626</v>
      </c>
      <c r="F162" s="145">
        <v>4.05</v>
      </c>
      <c r="G162" s="146" t="s">
        <v>1510</v>
      </c>
      <c r="H162" s="145" t="s">
        <v>1154</v>
      </c>
      <c r="J162" s="150" t="str">
        <f t="shared" si="4"/>
        <v>RSC Anderlecht  vs   Zulte-Waregem</v>
      </c>
    </row>
    <row r="163" spans="1:10">
      <c r="A163" s="162">
        <v>43506</v>
      </c>
      <c r="B163" s="151" t="s">
        <v>2394</v>
      </c>
      <c r="C163" s="144" t="s">
        <v>2395</v>
      </c>
      <c r="D163" s="143" t="s">
        <v>1737</v>
      </c>
      <c r="E163" s="145" t="s">
        <v>1626</v>
      </c>
      <c r="F163" s="145">
        <v>4</v>
      </c>
      <c r="G163" s="146" t="s">
        <v>1508</v>
      </c>
      <c r="H163" s="145" t="s">
        <v>1153</v>
      </c>
      <c r="J163" s="150" t="str">
        <f t="shared" si="4"/>
        <v>Inter Zapresic  vs   Rijeka</v>
      </c>
    </row>
    <row r="164" spans="1:10">
      <c r="A164" s="162">
        <v>43506</v>
      </c>
      <c r="B164" s="151" t="s">
        <v>2396</v>
      </c>
      <c r="C164" s="144" t="s">
        <v>2397</v>
      </c>
      <c r="D164" s="143" t="s">
        <v>1898</v>
      </c>
      <c r="E164" s="145" t="s">
        <v>1626</v>
      </c>
      <c r="F164" s="145">
        <v>4</v>
      </c>
      <c r="G164" s="146" t="s">
        <v>1508</v>
      </c>
      <c r="H164" s="145" t="s">
        <v>1153</v>
      </c>
      <c r="J164" s="150" t="str">
        <f t="shared" si="4"/>
        <v>Sassuolo  vs   Juventus</v>
      </c>
    </row>
    <row r="165" spans="1:10">
      <c r="A165" s="162">
        <v>43506</v>
      </c>
      <c r="B165" s="151" t="s">
        <v>2400</v>
      </c>
      <c r="C165" s="144" t="s">
        <v>2401</v>
      </c>
      <c r="D165" s="143" t="s">
        <v>1848</v>
      </c>
      <c r="E165" s="145" t="s">
        <v>1626</v>
      </c>
      <c r="F165" s="145">
        <v>3.45</v>
      </c>
      <c r="G165" s="146" t="s">
        <v>1795</v>
      </c>
      <c r="H165" s="145" t="s">
        <v>1153</v>
      </c>
      <c r="J165" s="150" t="str">
        <f t="shared" si="4"/>
        <v>FC Emmen  vs   ADO Den Haag</v>
      </c>
    </row>
    <row r="166" spans="1:10">
      <c r="A166" s="162">
        <v>43506</v>
      </c>
      <c r="B166" s="151" t="s">
        <v>1327</v>
      </c>
      <c r="C166" s="144" t="s">
        <v>2402</v>
      </c>
      <c r="D166" s="143" t="s">
        <v>1261</v>
      </c>
      <c r="E166" s="145" t="s">
        <v>1626</v>
      </c>
      <c r="F166" s="145">
        <v>3.4</v>
      </c>
      <c r="G166" s="146" t="s">
        <v>1560</v>
      </c>
      <c r="H166" s="145" t="s">
        <v>1153</v>
      </c>
      <c r="J166" s="150" t="str">
        <f t="shared" si="4"/>
        <v>Stade Rennais  vs   AS Saint-Etienne</v>
      </c>
    </row>
    <row r="167" spans="1:10">
      <c r="A167" s="162">
        <v>43506</v>
      </c>
      <c r="B167" s="151" t="s">
        <v>1720</v>
      </c>
      <c r="C167" s="144" t="s">
        <v>2404</v>
      </c>
      <c r="D167" s="143" t="s">
        <v>1693</v>
      </c>
      <c r="E167" s="145" t="s">
        <v>1626</v>
      </c>
      <c r="F167" s="145">
        <v>3.3</v>
      </c>
      <c r="G167" s="146" t="s">
        <v>1511</v>
      </c>
      <c r="H167" s="145" t="s">
        <v>1153</v>
      </c>
      <c r="J167" s="150" t="str">
        <f t="shared" si="4"/>
        <v>Darmstadt 98  vs   Heidenheim</v>
      </c>
    </row>
    <row r="168" spans="1:10">
      <c r="A168" s="162">
        <v>43506</v>
      </c>
      <c r="B168" s="151" t="s">
        <v>2405</v>
      </c>
      <c r="C168" s="144" t="s">
        <v>2406</v>
      </c>
      <c r="D168" s="143" t="s">
        <v>1899</v>
      </c>
      <c r="E168" s="145" t="s">
        <v>1626</v>
      </c>
      <c r="F168" s="145">
        <v>3.3</v>
      </c>
      <c r="G168" s="146" t="s">
        <v>1513</v>
      </c>
      <c r="H168" s="145" t="s">
        <v>1154</v>
      </c>
      <c r="J168" s="150" t="str">
        <f t="shared" si="4"/>
        <v>Sion  vs   Lugano</v>
      </c>
    </row>
    <row r="169" spans="1:10">
      <c r="A169" s="162">
        <v>43506</v>
      </c>
      <c r="B169" s="151" t="s">
        <v>2407</v>
      </c>
      <c r="C169" s="144" t="s">
        <v>2408</v>
      </c>
      <c r="D169" s="143" t="s">
        <v>1848</v>
      </c>
      <c r="E169" s="145" t="s">
        <v>1626</v>
      </c>
      <c r="F169" s="145">
        <v>3.25</v>
      </c>
      <c r="G169" s="146" t="s">
        <v>1522</v>
      </c>
      <c r="H169" s="145" t="s">
        <v>1153</v>
      </c>
      <c r="J169" s="150" t="str">
        <f t="shared" si="4"/>
        <v>Groningen  vs   Vitesse Arnhem</v>
      </c>
    </row>
    <row r="170" spans="1:10">
      <c r="A170" s="162">
        <v>43506</v>
      </c>
      <c r="B170" s="151" t="s">
        <v>2409</v>
      </c>
      <c r="C170" s="144" t="s">
        <v>2410</v>
      </c>
      <c r="D170" s="143" t="s">
        <v>2220</v>
      </c>
      <c r="E170" s="145" t="s">
        <v>1626</v>
      </c>
      <c r="F170" s="145">
        <v>3.2</v>
      </c>
      <c r="G170" s="146" t="s">
        <v>1508</v>
      </c>
      <c r="H170" s="145" t="s">
        <v>1153</v>
      </c>
      <c r="J170" s="150" t="str">
        <f t="shared" si="4"/>
        <v>Aalborg BK  vs   Randers</v>
      </c>
    </row>
    <row r="171" spans="1:10">
      <c r="A171" s="162">
        <v>43506</v>
      </c>
      <c r="B171" s="151" t="s">
        <v>2411</v>
      </c>
      <c r="C171" s="144" t="s">
        <v>2412</v>
      </c>
      <c r="D171" s="143" t="s">
        <v>1692</v>
      </c>
      <c r="E171" s="145" t="s">
        <v>1626</v>
      </c>
      <c r="F171" s="145">
        <v>3.2</v>
      </c>
      <c r="G171" s="146" t="s">
        <v>1523</v>
      </c>
      <c r="H171" s="145" t="s">
        <v>1153</v>
      </c>
      <c r="J171" s="150" t="str">
        <f t="shared" si="4"/>
        <v>IFK Mariehamn  vs   FC Lahti</v>
      </c>
    </row>
    <row r="172" spans="1:10">
      <c r="A172" s="162">
        <v>43506</v>
      </c>
      <c r="B172" s="151" t="s">
        <v>2413</v>
      </c>
      <c r="C172" s="144" t="s">
        <v>2414</v>
      </c>
      <c r="D172" s="143" t="s">
        <v>1736</v>
      </c>
      <c r="E172" s="145" t="s">
        <v>1626</v>
      </c>
      <c r="F172" s="145">
        <v>3.15</v>
      </c>
      <c r="G172" s="146" t="s">
        <v>1562</v>
      </c>
      <c r="H172" s="145" t="s">
        <v>1153</v>
      </c>
      <c r="J172" s="150" t="str">
        <f t="shared" si="4"/>
        <v>River Plate  vs   Racing Club Avellaneda</v>
      </c>
    </row>
    <row r="173" spans="1:10">
      <c r="A173" s="162">
        <v>43506</v>
      </c>
      <c r="B173" s="151" t="s">
        <v>2415</v>
      </c>
      <c r="C173" s="144" t="s">
        <v>2416</v>
      </c>
      <c r="D173" s="143" t="s">
        <v>1847</v>
      </c>
      <c r="E173" s="145" t="s">
        <v>1626</v>
      </c>
      <c r="F173" s="145">
        <v>3.15</v>
      </c>
      <c r="G173" s="146" t="s">
        <v>1561</v>
      </c>
      <c r="H173" s="145" t="s">
        <v>1154</v>
      </c>
      <c r="J173" s="150" t="str">
        <f t="shared" si="4"/>
        <v>Hellas Verona  vs   Crotone</v>
      </c>
    </row>
    <row r="174" spans="1:10">
      <c r="A174" s="162">
        <v>43506</v>
      </c>
      <c r="B174" s="151" t="s">
        <v>2417</v>
      </c>
      <c r="C174" s="144" t="s">
        <v>2418</v>
      </c>
      <c r="D174" s="143" t="s">
        <v>1850</v>
      </c>
      <c r="E174" s="145" t="s">
        <v>1626</v>
      </c>
      <c r="F174" s="145">
        <v>3.15</v>
      </c>
      <c r="G174" s="146" t="s">
        <v>1561</v>
      </c>
      <c r="H174" s="145" t="s">
        <v>1154</v>
      </c>
      <c r="J174" s="150" t="str">
        <f t="shared" si="4"/>
        <v>Konyaspor  vs   Yeni Malatyaspor</v>
      </c>
    </row>
    <row r="175" spans="1:10">
      <c r="A175" s="162">
        <v>43506</v>
      </c>
      <c r="B175" s="151" t="s">
        <v>2419</v>
      </c>
      <c r="C175" s="144" t="s">
        <v>2420</v>
      </c>
      <c r="D175" s="143" t="s">
        <v>1693</v>
      </c>
      <c r="E175" s="145" t="s">
        <v>1626</v>
      </c>
      <c r="F175" s="145">
        <v>3.1</v>
      </c>
      <c r="G175" s="146" t="s">
        <v>1508</v>
      </c>
      <c r="H175" s="145" t="s">
        <v>1153</v>
      </c>
      <c r="J175" s="150" t="str">
        <f t="shared" si="4"/>
        <v>Erzgebirge Aue  vs   Ingolstadt</v>
      </c>
    </row>
    <row r="176" spans="1:10">
      <c r="A176" s="162">
        <v>43506</v>
      </c>
      <c r="B176" s="151" t="s">
        <v>2421</v>
      </c>
      <c r="C176" s="144" t="s">
        <v>2422</v>
      </c>
      <c r="D176" s="143" t="s">
        <v>1265</v>
      </c>
      <c r="E176" s="145" t="s">
        <v>1626</v>
      </c>
      <c r="F176" s="145">
        <v>3.1</v>
      </c>
      <c r="G176" s="146" t="s">
        <v>1564</v>
      </c>
      <c r="H176" s="145" t="s">
        <v>1564</v>
      </c>
      <c r="J176" s="150" t="str">
        <f t="shared" si="4"/>
        <v>Leganes CF  vs   Real Betis Balompie</v>
      </c>
    </row>
    <row r="177" spans="1:10">
      <c r="A177" s="162">
        <v>43506</v>
      </c>
      <c r="B177" s="151" t="s">
        <v>2423</v>
      </c>
      <c r="C177" s="144" t="s">
        <v>2424</v>
      </c>
      <c r="D177" s="143" t="s">
        <v>1736</v>
      </c>
      <c r="E177" s="145" t="s">
        <v>1626</v>
      </c>
      <c r="F177" s="145">
        <v>3</v>
      </c>
      <c r="G177" s="146" t="s">
        <v>1510</v>
      </c>
      <c r="H177" s="145" t="s">
        <v>1154</v>
      </c>
      <c r="J177" s="150" t="str">
        <f t="shared" si="4"/>
        <v>Newell’s Old Boys  vs   Rosario Central</v>
      </c>
    </row>
    <row r="178" spans="1:10">
      <c r="A178" s="162">
        <v>43506</v>
      </c>
      <c r="B178" s="151" t="s">
        <v>1467</v>
      </c>
      <c r="C178" s="144" t="s">
        <v>2425</v>
      </c>
      <c r="D178" s="143" t="s">
        <v>1266</v>
      </c>
      <c r="E178" s="145" t="s">
        <v>1626</v>
      </c>
      <c r="F178" s="145">
        <v>2.95</v>
      </c>
      <c r="G178" s="146" t="s">
        <v>1795</v>
      </c>
      <c r="H178" s="145" t="s">
        <v>1153</v>
      </c>
      <c r="J178" s="150" t="str">
        <f t="shared" si="4"/>
        <v>UD Oliveirense  vs   Mafra</v>
      </c>
    </row>
    <row r="179" spans="1:10">
      <c r="A179" s="162">
        <v>43507</v>
      </c>
      <c r="B179" s="151" t="s">
        <v>2510</v>
      </c>
      <c r="C179" s="144" t="s">
        <v>2511</v>
      </c>
      <c r="D179" s="143" t="s">
        <v>1850</v>
      </c>
      <c r="E179" s="145" t="s">
        <v>1626</v>
      </c>
      <c r="F179" s="145">
        <v>3.5</v>
      </c>
      <c r="G179" s="146" t="s">
        <v>1560</v>
      </c>
      <c r="H179" s="145" t="s">
        <v>1153</v>
      </c>
      <c r="J179" s="150" t="str">
        <f t="shared" si="4"/>
        <v>Ankaragucu  vs  Kasimpasa</v>
      </c>
    </row>
    <row r="180" spans="1:10">
      <c r="A180" s="162">
        <v>43507</v>
      </c>
      <c r="B180" s="151" t="s">
        <v>2508</v>
      </c>
      <c r="C180" s="144" t="s">
        <v>2509</v>
      </c>
      <c r="D180" s="143" t="s">
        <v>1265</v>
      </c>
      <c r="E180" s="145" t="s">
        <v>1626</v>
      </c>
      <c r="F180" s="145">
        <v>3.4</v>
      </c>
      <c r="G180" s="146" t="s">
        <v>1562</v>
      </c>
      <c r="H180" s="145" t="s">
        <v>1153</v>
      </c>
      <c r="J180" s="150" t="str">
        <f t="shared" si="4"/>
        <v>Deportivo Alaves  vs  Levante CF</v>
      </c>
    </row>
    <row r="181" spans="1:10">
      <c r="A181" s="162">
        <v>43507</v>
      </c>
      <c r="B181" s="151" t="s">
        <v>2501</v>
      </c>
      <c r="C181" s="144" t="s">
        <v>2502</v>
      </c>
      <c r="D181" s="143" t="s">
        <v>1736</v>
      </c>
      <c r="E181" s="145" t="s">
        <v>1626</v>
      </c>
      <c r="F181" s="145">
        <v>3.1</v>
      </c>
      <c r="G181" s="146" t="s">
        <v>1523</v>
      </c>
      <c r="H181" s="145" t="s">
        <v>1153</v>
      </c>
      <c r="J181" s="150" t="str">
        <f t="shared" si="4"/>
        <v>Aldosivi  vs  San Martin de San Juan</v>
      </c>
    </row>
    <row r="182" spans="1:10">
      <c r="A182" s="162">
        <v>43507</v>
      </c>
      <c r="B182" s="151" t="s">
        <v>1331</v>
      </c>
      <c r="C182" s="144" t="s">
        <v>2507</v>
      </c>
      <c r="D182" s="143" t="s">
        <v>1242</v>
      </c>
      <c r="E182" s="145" t="s">
        <v>1626</v>
      </c>
      <c r="F182" s="145">
        <v>3</v>
      </c>
      <c r="G182" s="146" t="s">
        <v>1510</v>
      </c>
      <c r="H182" s="145" t="s">
        <v>1154</v>
      </c>
      <c r="J182" s="150" t="str">
        <f t="shared" si="4"/>
        <v>Vitoria Setubal  vs  Belenenses</v>
      </c>
    </row>
    <row r="183" spans="1:10">
      <c r="A183" s="162">
        <v>43507</v>
      </c>
      <c r="B183" s="151" t="s">
        <v>2505</v>
      </c>
      <c r="C183" s="144" t="s">
        <v>2506</v>
      </c>
      <c r="D183" s="143" t="s">
        <v>1847</v>
      </c>
      <c r="E183" s="145" t="s">
        <v>1626</v>
      </c>
      <c r="F183" s="145">
        <v>2.98</v>
      </c>
      <c r="G183" s="146" t="s">
        <v>1561</v>
      </c>
      <c r="H183" s="145" t="s">
        <v>1154</v>
      </c>
      <c r="J183" s="150" t="str">
        <f t="shared" si="4"/>
        <v>Venezia  vs  Lecce</v>
      </c>
    </row>
    <row r="184" spans="1:10">
      <c r="A184" s="162">
        <v>43508</v>
      </c>
      <c r="B184" s="3" t="s">
        <v>2525</v>
      </c>
      <c r="C184" s="3" t="s">
        <v>2526</v>
      </c>
      <c r="D184" s="3" t="s">
        <v>1690</v>
      </c>
      <c r="E184" s="23" t="s">
        <v>1626</v>
      </c>
      <c r="F184" s="23">
        <v>4.5999999999999996</v>
      </c>
      <c r="G184" s="159" t="s">
        <v>1523</v>
      </c>
      <c r="H184" s="23" t="s">
        <v>1153</v>
      </c>
      <c r="J184" s="150" t="str">
        <f t="shared" si="4"/>
        <v>Barcelona Guayaquil  vs  Defensor Sporting</v>
      </c>
    </row>
    <row r="185" spans="1:10">
      <c r="A185" s="162">
        <v>43509</v>
      </c>
      <c r="B185" s="3" t="s">
        <v>2537</v>
      </c>
      <c r="C185" s="3" t="s">
        <v>2538</v>
      </c>
      <c r="D185" s="3" t="s">
        <v>1261</v>
      </c>
      <c r="E185" s="23" t="s">
        <v>1626</v>
      </c>
      <c r="F185" s="23">
        <v>3.1</v>
      </c>
      <c r="G185" s="159" t="s">
        <v>1506</v>
      </c>
      <c r="H185" s="23" t="s">
        <v>1153</v>
      </c>
      <c r="J185" s="150" t="str">
        <f t="shared" si="4"/>
        <v>Stade Malherbe de Caen  vs  Nantes Atlantique</v>
      </c>
    </row>
    <row r="186" spans="1:10">
      <c r="A186" s="162">
        <v>43510</v>
      </c>
      <c r="B186" s="151" t="s">
        <v>2541</v>
      </c>
      <c r="C186" s="144" t="s">
        <v>2273</v>
      </c>
      <c r="D186" s="143" t="s">
        <v>2516</v>
      </c>
      <c r="E186" s="145" t="s">
        <v>1626</v>
      </c>
      <c r="F186" s="145">
        <v>3.65</v>
      </c>
      <c r="G186" s="146" t="s">
        <v>1506</v>
      </c>
      <c r="H186" s="145" t="s">
        <v>1153</v>
      </c>
      <c r="J186" s="150" t="str">
        <f t="shared" si="4"/>
        <v>Rapid Vienna  vs  Internazionale</v>
      </c>
    </row>
    <row r="187" spans="1:10">
      <c r="A187" s="162">
        <v>43510</v>
      </c>
      <c r="B187" s="151" t="s">
        <v>2560</v>
      </c>
      <c r="C187" s="144" t="s">
        <v>2561</v>
      </c>
      <c r="D187" s="143" t="s">
        <v>2136</v>
      </c>
      <c r="E187" s="145" t="s">
        <v>1626</v>
      </c>
      <c r="F187" s="145">
        <v>3.5</v>
      </c>
      <c r="G187" s="146" t="s">
        <v>1522</v>
      </c>
      <c r="H187" s="145" t="s">
        <v>1153</v>
      </c>
      <c r="J187" s="150" t="str">
        <f t="shared" si="4"/>
        <v>Royal Pari  vs  Monagas SC</v>
      </c>
    </row>
    <row r="188" spans="1:10">
      <c r="A188" s="162">
        <v>43510</v>
      </c>
      <c r="B188" s="151" t="s">
        <v>2555</v>
      </c>
      <c r="C188" s="144" t="s">
        <v>1438</v>
      </c>
      <c r="D188" s="143" t="s">
        <v>2516</v>
      </c>
      <c r="E188" s="145" t="s">
        <v>1626</v>
      </c>
      <c r="F188" s="145">
        <v>3.2</v>
      </c>
      <c r="G188" s="146" t="s">
        <v>1509</v>
      </c>
      <c r="H188" s="145" t="s">
        <v>1153</v>
      </c>
      <c r="J188" s="150" t="str">
        <f t="shared" si="4"/>
        <v>Celtic  vs  Valencia CF</v>
      </c>
    </row>
    <row r="189" spans="1:10">
      <c r="A189" s="162">
        <v>43511</v>
      </c>
      <c r="B189" s="151" t="s">
        <v>1957</v>
      </c>
      <c r="C189" s="144" t="s">
        <v>1803</v>
      </c>
      <c r="D189" s="143" t="s">
        <v>1693</v>
      </c>
      <c r="E189" s="145" t="s">
        <v>1626</v>
      </c>
      <c r="F189" s="145">
        <v>3.75</v>
      </c>
      <c r="G189" s="146" t="s">
        <v>1795</v>
      </c>
      <c r="H189" s="145" t="s">
        <v>1153</v>
      </c>
      <c r="J189" s="150" t="str">
        <f t="shared" si="4"/>
        <v>Paderborn 07  vs  Koln</v>
      </c>
    </row>
    <row r="190" spans="1:10">
      <c r="A190" s="162">
        <v>43511</v>
      </c>
      <c r="B190" s="151" t="s">
        <v>2108</v>
      </c>
      <c r="C190" s="144" t="s">
        <v>2588</v>
      </c>
      <c r="D190" s="143" t="s">
        <v>1849</v>
      </c>
      <c r="E190" s="145" t="s">
        <v>1626</v>
      </c>
      <c r="F190" s="145">
        <v>3.7</v>
      </c>
      <c r="G190" s="146" t="s">
        <v>1560</v>
      </c>
      <c r="H190" s="145" t="s">
        <v>1153</v>
      </c>
      <c r="J190" s="150" t="str">
        <f t="shared" si="4"/>
        <v>Winterthur  vs  Vaduz</v>
      </c>
    </row>
    <row r="191" spans="1:10">
      <c r="A191" s="162">
        <v>43511</v>
      </c>
      <c r="B191" s="151" t="s">
        <v>2089</v>
      </c>
      <c r="C191" s="144" t="s">
        <v>2587</v>
      </c>
      <c r="D191" s="143" t="s">
        <v>1848</v>
      </c>
      <c r="E191" s="145" t="s">
        <v>1626</v>
      </c>
      <c r="F191" s="145">
        <v>3.5</v>
      </c>
      <c r="G191" s="146" t="s">
        <v>1523</v>
      </c>
      <c r="H191" s="145" t="s">
        <v>1153</v>
      </c>
      <c r="J191" s="150" t="str">
        <f t="shared" si="4"/>
        <v>ADO Den Haag  vs  PEC Zwolle</v>
      </c>
    </row>
    <row r="192" spans="1:10">
      <c r="A192" s="162">
        <v>43511</v>
      </c>
      <c r="B192" s="151" t="s">
        <v>2580</v>
      </c>
      <c r="C192" s="144" t="s">
        <v>2581</v>
      </c>
      <c r="D192" s="143" t="s">
        <v>2219</v>
      </c>
      <c r="E192" s="145" t="s">
        <v>1626</v>
      </c>
      <c r="F192" s="145">
        <v>3.25</v>
      </c>
      <c r="G192" s="146" t="s">
        <v>1509</v>
      </c>
      <c r="H192" s="145" t="s">
        <v>1153</v>
      </c>
      <c r="J192" s="150" t="str">
        <f t="shared" si="4"/>
        <v>Teplice  vs  Mlada Boleslav</v>
      </c>
    </row>
    <row r="193" spans="1:10">
      <c r="A193" s="162">
        <v>43511</v>
      </c>
      <c r="B193" s="151" t="s">
        <v>2038</v>
      </c>
      <c r="C193" s="144" t="s">
        <v>2572</v>
      </c>
      <c r="D193" s="143" t="s">
        <v>1736</v>
      </c>
      <c r="E193" s="145" t="s">
        <v>1626</v>
      </c>
      <c r="F193" s="145">
        <v>3.15</v>
      </c>
      <c r="G193" s="146" t="s">
        <v>1560</v>
      </c>
      <c r="H193" s="145" t="s">
        <v>1153</v>
      </c>
      <c r="J193" s="150" t="str">
        <f t="shared" si="4"/>
        <v>Union de Santa Fe  vs  Atletico Tucuman</v>
      </c>
    </row>
    <row r="194" spans="1:10">
      <c r="A194" s="178">
        <v>43513</v>
      </c>
      <c r="B194" s="179" t="s">
        <v>2681</v>
      </c>
      <c r="C194" s="180" t="s">
        <v>2682</v>
      </c>
      <c r="D194" s="181" t="s">
        <v>2595</v>
      </c>
      <c r="E194" s="182" t="s">
        <v>1626</v>
      </c>
      <c r="F194" s="182">
        <v>8</v>
      </c>
      <c r="G194" s="183" t="s">
        <v>1892</v>
      </c>
      <c r="H194" s="182" t="s">
        <v>1153</v>
      </c>
      <c r="J194" s="150" t="str">
        <f t="shared" si="4"/>
        <v>Hasselholms IF  vs  Elfsborg Boras</v>
      </c>
    </row>
    <row r="195" spans="1:10">
      <c r="A195" s="162">
        <v>43513</v>
      </c>
      <c r="B195" s="151" t="s">
        <v>2683</v>
      </c>
      <c r="C195" s="144" t="s">
        <v>2684</v>
      </c>
      <c r="D195" s="143" t="s">
        <v>2595</v>
      </c>
      <c r="E195" s="145" t="s">
        <v>1626</v>
      </c>
      <c r="F195" s="145">
        <v>4.95</v>
      </c>
      <c r="G195" s="146" t="s">
        <v>1509</v>
      </c>
      <c r="H195" s="145" t="s">
        <v>1153</v>
      </c>
      <c r="J195" s="150" t="str">
        <f t="shared" si="4"/>
        <v>Nykoping  vs  IFK Goteborg</v>
      </c>
    </row>
    <row r="196" spans="1:10">
      <c r="A196" s="162">
        <v>43513</v>
      </c>
      <c r="B196" s="151" t="s">
        <v>1804</v>
      </c>
      <c r="C196" s="144" t="s">
        <v>2664</v>
      </c>
      <c r="D196" s="143" t="s">
        <v>1898</v>
      </c>
      <c r="E196" s="145" t="s">
        <v>1626</v>
      </c>
      <c r="F196" s="145">
        <v>4.1500000000000004</v>
      </c>
      <c r="G196" s="146" t="s">
        <v>1522</v>
      </c>
      <c r="H196" s="145" t="s">
        <v>1153</v>
      </c>
      <c r="J196" s="150" t="str">
        <f t="shared" si="4"/>
        <v>Internazionale  vs  Sampdoria</v>
      </c>
    </row>
    <row r="197" spans="1:10">
      <c r="A197" s="162">
        <v>43513</v>
      </c>
      <c r="B197" s="151" t="s">
        <v>2639</v>
      </c>
      <c r="C197" s="144" t="s">
        <v>2640</v>
      </c>
      <c r="D197" s="143" t="s">
        <v>2571</v>
      </c>
      <c r="E197" s="145" t="s">
        <v>1626</v>
      </c>
      <c r="F197" s="145">
        <v>4.0999999999999996</v>
      </c>
      <c r="G197" s="146" t="s">
        <v>1560</v>
      </c>
      <c r="H197" s="145" t="s">
        <v>1153</v>
      </c>
      <c r="J197" s="150" t="str">
        <f t="shared" si="4"/>
        <v>Etar  vs  Dunav 2010</v>
      </c>
    </row>
    <row r="198" spans="1:10">
      <c r="A198" s="162">
        <v>43513</v>
      </c>
      <c r="B198" s="151" t="s">
        <v>2407</v>
      </c>
      <c r="C198" s="144" t="s">
        <v>2084</v>
      </c>
      <c r="D198" s="143" t="s">
        <v>1848</v>
      </c>
      <c r="E198" s="145" t="s">
        <v>1626</v>
      </c>
      <c r="F198" s="145">
        <v>4.05</v>
      </c>
      <c r="G198" s="146" t="s">
        <v>1523</v>
      </c>
      <c r="H198" s="145" t="s">
        <v>1153</v>
      </c>
      <c r="J198" s="150" t="str">
        <f t="shared" si="4"/>
        <v>Groningen  vs  Feyenoord Rotterdam</v>
      </c>
    </row>
    <row r="199" spans="1:10">
      <c r="A199" s="162">
        <v>43513</v>
      </c>
      <c r="B199" s="151" t="s">
        <v>2649</v>
      </c>
      <c r="C199" s="144" t="s">
        <v>2650</v>
      </c>
      <c r="D199" s="143" t="s">
        <v>2220</v>
      </c>
      <c r="E199" s="145" t="s">
        <v>1626</v>
      </c>
      <c r="F199" s="145">
        <v>3.9</v>
      </c>
      <c r="G199" s="146" t="s">
        <v>1523</v>
      </c>
      <c r="H199" s="145" t="s">
        <v>1153</v>
      </c>
      <c r="J199" s="150" t="str">
        <f t="shared" si="4"/>
        <v>OB Odense  vs  Vejle</v>
      </c>
    </row>
    <row r="200" spans="1:10">
      <c r="A200" s="162">
        <v>43513</v>
      </c>
      <c r="B200" s="151" t="s">
        <v>1878</v>
      </c>
      <c r="C200" s="144" t="s">
        <v>2086</v>
      </c>
      <c r="D200" s="143" t="s">
        <v>1848</v>
      </c>
      <c r="E200" s="145" t="s">
        <v>1626</v>
      </c>
      <c r="F200" s="145">
        <v>3.9</v>
      </c>
      <c r="G200" s="146" t="s">
        <v>1506</v>
      </c>
      <c r="H200" s="145" t="s">
        <v>1153</v>
      </c>
      <c r="J200" s="150" t="str">
        <f t="shared" ref="J200:J263" si="5">CONCATENATE(B200," vs ",C200)</f>
        <v>De Graafschap  vs  FC Utrecht</v>
      </c>
    </row>
    <row r="201" spans="1:10">
      <c r="A201" s="162">
        <v>43513</v>
      </c>
      <c r="B201" s="151" t="s">
        <v>2034</v>
      </c>
      <c r="C201" s="144" t="s">
        <v>2633</v>
      </c>
      <c r="D201" s="143" t="s">
        <v>1736</v>
      </c>
      <c r="E201" s="145" t="s">
        <v>1626</v>
      </c>
      <c r="F201" s="145">
        <v>3.7</v>
      </c>
      <c r="G201" s="146" t="s">
        <v>1522</v>
      </c>
      <c r="H201" s="145" t="s">
        <v>1153</v>
      </c>
      <c r="J201" s="150" t="str">
        <f t="shared" si="5"/>
        <v>Boca Juniors  vs  Atletico Lanus</v>
      </c>
    </row>
    <row r="202" spans="1:10">
      <c r="A202" s="162">
        <v>43513</v>
      </c>
      <c r="B202" s="151" t="s">
        <v>1287</v>
      </c>
      <c r="C202" s="144" t="s">
        <v>2635</v>
      </c>
      <c r="D202" s="143" t="s">
        <v>1257</v>
      </c>
      <c r="E202" s="145" t="s">
        <v>1626</v>
      </c>
      <c r="F202" s="145">
        <v>3.55</v>
      </c>
      <c r="G202" s="146" t="s">
        <v>1561</v>
      </c>
      <c r="H202" s="145" t="s">
        <v>1154</v>
      </c>
      <c r="J202" s="150" t="str">
        <f t="shared" si="5"/>
        <v>Sydney FC  vs  Central Coast Mariners</v>
      </c>
    </row>
    <row r="203" spans="1:10">
      <c r="A203" s="162">
        <v>43513</v>
      </c>
      <c r="B203" s="151" t="s">
        <v>1337</v>
      </c>
      <c r="C203" s="144" t="s">
        <v>2676</v>
      </c>
      <c r="D203" s="143" t="s">
        <v>1266</v>
      </c>
      <c r="E203" s="145" t="s">
        <v>1626</v>
      </c>
      <c r="F203" s="145">
        <v>3.45</v>
      </c>
      <c r="G203" s="146" t="s">
        <v>1522</v>
      </c>
      <c r="H203" s="145" t="s">
        <v>1153</v>
      </c>
      <c r="J203" s="150" t="str">
        <f t="shared" si="5"/>
        <v>Leixoes Matosinhos  vs  Vitoria Guimaraes II</v>
      </c>
    </row>
    <row r="204" spans="1:10">
      <c r="A204" s="162">
        <v>43513</v>
      </c>
      <c r="B204" s="151" t="s">
        <v>1286</v>
      </c>
      <c r="C204" s="144" t="s">
        <v>2005</v>
      </c>
      <c r="D204" s="143" t="s">
        <v>1265</v>
      </c>
      <c r="E204" s="145" t="s">
        <v>1626</v>
      </c>
      <c r="F204" s="145">
        <v>3.45</v>
      </c>
      <c r="G204" s="146" t="s">
        <v>1560</v>
      </c>
      <c r="H204" s="145" t="s">
        <v>1153</v>
      </c>
      <c r="J204" s="150" t="str">
        <f t="shared" si="5"/>
        <v>Villarreal CF  vs  Sevilla CF</v>
      </c>
    </row>
    <row r="205" spans="1:10">
      <c r="A205" s="162">
        <v>43513</v>
      </c>
      <c r="B205" s="151" t="s">
        <v>2042</v>
      </c>
      <c r="C205" s="144" t="s">
        <v>1916</v>
      </c>
      <c r="D205" s="143" t="s">
        <v>1845</v>
      </c>
      <c r="E205" s="145" t="s">
        <v>1626</v>
      </c>
      <c r="F205" s="145">
        <v>3.4</v>
      </c>
      <c r="G205" s="146" t="s">
        <v>1798</v>
      </c>
      <c r="H205" s="145" t="s">
        <v>1153</v>
      </c>
      <c r="J205" s="150" t="str">
        <f t="shared" si="5"/>
        <v>Club Brugge  vs  Racing Genk</v>
      </c>
    </row>
    <row r="206" spans="1:10">
      <c r="A206" s="162">
        <v>43513</v>
      </c>
      <c r="B206" s="151" t="s">
        <v>1300</v>
      </c>
      <c r="C206" s="144" t="s">
        <v>1924</v>
      </c>
      <c r="D206" s="143" t="s">
        <v>1262</v>
      </c>
      <c r="E206" s="145" t="s">
        <v>1626</v>
      </c>
      <c r="F206" s="145">
        <v>3.3</v>
      </c>
      <c r="G206" s="146" t="s">
        <v>1506</v>
      </c>
      <c r="H206" s="145" t="s">
        <v>1153</v>
      </c>
      <c r="J206" s="150" t="str">
        <f t="shared" si="5"/>
        <v>Bristol City  vs  Wolverhampton Wanderers</v>
      </c>
    </row>
    <row r="207" spans="1:10">
      <c r="A207" s="162">
        <v>43513</v>
      </c>
      <c r="B207" s="151" t="s">
        <v>1954</v>
      </c>
      <c r="C207" s="144" t="s">
        <v>2661</v>
      </c>
      <c r="D207" s="143" t="s">
        <v>1693</v>
      </c>
      <c r="E207" s="145" t="s">
        <v>1626</v>
      </c>
      <c r="F207" s="145">
        <v>3.3</v>
      </c>
      <c r="G207" s="146" t="s">
        <v>1591</v>
      </c>
      <c r="H207" s="145" t="s">
        <v>1153</v>
      </c>
      <c r="J207" s="150" t="str">
        <f t="shared" si="5"/>
        <v>Arminia Bielefeld  vs  Magdeburg</v>
      </c>
    </row>
    <row r="208" spans="1:10">
      <c r="A208" s="162">
        <v>43513</v>
      </c>
      <c r="B208" s="151" t="s">
        <v>2663</v>
      </c>
      <c r="C208" s="144" t="s">
        <v>1976</v>
      </c>
      <c r="D208" s="143" t="s">
        <v>1898</v>
      </c>
      <c r="E208" s="145" t="s">
        <v>1626</v>
      </c>
      <c r="F208" s="145">
        <v>3.3</v>
      </c>
      <c r="G208" s="146" t="s">
        <v>1523</v>
      </c>
      <c r="H208" s="145" t="s">
        <v>1153</v>
      </c>
      <c r="J208" s="150" t="str">
        <f t="shared" si="5"/>
        <v>Udinese  vs  Chievo Verona</v>
      </c>
    </row>
    <row r="209" spans="1:10">
      <c r="A209" s="162">
        <v>43513</v>
      </c>
      <c r="B209" s="151" t="s">
        <v>2072</v>
      </c>
      <c r="C209" s="144" t="s">
        <v>1805</v>
      </c>
      <c r="D209" s="143" t="s">
        <v>1898</v>
      </c>
      <c r="E209" s="145" t="s">
        <v>1626</v>
      </c>
      <c r="F209" s="145">
        <v>3.3</v>
      </c>
      <c r="G209" s="146" t="s">
        <v>1522</v>
      </c>
      <c r="H209" s="145" t="s">
        <v>1153</v>
      </c>
      <c r="J209" s="150" t="str">
        <f t="shared" si="5"/>
        <v>Genoa  vs  SS Lazio</v>
      </c>
    </row>
    <row r="210" spans="1:10">
      <c r="A210" s="162">
        <v>43513</v>
      </c>
      <c r="B210" s="151" t="s">
        <v>1987</v>
      </c>
      <c r="C210" s="144" t="s">
        <v>2667</v>
      </c>
      <c r="D210" s="143" t="s">
        <v>1847</v>
      </c>
      <c r="E210" s="145" t="s">
        <v>1626</v>
      </c>
      <c r="F210" s="145">
        <v>3.3</v>
      </c>
      <c r="G210" s="146" t="s">
        <v>1511</v>
      </c>
      <c r="H210" s="145" t="s">
        <v>1153</v>
      </c>
      <c r="J210" s="150" t="str">
        <f t="shared" si="5"/>
        <v>Spezia  vs  Hellas Verona</v>
      </c>
    </row>
    <row r="211" spans="1:10">
      <c r="A211" s="162">
        <v>43513</v>
      </c>
      <c r="B211" s="151" t="s">
        <v>2692</v>
      </c>
      <c r="C211" s="144" t="s">
        <v>1886</v>
      </c>
      <c r="D211" s="143" t="s">
        <v>1850</v>
      </c>
      <c r="E211" s="145" t="s">
        <v>1626</v>
      </c>
      <c r="F211" s="145">
        <v>3.1</v>
      </c>
      <c r="G211" s="146" t="s">
        <v>1522</v>
      </c>
      <c r="H211" s="145" t="s">
        <v>1153</v>
      </c>
      <c r="J211" s="150" t="str">
        <f t="shared" si="5"/>
        <v>Kayserispor  vs  Goztepe</v>
      </c>
    </row>
    <row r="212" spans="1:10">
      <c r="A212" s="162">
        <v>43513</v>
      </c>
      <c r="B212" s="151" t="s">
        <v>1858</v>
      </c>
      <c r="C212" s="144" t="s">
        <v>2632</v>
      </c>
      <c r="D212" s="143" t="s">
        <v>1736</v>
      </c>
      <c r="E212" s="145" t="s">
        <v>1626</v>
      </c>
      <c r="F212" s="145">
        <v>3.05</v>
      </c>
      <c r="G212" s="146" t="s">
        <v>1510</v>
      </c>
      <c r="H212" s="145" t="s">
        <v>1154</v>
      </c>
      <c r="J212" s="150" t="str">
        <f t="shared" si="5"/>
        <v>Talleres de Cordoba  vs  Atletico Huracan</v>
      </c>
    </row>
    <row r="213" spans="1:10">
      <c r="A213" s="162">
        <v>43513</v>
      </c>
      <c r="B213" s="151" t="s">
        <v>1938</v>
      </c>
      <c r="C213" s="144" t="s">
        <v>1496</v>
      </c>
      <c r="D213" s="143" t="s">
        <v>1261</v>
      </c>
      <c r="E213" s="145" t="s">
        <v>1626</v>
      </c>
      <c r="F213" s="145">
        <v>3.05</v>
      </c>
      <c r="G213" s="146" t="s">
        <v>1562</v>
      </c>
      <c r="H213" s="145" t="s">
        <v>1153</v>
      </c>
      <c r="J213" s="150" t="str">
        <f t="shared" si="5"/>
        <v>Stade de Reims  vs  Stade Rennais</v>
      </c>
    </row>
    <row r="214" spans="1:10">
      <c r="A214" s="162">
        <v>43513</v>
      </c>
      <c r="B214" s="151" t="s">
        <v>2537</v>
      </c>
      <c r="C214" s="144" t="s">
        <v>1401</v>
      </c>
      <c r="D214" s="143" t="s">
        <v>1261</v>
      </c>
      <c r="E214" s="145" t="s">
        <v>1626</v>
      </c>
      <c r="F214" s="145">
        <v>3</v>
      </c>
      <c r="G214" s="146" t="s">
        <v>1510</v>
      </c>
      <c r="H214" s="145" t="s">
        <v>1154</v>
      </c>
      <c r="J214" s="150" t="str">
        <f t="shared" si="5"/>
        <v>Stade Malherbe de Caen  vs  Racing Club Strasbourg</v>
      </c>
    </row>
    <row r="215" spans="1:10">
      <c r="A215" s="162">
        <v>43513</v>
      </c>
      <c r="B215" s="151" t="s">
        <v>2167</v>
      </c>
      <c r="C215" s="144" t="s">
        <v>2670</v>
      </c>
      <c r="D215" s="143" t="s">
        <v>1242</v>
      </c>
      <c r="E215" s="145" t="s">
        <v>1626</v>
      </c>
      <c r="F215" s="145">
        <v>2.98</v>
      </c>
      <c r="G215" s="146" t="s">
        <v>1506</v>
      </c>
      <c r="H215" s="145" t="s">
        <v>1153</v>
      </c>
      <c r="J215" s="150" t="str">
        <f t="shared" si="5"/>
        <v>Belenenses  vs  Maritimo Funchal</v>
      </c>
    </row>
    <row r="216" spans="1:10">
      <c r="A216" s="162">
        <v>43513</v>
      </c>
      <c r="B216" s="151" t="s">
        <v>1336</v>
      </c>
      <c r="C216" s="144" t="s">
        <v>2673</v>
      </c>
      <c r="D216" s="143" t="s">
        <v>1266</v>
      </c>
      <c r="E216" s="145" t="s">
        <v>1626</v>
      </c>
      <c r="F216" s="145">
        <v>2.95</v>
      </c>
      <c r="G216" s="146" t="s">
        <v>1509</v>
      </c>
      <c r="H216" s="145" t="s">
        <v>1153</v>
      </c>
      <c r="J216" s="150" t="str">
        <f t="shared" si="5"/>
        <v>Sporting Braga II  vs  Arouca</v>
      </c>
    </row>
    <row r="217" spans="1:10">
      <c r="A217" s="162">
        <v>43513</v>
      </c>
      <c r="B217" s="151" t="s">
        <v>1285</v>
      </c>
      <c r="C217" s="144" t="s">
        <v>1998</v>
      </c>
      <c r="D217" s="143" t="s">
        <v>1242</v>
      </c>
      <c r="E217" s="145" t="s">
        <v>1626</v>
      </c>
      <c r="F217" s="145">
        <v>2.54</v>
      </c>
      <c r="G217" s="146" t="s">
        <v>1560</v>
      </c>
      <c r="H217" s="145" t="s">
        <v>1153</v>
      </c>
      <c r="J217" s="150" t="str">
        <f t="shared" si="5"/>
        <v>Sporting Clube de Portugal  vs  Sporting Braga</v>
      </c>
    </row>
    <row r="218" spans="1:10">
      <c r="A218" s="162">
        <v>43514</v>
      </c>
      <c r="B218" s="156" t="s">
        <v>2075</v>
      </c>
      <c r="C218" s="144" t="s">
        <v>2715</v>
      </c>
      <c r="D218" s="73" t="s">
        <v>1898</v>
      </c>
      <c r="E218" s="145" t="s">
        <v>1626</v>
      </c>
      <c r="F218" s="145">
        <v>4.5999999999999996</v>
      </c>
      <c r="G218" s="146" t="s">
        <v>1522</v>
      </c>
      <c r="H218" s="145" t="s">
        <v>1153</v>
      </c>
      <c r="J218" s="150" t="str">
        <f t="shared" si="5"/>
        <v>AS Roma  vs  Bologna</v>
      </c>
    </row>
    <row r="219" spans="1:10">
      <c r="A219" s="162">
        <v>43514</v>
      </c>
      <c r="B219" s="156" t="s">
        <v>1273</v>
      </c>
      <c r="C219" s="144" t="s">
        <v>1377</v>
      </c>
      <c r="D219" s="73" t="s">
        <v>1262</v>
      </c>
      <c r="E219" s="145" t="s">
        <v>1626</v>
      </c>
      <c r="F219" s="145">
        <v>3.45</v>
      </c>
      <c r="G219" s="146" t="s">
        <v>1509</v>
      </c>
      <c r="H219" s="145" t="s">
        <v>1153</v>
      </c>
      <c r="J219" s="150" t="str">
        <f t="shared" si="5"/>
        <v>Chelsea  vs  Manchester United</v>
      </c>
    </row>
    <row r="220" spans="1:10">
      <c r="A220" s="162">
        <v>43514</v>
      </c>
      <c r="B220" s="156" t="s">
        <v>1902</v>
      </c>
      <c r="C220" s="144" t="s">
        <v>2171</v>
      </c>
      <c r="D220" s="73" t="s">
        <v>1736</v>
      </c>
      <c r="E220" s="145" t="s">
        <v>1626</v>
      </c>
      <c r="F220" s="145">
        <v>2.88</v>
      </c>
      <c r="G220" s="146" t="s">
        <v>1522</v>
      </c>
      <c r="H220" s="145" t="s">
        <v>1153</v>
      </c>
      <c r="J220" s="150" t="str">
        <f t="shared" si="5"/>
        <v>Argentinos Juniors  vs  Estudiantes de la Plata</v>
      </c>
    </row>
    <row r="221" spans="1:10">
      <c r="A221" s="162">
        <v>43515</v>
      </c>
      <c r="B221" s="156" t="s">
        <v>1353</v>
      </c>
      <c r="C221" s="144" t="s">
        <v>1473</v>
      </c>
      <c r="D221" s="73" t="s">
        <v>2515</v>
      </c>
      <c r="E221" s="145" t="s">
        <v>1626</v>
      </c>
      <c r="F221" s="145">
        <v>4.0999999999999996</v>
      </c>
      <c r="G221" s="146" t="s">
        <v>1510</v>
      </c>
      <c r="H221" s="145" t="s">
        <v>1154</v>
      </c>
      <c r="J221" s="150" t="str">
        <f t="shared" si="5"/>
        <v>Olympique Lyonnais  vs  Barcelona CF</v>
      </c>
    </row>
    <row r="222" spans="1:10">
      <c r="A222" s="162">
        <v>43515</v>
      </c>
      <c r="B222" s="156" t="s">
        <v>2723</v>
      </c>
      <c r="C222" s="144" t="s">
        <v>2724</v>
      </c>
      <c r="D222" s="73" t="s">
        <v>2571</v>
      </c>
      <c r="E222" s="145" t="s">
        <v>1626</v>
      </c>
      <c r="F222" s="145">
        <v>3.05</v>
      </c>
      <c r="G222" s="146" t="s">
        <v>1795</v>
      </c>
      <c r="H222" s="145" t="s">
        <v>1153</v>
      </c>
      <c r="J222" s="150" t="str">
        <f t="shared" si="5"/>
        <v>Slavia Sofia  vs  Cherno More Varna</v>
      </c>
    </row>
    <row r="223" spans="1:10">
      <c r="A223" s="162">
        <v>43516</v>
      </c>
      <c r="B223" s="156" t="s">
        <v>1360</v>
      </c>
      <c r="C223" s="144" t="s">
        <v>1424</v>
      </c>
      <c r="D223" s="73" t="s">
        <v>1261</v>
      </c>
      <c r="E223" s="145" t="s">
        <v>1626</v>
      </c>
      <c r="F223" s="145">
        <v>5.6</v>
      </c>
      <c r="G223" s="146" t="s">
        <v>1732</v>
      </c>
      <c r="H223" s="145" t="s">
        <v>1153</v>
      </c>
      <c r="J223" s="150" t="str">
        <f t="shared" si="5"/>
        <v>Paris Saint-Germain  vs  Montpellier HSC</v>
      </c>
    </row>
    <row r="224" spans="1:10">
      <c r="A224" s="162">
        <v>43516</v>
      </c>
      <c r="B224" s="156" t="s">
        <v>1329</v>
      </c>
      <c r="C224" s="144" t="s">
        <v>1423</v>
      </c>
      <c r="D224" s="73" t="s">
        <v>1261</v>
      </c>
      <c r="E224" s="145" t="s">
        <v>1626</v>
      </c>
      <c r="F224" s="145">
        <v>3.3</v>
      </c>
      <c r="G224" s="146" t="s">
        <v>1510</v>
      </c>
      <c r="H224" s="145" t="s">
        <v>1154</v>
      </c>
      <c r="J224" s="150" t="str">
        <f t="shared" si="5"/>
        <v>Girondins de Bordeaux  vs  En Avant Guingamp</v>
      </c>
    </row>
    <row r="225" spans="1:10">
      <c r="A225" s="162">
        <v>43516</v>
      </c>
      <c r="B225" s="156" t="s">
        <v>2294</v>
      </c>
      <c r="C225" s="144" t="s">
        <v>1671</v>
      </c>
      <c r="D225" s="73" t="s">
        <v>2515</v>
      </c>
      <c r="E225" s="145" t="s">
        <v>1626</v>
      </c>
      <c r="F225" s="145">
        <v>3</v>
      </c>
      <c r="G225" s="146" t="s">
        <v>1562</v>
      </c>
      <c r="H225" s="145" t="s">
        <v>1153</v>
      </c>
      <c r="J225" s="150" t="str">
        <f t="shared" si="5"/>
        <v>Atletico Madrid  vs  Juventus</v>
      </c>
    </row>
    <row r="226" spans="1:10">
      <c r="A226" s="162">
        <v>43517</v>
      </c>
      <c r="B226" s="151" t="s">
        <v>1804</v>
      </c>
      <c r="C226" s="144" t="s">
        <v>2748</v>
      </c>
      <c r="D226" s="143" t="s">
        <v>2516</v>
      </c>
      <c r="E226" s="145" t="s">
        <v>1626</v>
      </c>
      <c r="F226" s="145">
        <v>5.15</v>
      </c>
      <c r="G226" s="146" t="s">
        <v>1731</v>
      </c>
      <c r="H226" s="145" t="s">
        <v>1153</v>
      </c>
      <c r="J226" s="150" t="str">
        <f t="shared" si="5"/>
        <v>Internazionale  vs  Rapid Vienna</v>
      </c>
    </row>
    <row r="227" spans="1:10">
      <c r="A227" s="162">
        <v>43517</v>
      </c>
      <c r="B227" s="151" t="s">
        <v>2658</v>
      </c>
      <c r="C227" s="144" t="s">
        <v>2743</v>
      </c>
      <c r="D227" s="143" t="s">
        <v>2516</v>
      </c>
      <c r="E227" s="145" t="s">
        <v>1626</v>
      </c>
      <c r="F227" s="145">
        <v>3.95</v>
      </c>
      <c r="G227" s="146" t="s">
        <v>1507</v>
      </c>
      <c r="H227" s="145" t="s">
        <v>1153</v>
      </c>
      <c r="J227" s="150" t="str">
        <f t="shared" si="5"/>
        <v>Eintracht Frankfurt  vs  Shakhtar Donetsk</v>
      </c>
    </row>
    <row r="228" spans="1:10">
      <c r="A228" s="162">
        <v>43517</v>
      </c>
      <c r="B228" s="151" t="s">
        <v>1286</v>
      </c>
      <c r="C228" s="144" t="s">
        <v>1770</v>
      </c>
      <c r="D228" s="143" t="s">
        <v>2516</v>
      </c>
      <c r="E228" s="145" t="s">
        <v>1626</v>
      </c>
      <c r="F228" s="145">
        <v>3.55</v>
      </c>
      <c r="G228" s="146" t="s">
        <v>1561</v>
      </c>
      <c r="H228" s="145" t="s">
        <v>1154</v>
      </c>
      <c r="J228" s="150" t="str">
        <f t="shared" si="5"/>
        <v>Villarreal CF  vs  Sporting Clube de Portugal</v>
      </c>
    </row>
    <row r="229" spans="1:10">
      <c r="A229" s="162">
        <v>43517</v>
      </c>
      <c r="B229" s="151" t="s">
        <v>2223</v>
      </c>
      <c r="C229" s="144" t="s">
        <v>1855</v>
      </c>
      <c r="D229" s="143" t="s">
        <v>2516</v>
      </c>
      <c r="E229" s="145" t="s">
        <v>1626</v>
      </c>
      <c r="F229" s="145">
        <v>3.4</v>
      </c>
      <c r="G229" s="146" t="s">
        <v>1565</v>
      </c>
      <c r="H229" s="145" t="s">
        <v>1153</v>
      </c>
      <c r="J229" s="150" t="str">
        <f t="shared" si="5"/>
        <v>Racing Genk  vs  Slavia Prague</v>
      </c>
    </row>
    <row r="230" spans="1:10">
      <c r="A230" s="162">
        <v>43518</v>
      </c>
      <c r="B230" s="151" t="s">
        <v>2472</v>
      </c>
      <c r="C230" s="144" t="s">
        <v>2224</v>
      </c>
      <c r="D230" s="143" t="s">
        <v>1845</v>
      </c>
      <c r="E230" s="145" t="s">
        <v>1626</v>
      </c>
      <c r="F230" s="145">
        <v>3.5</v>
      </c>
      <c r="G230" s="146" t="s">
        <v>1522</v>
      </c>
      <c r="H230" s="145" t="s">
        <v>1153</v>
      </c>
      <c r="J230" s="150" t="str">
        <f t="shared" si="5"/>
        <v>AA Gent  vs  Standard de Liege</v>
      </c>
    </row>
    <row r="231" spans="1:10">
      <c r="A231" s="162">
        <v>43518</v>
      </c>
      <c r="B231" s="151" t="s">
        <v>2778</v>
      </c>
      <c r="C231" s="144" t="s">
        <v>2090</v>
      </c>
      <c r="D231" s="143" t="s">
        <v>1848</v>
      </c>
      <c r="E231" s="145" t="s">
        <v>1626</v>
      </c>
      <c r="F231" s="145">
        <v>3.5</v>
      </c>
      <c r="G231" s="146" t="s">
        <v>1506</v>
      </c>
      <c r="H231" s="145" t="s">
        <v>1153</v>
      </c>
      <c r="J231" s="150" t="str">
        <f t="shared" si="5"/>
        <v>VVV Venlo  vs  Heracles Almelo</v>
      </c>
    </row>
    <row r="232" spans="1:10">
      <c r="A232" s="162">
        <v>43518</v>
      </c>
      <c r="B232" s="151" t="s">
        <v>2409</v>
      </c>
      <c r="C232" s="144" t="s">
        <v>2298</v>
      </c>
      <c r="D232" s="143" t="s">
        <v>2220</v>
      </c>
      <c r="E232" s="145" t="s">
        <v>1626</v>
      </c>
      <c r="F232" s="145">
        <v>3.3</v>
      </c>
      <c r="G232" s="146" t="s">
        <v>1560</v>
      </c>
      <c r="H232" s="145" t="s">
        <v>1153</v>
      </c>
      <c r="J232" s="150" t="str">
        <f t="shared" si="5"/>
        <v>Aalborg BK  vs  SonderjyskE</v>
      </c>
    </row>
    <row r="233" spans="1:10">
      <c r="A233" s="162">
        <v>43518</v>
      </c>
      <c r="B233" s="151" t="s">
        <v>2772</v>
      </c>
      <c r="C233" s="144" t="s">
        <v>1371</v>
      </c>
      <c r="D233" s="143" t="s">
        <v>1267</v>
      </c>
      <c r="E233" s="145" t="s">
        <v>1626</v>
      </c>
      <c r="F233" s="145">
        <v>3.3</v>
      </c>
      <c r="G233" s="146" t="s">
        <v>1892</v>
      </c>
      <c r="H233" s="145" t="s">
        <v>1153</v>
      </c>
      <c r="J233" s="150" t="str">
        <f t="shared" si="5"/>
        <v>Cardiff City  vs  Watford</v>
      </c>
    </row>
    <row r="234" spans="1:10">
      <c r="A234" s="162">
        <v>43518</v>
      </c>
      <c r="B234" s="151" t="s">
        <v>1722</v>
      </c>
      <c r="C234" s="144" t="s">
        <v>2777</v>
      </c>
      <c r="D234" s="143" t="s">
        <v>1693</v>
      </c>
      <c r="E234" s="145" t="s">
        <v>1626</v>
      </c>
      <c r="F234" s="145">
        <v>3.3</v>
      </c>
      <c r="G234" s="146" t="s">
        <v>1510</v>
      </c>
      <c r="H234" s="145" t="s">
        <v>1154</v>
      </c>
      <c r="J234" s="150" t="str">
        <f t="shared" si="5"/>
        <v>Greuther Furth  vs  Heidenheim</v>
      </c>
    </row>
    <row r="235" spans="1:10">
      <c r="A235" s="162">
        <v>43518</v>
      </c>
      <c r="B235" s="151" t="s">
        <v>2454</v>
      </c>
      <c r="C235" s="144" t="s">
        <v>2243</v>
      </c>
      <c r="D235" s="143" t="s">
        <v>1849</v>
      </c>
      <c r="E235" s="145" t="s">
        <v>1626</v>
      </c>
      <c r="F235" s="145">
        <v>3.25</v>
      </c>
      <c r="G235" s="146" t="s">
        <v>1561</v>
      </c>
      <c r="H235" s="145" t="s">
        <v>1154</v>
      </c>
      <c r="J235" s="150" t="str">
        <f t="shared" si="5"/>
        <v>FC Wil  vs  Lausanne Sport</v>
      </c>
    </row>
    <row r="236" spans="1:10">
      <c r="A236" s="162">
        <v>43518</v>
      </c>
      <c r="B236" s="151" t="s">
        <v>1756</v>
      </c>
      <c r="C236" s="144" t="s">
        <v>2193</v>
      </c>
      <c r="D236" s="143" t="s">
        <v>1261</v>
      </c>
      <c r="E236" s="145" t="s">
        <v>1626</v>
      </c>
      <c r="F236" s="145">
        <v>3.15</v>
      </c>
      <c r="G236" s="146" t="s">
        <v>1561</v>
      </c>
      <c r="H236" s="145" t="s">
        <v>1154</v>
      </c>
      <c r="J236" s="150" t="str">
        <f t="shared" si="5"/>
        <v>Racing Club Strasbourg  vs  Lille OSC</v>
      </c>
    </row>
    <row r="237" spans="1:10">
      <c r="A237" s="162">
        <v>43518</v>
      </c>
      <c r="B237" s="151" t="s">
        <v>1904</v>
      </c>
      <c r="C237" s="144" t="s">
        <v>2768</v>
      </c>
      <c r="D237" s="143" t="s">
        <v>1736</v>
      </c>
      <c r="E237" s="145" t="s">
        <v>1626</v>
      </c>
      <c r="F237" s="145">
        <v>3</v>
      </c>
      <c r="G237" s="146" t="s">
        <v>1562</v>
      </c>
      <c r="H237" s="145" t="s">
        <v>1153</v>
      </c>
      <c r="J237" s="150" t="str">
        <f t="shared" si="5"/>
        <v>Atletico Lanus  vs  Rosario Central</v>
      </c>
    </row>
    <row r="238" spans="1:10">
      <c r="A238" s="162">
        <v>43518</v>
      </c>
      <c r="B238" s="151" t="s">
        <v>2767</v>
      </c>
      <c r="C238" s="144" t="s">
        <v>1859</v>
      </c>
      <c r="D238" s="143" t="s">
        <v>1736</v>
      </c>
      <c r="E238" s="145" t="s">
        <v>1626</v>
      </c>
      <c r="F238" s="145">
        <v>2.96</v>
      </c>
      <c r="G238" s="146" t="s">
        <v>1506</v>
      </c>
      <c r="H238" s="145" t="s">
        <v>1153</v>
      </c>
      <c r="J238" s="150" t="str">
        <f t="shared" si="5"/>
        <v>Colon de Santa Fe  vs  Banfield</v>
      </c>
    </row>
    <row r="239" spans="1:10">
      <c r="A239" s="162">
        <v>43519</v>
      </c>
      <c r="B239" s="151" t="s">
        <v>2366</v>
      </c>
      <c r="C239" s="144" t="s">
        <v>2271</v>
      </c>
      <c r="D239" s="143" t="s">
        <v>1846</v>
      </c>
      <c r="E239" s="145" t="s">
        <v>1626</v>
      </c>
      <c r="F239" s="145">
        <v>6.9</v>
      </c>
      <c r="G239" s="159" t="s">
        <v>1523</v>
      </c>
      <c r="H239" s="23" t="s">
        <v>1153</v>
      </c>
      <c r="J239" s="150" t="str">
        <f t="shared" si="5"/>
        <v>Bayern Munich  vs  Hertha Berlin</v>
      </c>
    </row>
    <row r="240" spans="1:10">
      <c r="A240" s="162">
        <v>43519</v>
      </c>
      <c r="B240" s="151" t="s">
        <v>2832</v>
      </c>
      <c r="C240" s="144" t="s">
        <v>2226</v>
      </c>
      <c r="D240" s="143" t="s">
        <v>1898</v>
      </c>
      <c r="E240" s="145" t="s">
        <v>1626</v>
      </c>
      <c r="F240" s="145">
        <v>4.4000000000000004</v>
      </c>
      <c r="G240" s="159" t="s">
        <v>1559</v>
      </c>
      <c r="H240" s="23" t="s">
        <v>1153</v>
      </c>
      <c r="J240" s="150" t="str">
        <f t="shared" si="5"/>
        <v>Frosinone  vs  AS Roma</v>
      </c>
    </row>
    <row r="241" spans="1:10">
      <c r="A241" s="162">
        <v>43519</v>
      </c>
      <c r="B241" s="151" t="s">
        <v>2819</v>
      </c>
      <c r="C241" s="144" t="s">
        <v>2820</v>
      </c>
      <c r="D241" s="143" t="s">
        <v>1692</v>
      </c>
      <c r="E241" s="145" t="s">
        <v>1626</v>
      </c>
      <c r="F241" s="145">
        <v>4.3</v>
      </c>
      <c r="G241" s="159" t="s">
        <v>1510</v>
      </c>
      <c r="H241" s="23" t="s">
        <v>1154</v>
      </c>
      <c r="J241" s="150" t="str">
        <f t="shared" si="5"/>
        <v>FC Honka Espoo  vs  IFK Mariehamn</v>
      </c>
    </row>
    <row r="242" spans="1:10">
      <c r="A242" s="162">
        <v>43519</v>
      </c>
      <c r="B242" s="151" t="s">
        <v>2838</v>
      </c>
      <c r="C242" s="144" t="s">
        <v>2839</v>
      </c>
      <c r="D242" s="143" t="s">
        <v>1848</v>
      </c>
      <c r="E242" s="145" t="s">
        <v>1626</v>
      </c>
      <c r="F242" s="145">
        <v>4.3</v>
      </c>
      <c r="G242" s="159" t="s">
        <v>1508</v>
      </c>
      <c r="H242" s="23" t="s">
        <v>1153</v>
      </c>
      <c r="J242" s="150" t="str">
        <f t="shared" si="5"/>
        <v>PEC Zwolle  vs  De Graafschap</v>
      </c>
    </row>
    <row r="243" spans="1:10">
      <c r="A243" s="162">
        <v>43519</v>
      </c>
      <c r="B243" s="151" t="s">
        <v>2426</v>
      </c>
      <c r="C243" s="144" t="s">
        <v>2103</v>
      </c>
      <c r="D243" s="143" t="s">
        <v>1899</v>
      </c>
      <c r="E243" s="145" t="s">
        <v>1626</v>
      </c>
      <c r="F243" s="145">
        <v>4.05</v>
      </c>
      <c r="G243" s="159" t="s">
        <v>1509</v>
      </c>
      <c r="H243" s="23" t="s">
        <v>1153</v>
      </c>
      <c r="J243" s="150" t="str">
        <f t="shared" si="5"/>
        <v>Neuchatel Xamax  vs  FC Basel</v>
      </c>
    </row>
    <row r="244" spans="1:10">
      <c r="A244" s="162">
        <v>43519</v>
      </c>
      <c r="B244" s="151" t="s">
        <v>1470</v>
      </c>
      <c r="C244" s="144" t="s">
        <v>1473</v>
      </c>
      <c r="D244" s="143" t="s">
        <v>1265</v>
      </c>
      <c r="E244" s="145" t="s">
        <v>1626</v>
      </c>
      <c r="F244" s="145">
        <v>3.95</v>
      </c>
      <c r="G244" s="159" t="s">
        <v>2134</v>
      </c>
      <c r="H244" s="23" t="s">
        <v>1153</v>
      </c>
      <c r="J244" s="150" t="str">
        <f t="shared" si="5"/>
        <v>Sevilla CF  vs  Barcelona CF</v>
      </c>
    </row>
    <row r="245" spans="1:10">
      <c r="A245" s="162">
        <v>43519</v>
      </c>
      <c r="B245" s="151" t="s">
        <v>1930</v>
      </c>
      <c r="C245" s="144" t="s">
        <v>2822</v>
      </c>
      <c r="D245" s="143" t="s">
        <v>1692</v>
      </c>
      <c r="E245" s="145" t="s">
        <v>1626</v>
      </c>
      <c r="F245" s="145">
        <v>3.8</v>
      </c>
      <c r="G245" s="159" t="s">
        <v>1560</v>
      </c>
      <c r="H245" s="23" t="s">
        <v>1153</v>
      </c>
      <c r="J245" s="150" t="str">
        <f t="shared" si="5"/>
        <v>Ilves  vs  VPS</v>
      </c>
    </row>
    <row r="246" spans="1:10">
      <c r="A246" s="162">
        <v>43519</v>
      </c>
      <c r="B246" s="151" t="s">
        <v>2855</v>
      </c>
      <c r="C246" s="144" t="s">
        <v>2856</v>
      </c>
      <c r="D246" s="143" t="s">
        <v>1849</v>
      </c>
      <c r="E246" s="145" t="s">
        <v>1626</v>
      </c>
      <c r="F246" s="145">
        <v>3.65</v>
      </c>
      <c r="G246" s="159" t="s">
        <v>1508</v>
      </c>
      <c r="H246" s="23" t="s">
        <v>1153</v>
      </c>
      <c r="J246" s="150" t="str">
        <f t="shared" si="5"/>
        <v>SC Kriens  vs  Servette</v>
      </c>
    </row>
    <row r="247" spans="1:10">
      <c r="A247" s="162">
        <v>43519</v>
      </c>
      <c r="B247" s="151" t="s">
        <v>2801</v>
      </c>
      <c r="C247" s="144" t="s">
        <v>2802</v>
      </c>
      <c r="D247" s="143" t="s">
        <v>2766</v>
      </c>
      <c r="E247" s="145" t="s">
        <v>1626</v>
      </c>
      <c r="F247" s="145">
        <v>3.6</v>
      </c>
      <c r="G247" s="159" t="s">
        <v>1510</v>
      </c>
      <c r="H247" s="23" t="s">
        <v>1154</v>
      </c>
      <c r="J247" s="150" t="str">
        <f t="shared" si="5"/>
        <v>Wolfsberger AC  vs  SCR Altach</v>
      </c>
    </row>
    <row r="248" spans="1:10">
      <c r="A248" s="162">
        <v>43519</v>
      </c>
      <c r="B248" s="151" t="s">
        <v>2857</v>
      </c>
      <c r="C248" s="144" t="s">
        <v>2316</v>
      </c>
      <c r="D248" s="143" t="s">
        <v>1849</v>
      </c>
      <c r="E248" s="145" t="s">
        <v>1626</v>
      </c>
      <c r="F248" s="145">
        <v>3.6</v>
      </c>
      <c r="G248" s="159" t="s">
        <v>1561</v>
      </c>
      <c r="H248" s="23" t="s">
        <v>1154</v>
      </c>
      <c r="J248" s="150" t="str">
        <f t="shared" si="5"/>
        <v>Chiasso  vs  Winterthur</v>
      </c>
    </row>
    <row r="249" spans="1:10">
      <c r="A249" s="162">
        <v>43519</v>
      </c>
      <c r="B249" s="151" t="s">
        <v>2803</v>
      </c>
      <c r="C249" s="144" t="s">
        <v>2804</v>
      </c>
      <c r="D249" s="143" t="s">
        <v>1845</v>
      </c>
      <c r="E249" s="145" t="s">
        <v>1626</v>
      </c>
      <c r="F249" s="145">
        <v>3.55</v>
      </c>
      <c r="G249" s="159" t="s">
        <v>1559</v>
      </c>
      <c r="H249" s="23" t="s">
        <v>1153</v>
      </c>
      <c r="J249" s="150" t="str">
        <f t="shared" si="5"/>
        <v>AS Eupen  vs  Zulte-Waregem</v>
      </c>
    </row>
    <row r="250" spans="1:10">
      <c r="A250" s="162">
        <v>43519</v>
      </c>
      <c r="B250" s="151" t="s">
        <v>2823</v>
      </c>
      <c r="C250" s="144" t="s">
        <v>2824</v>
      </c>
      <c r="D250" s="143" t="s">
        <v>1692</v>
      </c>
      <c r="E250" s="145" t="s">
        <v>1626</v>
      </c>
      <c r="F250" s="145">
        <v>3.55</v>
      </c>
      <c r="G250" s="159" t="s">
        <v>1522</v>
      </c>
      <c r="H250" s="23" t="s">
        <v>1153</v>
      </c>
      <c r="J250" s="150" t="str">
        <f t="shared" si="5"/>
        <v>Kajaani  vs  Ekenas IF</v>
      </c>
    </row>
    <row r="251" spans="1:10">
      <c r="A251" s="162">
        <v>43519</v>
      </c>
      <c r="B251" s="151" t="s">
        <v>1718</v>
      </c>
      <c r="C251" s="144" t="s">
        <v>2827</v>
      </c>
      <c r="D251" s="143" t="s">
        <v>1693</v>
      </c>
      <c r="E251" s="145" t="s">
        <v>1626</v>
      </c>
      <c r="F251" s="145">
        <v>3.55</v>
      </c>
      <c r="G251" s="159" t="s">
        <v>1591</v>
      </c>
      <c r="H251" s="23" t="s">
        <v>1153</v>
      </c>
      <c r="J251" s="150" t="str">
        <f t="shared" si="5"/>
        <v>VfL Bochum  vs  Holstein Kiel</v>
      </c>
    </row>
    <row r="252" spans="1:10">
      <c r="A252" s="162">
        <v>43519</v>
      </c>
      <c r="B252" s="151" t="s">
        <v>2841</v>
      </c>
      <c r="C252" s="144" t="s">
        <v>2842</v>
      </c>
      <c r="D252" s="143" t="s">
        <v>1848</v>
      </c>
      <c r="E252" s="145" t="s">
        <v>1626</v>
      </c>
      <c r="F252" s="145">
        <v>3.55</v>
      </c>
      <c r="G252" s="159" t="s">
        <v>1510</v>
      </c>
      <c r="H252" s="23" t="s">
        <v>1154</v>
      </c>
      <c r="J252" s="150" t="str">
        <f t="shared" si="5"/>
        <v>NAC Breda  vs  Groningen</v>
      </c>
    </row>
    <row r="253" spans="1:10">
      <c r="A253" s="162">
        <v>43519</v>
      </c>
      <c r="B253" s="151" t="s">
        <v>1364</v>
      </c>
      <c r="C253" s="144" t="s">
        <v>1436</v>
      </c>
      <c r="D253" s="143" t="s">
        <v>1265</v>
      </c>
      <c r="E253" s="145" t="s">
        <v>1626</v>
      </c>
      <c r="F253" s="145">
        <v>3.55</v>
      </c>
      <c r="G253" s="159" t="s">
        <v>1522</v>
      </c>
      <c r="H253" s="23" t="s">
        <v>1153</v>
      </c>
      <c r="J253" s="150" t="str">
        <f t="shared" si="5"/>
        <v>Getafe  vs  Rayo Vallecano de Madrid</v>
      </c>
    </row>
    <row r="254" spans="1:10">
      <c r="A254" s="162">
        <v>43519</v>
      </c>
      <c r="B254" s="151" t="s">
        <v>2817</v>
      </c>
      <c r="C254" s="144" t="s">
        <v>2818</v>
      </c>
      <c r="D254" s="143" t="s">
        <v>1692</v>
      </c>
      <c r="E254" s="145" t="s">
        <v>1626</v>
      </c>
      <c r="F254" s="145">
        <v>3.45</v>
      </c>
      <c r="G254" s="159" t="s">
        <v>1591</v>
      </c>
      <c r="H254" s="23" t="s">
        <v>1153</v>
      </c>
      <c r="J254" s="150" t="str">
        <f t="shared" si="5"/>
        <v>HIFK  vs  Inter Turku</v>
      </c>
    </row>
    <row r="255" spans="1:10">
      <c r="A255" s="162">
        <v>43519</v>
      </c>
      <c r="B255" s="151" t="s">
        <v>2798</v>
      </c>
      <c r="C255" s="144" t="s">
        <v>1365</v>
      </c>
      <c r="D255" s="143" t="s">
        <v>1257</v>
      </c>
      <c r="E255" s="145" t="s">
        <v>1626</v>
      </c>
      <c r="F255" s="145">
        <v>3.4</v>
      </c>
      <c r="G255" s="159" t="s">
        <v>1561</v>
      </c>
      <c r="H255" s="23" t="s">
        <v>1154</v>
      </c>
      <c r="J255" s="150" t="str">
        <f t="shared" si="5"/>
        <v>Melbourne Victory  vs  Melbourne City</v>
      </c>
    </row>
    <row r="256" spans="1:10">
      <c r="A256" s="162">
        <v>43519</v>
      </c>
      <c r="B256" s="151" t="s">
        <v>1915</v>
      </c>
      <c r="C256" s="144" t="s">
        <v>2308</v>
      </c>
      <c r="D256" s="143" t="s">
        <v>1845</v>
      </c>
      <c r="E256" s="145" t="s">
        <v>1626</v>
      </c>
      <c r="F256" s="145">
        <v>3.4</v>
      </c>
      <c r="G256" s="159" t="s">
        <v>2133</v>
      </c>
      <c r="H256" s="23" t="s">
        <v>1153</v>
      </c>
      <c r="J256" s="150" t="str">
        <f t="shared" si="5"/>
        <v>Waasland-Beveren  vs  Kortrijk</v>
      </c>
    </row>
    <row r="257" spans="1:10">
      <c r="A257" s="162">
        <v>43519</v>
      </c>
      <c r="B257" s="151" t="s">
        <v>2812</v>
      </c>
      <c r="C257" s="144" t="s">
        <v>2238</v>
      </c>
      <c r="D257" s="143" t="s">
        <v>2219</v>
      </c>
      <c r="E257" s="145" t="s">
        <v>1626</v>
      </c>
      <c r="F257" s="145">
        <v>3.4</v>
      </c>
      <c r="G257" s="159" t="s">
        <v>1523</v>
      </c>
      <c r="H257" s="23" t="s">
        <v>1153</v>
      </c>
      <c r="J257" s="150" t="str">
        <f t="shared" si="5"/>
        <v>Mlada Boleslav  vs  Baumit Jablonec</v>
      </c>
    </row>
    <row r="258" spans="1:10">
      <c r="A258" s="162">
        <v>43519</v>
      </c>
      <c r="B258" s="151" t="s">
        <v>2467</v>
      </c>
      <c r="C258" s="144" t="s">
        <v>2181</v>
      </c>
      <c r="D258" s="143" t="s">
        <v>1898</v>
      </c>
      <c r="E258" s="145" t="s">
        <v>1626</v>
      </c>
      <c r="F258" s="145">
        <v>3.3</v>
      </c>
      <c r="G258" s="159" t="s">
        <v>1562</v>
      </c>
      <c r="H258" s="23" t="s">
        <v>1153</v>
      </c>
      <c r="J258" s="150" t="str">
        <f t="shared" si="5"/>
        <v>Torino  vs  Atalanta Bergamo</v>
      </c>
    </row>
    <row r="259" spans="1:10">
      <c r="A259" s="162">
        <v>43519</v>
      </c>
      <c r="B259" s="151" t="s">
        <v>1720</v>
      </c>
      <c r="C259" s="144" t="s">
        <v>2828</v>
      </c>
      <c r="D259" s="143" t="s">
        <v>1693</v>
      </c>
      <c r="E259" s="145" t="s">
        <v>1626</v>
      </c>
      <c r="F259" s="145">
        <v>3.25</v>
      </c>
      <c r="G259" s="159" t="s">
        <v>1562</v>
      </c>
      <c r="H259" s="23" t="s">
        <v>1153</v>
      </c>
      <c r="J259" s="150" t="str">
        <f t="shared" si="5"/>
        <v>Darmstadt 98  vs  Dynamo Dresden</v>
      </c>
    </row>
    <row r="260" spans="1:10">
      <c r="A260" s="162">
        <v>43519</v>
      </c>
      <c r="B260" s="151" t="s">
        <v>2285</v>
      </c>
      <c r="C260" s="144" t="s">
        <v>2289</v>
      </c>
      <c r="D260" s="143" t="s">
        <v>1897</v>
      </c>
      <c r="E260" s="145" t="s">
        <v>1626</v>
      </c>
      <c r="F260" s="145">
        <v>3.25</v>
      </c>
      <c r="G260" s="159" t="s">
        <v>1522</v>
      </c>
      <c r="H260" s="23" t="s">
        <v>1153</v>
      </c>
      <c r="J260" s="150" t="str">
        <f t="shared" si="5"/>
        <v>Budapest Honved  vs  MTK Budapest</v>
      </c>
    </row>
    <row r="261" spans="1:10">
      <c r="A261" s="162">
        <v>43519</v>
      </c>
      <c r="B261" s="151" t="s">
        <v>2081</v>
      </c>
      <c r="C261" s="144" t="s">
        <v>2269</v>
      </c>
      <c r="D261" s="143" t="s">
        <v>1847</v>
      </c>
      <c r="E261" s="145" t="s">
        <v>1626</v>
      </c>
      <c r="F261" s="145">
        <v>3.25</v>
      </c>
      <c r="G261" s="159" t="s">
        <v>1562</v>
      </c>
      <c r="H261" s="23" t="s">
        <v>1153</v>
      </c>
      <c r="J261" s="150" t="str">
        <f t="shared" si="5"/>
        <v>Pescara  vs  Padova</v>
      </c>
    </row>
    <row r="262" spans="1:10">
      <c r="A262" s="162">
        <v>43519</v>
      </c>
      <c r="B262" s="151" t="s">
        <v>2816</v>
      </c>
      <c r="C262" s="144" t="s">
        <v>1376</v>
      </c>
      <c r="D262" s="143" t="s">
        <v>1267</v>
      </c>
      <c r="E262" s="145" t="s">
        <v>1626</v>
      </c>
      <c r="F262" s="145">
        <v>3.2</v>
      </c>
      <c r="G262" s="159" t="s">
        <v>1565</v>
      </c>
      <c r="H262" s="23" t="s">
        <v>1153</v>
      </c>
      <c r="J262" s="150" t="str">
        <f t="shared" si="5"/>
        <v>Leicester City  vs  Crystal Palace</v>
      </c>
    </row>
    <row r="263" spans="1:10">
      <c r="A263" s="162">
        <v>43519</v>
      </c>
      <c r="B263" s="151" t="s">
        <v>2831</v>
      </c>
      <c r="C263" s="144" t="s">
        <v>2158</v>
      </c>
      <c r="D263" s="143" t="s">
        <v>1264</v>
      </c>
      <c r="E263" s="145" t="s">
        <v>1626</v>
      </c>
      <c r="F263" s="145">
        <v>3.2</v>
      </c>
      <c r="G263" s="159" t="s">
        <v>1522</v>
      </c>
      <c r="H263" s="23" t="s">
        <v>1153</v>
      </c>
      <c r="J263" s="150" t="str">
        <f t="shared" si="5"/>
        <v>Bnei Sakhnin  vs  Bnei Yehuda Tel-Aviv</v>
      </c>
    </row>
    <row r="264" spans="1:10">
      <c r="A264" s="162">
        <v>43519</v>
      </c>
      <c r="B264" s="151" t="s">
        <v>1983</v>
      </c>
      <c r="C264" s="144" t="s">
        <v>2836</v>
      </c>
      <c r="D264" s="143" t="s">
        <v>1847</v>
      </c>
      <c r="E264" s="145" t="s">
        <v>1626</v>
      </c>
      <c r="F264" s="145">
        <v>3.2</v>
      </c>
      <c r="G264" s="159" t="s">
        <v>1795</v>
      </c>
      <c r="H264" s="23" t="s">
        <v>1153</v>
      </c>
      <c r="J264" s="150" t="str">
        <f t="shared" ref="J264:J327" si="6">CONCATENATE(B264," vs ",C264)</f>
        <v>Carpi  vs  Spezia</v>
      </c>
    </row>
    <row r="265" spans="1:10">
      <c r="A265" s="162">
        <v>43519</v>
      </c>
      <c r="B265" s="151" t="s">
        <v>1332</v>
      </c>
      <c r="C265" s="144" t="s">
        <v>2168</v>
      </c>
      <c r="D265" s="143" t="s">
        <v>1242</v>
      </c>
      <c r="E265" s="145" t="s">
        <v>1626</v>
      </c>
      <c r="F265" s="145">
        <v>3.2</v>
      </c>
      <c r="G265" s="159" t="s">
        <v>1591</v>
      </c>
      <c r="H265" s="23" t="s">
        <v>1153</v>
      </c>
      <c r="J265" s="150" t="str">
        <f t="shared" si="6"/>
        <v>Feirense  vs  Moreirense</v>
      </c>
    </row>
    <row r="266" spans="1:10">
      <c r="A266" s="162">
        <v>43519</v>
      </c>
      <c r="B266" s="151" t="s">
        <v>2295</v>
      </c>
      <c r="C266" s="144" t="s">
        <v>2811</v>
      </c>
      <c r="D266" s="143" t="s">
        <v>2219</v>
      </c>
      <c r="E266" s="145" t="s">
        <v>1626</v>
      </c>
      <c r="F266" s="145">
        <v>3.1</v>
      </c>
      <c r="G266" s="159" t="s">
        <v>1561</v>
      </c>
      <c r="H266" s="23" t="s">
        <v>1154</v>
      </c>
      <c r="J266" s="150" t="str">
        <f t="shared" si="6"/>
        <v>Karvina  vs  Teplice</v>
      </c>
    </row>
    <row r="267" spans="1:10">
      <c r="A267" s="162">
        <v>43519</v>
      </c>
      <c r="B267" s="151" t="s">
        <v>2339</v>
      </c>
      <c r="C267" s="144" t="s">
        <v>2860</v>
      </c>
      <c r="D267" s="143" t="s">
        <v>1897</v>
      </c>
      <c r="E267" s="145" t="s">
        <v>1626</v>
      </c>
      <c r="F267" s="145">
        <v>3.1</v>
      </c>
      <c r="G267" s="159" t="s">
        <v>1522</v>
      </c>
      <c r="H267" s="23" t="s">
        <v>1153</v>
      </c>
      <c r="J267" s="150" t="str">
        <f t="shared" si="6"/>
        <v>Paksi SE  vs  DebrecenivsC</v>
      </c>
    </row>
    <row r="268" spans="1:10">
      <c r="A268" s="162">
        <v>43519</v>
      </c>
      <c r="B268" s="151" t="s">
        <v>2446</v>
      </c>
      <c r="C268" s="144" t="s">
        <v>2837</v>
      </c>
      <c r="D268" s="143" t="s">
        <v>1847</v>
      </c>
      <c r="E268" s="145" t="s">
        <v>1626</v>
      </c>
      <c r="F268" s="145">
        <v>3.1</v>
      </c>
      <c r="G268" s="159" t="s">
        <v>1561</v>
      </c>
      <c r="H268" s="23" t="s">
        <v>1154</v>
      </c>
      <c r="J268" s="150" t="str">
        <f t="shared" si="6"/>
        <v>Foggia  vs  Benevento</v>
      </c>
    </row>
    <row r="269" spans="1:10">
      <c r="A269" s="162">
        <v>43519</v>
      </c>
      <c r="B269" s="151" t="s">
        <v>2331</v>
      </c>
      <c r="C269" s="144" t="s">
        <v>2796</v>
      </c>
      <c r="D269" s="143" t="s">
        <v>1736</v>
      </c>
      <c r="E269" s="145" t="s">
        <v>1626</v>
      </c>
      <c r="F269" s="145">
        <v>3.05</v>
      </c>
      <c r="G269" s="159" t="s">
        <v>1591</v>
      </c>
      <c r="H269" s="23" t="s">
        <v>1153</v>
      </c>
      <c r="J269" s="150" t="str">
        <f t="shared" si="6"/>
        <v>Independiente  vs  Racing Club Avellaneda</v>
      </c>
    </row>
    <row r="270" spans="1:10">
      <c r="A270" s="162">
        <v>43519</v>
      </c>
      <c r="B270" s="151" t="s">
        <v>2599</v>
      </c>
      <c r="C270" s="144" t="s">
        <v>2808</v>
      </c>
      <c r="D270" s="143" t="s">
        <v>2571</v>
      </c>
      <c r="E270" s="145" t="s">
        <v>1626</v>
      </c>
      <c r="F270" s="145">
        <v>3</v>
      </c>
      <c r="G270" s="159" t="s">
        <v>1591</v>
      </c>
      <c r="H270" s="23" t="s">
        <v>1153</v>
      </c>
      <c r="J270" s="150" t="str">
        <f t="shared" si="6"/>
        <v>Botev Vratsa  vs  Slavia Sofia</v>
      </c>
    </row>
    <row r="271" spans="1:10">
      <c r="A271" s="162">
        <v>43519</v>
      </c>
      <c r="B271" s="151" t="s">
        <v>1467</v>
      </c>
      <c r="C271" s="144" t="s">
        <v>2845</v>
      </c>
      <c r="D271" s="143" t="s">
        <v>1266</v>
      </c>
      <c r="E271" s="145" t="s">
        <v>1626</v>
      </c>
      <c r="F271" s="145">
        <v>2.98</v>
      </c>
      <c r="G271" s="159" t="s">
        <v>1795</v>
      </c>
      <c r="H271" s="23" t="s">
        <v>1153</v>
      </c>
      <c r="J271" s="150" t="str">
        <f t="shared" si="6"/>
        <v>UD Oliveirense  vs  Leixoes Matosinhos</v>
      </c>
    </row>
    <row r="272" spans="1:10">
      <c r="A272" s="162">
        <v>43519</v>
      </c>
      <c r="B272" s="151" t="s">
        <v>2794</v>
      </c>
      <c r="C272" s="144" t="s">
        <v>2795</v>
      </c>
      <c r="D272" s="143" t="s">
        <v>1736</v>
      </c>
      <c r="E272" s="145" t="s">
        <v>1626</v>
      </c>
      <c r="F272" s="145">
        <v>2.93</v>
      </c>
      <c r="G272" s="159" t="s">
        <v>1510</v>
      </c>
      <c r="H272" s="23" t="s">
        <v>1154</v>
      </c>
      <c r="J272" s="150" t="str">
        <f t="shared" si="6"/>
        <v>Belgrano de Cordoba  vs  San Lorenzo de Almagro</v>
      </c>
    </row>
    <row r="273" spans="1:10">
      <c r="A273" s="162">
        <v>43520</v>
      </c>
      <c r="B273" s="151" t="s">
        <v>1403</v>
      </c>
      <c r="C273" s="144" t="s">
        <v>1397</v>
      </c>
      <c r="D273" s="143" t="s">
        <v>1265</v>
      </c>
      <c r="E273" s="145" t="s">
        <v>1626</v>
      </c>
      <c r="F273" s="145">
        <v>4.5</v>
      </c>
      <c r="G273" s="159" t="s">
        <v>1511</v>
      </c>
      <c r="H273" s="23" t="s">
        <v>1153</v>
      </c>
      <c r="J273" s="150" t="str">
        <f t="shared" si="6"/>
        <v>Levante CF  vs  Real Madrid</v>
      </c>
    </row>
    <row r="274" spans="1:10">
      <c r="A274" s="162">
        <v>43520</v>
      </c>
      <c r="B274" s="151" t="s">
        <v>1991</v>
      </c>
      <c r="C274" s="144" t="s">
        <v>2253</v>
      </c>
      <c r="D274" s="143" t="s">
        <v>1848</v>
      </c>
      <c r="E274" s="145" t="s">
        <v>1626</v>
      </c>
      <c r="F274" s="145">
        <v>4.3</v>
      </c>
      <c r="G274" s="159" t="s">
        <v>1522</v>
      </c>
      <c r="H274" s="23" t="s">
        <v>1153</v>
      </c>
      <c r="J274" s="150" t="str">
        <f t="shared" si="6"/>
        <v>Willem II  vs  AZ Alkmaar</v>
      </c>
    </row>
    <row r="275" spans="1:10">
      <c r="A275" s="162">
        <v>43520</v>
      </c>
      <c r="B275" s="151" t="s">
        <v>2006</v>
      </c>
      <c r="C275" s="144" t="s">
        <v>2938</v>
      </c>
      <c r="D275" s="143" t="s">
        <v>1899</v>
      </c>
      <c r="E275" s="145" t="s">
        <v>1626</v>
      </c>
      <c r="F275" s="145">
        <v>4.1500000000000004</v>
      </c>
      <c r="G275" s="159" t="s">
        <v>1506</v>
      </c>
      <c r="H275" s="23" t="s">
        <v>1153</v>
      </c>
      <c r="J275" s="150" t="str">
        <f t="shared" si="6"/>
        <v>Lugano  vs  Young Boys Bern</v>
      </c>
    </row>
    <row r="276" spans="1:10">
      <c r="A276" s="162">
        <v>43520</v>
      </c>
      <c r="B276" s="151" t="s">
        <v>2223</v>
      </c>
      <c r="C276" s="144" t="s">
        <v>1910</v>
      </c>
      <c r="D276" s="143" t="s">
        <v>1845</v>
      </c>
      <c r="E276" s="145" t="s">
        <v>1626</v>
      </c>
      <c r="F276" s="145">
        <v>3.7</v>
      </c>
      <c r="G276" s="159" t="s">
        <v>1506</v>
      </c>
      <c r="H276" s="23" t="s">
        <v>1153</v>
      </c>
      <c r="J276" s="150" t="str">
        <f t="shared" si="6"/>
        <v>Racing Genk  vs  Antwerp</v>
      </c>
    </row>
    <row r="277" spans="1:10">
      <c r="A277" s="162">
        <v>43520</v>
      </c>
      <c r="B277" s="151" t="s">
        <v>1724</v>
      </c>
      <c r="C277" s="144" t="s">
        <v>1759</v>
      </c>
      <c r="D277" s="143" t="s">
        <v>1693</v>
      </c>
      <c r="E277" s="145" t="s">
        <v>1626</v>
      </c>
      <c r="F277" s="145">
        <v>3.55</v>
      </c>
      <c r="G277" s="159" t="s">
        <v>1561</v>
      </c>
      <c r="H277" s="23" t="s">
        <v>1154</v>
      </c>
      <c r="J277" s="150" t="str">
        <f t="shared" si="6"/>
        <v>Magdeburg  vs  Paderborn 07</v>
      </c>
    </row>
    <row r="278" spans="1:10">
      <c r="A278" s="162">
        <v>43520</v>
      </c>
      <c r="B278" s="151" t="s">
        <v>2474</v>
      </c>
      <c r="C278" s="144" t="s">
        <v>2917</v>
      </c>
      <c r="D278" s="143" t="s">
        <v>1898</v>
      </c>
      <c r="E278" s="145" t="s">
        <v>1626</v>
      </c>
      <c r="F278" s="145">
        <v>3.5</v>
      </c>
      <c r="G278" s="159" t="s">
        <v>1523</v>
      </c>
      <c r="H278" s="23" t="s">
        <v>1153</v>
      </c>
      <c r="J278" s="150" t="str">
        <f t="shared" si="6"/>
        <v>Sampdoria  vs  Cagliara</v>
      </c>
    </row>
    <row r="279" spans="1:10">
      <c r="A279" s="162">
        <v>43520</v>
      </c>
      <c r="B279" s="151" t="s">
        <v>2392</v>
      </c>
      <c r="C279" s="144" t="s">
        <v>2900</v>
      </c>
      <c r="D279" s="143" t="s">
        <v>1845</v>
      </c>
      <c r="E279" s="145" t="s">
        <v>1626</v>
      </c>
      <c r="F279" s="145">
        <v>3.4</v>
      </c>
      <c r="G279" s="159" t="s">
        <v>1513</v>
      </c>
      <c r="H279" s="23" t="s">
        <v>1154</v>
      </c>
      <c r="J279" s="150" t="str">
        <f t="shared" si="6"/>
        <v>RSC Anderlecht  vs  Club Brugge</v>
      </c>
    </row>
    <row r="280" spans="1:10">
      <c r="A280" s="162">
        <v>43520</v>
      </c>
      <c r="B280" s="151" t="s">
        <v>1277</v>
      </c>
      <c r="C280" s="144" t="s">
        <v>2927</v>
      </c>
      <c r="D280" s="143" t="s">
        <v>1242</v>
      </c>
      <c r="E280" s="145" t="s">
        <v>1626</v>
      </c>
      <c r="F280" s="145">
        <v>3.4</v>
      </c>
      <c r="G280" s="159" t="s">
        <v>1562</v>
      </c>
      <c r="H280" s="23" t="s">
        <v>1153</v>
      </c>
      <c r="J280" s="150" t="str">
        <f t="shared" si="6"/>
        <v>Santa Clara  vs  CD Nacional de Madeira</v>
      </c>
    </row>
    <row r="281" spans="1:10">
      <c r="A281" s="162">
        <v>43520</v>
      </c>
      <c r="B281" s="151" t="s">
        <v>2647</v>
      </c>
      <c r="C281" s="144" t="s">
        <v>2907</v>
      </c>
      <c r="D281" s="143" t="s">
        <v>2220</v>
      </c>
      <c r="E281" s="145" t="s">
        <v>1626</v>
      </c>
      <c r="F281" s="145">
        <v>3.35</v>
      </c>
      <c r="G281" s="159" t="s">
        <v>1511</v>
      </c>
      <c r="H281" s="23" t="s">
        <v>1153</v>
      </c>
      <c r="J281" s="150" t="str">
        <f t="shared" si="6"/>
        <v>AC Horsens  vs  OB Odense</v>
      </c>
    </row>
    <row r="282" spans="1:10">
      <c r="A282" s="162">
        <v>43520</v>
      </c>
      <c r="B282" s="151" t="s">
        <v>1308</v>
      </c>
      <c r="C282" s="144" t="s">
        <v>1425</v>
      </c>
      <c r="D282" s="143" t="s">
        <v>1261</v>
      </c>
      <c r="E282" s="145" t="s">
        <v>1626</v>
      </c>
      <c r="F282" s="145">
        <v>3.35</v>
      </c>
      <c r="G282" s="159" t="s">
        <v>1561</v>
      </c>
      <c r="H282" s="23" t="s">
        <v>1154</v>
      </c>
      <c r="J282" s="150" t="str">
        <f t="shared" si="6"/>
        <v>Toulouse  vs  Stade Malherbe de Caen</v>
      </c>
    </row>
    <row r="283" spans="1:10">
      <c r="A283" s="162">
        <v>43520</v>
      </c>
      <c r="B283" s="151" t="s">
        <v>1327</v>
      </c>
      <c r="C283" s="144" t="s">
        <v>1449</v>
      </c>
      <c r="D283" s="143" t="s">
        <v>1261</v>
      </c>
      <c r="E283" s="145" t="s">
        <v>1626</v>
      </c>
      <c r="F283" s="145">
        <v>3.35</v>
      </c>
      <c r="G283" s="159" t="s">
        <v>1561</v>
      </c>
      <c r="H283" s="23" t="s">
        <v>1154</v>
      </c>
      <c r="J283" s="150" t="str">
        <f t="shared" si="6"/>
        <v>Stade Rennais  vs  Olympique de Marseille</v>
      </c>
    </row>
    <row r="284" spans="1:10">
      <c r="A284" s="162">
        <v>43520</v>
      </c>
      <c r="B284" s="151" t="s">
        <v>1339</v>
      </c>
      <c r="C284" s="144" t="s">
        <v>1500</v>
      </c>
      <c r="D284" s="143" t="s">
        <v>1266</v>
      </c>
      <c r="E284" s="145" t="s">
        <v>1626</v>
      </c>
      <c r="F284" s="145">
        <v>3.3</v>
      </c>
      <c r="G284" s="159" t="s">
        <v>1523</v>
      </c>
      <c r="H284" s="23" t="s">
        <v>1153</v>
      </c>
      <c r="J284" s="150" t="str">
        <f t="shared" si="6"/>
        <v>Arouca  vs  FC Porto II</v>
      </c>
    </row>
    <row r="285" spans="1:10">
      <c r="A285" s="162">
        <v>43520</v>
      </c>
      <c r="B285" s="151" t="s">
        <v>2639</v>
      </c>
      <c r="C285" s="144" t="s">
        <v>2902</v>
      </c>
      <c r="D285" s="143" t="s">
        <v>2571</v>
      </c>
      <c r="E285" s="145" t="s">
        <v>1626</v>
      </c>
      <c r="F285" s="145">
        <v>3.25</v>
      </c>
      <c r="G285" s="159" t="s">
        <v>1562</v>
      </c>
      <c r="H285" s="23" t="s">
        <v>1153</v>
      </c>
      <c r="J285" s="150" t="str">
        <f t="shared" si="6"/>
        <v>Etar  vs  Lokomotiv Plovdiv</v>
      </c>
    </row>
    <row r="286" spans="1:10">
      <c r="A286" s="162">
        <v>43520</v>
      </c>
      <c r="B286" s="151" t="s">
        <v>1919</v>
      </c>
      <c r="C286" s="144" t="s">
        <v>2904</v>
      </c>
      <c r="D286" s="143" t="s">
        <v>1737</v>
      </c>
      <c r="E286" s="145" t="s">
        <v>1626</v>
      </c>
      <c r="F286" s="145">
        <v>3.15</v>
      </c>
      <c r="G286" s="159" t="s">
        <v>1510</v>
      </c>
      <c r="H286" s="23" t="s">
        <v>1154</v>
      </c>
      <c r="J286" s="150" t="str">
        <f t="shared" si="6"/>
        <v>Istra 1961  vs  Lokomotiva Zagreb</v>
      </c>
    </row>
    <row r="287" spans="1:10">
      <c r="A287" s="162">
        <v>43520</v>
      </c>
      <c r="B287" s="151" t="s">
        <v>1380</v>
      </c>
      <c r="C287" s="144" t="s">
        <v>2291</v>
      </c>
      <c r="D287" s="143" t="s">
        <v>1242</v>
      </c>
      <c r="E287" s="145" t="s">
        <v>1626</v>
      </c>
      <c r="F287" s="145">
        <v>3.05</v>
      </c>
      <c r="G287" s="159" t="s">
        <v>1523</v>
      </c>
      <c r="H287" s="23" t="s">
        <v>1153</v>
      </c>
      <c r="J287" s="150" t="str">
        <f t="shared" si="6"/>
        <v>Boavista  vs  Rio Ave</v>
      </c>
    </row>
    <row r="288" spans="1:10">
      <c r="A288" s="162">
        <v>43520</v>
      </c>
      <c r="B288" s="151" t="s">
        <v>1281</v>
      </c>
      <c r="C288" s="144" t="s">
        <v>1462</v>
      </c>
      <c r="D288" s="143" t="s">
        <v>1266</v>
      </c>
      <c r="E288" s="145" t="s">
        <v>1626</v>
      </c>
      <c r="F288" s="145">
        <v>3.05</v>
      </c>
      <c r="G288" s="159" t="s">
        <v>1510</v>
      </c>
      <c r="H288" s="23" t="s">
        <v>1154</v>
      </c>
      <c r="J288" s="150" t="str">
        <f t="shared" si="6"/>
        <v>Vitoria Guimaraes II  vs  Varzim</v>
      </c>
    </row>
    <row r="289" spans="1:10">
      <c r="A289" s="162">
        <v>43520</v>
      </c>
      <c r="B289" s="151" t="s">
        <v>2438</v>
      </c>
      <c r="C289" s="144" t="s">
        <v>2912</v>
      </c>
      <c r="D289" s="143" t="s">
        <v>1261</v>
      </c>
      <c r="E289" s="145" t="s">
        <v>1626</v>
      </c>
      <c r="F289" s="145">
        <v>3</v>
      </c>
      <c r="G289" s="159" t="s">
        <v>2134</v>
      </c>
      <c r="H289" s="23" t="s">
        <v>1153</v>
      </c>
      <c r="J289" s="150" t="str">
        <f t="shared" si="6"/>
        <v>Montpellier HSC  vs  Stade de Reims</v>
      </c>
    </row>
    <row r="290" spans="1:10">
      <c r="A290" s="162">
        <v>43520</v>
      </c>
      <c r="B290" s="151" t="s">
        <v>2444</v>
      </c>
      <c r="C290" s="144" t="s">
        <v>2080</v>
      </c>
      <c r="D290" s="143" t="s">
        <v>1847</v>
      </c>
      <c r="E290" s="145" t="s">
        <v>1626</v>
      </c>
      <c r="F290" s="145">
        <v>2.98</v>
      </c>
      <c r="G290" s="159" t="s">
        <v>1523</v>
      </c>
      <c r="H290" s="23" t="s">
        <v>1153</v>
      </c>
      <c r="J290" s="150" t="str">
        <f t="shared" si="6"/>
        <v>Livorno  vs  Venezia</v>
      </c>
    </row>
    <row r="291" spans="1:10">
      <c r="A291" s="162">
        <v>43520</v>
      </c>
      <c r="B291" s="151" t="s">
        <v>2421</v>
      </c>
      <c r="C291" s="144" t="s">
        <v>1438</v>
      </c>
      <c r="D291" s="143" t="s">
        <v>1265</v>
      </c>
      <c r="E291" s="145" t="s">
        <v>1626</v>
      </c>
      <c r="F291" s="145">
        <v>2.98</v>
      </c>
      <c r="G291" s="159" t="s">
        <v>1561</v>
      </c>
      <c r="H291" s="23" t="s">
        <v>1154</v>
      </c>
      <c r="J291" s="150" t="str">
        <f t="shared" si="6"/>
        <v>Leganes CF  vs  Valencia CF</v>
      </c>
    </row>
    <row r="292" spans="1:10">
      <c r="A292" s="162">
        <v>43520</v>
      </c>
      <c r="B292" s="151" t="s">
        <v>2733</v>
      </c>
      <c r="C292" s="144" t="s">
        <v>1801</v>
      </c>
      <c r="D292" s="143" t="s">
        <v>1736</v>
      </c>
      <c r="E292" s="145" t="s">
        <v>1626</v>
      </c>
      <c r="F292" s="145">
        <v>2.95</v>
      </c>
      <c r="G292" s="159" t="s">
        <v>1506</v>
      </c>
      <c r="H292" s="23" t="s">
        <v>1153</v>
      </c>
      <c r="J292" s="150" t="str">
        <f t="shared" si="6"/>
        <v>Defensa y Justicia  vs  Boca Juniors</v>
      </c>
    </row>
    <row r="293" spans="1:10">
      <c r="A293" s="162">
        <v>43521</v>
      </c>
      <c r="B293" s="156" t="s">
        <v>1311</v>
      </c>
      <c r="C293" s="144" t="s">
        <v>2970</v>
      </c>
      <c r="D293" s="73" t="s">
        <v>1264</v>
      </c>
      <c r="E293" s="145" t="s">
        <v>1626</v>
      </c>
      <c r="F293" s="145">
        <v>3.35</v>
      </c>
      <c r="G293" s="159" t="s">
        <v>1510</v>
      </c>
      <c r="H293" s="23" t="s">
        <v>1154</v>
      </c>
      <c r="J293" s="150" t="str">
        <f t="shared" si="6"/>
        <v>Hapoel Haifa  vs  Maccabi Haifa </v>
      </c>
    </row>
    <row r="294" spans="1:10">
      <c r="A294" s="162">
        <v>43522</v>
      </c>
      <c r="B294" s="156" t="s">
        <v>2772</v>
      </c>
      <c r="C294" s="144" t="s">
        <v>2983</v>
      </c>
      <c r="D294" s="73" t="s">
        <v>1267</v>
      </c>
      <c r="E294" s="145" t="s">
        <v>1626</v>
      </c>
      <c r="F294" s="145">
        <v>3.25</v>
      </c>
      <c r="G294" s="159" t="s">
        <v>1508</v>
      </c>
      <c r="H294" s="23" t="s">
        <v>1153</v>
      </c>
      <c r="J294" s="150" t="str">
        <f t="shared" si="6"/>
        <v>Cardiff City  vs  Everton</v>
      </c>
    </row>
    <row r="295" spans="1:10">
      <c r="A295" s="162">
        <v>43522</v>
      </c>
      <c r="B295" s="156" t="s">
        <v>1298</v>
      </c>
      <c r="C295" s="144" t="s">
        <v>1373</v>
      </c>
      <c r="D295" s="73" t="s">
        <v>1267</v>
      </c>
      <c r="E295" s="145" t="s">
        <v>1626</v>
      </c>
      <c r="F295" s="145">
        <v>3.25</v>
      </c>
      <c r="G295" s="159" t="s">
        <v>1562</v>
      </c>
      <c r="H295" s="23" t="s">
        <v>1153</v>
      </c>
      <c r="J295" s="150" t="str">
        <f t="shared" si="6"/>
        <v>Newcastle United  vs  Burnley</v>
      </c>
    </row>
    <row r="296" spans="1:10">
      <c r="A296" s="162">
        <v>43522</v>
      </c>
      <c r="B296" s="156" t="s">
        <v>1985</v>
      </c>
      <c r="C296" s="144" t="s">
        <v>2987</v>
      </c>
      <c r="D296" s="73" t="s">
        <v>1847</v>
      </c>
      <c r="E296" s="145" t="s">
        <v>1626</v>
      </c>
      <c r="F296" s="145">
        <v>3.2</v>
      </c>
      <c r="G296" s="159" t="s">
        <v>1561</v>
      </c>
      <c r="H296" s="23" t="s">
        <v>1154</v>
      </c>
      <c r="J296" s="150" t="str">
        <f t="shared" si="6"/>
        <v>Padova  vs  Brescia</v>
      </c>
    </row>
    <row r="297" spans="1:10">
      <c r="A297" s="162">
        <v>43522</v>
      </c>
      <c r="B297" s="156" t="s">
        <v>2620</v>
      </c>
      <c r="C297" s="144" t="s">
        <v>2988</v>
      </c>
      <c r="D297" s="73" t="s">
        <v>1847</v>
      </c>
      <c r="E297" s="145" t="s">
        <v>1626</v>
      </c>
      <c r="F297" s="145">
        <v>3.1</v>
      </c>
      <c r="G297" s="159" t="s">
        <v>1513</v>
      </c>
      <c r="H297" s="23" t="s">
        <v>1154</v>
      </c>
      <c r="J297" s="150" t="str">
        <f t="shared" si="6"/>
        <v>Ascoli  vs  Foggia</v>
      </c>
    </row>
    <row r="298" spans="1:10">
      <c r="A298" s="162">
        <v>43523</v>
      </c>
      <c r="B298" s="156" t="s">
        <v>1754</v>
      </c>
      <c r="C298" s="144" t="s">
        <v>1371</v>
      </c>
      <c r="D298" s="73" t="s">
        <v>1267</v>
      </c>
      <c r="E298" s="145" t="s">
        <v>1626</v>
      </c>
      <c r="F298" s="145">
        <v>5.8</v>
      </c>
      <c r="G298" s="159" t="s">
        <v>2126</v>
      </c>
      <c r="H298" s="23" t="s">
        <v>1153</v>
      </c>
      <c r="J298" s="150" t="str">
        <f t="shared" si="6"/>
        <v>Liverpool  vs  Watford</v>
      </c>
    </row>
    <row r="299" spans="1:10">
      <c r="A299" s="162">
        <v>43523</v>
      </c>
      <c r="B299" s="156" t="s">
        <v>3010</v>
      </c>
      <c r="C299" s="144" t="s">
        <v>2103</v>
      </c>
      <c r="D299" s="73" t="s">
        <v>2995</v>
      </c>
      <c r="E299" s="145" t="s">
        <v>1626</v>
      </c>
      <c r="F299" s="145">
        <v>3.6</v>
      </c>
      <c r="G299" s="159" t="s">
        <v>2134</v>
      </c>
      <c r="H299" s="23" t="s">
        <v>1153</v>
      </c>
      <c r="J299" s="150" t="str">
        <f t="shared" si="6"/>
        <v>FC Sion  vs  FC Basel</v>
      </c>
    </row>
    <row r="300" spans="1:10">
      <c r="A300" s="162">
        <v>43523</v>
      </c>
      <c r="B300" s="156" t="s">
        <v>1299</v>
      </c>
      <c r="C300" s="144" t="s">
        <v>1377</v>
      </c>
      <c r="D300" s="73" t="s">
        <v>1267</v>
      </c>
      <c r="E300" s="145" t="s">
        <v>1626</v>
      </c>
      <c r="F300" s="145">
        <v>3.3</v>
      </c>
      <c r="G300" s="159" t="s">
        <v>1591</v>
      </c>
      <c r="H300" s="23" t="s">
        <v>1153</v>
      </c>
      <c r="J300" s="150" t="str">
        <f t="shared" si="6"/>
        <v>Crystal Palace  vs  Manchester United</v>
      </c>
    </row>
    <row r="301" spans="1:10">
      <c r="A301" s="162">
        <v>43523</v>
      </c>
      <c r="B301" s="156" t="s">
        <v>3006</v>
      </c>
      <c r="C301" s="144" t="s">
        <v>1973</v>
      </c>
      <c r="D301" s="73" t="s">
        <v>2138</v>
      </c>
      <c r="E301" s="145" t="s">
        <v>1626</v>
      </c>
      <c r="F301" s="145">
        <v>3.25</v>
      </c>
      <c r="G301" s="159" t="s">
        <v>1561</v>
      </c>
      <c r="H301" s="23" t="s">
        <v>1154</v>
      </c>
      <c r="J301" s="150" t="str">
        <f t="shared" si="6"/>
        <v>Maccabi Petah Tikva  vs  Maccabi Netanya</v>
      </c>
    </row>
    <row r="302" spans="1:10">
      <c r="A302" s="162">
        <v>43524</v>
      </c>
      <c r="B302" s="156" t="s">
        <v>1991</v>
      </c>
      <c r="C302" s="144" t="s">
        <v>2253</v>
      </c>
      <c r="D302" s="73" t="s">
        <v>2994</v>
      </c>
      <c r="E302" s="145" t="s">
        <v>1626</v>
      </c>
      <c r="F302" s="145">
        <v>3.85</v>
      </c>
      <c r="G302" s="159" t="s">
        <v>1561</v>
      </c>
      <c r="H302" s="23" t="s">
        <v>1154</v>
      </c>
      <c r="J302" s="150" t="str">
        <f t="shared" si="6"/>
        <v>Willem II  vs  AZ Alkmaar</v>
      </c>
    </row>
    <row r="303" spans="1:10">
      <c r="A303" s="162">
        <v>43525</v>
      </c>
      <c r="B303" s="156" t="s">
        <v>3026</v>
      </c>
      <c r="C303" s="144" t="s">
        <v>2724</v>
      </c>
      <c r="D303" s="73" t="s">
        <v>2571</v>
      </c>
      <c r="E303" s="145" t="s">
        <v>1626</v>
      </c>
      <c r="F303" s="145">
        <v>7.9</v>
      </c>
      <c r="G303" s="159" t="s">
        <v>1509</v>
      </c>
      <c r="H303" s="23" t="s">
        <v>1153</v>
      </c>
      <c r="J303" s="150" t="str">
        <f t="shared" si="6"/>
        <v>Vereya  vs  Cherno More Varna</v>
      </c>
    </row>
    <row r="304" spans="1:10">
      <c r="A304" s="162">
        <v>43525</v>
      </c>
      <c r="B304" s="156" t="s">
        <v>2114</v>
      </c>
      <c r="C304" s="144" t="s">
        <v>3034</v>
      </c>
      <c r="D304" s="73" t="s">
        <v>1850</v>
      </c>
      <c r="E304" s="145" t="s">
        <v>1626</v>
      </c>
      <c r="F304" s="145">
        <v>3.5</v>
      </c>
      <c r="G304" s="159" t="s">
        <v>2134</v>
      </c>
      <c r="H304" s="23" t="s">
        <v>1153</v>
      </c>
      <c r="J304" s="150" t="str">
        <f t="shared" si="6"/>
        <v>Antalyaspor  vs  Ankaragucu</v>
      </c>
    </row>
    <row r="305" spans="1:10">
      <c r="A305" s="162">
        <v>43525</v>
      </c>
      <c r="B305" s="156" t="s">
        <v>1287</v>
      </c>
      <c r="C305" s="144" t="s">
        <v>2896</v>
      </c>
      <c r="D305" s="73" t="s">
        <v>1257</v>
      </c>
      <c r="E305" s="145" t="s">
        <v>1626</v>
      </c>
      <c r="F305" s="145">
        <v>3.45</v>
      </c>
      <c r="G305" s="159" t="s">
        <v>1562</v>
      </c>
      <c r="H305" s="23" t="s">
        <v>1153</v>
      </c>
      <c r="J305" s="150" t="str">
        <f t="shared" si="6"/>
        <v>Sydney FC  vs  Adelaide United</v>
      </c>
    </row>
    <row r="306" spans="1:10">
      <c r="A306" s="162">
        <v>43525</v>
      </c>
      <c r="B306" s="156" t="s">
        <v>3027</v>
      </c>
      <c r="C306" s="144" t="s">
        <v>3028</v>
      </c>
      <c r="D306" s="73" t="s">
        <v>2219</v>
      </c>
      <c r="E306" s="145" t="s">
        <v>1626</v>
      </c>
      <c r="F306" s="145">
        <v>3.45</v>
      </c>
      <c r="G306" s="159" t="s">
        <v>1511</v>
      </c>
      <c r="H306" s="23" t="s">
        <v>1153</v>
      </c>
      <c r="J306" s="150" t="str">
        <f t="shared" si="6"/>
        <v>Banik Ostrava  vs  Zlin</v>
      </c>
    </row>
    <row r="307" spans="1:10">
      <c r="A307" s="162">
        <v>43525</v>
      </c>
      <c r="B307" s="156" t="s">
        <v>1883</v>
      </c>
      <c r="C307" s="144" t="s">
        <v>2856</v>
      </c>
      <c r="D307" s="73" t="s">
        <v>1849</v>
      </c>
      <c r="E307" s="145" t="s">
        <v>1626</v>
      </c>
      <c r="F307" s="145">
        <v>3.4</v>
      </c>
      <c r="G307" s="159" t="s">
        <v>1512</v>
      </c>
      <c r="H307" s="23" t="s">
        <v>1154</v>
      </c>
      <c r="J307" s="150" t="str">
        <f t="shared" si="6"/>
        <v>Aarau  vs  Servette</v>
      </c>
    </row>
    <row r="308" spans="1:10">
      <c r="A308" s="162">
        <v>43526</v>
      </c>
      <c r="B308" s="156" t="s">
        <v>2270</v>
      </c>
      <c r="C308" s="144" t="s">
        <v>1945</v>
      </c>
      <c r="D308" s="73" t="s">
        <v>1846</v>
      </c>
      <c r="E308" s="145" t="s">
        <v>1626</v>
      </c>
      <c r="F308" s="145">
        <v>4.3</v>
      </c>
      <c r="G308" s="146" t="s">
        <v>1892</v>
      </c>
      <c r="H308" s="145" t="s">
        <v>1153</v>
      </c>
      <c r="J308" s="150" t="str">
        <f t="shared" si="6"/>
        <v>Borussia Moenchengladbach  vs  Bayern Munich</v>
      </c>
    </row>
    <row r="309" spans="1:10">
      <c r="A309" s="162">
        <v>43526</v>
      </c>
      <c r="B309" s="156" t="s">
        <v>1885</v>
      </c>
      <c r="C309" s="144" t="s">
        <v>2111</v>
      </c>
      <c r="D309" s="73" t="s">
        <v>1850</v>
      </c>
      <c r="E309" s="145" t="s">
        <v>1626</v>
      </c>
      <c r="F309" s="145">
        <v>4.3</v>
      </c>
      <c r="G309" s="146" t="s">
        <v>1795</v>
      </c>
      <c r="H309" s="145" t="s">
        <v>1153</v>
      </c>
      <c r="J309" s="150" t="str">
        <f t="shared" si="6"/>
        <v>Fenerbahce  vs  Rizespor</v>
      </c>
    </row>
    <row r="310" spans="1:10">
      <c r="A310" s="162">
        <v>43526</v>
      </c>
      <c r="B310" s="156" t="s">
        <v>1286</v>
      </c>
      <c r="C310" s="144" t="s">
        <v>3078</v>
      </c>
      <c r="D310" s="73" t="s">
        <v>1265</v>
      </c>
      <c r="E310" s="145" t="s">
        <v>1626</v>
      </c>
      <c r="F310" s="145">
        <v>4.0999999999999996</v>
      </c>
      <c r="G310" s="146" t="s">
        <v>1511</v>
      </c>
      <c r="H310" s="145" t="s">
        <v>1153</v>
      </c>
      <c r="J310" s="150" t="str">
        <f t="shared" si="6"/>
        <v>Villarreal CF  vs  Deportivo Alaves</v>
      </c>
    </row>
    <row r="311" spans="1:10">
      <c r="A311" s="162">
        <v>43526</v>
      </c>
      <c r="B311" s="156" t="s">
        <v>2658</v>
      </c>
      <c r="C311" s="144" t="s">
        <v>3065</v>
      </c>
      <c r="D311" s="73" t="s">
        <v>1846</v>
      </c>
      <c r="E311" s="145" t="s">
        <v>1626</v>
      </c>
      <c r="F311" s="145">
        <v>3.9</v>
      </c>
      <c r="G311" s="146" t="s">
        <v>1795</v>
      </c>
      <c r="H311" s="145" t="s">
        <v>1153</v>
      </c>
      <c r="J311" s="150" t="str">
        <f t="shared" si="6"/>
        <v>Eintracht Frankfurt  vs  Hoffenheim</v>
      </c>
    </row>
    <row r="312" spans="1:10">
      <c r="A312" s="162">
        <v>43526</v>
      </c>
      <c r="B312" s="156" t="s">
        <v>1957</v>
      </c>
      <c r="C312" s="144" t="s">
        <v>2222</v>
      </c>
      <c r="D312" s="73" t="s">
        <v>1693</v>
      </c>
      <c r="E312" s="145" t="s">
        <v>1626</v>
      </c>
      <c r="F312" s="145">
        <v>3.9</v>
      </c>
      <c r="G312" s="146" t="s">
        <v>1506</v>
      </c>
      <c r="H312" s="145" t="s">
        <v>1153</v>
      </c>
      <c r="J312" s="150" t="str">
        <f t="shared" si="6"/>
        <v>Paderborn 07  vs  St. Pauli</v>
      </c>
    </row>
    <row r="313" spans="1:10">
      <c r="A313" s="162">
        <v>43526</v>
      </c>
      <c r="B313" s="156" t="s">
        <v>2621</v>
      </c>
      <c r="C313" s="144" t="s">
        <v>2086</v>
      </c>
      <c r="D313" s="73" t="s">
        <v>1848</v>
      </c>
      <c r="E313" s="145" t="s">
        <v>1626</v>
      </c>
      <c r="F313" s="145">
        <v>3.65</v>
      </c>
      <c r="G313" s="146" t="s">
        <v>1892</v>
      </c>
      <c r="H313" s="145" t="s">
        <v>1153</v>
      </c>
      <c r="J313" s="150" t="str">
        <f t="shared" si="6"/>
        <v>Heracles Almelo  vs  FC Utrecht</v>
      </c>
    </row>
    <row r="314" spans="1:10">
      <c r="A314" s="162">
        <v>43526</v>
      </c>
      <c r="B314" s="156" t="s">
        <v>3068</v>
      </c>
      <c r="C314" s="144" t="s">
        <v>3069</v>
      </c>
      <c r="D314" s="73" t="s">
        <v>1898</v>
      </c>
      <c r="E314" s="145" t="s">
        <v>1626</v>
      </c>
      <c r="F314" s="145">
        <v>3.5</v>
      </c>
      <c r="G314" s="146" t="s">
        <v>1512</v>
      </c>
      <c r="H314" s="145" t="s">
        <v>1154</v>
      </c>
      <c r="J314" s="150" t="str">
        <f t="shared" si="6"/>
        <v>Empoli  vs  Parma</v>
      </c>
    </row>
    <row r="315" spans="1:10">
      <c r="A315" s="162">
        <v>43526</v>
      </c>
      <c r="B315" s="156" t="s">
        <v>2217</v>
      </c>
      <c r="C315" s="144" t="s">
        <v>3071</v>
      </c>
      <c r="D315" s="73" t="s">
        <v>1898</v>
      </c>
      <c r="E315" s="145" t="s">
        <v>1626</v>
      </c>
      <c r="F315" s="145">
        <v>3.5</v>
      </c>
      <c r="G315" s="146" t="s">
        <v>1560</v>
      </c>
      <c r="H315" s="145" t="s">
        <v>1153</v>
      </c>
      <c r="J315" s="150" t="str">
        <f t="shared" si="6"/>
        <v>SS Lazio  vs  AS Roma </v>
      </c>
    </row>
    <row r="316" spans="1:10">
      <c r="A316" s="162">
        <v>43526</v>
      </c>
      <c r="B316" s="156" t="s">
        <v>2302</v>
      </c>
      <c r="C316" s="144" t="s">
        <v>2289</v>
      </c>
      <c r="D316" s="73" t="s">
        <v>1897</v>
      </c>
      <c r="E316" s="145" t="s">
        <v>1626</v>
      </c>
      <c r="F316" s="145">
        <v>3.45</v>
      </c>
      <c r="G316" s="146" t="s">
        <v>1510</v>
      </c>
      <c r="H316" s="145" t="s">
        <v>1154</v>
      </c>
      <c r="J316" s="150" t="str">
        <f t="shared" si="6"/>
        <v>Ujpest  vs  MTK Budapest</v>
      </c>
    </row>
    <row r="317" spans="1:10">
      <c r="A317" s="162">
        <v>43526</v>
      </c>
      <c r="B317" s="156" t="s">
        <v>3056</v>
      </c>
      <c r="C317" s="144" t="s">
        <v>2238</v>
      </c>
      <c r="D317" s="73" t="s">
        <v>2219</v>
      </c>
      <c r="E317" s="145" t="s">
        <v>1626</v>
      </c>
      <c r="F317" s="145">
        <v>3.4</v>
      </c>
      <c r="G317" s="146" t="s">
        <v>1523</v>
      </c>
      <c r="H317" s="145" t="s">
        <v>1153</v>
      </c>
      <c r="J317" s="150" t="str">
        <f t="shared" si="6"/>
        <v>Viktoria Plzen  vs  Baumit Jablonec</v>
      </c>
    </row>
    <row r="318" spans="1:10">
      <c r="A318" s="162">
        <v>43526</v>
      </c>
      <c r="B318" s="156" t="s">
        <v>1275</v>
      </c>
      <c r="C318" s="144" t="s">
        <v>3060</v>
      </c>
      <c r="D318" s="73" t="s">
        <v>1267</v>
      </c>
      <c r="E318" s="145" t="s">
        <v>1626</v>
      </c>
      <c r="F318" s="145">
        <v>3.4</v>
      </c>
      <c r="G318" s="146" t="s">
        <v>1562</v>
      </c>
      <c r="H318" s="145" t="s">
        <v>1153</v>
      </c>
      <c r="J318" s="150" t="str">
        <f t="shared" si="6"/>
        <v>West Ham United  vs  Newcastle United</v>
      </c>
    </row>
    <row r="319" spans="1:10">
      <c r="A319" s="162">
        <v>43526</v>
      </c>
      <c r="B319" s="156" t="s">
        <v>3054</v>
      </c>
      <c r="C319" s="144" t="s">
        <v>3055</v>
      </c>
      <c r="D319" s="73" t="s">
        <v>2219</v>
      </c>
      <c r="E319" s="145" t="s">
        <v>1626</v>
      </c>
      <c r="F319" s="145">
        <v>3.35</v>
      </c>
      <c r="G319" s="146" t="s">
        <v>1522</v>
      </c>
      <c r="H319" s="145" t="s">
        <v>1153</v>
      </c>
      <c r="J319" s="150" t="str">
        <f t="shared" si="6"/>
        <v>Marila Pribram  vs  Karvina</v>
      </c>
    </row>
    <row r="320" spans="1:10">
      <c r="A320" s="162">
        <v>43526</v>
      </c>
      <c r="B320" s="156" t="s">
        <v>2819</v>
      </c>
      <c r="C320" s="144" t="s">
        <v>2818</v>
      </c>
      <c r="D320" s="73" t="s">
        <v>1692</v>
      </c>
      <c r="E320" s="145" t="s">
        <v>1626</v>
      </c>
      <c r="F320" s="145">
        <v>3.35</v>
      </c>
      <c r="G320" s="146" t="s">
        <v>1562</v>
      </c>
      <c r="H320" s="145" t="s">
        <v>1153</v>
      </c>
      <c r="J320" s="150" t="str">
        <f t="shared" si="6"/>
        <v>FC Honka Espoo  vs  Inter Turku</v>
      </c>
    </row>
    <row r="321" spans="1:10">
      <c r="A321" s="162">
        <v>43526</v>
      </c>
      <c r="B321" s="156" t="s">
        <v>2604</v>
      </c>
      <c r="C321" s="144" t="s">
        <v>2581</v>
      </c>
      <c r="D321" s="73" t="s">
        <v>2219</v>
      </c>
      <c r="E321" s="145" t="s">
        <v>1626</v>
      </c>
      <c r="F321" s="145">
        <v>3.3</v>
      </c>
      <c r="G321" s="146" t="s">
        <v>1561</v>
      </c>
      <c r="H321" s="145" t="s">
        <v>1154</v>
      </c>
      <c r="J321" s="150" t="str">
        <f t="shared" si="6"/>
        <v>Slovacko  vs  Mlada Boleslav</v>
      </c>
    </row>
    <row r="322" spans="1:10">
      <c r="A322" s="162">
        <v>43526</v>
      </c>
      <c r="B322" s="156" t="s">
        <v>1296</v>
      </c>
      <c r="C322" s="144" t="s">
        <v>1376</v>
      </c>
      <c r="D322" s="73" t="s">
        <v>1267</v>
      </c>
      <c r="E322" s="145" t="s">
        <v>1626</v>
      </c>
      <c r="F322" s="145">
        <v>3.2</v>
      </c>
      <c r="G322" s="146" t="s">
        <v>1591</v>
      </c>
      <c r="H322" s="145" t="s">
        <v>1153</v>
      </c>
      <c r="J322" s="150" t="str">
        <f t="shared" si="6"/>
        <v>Burnley  vs  Crystal Palace</v>
      </c>
    </row>
    <row r="323" spans="1:10">
      <c r="A323" s="162">
        <v>43526</v>
      </c>
      <c r="B323" s="156" t="s">
        <v>1939</v>
      </c>
      <c r="C323" s="144" t="s">
        <v>1448</v>
      </c>
      <c r="D323" s="73" t="s">
        <v>1261</v>
      </c>
      <c r="E323" s="145" t="s">
        <v>1626</v>
      </c>
      <c r="F323" s="145">
        <v>3.2</v>
      </c>
      <c r="G323" s="146" t="s">
        <v>1513</v>
      </c>
      <c r="H323" s="145" t="s">
        <v>1154</v>
      </c>
      <c r="J323" s="150" t="str">
        <f t="shared" si="6"/>
        <v>Angers SCO  vs  AS Monaco</v>
      </c>
    </row>
    <row r="324" spans="1:10">
      <c r="A324" s="162">
        <v>43526</v>
      </c>
      <c r="B324" s="156" t="s">
        <v>2288</v>
      </c>
      <c r="C324" s="144" t="s">
        <v>3066</v>
      </c>
      <c r="D324" s="73" t="s">
        <v>1897</v>
      </c>
      <c r="E324" s="145" t="s">
        <v>1626</v>
      </c>
      <c r="F324" s="145">
        <v>3.2</v>
      </c>
      <c r="G324" s="146" t="s">
        <v>1562</v>
      </c>
      <c r="H324" s="145" t="s">
        <v>1153</v>
      </c>
      <c r="J324" s="150" t="str">
        <f t="shared" si="6"/>
        <v>Mezokovesd-Zsory  vs  Paksi SE</v>
      </c>
    </row>
    <row r="325" spans="1:10">
      <c r="A325" s="162">
        <v>43526</v>
      </c>
      <c r="B325" s="156" t="s">
        <v>1348</v>
      </c>
      <c r="C325" s="144" t="s">
        <v>1383</v>
      </c>
      <c r="D325" s="73" t="s">
        <v>1242</v>
      </c>
      <c r="E325" s="145" t="s">
        <v>1626</v>
      </c>
      <c r="F325" s="145">
        <v>3.2</v>
      </c>
      <c r="G325" s="146" t="s">
        <v>1511</v>
      </c>
      <c r="H325" s="145" t="s">
        <v>1153</v>
      </c>
      <c r="J325" s="150" t="str">
        <f t="shared" si="6"/>
        <v>FC Porto  vs  SL Benfica</v>
      </c>
    </row>
    <row r="326" spans="1:10">
      <c r="A326" s="162">
        <v>43526</v>
      </c>
      <c r="B326" s="156" t="s">
        <v>3052</v>
      </c>
      <c r="C326" s="144" t="s">
        <v>3053</v>
      </c>
      <c r="D326" s="73" t="s">
        <v>2219</v>
      </c>
      <c r="E326" s="145" t="s">
        <v>1626</v>
      </c>
      <c r="F326" s="145">
        <v>3.15</v>
      </c>
      <c r="G326" s="146" t="s">
        <v>1794</v>
      </c>
      <c r="H326" s="145" t="s">
        <v>1153</v>
      </c>
      <c r="J326" s="150" t="str">
        <f t="shared" si="6"/>
        <v>Dukla Prague  vs  Sigma Olomouc</v>
      </c>
    </row>
    <row r="327" spans="1:10">
      <c r="A327" s="162">
        <v>43526</v>
      </c>
      <c r="B327" s="156" t="s">
        <v>2091</v>
      </c>
      <c r="C327" s="144" t="s">
        <v>1378</v>
      </c>
      <c r="D327" s="73" t="s">
        <v>1242</v>
      </c>
      <c r="E327" s="145" t="s">
        <v>1626</v>
      </c>
      <c r="F327" s="145">
        <v>3.15</v>
      </c>
      <c r="G327" s="146" t="s">
        <v>1795</v>
      </c>
      <c r="H327" s="145" t="s">
        <v>1153</v>
      </c>
      <c r="J327" s="150" t="str">
        <f t="shared" si="6"/>
        <v>CD Nacional de Madeira  vs  Tondela</v>
      </c>
    </row>
    <row r="328" spans="1:10">
      <c r="A328" s="162">
        <v>43526</v>
      </c>
      <c r="B328" s="156" t="s">
        <v>1290</v>
      </c>
      <c r="C328" s="144" t="s">
        <v>1468</v>
      </c>
      <c r="D328" s="73" t="s">
        <v>1266</v>
      </c>
      <c r="E328" s="145" t="s">
        <v>1626</v>
      </c>
      <c r="F328" s="145">
        <v>3.15</v>
      </c>
      <c r="G328" s="146" t="s">
        <v>1522</v>
      </c>
      <c r="H328" s="145" t="s">
        <v>1153</v>
      </c>
      <c r="J328" s="150" t="str">
        <f t="shared" ref="J328:J391" si="7">CONCATENATE(B328," vs ",C328)</f>
        <v>Academica de Coimbra  vs  Penafiel</v>
      </c>
    </row>
    <row r="329" spans="1:10">
      <c r="A329" s="162">
        <v>43526</v>
      </c>
      <c r="B329" s="156" t="s">
        <v>1800</v>
      </c>
      <c r="C329" s="144" t="s">
        <v>3042</v>
      </c>
      <c r="D329" s="73" t="s">
        <v>1736</v>
      </c>
      <c r="E329" s="145" t="s">
        <v>1626</v>
      </c>
      <c r="F329" s="145">
        <v>3.1</v>
      </c>
      <c r="G329" s="146" t="s">
        <v>1510</v>
      </c>
      <c r="H329" s="145" t="s">
        <v>1154</v>
      </c>
      <c r="J329" s="150" t="str">
        <f t="shared" si="7"/>
        <v>San Martin de San Juan  vs  Godoy Cruz de Mendoza</v>
      </c>
    </row>
    <row r="330" spans="1:10">
      <c r="A330" s="162">
        <v>43526</v>
      </c>
      <c r="B330" s="156" t="s">
        <v>3041</v>
      </c>
      <c r="C330" s="144" t="s">
        <v>2633</v>
      </c>
      <c r="D330" s="73" t="s">
        <v>1736</v>
      </c>
      <c r="E330" s="145" t="s">
        <v>1626</v>
      </c>
      <c r="F330" s="145">
        <v>3.05</v>
      </c>
      <c r="G330" s="146" t="s">
        <v>1511</v>
      </c>
      <c r="H330" s="145" t="s">
        <v>1153</v>
      </c>
      <c r="J330" s="150" t="str">
        <f t="shared" si="7"/>
        <v>San Martin Tucuman  vs  Atletico Lanus</v>
      </c>
    </row>
    <row r="331" spans="1:10">
      <c r="A331" s="162">
        <v>43526</v>
      </c>
      <c r="B331" s="156" t="s">
        <v>3084</v>
      </c>
      <c r="C331" s="144" t="s">
        <v>3085</v>
      </c>
      <c r="D331" s="73" t="s">
        <v>1849</v>
      </c>
      <c r="E331" s="145" t="s">
        <v>1626</v>
      </c>
      <c r="F331" s="145">
        <v>3.05</v>
      </c>
      <c r="G331" s="146" t="s">
        <v>1731</v>
      </c>
      <c r="H331" s="145" t="s">
        <v>1153</v>
      </c>
      <c r="J331" s="150" t="str">
        <f t="shared" si="7"/>
        <v>Rapperswil-Jona  vs  FC Wil</v>
      </c>
    </row>
    <row r="332" spans="1:10">
      <c r="A332" s="162">
        <v>43526</v>
      </c>
      <c r="B332" s="156" t="s">
        <v>1338</v>
      </c>
      <c r="C332" s="144" t="s">
        <v>2673</v>
      </c>
      <c r="D332" s="73" t="s">
        <v>1266</v>
      </c>
      <c r="E332" s="145" t="s">
        <v>1626</v>
      </c>
      <c r="F332" s="145">
        <v>3</v>
      </c>
      <c r="G332" s="146" t="s">
        <v>1561</v>
      </c>
      <c r="H332" s="145" t="s">
        <v>1154</v>
      </c>
      <c r="J332" s="150" t="str">
        <f t="shared" si="7"/>
        <v>Mafra  vs  Arouca</v>
      </c>
    </row>
    <row r="333" spans="1:10">
      <c r="A333" s="162">
        <v>43526</v>
      </c>
      <c r="B333" s="156" t="s">
        <v>1983</v>
      </c>
      <c r="C333" s="144" t="s">
        <v>3072</v>
      </c>
      <c r="D333" s="73" t="s">
        <v>1847</v>
      </c>
      <c r="E333" s="145" t="s">
        <v>1626</v>
      </c>
      <c r="F333" s="145">
        <v>2.98</v>
      </c>
      <c r="G333" s="146" t="s">
        <v>1561</v>
      </c>
      <c r="H333" s="145" t="s">
        <v>1154</v>
      </c>
      <c r="J333" s="150" t="str">
        <f t="shared" si="7"/>
        <v>Carpi  vs  Ascoli</v>
      </c>
    </row>
    <row r="334" spans="1:10">
      <c r="A334" s="162">
        <v>43526</v>
      </c>
      <c r="B334" s="156" t="s">
        <v>2737</v>
      </c>
      <c r="C334" s="144" t="s">
        <v>2642</v>
      </c>
      <c r="D334" s="73" t="s">
        <v>2571</v>
      </c>
      <c r="E334" s="145" t="s">
        <v>1626</v>
      </c>
      <c r="F334" s="145">
        <v>2.87</v>
      </c>
      <c r="G334" s="146" t="s">
        <v>1507</v>
      </c>
      <c r="H334" s="145" t="s">
        <v>1153</v>
      </c>
      <c r="J334" s="150" t="str">
        <f t="shared" si="7"/>
        <v>Lokomotiv Plovdiv  vs  Beroe</v>
      </c>
    </row>
    <row r="335" spans="1:10">
      <c r="A335" s="162">
        <v>43526</v>
      </c>
      <c r="B335" s="156" t="s">
        <v>3076</v>
      </c>
      <c r="C335" s="144" t="s">
        <v>3077</v>
      </c>
      <c r="D335" s="73" t="s">
        <v>3024</v>
      </c>
      <c r="E335" s="145" t="s">
        <v>1626</v>
      </c>
      <c r="F335" s="145">
        <v>2.77</v>
      </c>
      <c r="G335" s="146" t="s">
        <v>1523</v>
      </c>
      <c r="H335" s="145" t="s">
        <v>1153</v>
      </c>
      <c r="J335" s="150" t="str">
        <f t="shared" si="7"/>
        <v>Rubin Kazan’  vs  Akhmat Grozny</v>
      </c>
    </row>
    <row r="336" spans="1:10">
      <c r="A336" s="6">
        <v>43466</v>
      </c>
      <c r="B336" s="3" t="s">
        <v>1270</v>
      </c>
      <c r="C336" s="3" t="s">
        <v>1369</v>
      </c>
      <c r="D336" s="3" t="s">
        <v>1267</v>
      </c>
      <c r="E336" s="23">
        <v>2</v>
      </c>
      <c r="G336" s="188" t="s">
        <v>1508</v>
      </c>
      <c r="H336" s="23" t="s">
        <v>1154</v>
      </c>
      <c r="J336" s="150" t="str">
        <f t="shared" si="7"/>
        <v>Cardiff City  vs  Tottenham Hotspur</v>
      </c>
    </row>
    <row r="337" spans="1:10">
      <c r="A337" s="6">
        <v>43467</v>
      </c>
      <c r="B337" s="3" t="s">
        <v>1274</v>
      </c>
      <c r="C337" s="3" t="s">
        <v>1373</v>
      </c>
      <c r="D337" s="3" t="s">
        <v>1267</v>
      </c>
      <c r="E337" s="23">
        <v>2</v>
      </c>
      <c r="G337" s="188" t="s">
        <v>1511</v>
      </c>
      <c r="H337" s="23" t="s">
        <v>1154</v>
      </c>
      <c r="J337" s="150" t="str">
        <f t="shared" si="7"/>
        <v>Huddersfield Town  vs  Burnley</v>
      </c>
    </row>
    <row r="338" spans="1:10">
      <c r="A338" s="6">
        <v>43467</v>
      </c>
      <c r="B338" s="3" t="s">
        <v>1276</v>
      </c>
      <c r="C338" s="3" t="s">
        <v>1377</v>
      </c>
      <c r="D338" s="3" t="s">
        <v>1267</v>
      </c>
      <c r="E338" s="23">
        <v>2</v>
      </c>
      <c r="G338" s="188" t="s">
        <v>1509</v>
      </c>
      <c r="H338" s="23" t="s">
        <v>1154</v>
      </c>
      <c r="J338" s="150" t="str">
        <f t="shared" si="7"/>
        <v>Newcastle United  vs  Manchester United</v>
      </c>
    </row>
    <row r="339" spans="1:10">
      <c r="A339" s="6">
        <v>43467</v>
      </c>
      <c r="B339" s="3" t="s">
        <v>1278</v>
      </c>
      <c r="C339" s="3" t="s">
        <v>1379</v>
      </c>
      <c r="D339" s="3" t="s">
        <v>1242</v>
      </c>
      <c r="E339" s="23">
        <v>2</v>
      </c>
      <c r="G339" s="189" t="s">
        <v>1519</v>
      </c>
      <c r="H339" s="23" t="s">
        <v>1154</v>
      </c>
      <c r="J339" s="150" t="str">
        <f t="shared" si="7"/>
        <v>CD Nacional de Madeira  vs  Vitoria Guimaraes</v>
      </c>
    </row>
    <row r="340" spans="1:10">
      <c r="A340" s="6">
        <v>43468</v>
      </c>
      <c r="B340" s="3" t="s">
        <v>1395</v>
      </c>
      <c r="C340" s="3" t="s">
        <v>1396</v>
      </c>
      <c r="D340" s="3" t="s">
        <v>1242</v>
      </c>
      <c r="E340" s="23">
        <v>2</v>
      </c>
      <c r="G340" s="188" t="s">
        <v>1506</v>
      </c>
      <c r="H340" s="23" t="s">
        <v>1154</v>
      </c>
      <c r="J340" s="150" t="str">
        <f t="shared" si="7"/>
        <v>Desportivo Aves  vs  FC Porto</v>
      </c>
    </row>
    <row r="341" spans="1:10">
      <c r="A341" s="6">
        <v>43469</v>
      </c>
      <c r="B341" s="3" t="s">
        <v>1399</v>
      </c>
      <c r="C341" s="3" t="s">
        <v>1369</v>
      </c>
      <c r="D341" s="3" t="s">
        <v>1262</v>
      </c>
      <c r="E341" s="23">
        <v>2</v>
      </c>
      <c r="G341" s="189" t="s">
        <v>1524</v>
      </c>
      <c r="H341" s="23" t="s">
        <v>1154</v>
      </c>
      <c r="J341" s="150" t="str">
        <f t="shared" si="7"/>
        <v>Tranmere Rovers  vs  Tottenham Hotspur</v>
      </c>
    </row>
    <row r="342" spans="1:10">
      <c r="A342" s="6">
        <v>43469</v>
      </c>
      <c r="B342" s="3" t="s">
        <v>1289</v>
      </c>
      <c r="C342" s="3" t="s">
        <v>1401</v>
      </c>
      <c r="D342" s="3" t="s">
        <v>1263</v>
      </c>
      <c r="E342" s="23">
        <v>2</v>
      </c>
      <c r="G342" s="188" t="s">
        <v>1564</v>
      </c>
      <c r="H342" s="30" t="s">
        <v>1564</v>
      </c>
      <c r="J342" s="150" t="str">
        <f t="shared" si="7"/>
        <v>Grenoble Foot 38  vs  Racing Club Strasbourg</v>
      </c>
    </row>
    <row r="343" spans="1:10">
      <c r="A343" s="6">
        <v>43470</v>
      </c>
      <c r="B343" s="3" t="s">
        <v>1294</v>
      </c>
      <c r="C343" s="3" t="s">
        <v>1408</v>
      </c>
      <c r="D343" s="3" t="s">
        <v>1257</v>
      </c>
      <c r="E343" s="23">
        <v>2</v>
      </c>
      <c r="G343" s="189" t="s">
        <v>1515</v>
      </c>
      <c r="H343" s="23" t="s">
        <v>1154</v>
      </c>
      <c r="J343" s="150" t="str">
        <f t="shared" si="7"/>
        <v>Western Sydney Wanderers  vs  Melbourne Victory</v>
      </c>
    </row>
    <row r="344" spans="1:10">
      <c r="A344" s="6">
        <v>43470</v>
      </c>
      <c r="B344" s="3" t="s">
        <v>1301</v>
      </c>
      <c r="C344" s="3" t="s">
        <v>1418</v>
      </c>
      <c r="D344" s="3" t="s">
        <v>1262</v>
      </c>
      <c r="E344" s="23">
        <v>2</v>
      </c>
      <c r="G344" s="189" t="s">
        <v>1533</v>
      </c>
      <c r="H344" s="23" t="s">
        <v>1154</v>
      </c>
      <c r="J344" s="150" t="str">
        <f t="shared" si="7"/>
        <v>Blackpool  vs  Arsenal</v>
      </c>
    </row>
    <row r="345" spans="1:10">
      <c r="A345" s="6">
        <v>43470</v>
      </c>
      <c r="B345" s="3" t="s">
        <v>1302</v>
      </c>
      <c r="C345" s="3" t="s">
        <v>1419</v>
      </c>
      <c r="D345" s="3" t="s">
        <v>1263</v>
      </c>
      <c r="E345" s="23">
        <v>2</v>
      </c>
      <c r="G345" s="189" t="s">
        <v>1519</v>
      </c>
      <c r="H345" s="23" t="s">
        <v>1153</v>
      </c>
      <c r="J345" s="150" t="str">
        <f t="shared" si="7"/>
        <v>Viry Chatillon  vs  Angers SCO</v>
      </c>
    </row>
    <row r="346" spans="1:10">
      <c r="A346" s="6">
        <v>43470</v>
      </c>
      <c r="B346" s="3" t="s">
        <v>1304</v>
      </c>
      <c r="C346" s="3" t="s">
        <v>1421</v>
      </c>
      <c r="D346" s="3" t="s">
        <v>1263</v>
      </c>
      <c r="E346" s="23">
        <v>2</v>
      </c>
      <c r="G346" s="189" t="s">
        <v>1541</v>
      </c>
      <c r="H346" s="23" t="s">
        <v>1153</v>
      </c>
      <c r="J346" s="150" t="str">
        <f t="shared" si="7"/>
        <v>Lyon Duchere  vs  Nimes Olympique</v>
      </c>
    </row>
    <row r="347" spans="1:10">
      <c r="A347" s="6">
        <v>43470</v>
      </c>
      <c r="B347" s="3" t="s">
        <v>1422</v>
      </c>
      <c r="C347" s="3" t="s">
        <v>1423</v>
      </c>
      <c r="D347" s="3" t="s">
        <v>1263</v>
      </c>
      <c r="E347" s="23">
        <v>2</v>
      </c>
      <c r="G347" s="189" t="s">
        <v>1542</v>
      </c>
      <c r="H347" s="23" t="s">
        <v>1154</v>
      </c>
      <c r="J347" s="150" t="str">
        <f t="shared" si="7"/>
        <v>Stade Pontivy  vs  En Avant Guingamp</v>
      </c>
    </row>
    <row r="348" spans="1:10">
      <c r="A348" s="6">
        <v>43470</v>
      </c>
      <c r="B348" s="3" t="s">
        <v>1305</v>
      </c>
      <c r="C348" s="3" t="s">
        <v>1424</v>
      </c>
      <c r="D348" s="3" t="s">
        <v>1263</v>
      </c>
      <c r="E348" s="23">
        <v>2</v>
      </c>
      <c r="G348" s="159" t="s">
        <v>1519</v>
      </c>
      <c r="H348" s="23" t="s">
        <v>1153</v>
      </c>
      <c r="J348" s="150" t="str">
        <f t="shared" si="7"/>
        <v>Entente SSG  vs  Montpellier HSC</v>
      </c>
    </row>
    <row r="349" spans="1:10">
      <c r="A349" s="6">
        <v>43470</v>
      </c>
      <c r="B349" s="3" t="s">
        <v>1307</v>
      </c>
      <c r="C349" s="3" t="s">
        <v>1426</v>
      </c>
      <c r="D349" s="3" t="s">
        <v>1263</v>
      </c>
      <c r="E349" s="23">
        <v>2</v>
      </c>
      <c r="G349" s="159" t="s">
        <v>1534</v>
      </c>
      <c r="H349" s="23" t="s">
        <v>1154</v>
      </c>
      <c r="J349" s="150" t="str">
        <f t="shared" si="7"/>
        <v>Schiltigheim  vs  Dijon FCO</v>
      </c>
    </row>
    <row r="350" spans="1:10">
      <c r="A350" s="6">
        <v>43470</v>
      </c>
      <c r="B350" s="3" t="s">
        <v>1309</v>
      </c>
      <c r="C350" s="3" t="s">
        <v>1428</v>
      </c>
      <c r="D350" s="3" t="s">
        <v>1263</v>
      </c>
      <c r="E350" s="23">
        <v>2</v>
      </c>
      <c r="G350" s="159" t="s">
        <v>1516</v>
      </c>
      <c r="H350" s="23" t="s">
        <v>1154</v>
      </c>
      <c r="J350" s="150" t="str">
        <f t="shared" si="7"/>
        <v>Bourges Foot  vs  Olympique Lyonnais</v>
      </c>
    </row>
    <row r="351" spans="1:10">
      <c r="A351" s="6">
        <v>43470</v>
      </c>
      <c r="B351" s="3" t="s">
        <v>1310</v>
      </c>
      <c r="C351" s="3" t="s">
        <v>1429</v>
      </c>
      <c r="D351" s="3" t="s">
        <v>1264</v>
      </c>
      <c r="E351" s="23">
        <v>2</v>
      </c>
      <c r="G351" s="188" t="s">
        <v>1523</v>
      </c>
      <c r="H351" s="23" t="s">
        <v>1153</v>
      </c>
      <c r="J351" s="150" t="str">
        <f t="shared" si="7"/>
        <v>Ironi Kiryat Shmona  vs  Hapoel Tel-Aviv</v>
      </c>
    </row>
    <row r="352" spans="1:10">
      <c r="A352" s="6">
        <v>43470</v>
      </c>
      <c r="B352" s="3" t="s">
        <v>1431</v>
      </c>
      <c r="C352" s="3" t="s">
        <v>1432</v>
      </c>
      <c r="D352" s="3" t="s">
        <v>1264</v>
      </c>
      <c r="E352" s="23">
        <v>2</v>
      </c>
      <c r="G352" s="188" t="s">
        <v>1511</v>
      </c>
      <c r="H352" s="23" t="s">
        <v>1154</v>
      </c>
      <c r="J352" s="150" t="str">
        <f t="shared" si="7"/>
        <v>Maccabi Petah Tikva  vs  Maccabi Haifa</v>
      </c>
    </row>
    <row r="353" spans="1:10">
      <c r="A353" s="6">
        <v>43470</v>
      </c>
      <c r="B353" s="3" t="s">
        <v>1312</v>
      </c>
      <c r="C353" s="3" t="s">
        <v>1433</v>
      </c>
      <c r="D353" s="3" t="s">
        <v>1264</v>
      </c>
      <c r="E353" s="23">
        <v>2</v>
      </c>
      <c r="G353" s="188" t="s">
        <v>1510</v>
      </c>
      <c r="H353" s="23" t="s">
        <v>1153</v>
      </c>
      <c r="J353" s="150" t="str">
        <f t="shared" si="7"/>
        <v>Bnei Sakhnin  vs  Beitar Jerusalem</v>
      </c>
    </row>
    <row r="354" spans="1:10">
      <c r="A354" s="6">
        <v>43470</v>
      </c>
      <c r="B354" s="3" t="s">
        <v>1437</v>
      </c>
      <c r="C354" s="3" t="s">
        <v>1438</v>
      </c>
      <c r="D354" s="3" t="s">
        <v>1265</v>
      </c>
      <c r="E354" s="23">
        <v>2</v>
      </c>
      <c r="G354" s="189" t="s">
        <v>1527</v>
      </c>
      <c r="H354" s="23" t="s">
        <v>1153</v>
      </c>
      <c r="J354" s="150" t="str">
        <f t="shared" si="7"/>
        <v>Deportivo Alaves  vs  Valencia CF</v>
      </c>
    </row>
    <row r="355" spans="1:10">
      <c r="A355" s="6">
        <v>43470</v>
      </c>
      <c r="B355" s="3" t="s">
        <v>1316</v>
      </c>
      <c r="C355" s="3" t="s">
        <v>1439</v>
      </c>
      <c r="D355" s="3" t="s">
        <v>1265</v>
      </c>
      <c r="E355" s="23">
        <v>2</v>
      </c>
      <c r="G355" s="189" t="s">
        <v>1527</v>
      </c>
      <c r="H355" s="23" t="s">
        <v>1153</v>
      </c>
      <c r="J355" s="150" t="str">
        <f t="shared" si="7"/>
        <v>Huesca  vs  Real Betis Balompie</v>
      </c>
    </row>
    <row r="356" spans="1:10">
      <c r="A356" s="6">
        <v>43471</v>
      </c>
      <c r="B356" s="3" t="s">
        <v>1321</v>
      </c>
      <c r="C356" s="3" t="s">
        <v>1444</v>
      </c>
      <c r="D356" s="3" t="s">
        <v>1257</v>
      </c>
      <c r="E356" s="23">
        <v>2</v>
      </c>
      <c r="G356" s="189" t="s">
        <v>1542</v>
      </c>
      <c r="H356" s="23" t="s">
        <v>1154</v>
      </c>
      <c r="J356" s="150" t="str">
        <f t="shared" si="7"/>
        <v>Brisbane Roar  vs  Perth Glory</v>
      </c>
    </row>
    <row r="357" spans="1:10">
      <c r="A357" s="6">
        <v>43471</v>
      </c>
      <c r="B357" s="3" t="s">
        <v>1323</v>
      </c>
      <c r="C357" s="3" t="s">
        <v>1371</v>
      </c>
      <c r="D357" s="3" t="s">
        <v>1262</v>
      </c>
      <c r="E357" s="23">
        <v>2</v>
      </c>
      <c r="G357" s="159" t="s">
        <v>1516</v>
      </c>
      <c r="H357" s="23" t="s">
        <v>1154</v>
      </c>
      <c r="J357" s="150" t="str">
        <f t="shared" si="7"/>
        <v>Woking  vs  Watford</v>
      </c>
    </row>
    <row r="358" spans="1:10">
      <c r="A358" s="6">
        <v>43471</v>
      </c>
      <c r="B358" s="3" t="s">
        <v>1324</v>
      </c>
      <c r="C358" s="3" t="s">
        <v>1447</v>
      </c>
      <c r="D358" s="3" t="s">
        <v>1262</v>
      </c>
      <c r="E358" s="23">
        <v>2</v>
      </c>
      <c r="G358" s="159" t="s">
        <v>1527</v>
      </c>
      <c r="H358" s="23" t="s">
        <v>1153</v>
      </c>
      <c r="J358" s="150" t="str">
        <f t="shared" si="7"/>
        <v>Newport County  vs  Leicester City</v>
      </c>
    </row>
    <row r="359" spans="1:10">
      <c r="A359" s="6">
        <v>43471</v>
      </c>
      <c r="B359" s="3" t="s">
        <v>1325</v>
      </c>
      <c r="C359" s="3" t="s">
        <v>1448</v>
      </c>
      <c r="D359" s="3" t="s">
        <v>1263</v>
      </c>
      <c r="E359" s="23">
        <v>2</v>
      </c>
      <c r="G359" s="159" t="s">
        <v>1531</v>
      </c>
      <c r="H359" s="23" t="s">
        <v>1154</v>
      </c>
      <c r="J359" s="150" t="str">
        <f t="shared" si="7"/>
        <v>Canet Roussillon  vs  AS Monaco</v>
      </c>
    </row>
    <row r="360" spans="1:10">
      <c r="A360" s="6">
        <v>43471</v>
      </c>
      <c r="B360" s="3" t="s">
        <v>1328</v>
      </c>
      <c r="C360" s="3" t="s">
        <v>1451</v>
      </c>
      <c r="D360" s="3" t="s">
        <v>1263</v>
      </c>
      <c r="E360" s="23">
        <v>2</v>
      </c>
      <c r="G360" s="188" t="s">
        <v>1563</v>
      </c>
      <c r="H360" s="23" t="s">
        <v>1154</v>
      </c>
      <c r="J360" s="150" t="str">
        <f t="shared" si="7"/>
        <v>Olympique Strasbourg  vs  AS Saint-Etienne</v>
      </c>
    </row>
    <row r="361" spans="1:10">
      <c r="A361" s="6">
        <v>43471</v>
      </c>
      <c r="B361" s="3" t="s">
        <v>1453</v>
      </c>
      <c r="C361" s="3" t="s">
        <v>1454</v>
      </c>
      <c r="D361" s="3" t="s">
        <v>1263</v>
      </c>
      <c r="E361" s="23">
        <v>2</v>
      </c>
      <c r="G361" s="159" t="s">
        <v>1530</v>
      </c>
      <c r="H361" s="23" t="s">
        <v>1154</v>
      </c>
      <c r="J361" s="150" t="str">
        <f t="shared" si="7"/>
        <v>Pontivy GSI  vs  Paris Saint-Germain</v>
      </c>
    </row>
    <row r="362" spans="1:10">
      <c r="A362" s="6">
        <v>43471</v>
      </c>
      <c r="B362" s="3" t="s">
        <v>1330</v>
      </c>
      <c r="C362" s="3" t="s">
        <v>1455</v>
      </c>
      <c r="D362" s="3" t="s">
        <v>1264</v>
      </c>
      <c r="E362" s="23">
        <v>2</v>
      </c>
      <c r="G362" s="189" t="s">
        <v>1528</v>
      </c>
      <c r="H362" s="23" t="s">
        <v>1153</v>
      </c>
      <c r="J362" s="150" t="str">
        <f t="shared" si="7"/>
        <v>MS Ashdod  vs  Hapoel Ra’anana</v>
      </c>
    </row>
    <row r="363" spans="1:10">
      <c r="A363" s="6">
        <v>43471</v>
      </c>
      <c r="B363" s="3" t="s">
        <v>1333</v>
      </c>
      <c r="C363" s="3" t="s">
        <v>1379</v>
      </c>
      <c r="D363" s="3" t="s">
        <v>1242</v>
      </c>
      <c r="E363" s="23">
        <v>2</v>
      </c>
      <c r="G363" s="189" t="s">
        <v>1519</v>
      </c>
      <c r="H363" s="23" t="s">
        <v>1153</v>
      </c>
      <c r="J363" s="150" t="str">
        <f t="shared" si="7"/>
        <v>Belenenses  vs  Vitoria Guimaraes</v>
      </c>
    </row>
    <row r="364" spans="1:10">
      <c r="A364" s="6">
        <v>43471</v>
      </c>
      <c r="B364" s="3" t="s">
        <v>1342</v>
      </c>
      <c r="C364" s="3" t="s">
        <v>1473</v>
      </c>
      <c r="D364" s="3" t="s">
        <v>1265</v>
      </c>
      <c r="E364" s="23">
        <v>2</v>
      </c>
      <c r="G364" s="189" t="s">
        <v>1515</v>
      </c>
      <c r="H364" s="23" t="s">
        <v>1154</v>
      </c>
      <c r="J364" s="150" t="str">
        <f t="shared" si="7"/>
        <v>Getafe  vs  Barcelona CF</v>
      </c>
    </row>
    <row r="365" spans="1:10">
      <c r="A365" s="6">
        <v>43472</v>
      </c>
      <c r="B365" s="3" t="s">
        <v>1477</v>
      </c>
      <c r="C365" s="3" t="s">
        <v>1478</v>
      </c>
      <c r="D365" s="3" t="s">
        <v>1262</v>
      </c>
      <c r="E365" s="23">
        <v>2</v>
      </c>
      <c r="G365" s="159" t="s">
        <v>1527</v>
      </c>
      <c r="H365" s="23" t="s">
        <v>1153</v>
      </c>
      <c r="J365" s="150" t="str">
        <f t="shared" si="7"/>
        <v>Wolverhampton Wanderers  vs  Liverpool (5) 0-1</v>
      </c>
    </row>
    <row r="366" spans="1:10">
      <c r="A366" s="6">
        <v>43472</v>
      </c>
      <c r="B366" s="3" t="s">
        <v>1347</v>
      </c>
      <c r="C366" s="3" t="s">
        <v>1482</v>
      </c>
      <c r="D366" s="1" t="s">
        <v>1242</v>
      </c>
      <c r="E366" s="23">
        <v>2</v>
      </c>
      <c r="G366" s="159" t="s">
        <v>1527</v>
      </c>
      <c r="H366" s="23" t="s">
        <v>1153</v>
      </c>
      <c r="J366" s="150" t="str">
        <f t="shared" si="7"/>
        <v>Tondela  vs  Sporting Clube de Portugal (6) 1-2</v>
      </c>
    </row>
    <row r="367" spans="1:10">
      <c r="A367" s="6">
        <v>43473</v>
      </c>
      <c r="B367" s="3" t="s">
        <v>1354</v>
      </c>
      <c r="C367" s="3" t="s">
        <v>1438</v>
      </c>
      <c r="D367" s="1" t="s">
        <v>1215</v>
      </c>
      <c r="E367" s="23">
        <v>2</v>
      </c>
      <c r="G367" s="159" t="s">
        <v>1527</v>
      </c>
      <c r="H367" s="23" t="s">
        <v>1153</v>
      </c>
      <c r="J367" s="150" t="str">
        <f t="shared" si="7"/>
        <v>Sporting Gijon  vs  Valencia CF</v>
      </c>
    </row>
    <row r="368" spans="1:10">
      <c r="A368" s="6">
        <v>43475</v>
      </c>
      <c r="B368" s="3" t="s">
        <v>1247</v>
      </c>
      <c r="C368" s="3" t="s">
        <v>1250</v>
      </c>
      <c r="D368" s="3" t="s">
        <v>1166</v>
      </c>
      <c r="E368" s="23">
        <v>2</v>
      </c>
      <c r="F368" s="23">
        <v>1.38</v>
      </c>
      <c r="G368" s="190" t="s">
        <v>1509</v>
      </c>
      <c r="H368" s="23" t="s">
        <v>1154</v>
      </c>
      <c r="J368" s="150" t="str">
        <f t="shared" si="7"/>
        <v>India  vs  United Arab Emirate</v>
      </c>
    </row>
    <row r="369" spans="1:10">
      <c r="A369" s="31">
        <v>43476</v>
      </c>
      <c r="B369" s="32" t="s">
        <v>1596</v>
      </c>
      <c r="C369" s="32" t="s">
        <v>1597</v>
      </c>
      <c r="D369" s="33" t="s">
        <v>1166</v>
      </c>
      <c r="E369" s="34">
        <v>2</v>
      </c>
      <c r="F369" s="35">
        <v>1.18</v>
      </c>
      <c r="G369" s="192" t="s">
        <v>1506</v>
      </c>
      <c r="H369" s="23" t="s">
        <v>1154</v>
      </c>
      <c r="J369" s="150" t="str">
        <f t="shared" si="7"/>
        <v>Kyrgyzstan  vs  South Korea</v>
      </c>
    </row>
    <row r="370" spans="1:10">
      <c r="A370" s="31">
        <v>43476</v>
      </c>
      <c r="B370" s="32" t="s">
        <v>1600</v>
      </c>
      <c r="C370" s="32" t="s">
        <v>1383</v>
      </c>
      <c r="D370" s="32" t="s">
        <v>1242</v>
      </c>
      <c r="E370" s="35">
        <v>2</v>
      </c>
      <c r="F370" s="35">
        <v>1.42</v>
      </c>
      <c r="G370" s="142" t="s">
        <v>1509</v>
      </c>
      <c r="H370" s="23" t="s">
        <v>1154</v>
      </c>
      <c r="J370" s="150" t="str">
        <f t="shared" si="7"/>
        <v>Santa Clara  vs  SL Benfica</v>
      </c>
    </row>
    <row r="371" spans="1:10">
      <c r="A371" s="31">
        <v>43494</v>
      </c>
      <c r="B371" s="3" t="s">
        <v>1703</v>
      </c>
      <c r="C371" s="3" t="s">
        <v>1704</v>
      </c>
      <c r="D371" s="3" t="s">
        <v>1166</v>
      </c>
      <c r="E371" s="23">
        <v>2</v>
      </c>
      <c r="G371" s="159" t="s">
        <v>1731</v>
      </c>
      <c r="H371" s="23" t="s">
        <v>1153</v>
      </c>
      <c r="J371" s="150" t="str">
        <f t="shared" si="7"/>
        <v>Qatar  vs  United Arab Emirates</v>
      </c>
    </row>
    <row r="372" spans="1:10">
      <c r="A372" s="31">
        <v>43494</v>
      </c>
      <c r="B372" s="3" t="s">
        <v>1276</v>
      </c>
      <c r="C372" s="3" t="s">
        <v>1714</v>
      </c>
      <c r="D372" s="3" t="s">
        <v>1267</v>
      </c>
      <c r="E372" s="23">
        <v>2</v>
      </c>
      <c r="G372" s="159" t="s">
        <v>1522</v>
      </c>
      <c r="H372" s="23" t="s">
        <v>1153</v>
      </c>
      <c r="J372" s="150" t="str">
        <f t="shared" si="7"/>
        <v>Newcastle United  vs  Manchester City</v>
      </c>
    </row>
    <row r="373" spans="1:10">
      <c r="A373" s="31">
        <v>43494</v>
      </c>
      <c r="B373" s="3" t="s">
        <v>1726</v>
      </c>
      <c r="C373" s="3" t="s">
        <v>1727</v>
      </c>
      <c r="D373" s="3" t="s">
        <v>1668</v>
      </c>
      <c r="E373" s="23">
        <v>2</v>
      </c>
      <c r="G373" s="159" t="s">
        <v>1562</v>
      </c>
      <c r="H373" s="23" t="s">
        <v>1153</v>
      </c>
      <c r="J373" s="150" t="str">
        <f t="shared" si="7"/>
        <v>AC Milan  vs  SSC Napoli</v>
      </c>
    </row>
    <row r="374" spans="1:10">
      <c r="A374" s="31">
        <v>43495</v>
      </c>
      <c r="B374" s="3" t="s">
        <v>1753</v>
      </c>
      <c r="C374" s="3" t="s">
        <v>1376</v>
      </c>
      <c r="D374" s="3" t="s">
        <v>1267</v>
      </c>
      <c r="E374" s="23">
        <v>2</v>
      </c>
      <c r="F374" s="23">
        <v>3.1</v>
      </c>
      <c r="G374" s="159" t="s">
        <v>1561</v>
      </c>
      <c r="H374" s="23" t="s">
        <v>1153</v>
      </c>
      <c r="J374" s="150" t="str">
        <f t="shared" si="7"/>
        <v>Southampton  vs  Crystal Palace</v>
      </c>
    </row>
    <row r="375" spans="1:10">
      <c r="A375" s="31">
        <v>43495</v>
      </c>
      <c r="B375" s="3" t="s">
        <v>1751</v>
      </c>
      <c r="C375" s="3" t="s">
        <v>1752</v>
      </c>
      <c r="D375" s="3" t="s">
        <v>1267</v>
      </c>
      <c r="E375" s="23">
        <v>2</v>
      </c>
      <c r="F375" s="23">
        <v>1.68</v>
      </c>
      <c r="G375" s="159" t="s">
        <v>1731</v>
      </c>
      <c r="H375" s="23" t="s">
        <v>1153</v>
      </c>
      <c r="J375" s="150" t="str">
        <f t="shared" si="7"/>
        <v>Bournemouth  vs  Chelsea</v>
      </c>
    </row>
    <row r="376" spans="1:10">
      <c r="A376" s="31">
        <v>43495</v>
      </c>
      <c r="B376" s="3" t="s">
        <v>1764</v>
      </c>
      <c r="C376" s="3" t="s">
        <v>1765</v>
      </c>
      <c r="D376" s="3" t="s">
        <v>1693</v>
      </c>
      <c r="E376" s="23">
        <v>2</v>
      </c>
      <c r="F376" s="23">
        <v>1.88</v>
      </c>
      <c r="G376" s="159" t="s">
        <v>1796</v>
      </c>
      <c r="H376" s="23" t="s">
        <v>1154</v>
      </c>
      <c r="J376" s="150" t="str">
        <f t="shared" si="7"/>
        <v>Dynamo Dresden  vs  Arminia Bielefeld</v>
      </c>
    </row>
    <row r="377" spans="1:10">
      <c r="A377" s="31">
        <v>43495</v>
      </c>
      <c r="B377" s="3" t="s">
        <v>1769</v>
      </c>
      <c r="C377" s="3" t="s">
        <v>1770</v>
      </c>
      <c r="D377" s="3" t="s">
        <v>1242</v>
      </c>
      <c r="E377" s="23">
        <v>2</v>
      </c>
      <c r="F377" s="23">
        <v>1.67</v>
      </c>
      <c r="G377" s="159" t="s">
        <v>1561</v>
      </c>
      <c r="H377" s="23" t="s">
        <v>1153</v>
      </c>
      <c r="J377" s="150" t="str">
        <f t="shared" si="7"/>
        <v>Vitoria Setubal  vs  Sporting Clube de Portugal</v>
      </c>
    </row>
    <row r="378" spans="1:10">
      <c r="A378" s="31">
        <v>43497</v>
      </c>
      <c r="B378" s="33" t="s">
        <v>1703</v>
      </c>
      <c r="C378" s="32" t="s">
        <v>1851</v>
      </c>
      <c r="D378" s="141" t="s">
        <v>1166</v>
      </c>
      <c r="E378" s="35">
        <v>2</v>
      </c>
      <c r="F378" s="35">
        <v>2.2000000000000002</v>
      </c>
      <c r="G378" s="142" t="s">
        <v>1798</v>
      </c>
      <c r="H378" s="35" t="s">
        <v>1153</v>
      </c>
      <c r="J378" s="150" t="str">
        <f t="shared" si="7"/>
        <v>Qatar  vs  Japan</v>
      </c>
    </row>
    <row r="379" spans="1:10">
      <c r="A379" s="31">
        <v>43497</v>
      </c>
      <c r="B379" s="143" t="s">
        <v>1854</v>
      </c>
      <c r="C379" s="144" t="s">
        <v>1855</v>
      </c>
      <c r="D379" s="143" t="s">
        <v>1735</v>
      </c>
      <c r="E379" s="145">
        <v>2</v>
      </c>
      <c r="F379" s="145">
        <v>1.82</v>
      </c>
      <c r="G379" s="146" t="s">
        <v>1509</v>
      </c>
      <c r="H379" s="145" t="s">
        <v>1154</v>
      </c>
      <c r="J379" s="150" t="str">
        <f t="shared" si="7"/>
        <v>Rosenborg BK  vs  Slavia Prague</v>
      </c>
    </row>
    <row r="380" spans="1:10">
      <c r="A380" s="31">
        <v>43497</v>
      </c>
      <c r="B380" s="143" t="s">
        <v>1870</v>
      </c>
      <c r="C380" s="144" t="s">
        <v>1871</v>
      </c>
      <c r="D380" s="143" t="s">
        <v>1846</v>
      </c>
      <c r="E380" s="145">
        <v>2</v>
      </c>
      <c r="F380" s="145">
        <v>1.55</v>
      </c>
      <c r="G380" s="146" t="s">
        <v>1508</v>
      </c>
      <c r="H380" s="145" t="s">
        <v>1154</v>
      </c>
      <c r="J380" s="150" t="str">
        <f t="shared" si="7"/>
        <v>Hannover 96  vs  RB Leipzig</v>
      </c>
    </row>
    <row r="381" spans="1:10">
      <c r="A381" s="31">
        <v>43498</v>
      </c>
      <c r="B381" s="143" t="s">
        <v>1975</v>
      </c>
      <c r="C381" s="144" t="s">
        <v>1976</v>
      </c>
      <c r="D381" s="143" t="s">
        <v>1898</v>
      </c>
      <c r="E381" s="145">
        <v>2</v>
      </c>
      <c r="F381" s="145">
        <v>3.9</v>
      </c>
      <c r="G381" s="146" t="s">
        <v>1513</v>
      </c>
      <c r="H381" s="145" t="s">
        <v>1153</v>
      </c>
      <c r="J381" s="150" t="str">
        <f t="shared" si="7"/>
        <v>Empoli  vs  Chievo Verona</v>
      </c>
    </row>
    <row r="382" spans="1:10">
      <c r="A382" s="31">
        <v>43498</v>
      </c>
      <c r="B382" s="143" t="s">
        <v>1431</v>
      </c>
      <c r="C382" s="144" t="s">
        <v>1455</v>
      </c>
      <c r="D382" s="143" t="s">
        <v>1264</v>
      </c>
      <c r="E382" s="145">
        <v>2</v>
      </c>
      <c r="F382" s="145">
        <v>3.7</v>
      </c>
      <c r="G382" s="146" t="s">
        <v>1561</v>
      </c>
      <c r="H382" s="145" t="s">
        <v>1153</v>
      </c>
      <c r="J382" s="150" t="str">
        <f t="shared" si="7"/>
        <v>Maccabi Petah Tikva  vs  Hapoel Ra’anana</v>
      </c>
    </row>
    <row r="383" spans="1:10">
      <c r="A383" s="31">
        <v>43498</v>
      </c>
      <c r="B383" s="143" t="s">
        <v>1974</v>
      </c>
      <c r="C383" s="144" t="s">
        <v>1433</v>
      </c>
      <c r="D383" s="143" t="s">
        <v>1264</v>
      </c>
      <c r="E383" s="145">
        <v>2</v>
      </c>
      <c r="F383" s="145">
        <v>3</v>
      </c>
      <c r="G383" s="146" t="s">
        <v>1509</v>
      </c>
      <c r="H383" s="145" t="s">
        <v>1154</v>
      </c>
      <c r="J383" s="150" t="str">
        <f t="shared" si="7"/>
        <v>Bnei Yehuda Tel-Aviv  vs  Beitar Jerusalem</v>
      </c>
    </row>
    <row r="384" spans="1:10">
      <c r="A384" s="31">
        <v>43498</v>
      </c>
      <c r="B384" s="143" t="s">
        <v>1923</v>
      </c>
      <c r="C384" s="144" t="s">
        <v>1924</v>
      </c>
      <c r="D384" s="143" t="s">
        <v>1267</v>
      </c>
      <c r="E384" s="145">
        <v>2</v>
      </c>
      <c r="F384" s="145">
        <v>2.94</v>
      </c>
      <c r="G384" s="146" t="s">
        <v>1591</v>
      </c>
      <c r="H384" s="145" t="s">
        <v>1154</v>
      </c>
      <c r="J384" s="150" t="str">
        <f t="shared" si="7"/>
        <v>Everton  vs  Wolverhampton Wanderers</v>
      </c>
    </row>
    <row r="385" spans="1:10">
      <c r="A385" s="31">
        <v>43498</v>
      </c>
      <c r="B385" s="143" t="s">
        <v>1952</v>
      </c>
      <c r="C385" s="144" t="s">
        <v>1953</v>
      </c>
      <c r="D385" s="143" t="s">
        <v>1846</v>
      </c>
      <c r="E385" s="145">
        <v>2</v>
      </c>
      <c r="F385" s="145">
        <v>2.94</v>
      </c>
      <c r="G385" s="146" t="s">
        <v>1509</v>
      </c>
      <c r="H385" s="145" t="s">
        <v>1154</v>
      </c>
      <c r="J385" s="150" t="str">
        <f t="shared" si="7"/>
        <v>Schalke 04  vs  Borussia Moenchengladbach</v>
      </c>
    </row>
    <row r="386" spans="1:10">
      <c r="A386" s="31">
        <v>43498</v>
      </c>
      <c r="B386" s="143" t="s">
        <v>1981</v>
      </c>
      <c r="C386" s="144" t="s">
        <v>1982</v>
      </c>
      <c r="D386" s="143" t="s">
        <v>1847</v>
      </c>
      <c r="E386" s="145">
        <v>2</v>
      </c>
      <c r="F386" s="145">
        <v>2.88</v>
      </c>
      <c r="G386" s="146" t="s">
        <v>1562</v>
      </c>
      <c r="H386" s="145" t="s">
        <v>1153</v>
      </c>
      <c r="J386" s="150" t="str">
        <f t="shared" si="7"/>
        <v>Cosenza  vs  Cittadella</v>
      </c>
    </row>
    <row r="387" spans="1:10" s="144" customFormat="1">
      <c r="A387" s="31">
        <v>43498</v>
      </c>
      <c r="B387" s="143" t="s">
        <v>1964</v>
      </c>
      <c r="C387" s="144" t="s">
        <v>1965</v>
      </c>
      <c r="D387" s="143" t="s">
        <v>1897</v>
      </c>
      <c r="E387" s="145">
        <v>2</v>
      </c>
      <c r="F387" s="145">
        <v>2.58</v>
      </c>
      <c r="G387" s="146" t="s">
        <v>1561</v>
      </c>
      <c r="H387" s="145" t="s">
        <v>1153</v>
      </c>
      <c r="J387" s="150" t="str">
        <f t="shared" si="7"/>
        <v>Diosgyori VTK  vs  Mezokovesd-Zsory</v>
      </c>
    </row>
    <row r="388" spans="1:10">
      <c r="A388" s="31">
        <v>43498</v>
      </c>
      <c r="B388" s="143" t="s">
        <v>1270</v>
      </c>
      <c r="C388" s="144" t="s">
        <v>1925</v>
      </c>
      <c r="D388" s="143" t="s">
        <v>1267</v>
      </c>
      <c r="E388" s="145">
        <v>2</v>
      </c>
      <c r="F388" s="145">
        <v>2.33</v>
      </c>
      <c r="G388" s="146" t="s">
        <v>1562</v>
      </c>
      <c r="H388" s="145" t="s">
        <v>1153</v>
      </c>
      <c r="J388" s="150" t="str">
        <f t="shared" si="7"/>
        <v>Cardiff City  vs  Bournemouth</v>
      </c>
    </row>
    <row r="389" spans="1:10">
      <c r="A389" s="31">
        <v>43498</v>
      </c>
      <c r="B389" s="143" t="s">
        <v>2022</v>
      </c>
      <c r="C389" s="144" t="s">
        <v>2023</v>
      </c>
      <c r="D389" s="143" t="s">
        <v>1850</v>
      </c>
      <c r="E389" s="145">
        <v>2</v>
      </c>
      <c r="F389" s="145">
        <v>2.16</v>
      </c>
      <c r="G389" s="146" t="s">
        <v>1561</v>
      </c>
      <c r="H389" s="145" t="s">
        <v>1153</v>
      </c>
      <c r="I389" s="144"/>
      <c r="J389" s="150" t="str">
        <f t="shared" si="7"/>
        <v>Alanyaspor  vs  Galatasaray</v>
      </c>
    </row>
    <row r="390" spans="1:10">
      <c r="A390" s="31">
        <v>43498</v>
      </c>
      <c r="B390" s="143" t="s">
        <v>1946</v>
      </c>
      <c r="C390" s="144" t="s">
        <v>1947</v>
      </c>
      <c r="D390" s="143" t="s">
        <v>1846</v>
      </c>
      <c r="E390" s="145">
        <v>2</v>
      </c>
      <c r="F390" s="145">
        <v>2.15</v>
      </c>
      <c r="G390" s="146" t="s">
        <v>1561</v>
      </c>
      <c r="H390" s="145" t="s">
        <v>1153</v>
      </c>
      <c r="I390" s="144"/>
      <c r="J390" s="150" t="str">
        <f t="shared" si="7"/>
        <v>Eintracht Frankfurt  vs  Bv09 Borussia Dortmund</v>
      </c>
    </row>
    <row r="391" spans="1:10">
      <c r="A391" s="31">
        <v>43498</v>
      </c>
      <c r="B391" s="143" t="s">
        <v>2004</v>
      </c>
      <c r="C391" s="144" t="s">
        <v>2005</v>
      </c>
      <c r="D391" s="143" t="s">
        <v>1265</v>
      </c>
      <c r="E391" s="145">
        <v>2</v>
      </c>
      <c r="F391" s="145">
        <v>2.0299999999999998</v>
      </c>
      <c r="G391" s="146" t="s">
        <v>1523</v>
      </c>
      <c r="H391" s="145" t="s">
        <v>1153</v>
      </c>
      <c r="I391" s="144"/>
      <c r="J391" s="150" t="str">
        <f t="shared" si="7"/>
        <v>Celta de Vigo  vs  Sevilla CF</v>
      </c>
    </row>
    <row r="392" spans="1:10">
      <c r="A392" s="31">
        <v>43498</v>
      </c>
      <c r="B392" s="143" t="s">
        <v>1909</v>
      </c>
      <c r="C392" s="144" t="s">
        <v>1910</v>
      </c>
      <c r="D392" s="143" t="s">
        <v>1845</v>
      </c>
      <c r="E392" s="145">
        <v>2</v>
      </c>
      <c r="F392" s="145">
        <v>1.92</v>
      </c>
      <c r="G392" s="154" t="s">
        <v>1509</v>
      </c>
      <c r="H392" s="145" t="s">
        <v>1154</v>
      </c>
      <c r="I392" s="144"/>
      <c r="J392" s="150" t="str">
        <f t="shared" ref="J392:J455" si="8">CONCATENATE(B392," vs ",C392)</f>
        <v>KV Oostende  vs  Antwerp</v>
      </c>
    </row>
    <row r="393" spans="1:10">
      <c r="A393" s="31">
        <v>43498</v>
      </c>
      <c r="B393" s="143" t="s">
        <v>1395</v>
      </c>
      <c r="C393" s="144" t="s">
        <v>1998</v>
      </c>
      <c r="D393" s="143" t="s">
        <v>1242</v>
      </c>
      <c r="E393" s="145">
        <v>2</v>
      </c>
      <c r="F393" s="145">
        <v>1.7</v>
      </c>
      <c r="G393" s="146" t="s">
        <v>1509</v>
      </c>
      <c r="H393" s="145" t="s">
        <v>1154</v>
      </c>
      <c r="I393" s="144"/>
      <c r="J393" s="150" t="str">
        <f t="shared" si="8"/>
        <v>Desportivo Aves  vs  Sporting Braga</v>
      </c>
    </row>
    <row r="394" spans="1:10">
      <c r="A394" s="31">
        <v>43498</v>
      </c>
      <c r="B394" s="143" t="s">
        <v>1944</v>
      </c>
      <c r="C394" s="144" t="s">
        <v>1945</v>
      </c>
      <c r="D394" s="143" t="s">
        <v>1846</v>
      </c>
      <c r="E394" s="145">
        <v>2</v>
      </c>
      <c r="F394" s="145">
        <v>1.62</v>
      </c>
      <c r="G394" s="146" t="s">
        <v>1798</v>
      </c>
      <c r="H394" s="145" t="s">
        <v>1153</v>
      </c>
      <c r="I394" s="144"/>
      <c r="J394" s="150" t="str">
        <f t="shared" si="8"/>
        <v>Bayer 04 Leverkusen  vs  Bayern Munich</v>
      </c>
    </row>
    <row r="395" spans="1:10">
      <c r="A395" s="31">
        <v>43499</v>
      </c>
      <c r="B395" s="143" t="s">
        <v>2046</v>
      </c>
      <c r="C395" s="144" t="s">
        <v>2047</v>
      </c>
      <c r="D395" s="143" t="s">
        <v>1845</v>
      </c>
      <c r="E395" s="145">
        <v>2</v>
      </c>
      <c r="F395" s="145">
        <v>3.5</v>
      </c>
      <c r="G395" s="146" t="s">
        <v>1507</v>
      </c>
      <c r="H395" s="145" t="s">
        <v>1153</v>
      </c>
      <c r="I395" s="144"/>
      <c r="J395" s="150" t="str">
        <f t="shared" si="8"/>
        <v>Sint-Truiden  vs  AS Eupen</v>
      </c>
    </row>
    <row r="396" spans="1:10">
      <c r="A396" s="31">
        <v>43499</v>
      </c>
      <c r="B396" s="143" t="s">
        <v>2058</v>
      </c>
      <c r="C396" s="144" t="s">
        <v>2059</v>
      </c>
      <c r="D396" s="143" t="s">
        <v>1846</v>
      </c>
      <c r="E396" s="145">
        <v>2</v>
      </c>
      <c r="F396" s="145">
        <v>3.35</v>
      </c>
      <c r="G396" s="146" t="s">
        <v>1513</v>
      </c>
      <c r="H396" s="145" t="s">
        <v>1153</v>
      </c>
      <c r="I396" s="144"/>
      <c r="J396" s="150" t="str">
        <f t="shared" si="8"/>
        <v>VfB Stuttgart  vs  SC Freiburg</v>
      </c>
    </row>
    <row r="397" spans="1:10">
      <c r="A397" s="31">
        <v>43499</v>
      </c>
      <c r="B397" s="143" t="s">
        <v>2110</v>
      </c>
      <c r="C397" s="144" t="s">
        <v>2111</v>
      </c>
      <c r="D397" s="143" t="s">
        <v>1850</v>
      </c>
      <c r="E397" s="145">
        <v>2</v>
      </c>
      <c r="F397" s="145">
        <v>3.2</v>
      </c>
      <c r="G397" s="146" t="s">
        <v>1506</v>
      </c>
      <c r="H397" s="145" t="s">
        <v>1154</v>
      </c>
      <c r="I397" s="144"/>
      <c r="J397" s="150" t="str">
        <f t="shared" si="8"/>
        <v>BB Erzurumspor  vs  Rizespor</v>
      </c>
    </row>
    <row r="398" spans="1:10">
      <c r="A398" s="31">
        <v>43499</v>
      </c>
      <c r="B398" s="143" t="s">
        <v>2095</v>
      </c>
      <c r="C398" s="144" t="s">
        <v>2096</v>
      </c>
      <c r="D398" s="143" t="s">
        <v>1266</v>
      </c>
      <c r="E398" s="145">
        <v>2</v>
      </c>
      <c r="F398" s="145">
        <v>2.75</v>
      </c>
      <c r="G398" s="146" t="s">
        <v>1562</v>
      </c>
      <c r="H398" s="145" t="s">
        <v>1153</v>
      </c>
      <c r="I398" s="144"/>
      <c r="J398" s="150" t="str">
        <f t="shared" si="8"/>
        <v>Leixoes Matosinhos  vs  Estoril</v>
      </c>
    </row>
    <row r="399" spans="1:10">
      <c r="A399" s="31">
        <v>43499</v>
      </c>
      <c r="B399" s="143" t="s">
        <v>1600</v>
      </c>
      <c r="C399" s="144" t="s">
        <v>2092</v>
      </c>
      <c r="D399" s="143" t="s">
        <v>1242</v>
      </c>
      <c r="E399" s="145">
        <v>2</v>
      </c>
      <c r="F399" s="145">
        <v>2.7</v>
      </c>
      <c r="G399" s="146" t="s">
        <v>1522</v>
      </c>
      <c r="H399" s="145" t="s">
        <v>1153</v>
      </c>
      <c r="I399" s="144"/>
      <c r="J399" s="150" t="str">
        <f t="shared" si="8"/>
        <v>Santa Clara  vs  Portimonense</v>
      </c>
    </row>
    <row r="400" spans="1:10">
      <c r="A400" s="31">
        <v>43499</v>
      </c>
      <c r="B400" s="143" t="s">
        <v>2085</v>
      </c>
      <c r="C400" s="144" t="s">
        <v>2086</v>
      </c>
      <c r="D400" s="143" t="s">
        <v>1848</v>
      </c>
      <c r="E400" s="145">
        <v>2</v>
      </c>
      <c r="F400" s="145">
        <v>2.4500000000000002</v>
      </c>
      <c r="G400" s="146" t="s">
        <v>2124</v>
      </c>
      <c r="H400" s="145" t="s">
        <v>1153</v>
      </c>
      <c r="J400" s="150" t="str">
        <f t="shared" si="8"/>
        <v>PEC Zwolle  vs  FC Utrecht</v>
      </c>
    </row>
    <row r="401" spans="1:10">
      <c r="A401" s="31">
        <v>43499</v>
      </c>
      <c r="B401" s="143" t="s">
        <v>2040</v>
      </c>
      <c r="C401" s="144" t="s">
        <v>2041</v>
      </c>
      <c r="D401" s="143" t="s">
        <v>1736</v>
      </c>
      <c r="E401" s="145">
        <v>2</v>
      </c>
      <c r="F401" s="153">
        <v>2.36</v>
      </c>
      <c r="G401" s="146" t="s">
        <v>1511</v>
      </c>
      <c r="H401" s="145" t="s">
        <v>1154</v>
      </c>
      <c r="J401" s="150" t="str">
        <f t="shared" si="8"/>
        <v>Velez Sarsfield  vs  River Plate</v>
      </c>
    </row>
    <row r="402" spans="1:10">
      <c r="A402" s="31">
        <v>43499</v>
      </c>
      <c r="B402" s="143" t="s">
        <v>2068</v>
      </c>
      <c r="C402" s="144" t="s">
        <v>2069</v>
      </c>
      <c r="D402" s="143" t="s">
        <v>1898</v>
      </c>
      <c r="E402" s="145">
        <v>2</v>
      </c>
      <c r="F402" s="145">
        <v>2.1800000000000002</v>
      </c>
      <c r="G402" s="146" t="s">
        <v>1510</v>
      </c>
      <c r="H402" s="145" t="s">
        <v>1153</v>
      </c>
      <c r="J402" s="150" t="str">
        <f t="shared" si="8"/>
        <v>SPAL  vs  Torino</v>
      </c>
    </row>
    <row r="403" spans="1:10">
      <c r="A403" s="31">
        <v>43499</v>
      </c>
      <c r="B403" s="143" t="s">
        <v>2052</v>
      </c>
      <c r="C403" s="144" t="s">
        <v>1377</v>
      </c>
      <c r="D403" s="143" t="s">
        <v>1267</v>
      </c>
      <c r="E403" s="145">
        <v>2</v>
      </c>
      <c r="F403" s="145">
        <v>2.17</v>
      </c>
      <c r="G403" s="146" t="s">
        <v>1506</v>
      </c>
      <c r="H403" s="145" t="s">
        <v>1154</v>
      </c>
      <c r="J403" s="150" t="str">
        <f t="shared" si="8"/>
        <v>Leicester City  vs  Manchester United</v>
      </c>
    </row>
    <row r="404" spans="1:10">
      <c r="A404" s="31">
        <v>43499</v>
      </c>
      <c r="B404" s="143" t="s">
        <v>2070</v>
      </c>
      <c r="C404" s="144" t="s">
        <v>2071</v>
      </c>
      <c r="D404" s="143" t="s">
        <v>1898</v>
      </c>
      <c r="E404" s="145">
        <v>2</v>
      </c>
      <c r="F404" s="145">
        <v>2.12</v>
      </c>
      <c r="G404" s="146" t="s">
        <v>1561</v>
      </c>
      <c r="H404" s="145" t="s">
        <v>1153</v>
      </c>
      <c r="J404" s="150" t="str">
        <f t="shared" si="8"/>
        <v>Udinese  vs  ACF Fiorentina</v>
      </c>
    </row>
    <row r="405" spans="1:10">
      <c r="A405" s="31">
        <v>43499</v>
      </c>
      <c r="B405" s="143" t="s">
        <v>2055</v>
      </c>
      <c r="C405" s="144" t="s">
        <v>1454</v>
      </c>
      <c r="D405" s="143" t="s">
        <v>1261</v>
      </c>
      <c r="E405" s="145">
        <v>2</v>
      </c>
      <c r="F405" s="145">
        <v>1.85</v>
      </c>
      <c r="G405" s="146" t="s">
        <v>1522</v>
      </c>
      <c r="H405" s="145" t="s">
        <v>1153</v>
      </c>
      <c r="J405" s="150" t="str">
        <f t="shared" si="8"/>
        <v>Olympique Lyonnais  vs  Paris Saint-Germain</v>
      </c>
    </row>
    <row r="406" spans="1:10">
      <c r="A406" s="31">
        <v>43499</v>
      </c>
      <c r="B406" s="143" t="s">
        <v>2064</v>
      </c>
      <c r="C406" s="144" t="s">
        <v>1803</v>
      </c>
      <c r="D406" s="143" t="s">
        <v>1693</v>
      </c>
      <c r="E406" s="145">
        <v>2</v>
      </c>
      <c r="F406" s="145">
        <v>1.67</v>
      </c>
      <c r="G406" s="146" t="s">
        <v>1564</v>
      </c>
      <c r="H406" s="145" t="s">
        <v>1564</v>
      </c>
      <c r="J406" s="150" t="str">
        <f t="shared" si="8"/>
        <v>Erzgebirge Aue  vs  Koln</v>
      </c>
    </row>
    <row r="407" spans="1:10">
      <c r="A407" s="31">
        <v>43499</v>
      </c>
      <c r="B407" s="143" t="s">
        <v>2112</v>
      </c>
      <c r="C407" s="144" t="s">
        <v>2113</v>
      </c>
      <c r="D407" s="143" t="s">
        <v>1850</v>
      </c>
      <c r="E407" s="145">
        <v>2</v>
      </c>
      <c r="F407" s="145">
        <v>1.66</v>
      </c>
      <c r="G407" s="146" t="s">
        <v>1508</v>
      </c>
      <c r="H407" s="145" t="s">
        <v>1154</v>
      </c>
      <c r="J407" s="150" t="str">
        <f t="shared" si="8"/>
        <v>Akhisarspor  vs  Istanbul BB</v>
      </c>
    </row>
    <row r="408" spans="1:10">
      <c r="A408" s="31">
        <v>43499</v>
      </c>
      <c r="B408" s="143" t="s">
        <v>2102</v>
      </c>
      <c r="C408" s="144" t="s">
        <v>2103</v>
      </c>
      <c r="D408" s="143" t="s">
        <v>1899</v>
      </c>
      <c r="E408" s="145">
        <v>2</v>
      </c>
      <c r="F408" s="145">
        <v>1.62</v>
      </c>
      <c r="G408" s="146" t="s">
        <v>1794</v>
      </c>
      <c r="H408" s="145" t="s">
        <v>1154</v>
      </c>
      <c r="J408" s="150" t="str">
        <f t="shared" si="8"/>
        <v>Grasshopper Zurich  vs  FC Basel</v>
      </c>
    </row>
    <row r="409" spans="1:10">
      <c r="A409" s="31">
        <v>43499</v>
      </c>
      <c r="B409" s="143" t="s">
        <v>2094</v>
      </c>
      <c r="C409" s="144" t="s">
        <v>1396</v>
      </c>
      <c r="D409" s="143" t="s">
        <v>1242</v>
      </c>
      <c r="E409" s="145">
        <v>2</v>
      </c>
      <c r="F409" s="145">
        <v>1.57</v>
      </c>
      <c r="G409" s="146" t="s">
        <v>1510</v>
      </c>
      <c r="H409" s="145" t="s">
        <v>1153</v>
      </c>
      <c r="J409" s="150" t="str">
        <f t="shared" si="8"/>
        <v>Vitoria Guimaraes  vs  FC Porto</v>
      </c>
    </row>
    <row r="410" spans="1:10">
      <c r="A410" s="31">
        <v>43499</v>
      </c>
      <c r="B410" s="143" t="s">
        <v>2083</v>
      </c>
      <c r="C410" s="144" t="s">
        <v>2084</v>
      </c>
      <c r="D410" s="143" t="s">
        <v>1848</v>
      </c>
      <c r="E410" s="145">
        <v>2</v>
      </c>
      <c r="F410" s="145">
        <v>1.24</v>
      </c>
      <c r="G410" s="146" t="s">
        <v>1522</v>
      </c>
      <c r="H410" s="145" t="s">
        <v>1153</v>
      </c>
      <c r="J410" s="150" t="str">
        <f t="shared" si="8"/>
        <v>Excelsior Rotterdam  vs  Feyenoord Rotterdam</v>
      </c>
    </row>
    <row r="411" spans="1:10">
      <c r="A411" s="31">
        <v>43500</v>
      </c>
      <c r="B411" s="143" t="s">
        <v>2178</v>
      </c>
      <c r="C411" s="144" t="s">
        <v>2179</v>
      </c>
      <c r="D411" s="143" t="s">
        <v>1735</v>
      </c>
      <c r="E411" s="145">
        <v>2</v>
      </c>
      <c r="F411" s="145">
        <v>1.68</v>
      </c>
      <c r="G411" s="146" t="s">
        <v>1565</v>
      </c>
      <c r="H411" s="145" t="s">
        <v>1154</v>
      </c>
      <c r="J411" s="150" t="str">
        <f t="shared" si="8"/>
        <v>SV Mattersburg  vs  IFK Norrkoping</v>
      </c>
    </row>
    <row r="412" spans="1:10">
      <c r="A412" s="31">
        <v>43500</v>
      </c>
      <c r="B412" s="143" t="s">
        <v>2180</v>
      </c>
      <c r="C412" s="144" t="s">
        <v>2181</v>
      </c>
      <c r="D412" s="143" t="s">
        <v>1898</v>
      </c>
      <c r="E412" s="145">
        <v>2</v>
      </c>
      <c r="F412" s="145">
        <v>1.66</v>
      </c>
      <c r="G412" s="146" t="s">
        <v>1506</v>
      </c>
      <c r="H412" s="145" t="s">
        <v>1154</v>
      </c>
      <c r="J412" s="150" t="str">
        <f t="shared" si="8"/>
        <v>Cagliari  vs  Atalanta Bergamo</v>
      </c>
    </row>
    <row r="413" spans="1:10">
      <c r="A413" s="31">
        <v>43500</v>
      </c>
      <c r="B413" s="143" t="s">
        <v>2182</v>
      </c>
      <c r="C413" s="144" t="s">
        <v>1805</v>
      </c>
      <c r="D413" s="143" t="s">
        <v>1898</v>
      </c>
      <c r="E413" s="145">
        <v>2</v>
      </c>
      <c r="F413" s="145">
        <v>1.43</v>
      </c>
      <c r="G413" s="146" t="s">
        <v>1506</v>
      </c>
      <c r="H413" s="145" t="s">
        <v>1154</v>
      </c>
      <c r="J413" s="150" t="str">
        <f t="shared" si="8"/>
        <v>Frosinone  vs  SS Lazio</v>
      </c>
    </row>
    <row r="414" spans="1:10">
      <c r="A414" s="6">
        <v>43501</v>
      </c>
      <c r="B414" s="73" t="s">
        <v>2161</v>
      </c>
      <c r="C414" s="3" t="s">
        <v>1465</v>
      </c>
      <c r="D414" s="73" t="s">
        <v>1260</v>
      </c>
      <c r="E414" s="23">
        <v>2</v>
      </c>
      <c r="F414" s="23">
        <v>2.7</v>
      </c>
      <c r="G414" s="159" t="s">
        <v>1506</v>
      </c>
      <c r="H414" s="23" t="s">
        <v>1154</v>
      </c>
      <c r="J414" s="150" t="str">
        <f t="shared" si="8"/>
        <v>Famalicao  vs  Pacos de Ferreira</v>
      </c>
    </row>
    <row r="415" spans="1:10">
      <c r="A415" s="6">
        <v>43501</v>
      </c>
      <c r="B415" s="73" t="s">
        <v>2157</v>
      </c>
      <c r="C415" s="3" t="s">
        <v>2158</v>
      </c>
      <c r="D415" s="73" t="s">
        <v>2138</v>
      </c>
      <c r="E415" s="23">
        <v>2</v>
      </c>
      <c r="F415" s="23">
        <v>1.87</v>
      </c>
      <c r="G415" s="159" t="s">
        <v>1509</v>
      </c>
      <c r="H415" s="23" t="s">
        <v>1154</v>
      </c>
      <c r="J415" s="150" t="str">
        <f t="shared" si="8"/>
        <v>Hapoel Afula  vs  Bnei Yehuda Tel-Aviv</v>
      </c>
    </row>
    <row r="416" spans="1:10">
      <c r="A416" s="6">
        <v>43501</v>
      </c>
      <c r="B416" s="73" t="s">
        <v>2151</v>
      </c>
      <c r="C416" s="3" t="s">
        <v>1426</v>
      </c>
      <c r="D416" s="73" t="s">
        <v>1263</v>
      </c>
      <c r="E416" s="23">
        <v>2</v>
      </c>
      <c r="F416" s="23">
        <v>1.5</v>
      </c>
      <c r="G416" s="159" t="s">
        <v>1508</v>
      </c>
      <c r="H416" s="23" t="s">
        <v>1154</v>
      </c>
      <c r="J416" s="150" t="str">
        <f t="shared" si="8"/>
        <v>Croix Football IC  vs  Dijon FCO</v>
      </c>
    </row>
    <row r="417" spans="1:10">
      <c r="A417" s="6">
        <v>43501</v>
      </c>
      <c r="B417" s="73" t="s">
        <v>2153</v>
      </c>
      <c r="C417" s="3" t="s">
        <v>2154</v>
      </c>
      <c r="D417" s="73" t="s">
        <v>2137</v>
      </c>
      <c r="E417" s="23">
        <v>2</v>
      </c>
      <c r="F417" s="23">
        <v>1.44</v>
      </c>
      <c r="G417" s="159" t="s">
        <v>1522</v>
      </c>
      <c r="H417" s="23" t="s">
        <v>1153</v>
      </c>
      <c r="J417" s="150" t="str">
        <f t="shared" si="8"/>
        <v>Heidenheim  vs  Bayer 04 Leverkusen</v>
      </c>
    </row>
    <row r="418" spans="1:10">
      <c r="A418" s="162">
        <v>43502</v>
      </c>
      <c r="B418" s="143" t="s">
        <v>2191</v>
      </c>
      <c r="C418" s="144" t="s">
        <v>2192</v>
      </c>
      <c r="D418" s="143" t="s">
        <v>1690</v>
      </c>
      <c r="E418" s="145">
        <v>2</v>
      </c>
      <c r="F418" s="145">
        <v>3.15</v>
      </c>
      <c r="G418" s="146" t="s">
        <v>1562</v>
      </c>
      <c r="H418" s="145" t="s">
        <v>1153</v>
      </c>
      <c r="J418" s="150" t="str">
        <f t="shared" si="8"/>
        <v>Talleres de Cordoba  vs  Sao Paulo</v>
      </c>
    </row>
    <row r="419" spans="1:10">
      <c r="A419" s="162">
        <v>43502</v>
      </c>
      <c r="B419" s="143" t="s">
        <v>2194</v>
      </c>
      <c r="C419" s="144" t="s">
        <v>2195</v>
      </c>
      <c r="D419" s="143" t="s">
        <v>1690</v>
      </c>
      <c r="E419" s="145">
        <v>2</v>
      </c>
      <c r="F419" s="145">
        <v>3.1</v>
      </c>
      <c r="G419" s="146" t="s">
        <v>1561</v>
      </c>
      <c r="H419" s="145" t="s">
        <v>1153</v>
      </c>
      <c r="J419" s="150" t="str">
        <f t="shared" si="8"/>
        <v>Palestino  vs  Independiente Medellin</v>
      </c>
    </row>
    <row r="420" spans="1:10">
      <c r="A420" s="162">
        <v>43502</v>
      </c>
      <c r="B420" s="143" t="s">
        <v>2206</v>
      </c>
      <c r="C420" s="144" t="s">
        <v>2179</v>
      </c>
      <c r="D420" s="143" t="s">
        <v>1735</v>
      </c>
      <c r="E420" s="145">
        <v>2</v>
      </c>
      <c r="F420" s="145">
        <v>1.58</v>
      </c>
      <c r="G420" s="146" t="s">
        <v>1561</v>
      </c>
      <c r="H420" s="145" t="s">
        <v>1153</v>
      </c>
      <c r="J420" s="150" t="str">
        <f t="shared" si="8"/>
        <v>Farense  vs  IFK Norrkoping</v>
      </c>
    </row>
    <row r="421" spans="1:10">
      <c r="A421" s="162">
        <v>43502</v>
      </c>
      <c r="B421" s="143" t="s">
        <v>1312</v>
      </c>
      <c r="C421" s="144" t="s">
        <v>2207</v>
      </c>
      <c r="D421" s="143" t="s">
        <v>2138</v>
      </c>
      <c r="E421" s="145">
        <v>2</v>
      </c>
      <c r="F421" s="145">
        <v>1.34</v>
      </c>
      <c r="G421" s="146" t="s">
        <v>1565</v>
      </c>
      <c r="H421" s="145" t="s">
        <v>1154</v>
      </c>
      <c r="J421" s="150" t="str">
        <f t="shared" si="8"/>
        <v>Bnei Sakhnin  vs  Maccabi Tel-Aviv</v>
      </c>
    </row>
    <row r="422" spans="1:10">
      <c r="A422" s="6">
        <v>43502</v>
      </c>
      <c r="B422" s="73" t="s">
        <v>1923</v>
      </c>
      <c r="C422" s="3" t="s">
        <v>1714</v>
      </c>
      <c r="D422" s="73" t="s">
        <v>1267</v>
      </c>
      <c r="E422" s="23">
        <v>2</v>
      </c>
      <c r="F422" s="23">
        <v>1.3</v>
      </c>
      <c r="G422" s="159" t="s">
        <v>1509</v>
      </c>
      <c r="H422" s="23" t="s">
        <v>1154</v>
      </c>
      <c r="J422" s="150" t="str">
        <f t="shared" si="8"/>
        <v>Everton  vs  Manchester City</v>
      </c>
    </row>
    <row r="423" spans="1:10">
      <c r="A423" s="6">
        <v>43502</v>
      </c>
      <c r="B423" s="73" t="s">
        <v>2208</v>
      </c>
      <c r="C423" s="3" t="s">
        <v>2209</v>
      </c>
      <c r="D423" s="73" t="s">
        <v>1263</v>
      </c>
      <c r="E423" s="23">
        <v>2</v>
      </c>
      <c r="F423" s="23">
        <v>1.06</v>
      </c>
      <c r="G423" s="159" t="s">
        <v>1508</v>
      </c>
      <c r="H423" s="23" t="s">
        <v>1154</v>
      </c>
      <c r="J423" s="150" t="str">
        <f t="shared" si="8"/>
        <v>Villefranche  vs  Paris Saint-Germain </v>
      </c>
    </row>
    <row r="424" spans="1:10">
      <c r="A424" s="162">
        <v>43503</v>
      </c>
      <c r="B424" s="143" t="s">
        <v>2210</v>
      </c>
      <c r="C424" s="144" t="s">
        <v>2211</v>
      </c>
      <c r="D424" s="143" t="s">
        <v>1690</v>
      </c>
      <c r="E424" s="145">
        <v>2</v>
      </c>
      <c r="F424" s="145">
        <v>1.84</v>
      </c>
      <c r="G424" s="146" t="s">
        <v>1506</v>
      </c>
      <c r="H424" s="145" t="s">
        <v>1154</v>
      </c>
      <c r="J424" s="150" t="str">
        <f t="shared" si="8"/>
        <v>Deportivo La Guaira  vs  Atletico Nacional de Medellin</v>
      </c>
    </row>
    <row r="425" spans="1:10">
      <c r="A425" s="162">
        <v>43503</v>
      </c>
      <c r="B425" s="143" t="s">
        <v>2214</v>
      </c>
      <c r="C425" s="144" t="s">
        <v>2215</v>
      </c>
      <c r="D425" s="143" t="s">
        <v>2136</v>
      </c>
      <c r="E425" s="145">
        <v>2</v>
      </c>
      <c r="F425" s="145">
        <v>2.63</v>
      </c>
      <c r="G425" s="146" t="s">
        <v>1561</v>
      </c>
      <c r="H425" s="145" t="s">
        <v>1153</v>
      </c>
      <c r="J425" s="150" t="str">
        <f t="shared" si="8"/>
        <v>Deportivo Santani  vs  Once Caldas Manizales</v>
      </c>
    </row>
    <row r="426" spans="1:10">
      <c r="A426" s="162">
        <v>43503</v>
      </c>
      <c r="B426" s="143" t="s">
        <v>2216</v>
      </c>
      <c r="C426" s="144" t="s">
        <v>1407</v>
      </c>
      <c r="D426" s="143" t="s">
        <v>1257</v>
      </c>
      <c r="E426" s="145">
        <v>2</v>
      </c>
      <c r="F426" s="145">
        <v>3.5</v>
      </c>
      <c r="G426" s="146" t="s">
        <v>1561</v>
      </c>
      <c r="H426" s="145" t="s">
        <v>1153</v>
      </c>
      <c r="J426" s="150" t="str">
        <f t="shared" si="8"/>
        <v>Newcastle Jets  vs  Wellington Phoenix</v>
      </c>
    </row>
    <row r="427" spans="1:10">
      <c r="A427" s="162">
        <v>43504</v>
      </c>
      <c r="B427" s="143" t="s">
        <v>2227</v>
      </c>
      <c r="C427" s="144" t="s">
        <v>2228</v>
      </c>
      <c r="D427" s="143" t="s">
        <v>2220</v>
      </c>
      <c r="E427" s="145">
        <v>2</v>
      </c>
      <c r="F427" s="145">
        <v>4</v>
      </c>
      <c r="G427" s="146" t="s">
        <v>1562</v>
      </c>
      <c r="H427" s="145" t="s">
        <v>1153</v>
      </c>
      <c r="J427" s="150" t="str">
        <f t="shared" si="8"/>
        <v>AGF Aarhus  vs  Esbjerg</v>
      </c>
    </row>
    <row r="428" spans="1:10">
      <c r="A428" s="162">
        <v>43504</v>
      </c>
      <c r="B428" s="143" t="s">
        <v>2240</v>
      </c>
      <c r="C428" s="144" t="s">
        <v>2241</v>
      </c>
      <c r="D428" s="143" t="s">
        <v>2219</v>
      </c>
      <c r="E428" s="145">
        <v>2</v>
      </c>
      <c r="F428" s="145">
        <v>2.2999999999999998</v>
      </c>
      <c r="G428" s="146" t="s">
        <v>1561</v>
      </c>
      <c r="H428" s="145" t="s">
        <v>1153</v>
      </c>
      <c r="J428" s="150" t="str">
        <f t="shared" si="8"/>
        <v>Dukla Prague  vs  Banik Ostrava</v>
      </c>
    </row>
    <row r="429" spans="1:10">
      <c r="A429" s="162">
        <v>43504</v>
      </c>
      <c r="B429" s="143" t="s">
        <v>2242</v>
      </c>
      <c r="C429" s="144" t="s">
        <v>2243</v>
      </c>
      <c r="D429" s="143" t="s">
        <v>1849</v>
      </c>
      <c r="E429" s="145">
        <v>2</v>
      </c>
      <c r="F429" s="145">
        <v>2.27</v>
      </c>
      <c r="G429" s="146" t="s">
        <v>1513</v>
      </c>
      <c r="H429" s="145" t="s">
        <v>1153</v>
      </c>
      <c r="J429" s="150" t="str">
        <f t="shared" si="8"/>
        <v>Vaduz  vs  Lausanne Sport</v>
      </c>
    </row>
    <row r="430" spans="1:10">
      <c r="A430" s="162">
        <v>43504</v>
      </c>
      <c r="B430" s="143" t="s">
        <v>2246</v>
      </c>
      <c r="C430" s="144" t="s">
        <v>2247</v>
      </c>
      <c r="D430" s="143" t="s">
        <v>1850</v>
      </c>
      <c r="E430" s="145">
        <v>2</v>
      </c>
      <c r="F430" s="145">
        <v>2.08</v>
      </c>
      <c r="G430" s="146" t="s">
        <v>1564</v>
      </c>
      <c r="H430" s="145" t="s">
        <v>1564</v>
      </c>
      <c r="J430" s="150" t="str">
        <f t="shared" si="8"/>
        <v>Kayserispor  vs  Fenerbahce</v>
      </c>
    </row>
    <row r="431" spans="1:10">
      <c r="A431" s="162">
        <v>43504</v>
      </c>
      <c r="B431" s="143" t="s">
        <v>2248</v>
      </c>
      <c r="C431" s="144" t="s">
        <v>2249</v>
      </c>
      <c r="D431" s="143" t="s">
        <v>1692</v>
      </c>
      <c r="E431" s="145">
        <v>2</v>
      </c>
      <c r="F431" s="145">
        <v>1.88</v>
      </c>
      <c r="G431" s="146" t="s">
        <v>1511</v>
      </c>
      <c r="H431" s="145" t="s">
        <v>1154</v>
      </c>
      <c r="J431" s="150" t="str">
        <f t="shared" si="8"/>
        <v>KPV Kokkola  vs  Ilves</v>
      </c>
    </row>
    <row r="432" spans="1:10">
      <c r="A432" s="162">
        <v>43504</v>
      </c>
      <c r="B432" s="143" t="s">
        <v>1321</v>
      </c>
      <c r="C432" s="144" t="s">
        <v>2250</v>
      </c>
      <c r="D432" s="143" t="s">
        <v>1257</v>
      </c>
      <c r="E432" s="145">
        <v>2</v>
      </c>
      <c r="F432" s="145">
        <v>1.53</v>
      </c>
      <c r="G432" s="146" t="s">
        <v>1522</v>
      </c>
      <c r="H432" s="145" t="s">
        <v>1153</v>
      </c>
      <c r="J432" s="150" t="str">
        <f t="shared" si="8"/>
        <v>Brisbane Roar  vs  Sydney FC</v>
      </c>
    </row>
    <row r="433" spans="1:10">
      <c r="A433" s="162">
        <v>43504</v>
      </c>
      <c r="B433" s="143" t="s">
        <v>2251</v>
      </c>
      <c r="C433" s="144" t="s">
        <v>1396</v>
      </c>
      <c r="D433" s="143" t="s">
        <v>1242</v>
      </c>
      <c r="E433" s="145">
        <v>2</v>
      </c>
      <c r="F433" s="145">
        <v>1.5</v>
      </c>
      <c r="G433" s="146" t="s">
        <v>1561</v>
      </c>
      <c r="H433" s="145" t="s">
        <v>1153</v>
      </c>
      <c r="J433" s="150" t="str">
        <f t="shared" si="8"/>
        <v>Moreirense  vs  FC Porto</v>
      </c>
    </row>
    <row r="434" spans="1:10">
      <c r="A434" s="162">
        <v>43504</v>
      </c>
      <c r="B434" s="143" t="s">
        <v>2252</v>
      </c>
      <c r="C434" s="144" t="s">
        <v>2253</v>
      </c>
      <c r="D434" s="143" t="s">
        <v>1848</v>
      </c>
      <c r="E434" s="145">
        <v>2</v>
      </c>
      <c r="F434" s="145">
        <v>1.48</v>
      </c>
      <c r="G434" s="146" t="s">
        <v>1508</v>
      </c>
      <c r="H434" s="145" t="s">
        <v>1154</v>
      </c>
      <c r="J434" s="150" t="str">
        <f t="shared" si="8"/>
        <v>NAC Breda  vs  AZ Alkmaar</v>
      </c>
    </row>
    <row r="435" spans="1:10">
      <c r="A435" s="162">
        <v>43504</v>
      </c>
      <c r="B435" s="143" t="s">
        <v>2254</v>
      </c>
      <c r="C435" s="144" t="s">
        <v>2255</v>
      </c>
      <c r="D435" s="143" t="s">
        <v>1737</v>
      </c>
      <c r="E435" s="145">
        <v>2</v>
      </c>
      <c r="F435" s="145">
        <v>1.1299999999999999</v>
      </c>
      <c r="G435" s="146" t="s">
        <v>1506</v>
      </c>
      <c r="H435" s="145" t="s">
        <v>1154</v>
      </c>
      <c r="J435" s="150" t="str">
        <f t="shared" si="8"/>
        <v>Rudes  vs  NK Osijek</v>
      </c>
    </row>
    <row r="436" spans="1:10">
      <c r="A436" s="162">
        <v>43505</v>
      </c>
      <c r="B436" s="143" t="s">
        <v>2268</v>
      </c>
      <c r="C436" s="144" t="s">
        <v>2269</v>
      </c>
      <c r="D436" s="143" t="s">
        <v>1847</v>
      </c>
      <c r="E436" s="145">
        <v>2</v>
      </c>
      <c r="F436" s="145">
        <v>4.3</v>
      </c>
      <c r="G436" s="146" t="s">
        <v>1510</v>
      </c>
      <c r="H436" s="145" t="s">
        <v>1153</v>
      </c>
      <c r="J436" s="150" t="str">
        <f t="shared" si="8"/>
        <v>Cremonese  vs  Padova</v>
      </c>
    </row>
    <row r="437" spans="1:10">
      <c r="A437" s="162">
        <v>43505</v>
      </c>
      <c r="B437" s="143" t="s">
        <v>2290</v>
      </c>
      <c r="C437" s="144" t="s">
        <v>2291</v>
      </c>
      <c r="D437" s="143" t="s">
        <v>1242</v>
      </c>
      <c r="E437" s="145">
        <v>2</v>
      </c>
      <c r="F437" s="145">
        <v>3.3</v>
      </c>
      <c r="G437" s="146" t="s">
        <v>1506</v>
      </c>
      <c r="H437" s="145" t="s">
        <v>1154</v>
      </c>
      <c r="J437" s="150" t="str">
        <f t="shared" si="8"/>
        <v>Portimonense  vs  Rio Ave</v>
      </c>
    </row>
    <row r="438" spans="1:10">
      <c r="A438" s="162">
        <v>43505</v>
      </c>
      <c r="B438" s="143" t="s">
        <v>2299</v>
      </c>
      <c r="C438" s="144" t="s">
        <v>2300</v>
      </c>
      <c r="D438" s="143" t="s">
        <v>1848</v>
      </c>
      <c r="E438" s="145">
        <v>2</v>
      </c>
      <c r="F438" s="145">
        <v>3.1</v>
      </c>
      <c r="G438" s="146" t="s">
        <v>1522</v>
      </c>
      <c r="H438" s="145" t="s">
        <v>1153</v>
      </c>
      <c r="J438" s="150" t="str">
        <f t="shared" si="8"/>
        <v>VVV Venlo  vs  Willem II</v>
      </c>
    </row>
    <row r="439" spans="1:10">
      <c r="A439" s="162">
        <v>43505</v>
      </c>
      <c r="B439" s="143" t="s">
        <v>2307</v>
      </c>
      <c r="C439" s="144" t="s">
        <v>2308</v>
      </c>
      <c r="D439" s="143" t="s">
        <v>1845</v>
      </c>
      <c r="E439" s="145">
        <v>2</v>
      </c>
      <c r="F439" s="145">
        <v>2.84</v>
      </c>
      <c r="G439" s="146" t="s">
        <v>1506</v>
      </c>
      <c r="H439" s="145" t="s">
        <v>1154</v>
      </c>
      <c r="J439" s="150" t="str">
        <f t="shared" si="8"/>
        <v>AS Eupen  vs  Kortrijk</v>
      </c>
    </row>
    <row r="440" spans="1:10">
      <c r="A440" s="162">
        <v>43505</v>
      </c>
      <c r="B440" s="143" t="s">
        <v>1347</v>
      </c>
      <c r="C440" s="144" t="s">
        <v>1379</v>
      </c>
      <c r="D440" s="143" t="s">
        <v>1242</v>
      </c>
      <c r="E440" s="145">
        <v>2</v>
      </c>
      <c r="F440" s="145">
        <v>2.48</v>
      </c>
      <c r="G440" s="146" t="s">
        <v>1523</v>
      </c>
      <c r="H440" s="145" t="s">
        <v>1153</v>
      </c>
      <c r="J440" s="150" t="str">
        <f t="shared" si="8"/>
        <v>Tondela  vs  Vitoria Guimaraes</v>
      </c>
    </row>
    <row r="441" spans="1:10">
      <c r="A441" s="162">
        <v>43505</v>
      </c>
      <c r="B441" s="143" t="s">
        <v>2313</v>
      </c>
      <c r="C441" s="144" t="s">
        <v>1500</v>
      </c>
      <c r="D441" s="143" t="s">
        <v>1266</v>
      </c>
      <c r="E441" s="145">
        <v>2</v>
      </c>
      <c r="F441" s="145">
        <v>2.4</v>
      </c>
      <c r="G441" s="146" t="s">
        <v>1512</v>
      </c>
      <c r="H441" s="145" t="s">
        <v>1153</v>
      </c>
      <c r="J441" s="150" t="str">
        <f t="shared" si="8"/>
        <v>Academico Viseu  vs  FC Porto II</v>
      </c>
    </row>
    <row r="442" spans="1:10">
      <c r="A442" s="162">
        <v>43505</v>
      </c>
      <c r="B442" s="143" t="s">
        <v>2315</v>
      </c>
      <c r="C442" s="144" t="s">
        <v>2316</v>
      </c>
      <c r="D442" s="143" t="s">
        <v>1849</v>
      </c>
      <c r="E442" s="145">
        <v>2</v>
      </c>
      <c r="F442" s="145">
        <v>2.2400000000000002</v>
      </c>
      <c r="G442" s="146" t="s">
        <v>1562</v>
      </c>
      <c r="H442" s="145" t="s">
        <v>1153</v>
      </c>
      <c r="J442" s="150" t="str">
        <f t="shared" si="8"/>
        <v>SC Kriens  vs  Winterthur</v>
      </c>
    </row>
    <row r="443" spans="1:10">
      <c r="A443" s="162">
        <v>43505</v>
      </c>
      <c r="B443" s="143" t="s">
        <v>2323</v>
      </c>
      <c r="C443" s="144" t="s">
        <v>2324</v>
      </c>
      <c r="D443" s="143" t="s">
        <v>2219</v>
      </c>
      <c r="E443" s="145">
        <v>2</v>
      </c>
      <c r="F443" s="145">
        <v>2.08</v>
      </c>
      <c r="G443" s="146" t="s">
        <v>1561</v>
      </c>
      <c r="H443" s="145" t="s">
        <v>1153</v>
      </c>
      <c r="J443" s="150" t="str">
        <f t="shared" si="8"/>
        <v>Mlada Boleslav  vs  Viktoria Plzen</v>
      </c>
    </row>
    <row r="444" spans="1:10">
      <c r="A444" s="162">
        <v>43505</v>
      </c>
      <c r="B444" s="143" t="s">
        <v>2325</v>
      </c>
      <c r="C444" s="144" t="s">
        <v>1457</v>
      </c>
      <c r="D444" s="143" t="s">
        <v>1264</v>
      </c>
      <c r="E444" s="145">
        <v>2</v>
      </c>
      <c r="F444" s="145">
        <v>2.08</v>
      </c>
      <c r="G444" s="146" t="s">
        <v>1523</v>
      </c>
      <c r="H444" s="145" t="s">
        <v>1153</v>
      </c>
      <c r="J444" s="150" t="str">
        <f t="shared" si="8"/>
        <v>Hapoel Tel-Aviv  vs  Hapoel Be’er Sheva</v>
      </c>
    </row>
    <row r="445" spans="1:10">
      <c r="A445" s="162">
        <v>43505</v>
      </c>
      <c r="B445" s="143" t="s">
        <v>2337</v>
      </c>
      <c r="C445" s="144" t="s">
        <v>2338</v>
      </c>
      <c r="D445" s="143" t="s">
        <v>1849</v>
      </c>
      <c r="E445" s="145">
        <v>2</v>
      </c>
      <c r="F445" s="145">
        <v>1.83</v>
      </c>
      <c r="G445" s="146" t="s">
        <v>1511</v>
      </c>
      <c r="H445" s="145" t="s">
        <v>1154</v>
      </c>
      <c r="J445" s="150" t="str">
        <f t="shared" si="8"/>
        <v>Rapperswil-Jona  vs  Aarau</v>
      </c>
    </row>
    <row r="446" spans="1:10">
      <c r="A446" s="162">
        <v>43505</v>
      </c>
      <c r="B446" s="143" t="s">
        <v>2346</v>
      </c>
      <c r="C446" s="144" t="s">
        <v>1910</v>
      </c>
      <c r="D446" s="143" t="s">
        <v>1845</v>
      </c>
      <c r="E446" s="145">
        <v>2</v>
      </c>
      <c r="F446" s="145">
        <v>1.73</v>
      </c>
      <c r="G446" s="146" t="s">
        <v>1522</v>
      </c>
      <c r="H446" s="145" t="s">
        <v>1153</v>
      </c>
      <c r="J446" s="150" t="str">
        <f t="shared" si="8"/>
        <v>Lokeren  vs  Antwerp</v>
      </c>
    </row>
    <row r="447" spans="1:10">
      <c r="A447" s="162">
        <v>43505</v>
      </c>
      <c r="B447" s="143" t="s">
        <v>2347</v>
      </c>
      <c r="C447" s="144" t="s">
        <v>1377</v>
      </c>
      <c r="D447" s="143" t="s">
        <v>1267</v>
      </c>
      <c r="E447" s="145">
        <v>2</v>
      </c>
      <c r="F447" s="145">
        <v>1.7</v>
      </c>
      <c r="G447" s="146" t="s">
        <v>1508</v>
      </c>
      <c r="H447" s="145" t="s">
        <v>1154</v>
      </c>
      <c r="J447" s="150" t="str">
        <f t="shared" si="8"/>
        <v>Fulham  vs  Manchester United</v>
      </c>
    </row>
    <row r="448" spans="1:10">
      <c r="A448" s="162">
        <v>43505</v>
      </c>
      <c r="B448" s="143" t="s">
        <v>2350</v>
      </c>
      <c r="C448" s="144" t="s">
        <v>2351</v>
      </c>
      <c r="D448" s="143" t="s">
        <v>1692</v>
      </c>
      <c r="E448" s="145">
        <v>2</v>
      </c>
      <c r="F448" s="145">
        <v>1.63</v>
      </c>
      <c r="G448" s="146" t="s">
        <v>1511</v>
      </c>
      <c r="H448" s="145" t="s">
        <v>1154</v>
      </c>
      <c r="J448" s="150" t="str">
        <f t="shared" si="8"/>
        <v>HIFK Helsinki  vs  FC Honka Espoo</v>
      </c>
    </row>
    <row r="449" spans="1:10">
      <c r="A449" s="162">
        <v>43505</v>
      </c>
      <c r="B449" s="143" t="s">
        <v>1274</v>
      </c>
      <c r="C449" s="144" t="s">
        <v>1418</v>
      </c>
      <c r="D449" s="143" t="s">
        <v>1267</v>
      </c>
      <c r="E449" s="145">
        <v>2</v>
      </c>
      <c r="F449" s="145">
        <v>1.6</v>
      </c>
      <c r="G449" s="146" t="s">
        <v>1511</v>
      </c>
      <c r="H449" s="145" t="s">
        <v>1154</v>
      </c>
      <c r="J449" s="150" t="str">
        <f t="shared" si="8"/>
        <v>Huddersfield Town  vs  Arsenal</v>
      </c>
    </row>
    <row r="450" spans="1:10">
      <c r="A450" s="162">
        <v>43505</v>
      </c>
      <c r="B450" s="143" t="s">
        <v>2368</v>
      </c>
      <c r="C450" s="144" t="s">
        <v>2369</v>
      </c>
      <c r="D450" s="143" t="s">
        <v>1848</v>
      </c>
      <c r="E450" s="145">
        <v>2</v>
      </c>
      <c r="F450" s="145">
        <v>1.21</v>
      </c>
      <c r="G450" s="146" t="s">
        <v>1523</v>
      </c>
      <c r="H450" s="145" t="s">
        <v>1153</v>
      </c>
      <c r="J450" s="150" t="str">
        <f t="shared" si="8"/>
        <v>Heracles Almelo  vs  AFC Ajax Amsterdam</v>
      </c>
    </row>
    <row r="451" spans="1:10">
      <c r="A451" s="162">
        <v>43506</v>
      </c>
      <c r="B451" s="143" t="s">
        <v>2428</v>
      </c>
      <c r="C451" s="144" t="s">
        <v>2429</v>
      </c>
      <c r="D451" s="143" t="s">
        <v>2220</v>
      </c>
      <c r="E451" s="145">
        <v>2</v>
      </c>
      <c r="F451" s="145">
        <v>2.67</v>
      </c>
      <c r="G451" s="146" t="s">
        <v>1510</v>
      </c>
      <c r="H451" s="145" t="s">
        <v>1153</v>
      </c>
      <c r="J451" s="150" t="str">
        <f t="shared" si="8"/>
        <v>Hobro  vs   AC Horsens</v>
      </c>
    </row>
    <row r="452" spans="1:10">
      <c r="A452" s="162">
        <v>43506</v>
      </c>
      <c r="B452" s="143" t="s">
        <v>2432</v>
      </c>
      <c r="C452" s="144" t="s">
        <v>2433</v>
      </c>
      <c r="D452" s="143" t="s">
        <v>1693</v>
      </c>
      <c r="E452" s="145">
        <v>2</v>
      </c>
      <c r="F452" s="145">
        <v>2.56</v>
      </c>
      <c r="G452" s="146" t="s">
        <v>1561</v>
      </c>
      <c r="H452" s="145" t="s">
        <v>1153</v>
      </c>
      <c r="J452" s="150" t="str">
        <f t="shared" si="8"/>
        <v>Magdeburg  vs   Holstein Kiel</v>
      </c>
    </row>
    <row r="453" spans="1:10">
      <c r="A453" s="162">
        <v>43506</v>
      </c>
      <c r="B453" s="143" t="s">
        <v>2434</v>
      </c>
      <c r="C453" s="144" t="s">
        <v>2435</v>
      </c>
      <c r="D453" s="143" t="s">
        <v>1264</v>
      </c>
      <c r="E453" s="145">
        <v>2</v>
      </c>
      <c r="F453" s="145">
        <v>2.54</v>
      </c>
      <c r="G453" s="146" t="s">
        <v>1794</v>
      </c>
      <c r="H453" s="145" t="s">
        <v>1154</v>
      </c>
      <c r="J453" s="150" t="str">
        <f t="shared" si="8"/>
        <v>Hapoel Hadera  vs   Bnei Yehuda Tel-Aviv</v>
      </c>
    </row>
    <row r="454" spans="1:10">
      <c r="A454" s="162">
        <v>43506</v>
      </c>
      <c r="B454" s="143" t="s">
        <v>2436</v>
      </c>
      <c r="C454" s="144" t="s">
        <v>2437</v>
      </c>
      <c r="D454" s="143" t="s">
        <v>2220</v>
      </c>
      <c r="E454" s="145">
        <v>2</v>
      </c>
      <c r="F454" s="145">
        <v>2.37</v>
      </c>
      <c r="G454" s="146" t="s">
        <v>1512</v>
      </c>
      <c r="H454" s="145" t="s">
        <v>1153</v>
      </c>
      <c r="J454" s="150" t="str">
        <f t="shared" si="8"/>
        <v>FC Nordsjaelland  vs   Brondby</v>
      </c>
    </row>
    <row r="455" spans="1:10">
      <c r="A455" s="162">
        <v>43506</v>
      </c>
      <c r="B455" s="143" t="s">
        <v>2459</v>
      </c>
      <c r="C455" s="144" t="s">
        <v>2460</v>
      </c>
      <c r="D455" s="143" t="s">
        <v>1736</v>
      </c>
      <c r="E455" s="145">
        <v>2</v>
      </c>
      <c r="F455" s="145">
        <v>1.8</v>
      </c>
      <c r="G455" s="146" t="s">
        <v>1561</v>
      </c>
      <c r="H455" s="145" t="s">
        <v>1153</v>
      </c>
      <c r="J455" s="150" t="str">
        <f t="shared" si="8"/>
        <v>Belgrano de Cordoba  vs   Boca Juniors</v>
      </c>
    </row>
    <row r="456" spans="1:10">
      <c r="A456" s="162">
        <v>43506</v>
      </c>
      <c r="B456" s="143" t="s">
        <v>2463</v>
      </c>
      <c r="C456" s="144" t="s">
        <v>2464</v>
      </c>
      <c r="D456" s="143" t="s">
        <v>1261</v>
      </c>
      <c r="E456" s="145">
        <v>2</v>
      </c>
      <c r="F456" s="145">
        <v>1.72</v>
      </c>
      <c r="G456" s="146" t="s">
        <v>1523</v>
      </c>
      <c r="H456" s="145" t="s">
        <v>1153</v>
      </c>
      <c r="J456" s="150" t="str">
        <f t="shared" ref="J456:J519" si="9">CONCATENATE(B456," vs ",C456)</f>
        <v>OGC Nice  vs   Olympique Lyonnais</v>
      </c>
    </row>
    <row r="457" spans="1:10">
      <c r="A457" s="162">
        <v>43506</v>
      </c>
      <c r="B457" s="143" t="s">
        <v>2470</v>
      </c>
      <c r="C457" s="144" t="s">
        <v>2471</v>
      </c>
      <c r="D457" s="143" t="s">
        <v>1265</v>
      </c>
      <c r="E457" s="145">
        <v>2</v>
      </c>
      <c r="F457" s="145">
        <v>1.7</v>
      </c>
      <c r="G457" s="146" t="s">
        <v>1510</v>
      </c>
      <c r="H457" s="145" t="s">
        <v>1153</v>
      </c>
      <c r="J457" s="150" t="str">
        <f t="shared" si="9"/>
        <v>Athletic Club  vs   Barcelona CF</v>
      </c>
    </row>
    <row r="458" spans="1:10">
      <c r="A458" s="162">
        <v>43506</v>
      </c>
      <c r="B458" s="143" t="s">
        <v>2476</v>
      </c>
      <c r="C458" s="144" t="s">
        <v>2477</v>
      </c>
      <c r="D458" s="143" t="s">
        <v>1845</v>
      </c>
      <c r="E458" s="145">
        <v>2</v>
      </c>
      <c r="F458" s="145">
        <v>1.47</v>
      </c>
      <c r="G458" s="146" t="s">
        <v>1513</v>
      </c>
      <c r="H458" s="145" t="s">
        <v>1153</v>
      </c>
      <c r="J458" s="150" t="str">
        <f t="shared" si="9"/>
        <v>Cercle Brugge  vs   Club Brugge</v>
      </c>
    </row>
    <row r="459" spans="1:10">
      <c r="A459" s="162">
        <v>43506</v>
      </c>
      <c r="B459" s="143" t="s">
        <v>2478</v>
      </c>
      <c r="C459" s="144" t="s">
        <v>2479</v>
      </c>
      <c r="D459" s="143" t="s">
        <v>1242</v>
      </c>
      <c r="E459" s="145">
        <v>2</v>
      </c>
      <c r="F459" s="145">
        <v>1.47</v>
      </c>
      <c r="G459" s="146" t="s">
        <v>1591</v>
      </c>
      <c r="H459" s="145" t="s">
        <v>1154</v>
      </c>
      <c r="J459" s="150" t="str">
        <f t="shared" si="9"/>
        <v>Feirense  vs   Sporting Clube de Portugal</v>
      </c>
    </row>
    <row r="460" spans="1:10">
      <c r="A460" s="162">
        <v>43506</v>
      </c>
      <c r="B460" s="143" t="s">
        <v>2482</v>
      </c>
      <c r="C460" s="144" t="s">
        <v>2483</v>
      </c>
      <c r="D460" s="143" t="s">
        <v>1849</v>
      </c>
      <c r="E460" s="145">
        <v>2</v>
      </c>
      <c r="F460" s="145">
        <v>1.38</v>
      </c>
      <c r="G460" s="146" t="s">
        <v>1522</v>
      </c>
      <c r="H460" s="145" t="s">
        <v>1153</v>
      </c>
      <c r="J460" s="150" t="str">
        <f t="shared" si="9"/>
        <v>Chiasso  vs   Servette</v>
      </c>
    </row>
    <row r="461" spans="1:10">
      <c r="A461" s="162">
        <v>43507</v>
      </c>
      <c r="B461" s="143" t="s">
        <v>2503</v>
      </c>
      <c r="C461" s="144" t="s">
        <v>2504</v>
      </c>
      <c r="D461" s="143" t="s">
        <v>2220</v>
      </c>
      <c r="E461" s="145">
        <v>2</v>
      </c>
      <c r="F461" s="145">
        <v>1.5</v>
      </c>
      <c r="G461" s="146" t="s">
        <v>1564</v>
      </c>
      <c r="H461" s="145" t="s">
        <v>1564</v>
      </c>
      <c r="J461" s="150" t="str">
        <f t="shared" si="9"/>
        <v>Vendsyssel  vs  FC Midtjylland</v>
      </c>
    </row>
    <row r="462" spans="1:10">
      <c r="A462" s="162">
        <v>43507</v>
      </c>
      <c r="B462" s="143" t="s">
        <v>1312</v>
      </c>
      <c r="C462" s="144" t="s">
        <v>2207</v>
      </c>
      <c r="D462" s="143" t="s">
        <v>1264</v>
      </c>
      <c r="E462" s="145">
        <v>2</v>
      </c>
      <c r="F462" s="145">
        <v>1.28</v>
      </c>
      <c r="G462" s="146" t="s">
        <v>1510</v>
      </c>
      <c r="H462" s="145" t="s">
        <v>1153</v>
      </c>
      <c r="J462" s="150" t="str">
        <f t="shared" si="9"/>
        <v>Bnei Sakhnin  vs  Maccabi Tel-Aviv</v>
      </c>
    </row>
    <row r="463" spans="1:10">
      <c r="A463" s="162">
        <v>43508</v>
      </c>
      <c r="B463" s="3" t="s">
        <v>2519</v>
      </c>
      <c r="C463" s="3" t="s">
        <v>2520</v>
      </c>
      <c r="D463" s="3" t="s">
        <v>2516</v>
      </c>
      <c r="E463" s="23">
        <v>2</v>
      </c>
      <c r="F463" s="23">
        <v>3.05</v>
      </c>
      <c r="G463" s="159" t="s">
        <v>1523</v>
      </c>
      <c r="H463" s="23" t="s">
        <v>1153</v>
      </c>
      <c r="J463" s="150" t="str">
        <f t="shared" si="9"/>
        <v>Fenerbahce  vs  Zenit St. Petersburg</v>
      </c>
    </row>
    <row r="464" spans="1:10">
      <c r="A464" s="162">
        <v>43509</v>
      </c>
      <c r="B464" s="3" t="s">
        <v>2530</v>
      </c>
      <c r="C464" s="3" t="s">
        <v>1397</v>
      </c>
      <c r="D464" s="3" t="s">
        <v>2515</v>
      </c>
      <c r="E464" s="23">
        <v>2</v>
      </c>
      <c r="F464" s="23">
        <v>1.92</v>
      </c>
      <c r="G464" s="159" t="s">
        <v>1511</v>
      </c>
      <c r="H464" s="23" t="s">
        <v>1154</v>
      </c>
      <c r="J464" s="150" t="str">
        <f t="shared" si="9"/>
        <v>AFC Ajax Amsterdam  vs  Real Madrid</v>
      </c>
    </row>
    <row r="465" spans="1:10">
      <c r="A465" s="162">
        <v>43510</v>
      </c>
      <c r="B465" s="143" t="s">
        <v>2548</v>
      </c>
      <c r="C465" s="144" t="s">
        <v>2549</v>
      </c>
      <c r="D465" s="143" t="s">
        <v>2516</v>
      </c>
      <c r="E465" s="145">
        <v>2</v>
      </c>
      <c r="F465" s="145">
        <v>2.88</v>
      </c>
      <c r="G465" s="146" t="s">
        <v>1522</v>
      </c>
      <c r="H465" s="145" t="s">
        <v>1153</v>
      </c>
      <c r="J465" s="150" t="str">
        <f t="shared" si="9"/>
        <v>Viktoria Plzen  vs  Dinamo Zagreb</v>
      </c>
    </row>
    <row r="466" spans="1:10">
      <c r="A466" s="162">
        <v>43510</v>
      </c>
      <c r="B466" s="143" t="s">
        <v>2544</v>
      </c>
      <c r="C466" s="144" t="s">
        <v>1439</v>
      </c>
      <c r="D466" s="143" t="s">
        <v>2516</v>
      </c>
      <c r="E466" s="145">
        <v>2</v>
      </c>
      <c r="F466" s="145">
        <v>2.86</v>
      </c>
      <c r="G466" s="146" t="s">
        <v>1512</v>
      </c>
      <c r="H466" s="145" t="s">
        <v>1153</v>
      </c>
      <c r="J466" s="150" t="str">
        <f t="shared" si="9"/>
        <v>Stade Rennais  vs  Real Betis Balompie</v>
      </c>
    </row>
    <row r="467" spans="1:10">
      <c r="A467" s="162">
        <v>43510</v>
      </c>
      <c r="B467" s="143" t="s">
        <v>2550</v>
      </c>
      <c r="C467" s="144" t="s">
        <v>2551</v>
      </c>
      <c r="D467" s="143" t="s">
        <v>2516</v>
      </c>
      <c r="E467" s="145">
        <v>2</v>
      </c>
      <c r="F467" s="145">
        <v>2.2000000000000002</v>
      </c>
      <c r="G467" s="146" t="s">
        <v>1522</v>
      </c>
      <c r="H467" s="145" t="s">
        <v>1153</v>
      </c>
      <c r="J467" s="150" t="str">
        <f t="shared" si="9"/>
        <v>Club Brugge  vs  Salzburg</v>
      </c>
    </row>
    <row r="468" spans="1:10">
      <c r="A468" s="162">
        <v>43510</v>
      </c>
      <c r="B468" s="143" t="s">
        <v>2543</v>
      </c>
      <c r="C468" s="144" t="s">
        <v>2154</v>
      </c>
      <c r="D468" s="143" t="s">
        <v>2516</v>
      </c>
      <c r="E468" s="145">
        <v>2</v>
      </c>
      <c r="F468" s="145">
        <v>2</v>
      </c>
      <c r="G468" s="146" t="s">
        <v>1510</v>
      </c>
      <c r="H468" s="145" t="s">
        <v>1153</v>
      </c>
      <c r="J468" s="150" t="str">
        <f t="shared" si="9"/>
        <v>FK Krasnodar  vs  Bayer 04 Leverkusen</v>
      </c>
    </row>
    <row r="469" spans="1:10">
      <c r="A469" s="162">
        <v>43510</v>
      </c>
      <c r="B469" s="143" t="s">
        <v>2552</v>
      </c>
      <c r="C469" s="144" t="s">
        <v>1727</v>
      </c>
      <c r="D469" s="143" t="s">
        <v>2516</v>
      </c>
      <c r="E469" s="145">
        <v>2</v>
      </c>
      <c r="F469" s="145">
        <v>1.45</v>
      </c>
      <c r="G469" s="146" t="s">
        <v>1591</v>
      </c>
      <c r="H469" s="145" t="s">
        <v>1154</v>
      </c>
      <c r="J469" s="150" t="str">
        <f t="shared" si="9"/>
        <v>FC Zurich  vs  SSC Napoli</v>
      </c>
    </row>
    <row r="470" spans="1:10">
      <c r="A470" s="162">
        <v>43510</v>
      </c>
      <c r="B470" s="143" t="s">
        <v>2553</v>
      </c>
      <c r="C470" s="144" t="s">
        <v>1752</v>
      </c>
      <c r="D470" s="143" t="s">
        <v>2516</v>
      </c>
      <c r="E470" s="145">
        <v>2</v>
      </c>
      <c r="F470" s="145">
        <v>1.4</v>
      </c>
      <c r="G470" s="146" t="s">
        <v>1511</v>
      </c>
      <c r="H470" s="145" t="s">
        <v>1154</v>
      </c>
      <c r="J470" s="150" t="str">
        <f t="shared" si="9"/>
        <v>Malmo FF  vs  Chelsea</v>
      </c>
    </row>
    <row r="471" spans="1:10">
      <c r="A471" s="162">
        <v>43510</v>
      </c>
      <c r="B471" s="143" t="s">
        <v>2547</v>
      </c>
      <c r="C471" s="144" t="s">
        <v>1418</v>
      </c>
      <c r="D471" s="143" t="s">
        <v>2516</v>
      </c>
      <c r="E471" s="145">
        <v>2</v>
      </c>
      <c r="F471" s="145">
        <v>1.38</v>
      </c>
      <c r="G471" s="146" t="s">
        <v>1523</v>
      </c>
      <c r="H471" s="145" t="s">
        <v>1153</v>
      </c>
      <c r="J471" s="150" t="str">
        <f t="shared" si="9"/>
        <v>BATE Borisov  vs  Arsenal</v>
      </c>
    </row>
    <row r="472" spans="1:10">
      <c r="A472" s="162">
        <v>43511</v>
      </c>
      <c r="B472" s="143" t="s">
        <v>2574</v>
      </c>
      <c r="C472" s="144" t="s">
        <v>1903</v>
      </c>
      <c r="D472" s="143" t="s">
        <v>1736</v>
      </c>
      <c r="E472" s="145">
        <v>2</v>
      </c>
      <c r="F472" s="145">
        <v>3.5</v>
      </c>
      <c r="G472" s="146" t="s">
        <v>1510</v>
      </c>
      <c r="H472" s="145" t="s">
        <v>1153</v>
      </c>
      <c r="J472" s="150" t="str">
        <f t="shared" si="9"/>
        <v>San Martin Tucuman  vs  Belgrano de Cordoba</v>
      </c>
    </row>
    <row r="473" spans="1:10">
      <c r="A473" s="162">
        <v>43511</v>
      </c>
      <c r="B473" s="143" t="s">
        <v>2582</v>
      </c>
      <c r="C473" s="144" t="s">
        <v>2583</v>
      </c>
      <c r="D473" s="143" t="s">
        <v>2220</v>
      </c>
      <c r="E473" s="145">
        <v>2</v>
      </c>
      <c r="F473" s="145">
        <v>2.73</v>
      </c>
      <c r="G473" s="146" t="s">
        <v>1509</v>
      </c>
      <c r="H473" s="145" t="s">
        <v>1154</v>
      </c>
      <c r="J473" s="150" t="str">
        <f t="shared" si="9"/>
        <v>SonderjyskE  vs  AGF Aarhus</v>
      </c>
    </row>
    <row r="474" spans="1:10">
      <c r="A474" s="162">
        <v>43511</v>
      </c>
      <c r="B474" s="143" t="s">
        <v>2584</v>
      </c>
      <c r="C474" s="144" t="s">
        <v>2585</v>
      </c>
      <c r="D474" s="143" t="s">
        <v>1692</v>
      </c>
      <c r="E474" s="145">
        <v>2</v>
      </c>
      <c r="F474" s="145">
        <v>1.68</v>
      </c>
      <c r="G474" s="146" t="s">
        <v>1562</v>
      </c>
      <c r="H474" s="145" t="s">
        <v>1153</v>
      </c>
      <c r="J474" s="150" t="str">
        <f t="shared" si="9"/>
        <v>MuSa  vs  Haka Valkeakoski</v>
      </c>
    </row>
    <row r="475" spans="1:10">
      <c r="A475" s="162">
        <v>43511</v>
      </c>
      <c r="B475" s="143" t="s">
        <v>2575</v>
      </c>
      <c r="C475" s="144" t="s">
        <v>2576</v>
      </c>
      <c r="D475" s="143" t="s">
        <v>2570</v>
      </c>
      <c r="E475" s="145">
        <v>2</v>
      </c>
      <c r="F475" s="145">
        <v>1.27</v>
      </c>
      <c r="G475" s="146" t="s">
        <v>1522</v>
      </c>
      <c r="H475" s="145" t="s">
        <v>1153</v>
      </c>
      <c r="J475" s="150" t="str">
        <f t="shared" si="9"/>
        <v>Grazer AK  vs  Austria Vienna</v>
      </c>
    </row>
    <row r="476" spans="1:10">
      <c r="A476" s="162">
        <v>43511</v>
      </c>
      <c r="B476" s="143" t="s">
        <v>2586</v>
      </c>
      <c r="C476" s="144" t="s">
        <v>1945</v>
      </c>
      <c r="D476" s="143" t="s">
        <v>1846</v>
      </c>
      <c r="E476" s="145">
        <v>2</v>
      </c>
      <c r="F476" s="145">
        <v>1.26</v>
      </c>
      <c r="G476" s="146" t="s">
        <v>1559</v>
      </c>
      <c r="H476" s="145" t="s">
        <v>1154</v>
      </c>
      <c r="J476" s="150" t="str">
        <f t="shared" si="9"/>
        <v>Augsburg  vs  Bayern Munich</v>
      </c>
    </row>
    <row r="477" spans="1:10">
      <c r="A477" s="162">
        <v>43511</v>
      </c>
      <c r="B477" s="143" t="s">
        <v>2578</v>
      </c>
      <c r="C477" s="144" t="s">
        <v>2579</v>
      </c>
      <c r="D477" s="143" t="s">
        <v>2571</v>
      </c>
      <c r="E477" s="145">
        <v>2</v>
      </c>
      <c r="F477" s="145">
        <v>1.04</v>
      </c>
      <c r="G477" s="146" t="s">
        <v>1510</v>
      </c>
      <c r="H477" s="145" t="s">
        <v>1153</v>
      </c>
      <c r="J477" s="150" t="str">
        <f t="shared" si="9"/>
        <v>Vereya  vs  Ludogorets Razgrad</v>
      </c>
    </row>
    <row r="478" spans="1:10">
      <c r="A478" s="162">
        <v>43513</v>
      </c>
      <c r="B478" s="143" t="s">
        <v>1764</v>
      </c>
      <c r="C478" s="144" t="s">
        <v>2662</v>
      </c>
      <c r="D478" s="143" t="s">
        <v>1693</v>
      </c>
      <c r="E478" s="145">
        <v>2</v>
      </c>
      <c r="F478" s="145">
        <v>2.84</v>
      </c>
      <c r="G478" s="146" t="s">
        <v>1510</v>
      </c>
      <c r="H478" s="145" t="s">
        <v>1153</v>
      </c>
      <c r="J478" s="150" t="str">
        <f t="shared" si="9"/>
        <v>Dynamo Dresden  vs  Jahn Regensburg</v>
      </c>
    </row>
    <row r="479" spans="1:10">
      <c r="A479" s="162">
        <v>43513</v>
      </c>
      <c r="B479" s="143" t="s">
        <v>1975</v>
      </c>
      <c r="C479" s="144" t="s">
        <v>2073</v>
      </c>
      <c r="D479" s="143" t="s">
        <v>1898</v>
      </c>
      <c r="E479" s="145">
        <v>2</v>
      </c>
      <c r="F479" s="145">
        <v>2.64</v>
      </c>
      <c r="G479" s="146" t="s">
        <v>1560</v>
      </c>
      <c r="H479" s="145" t="s">
        <v>1153</v>
      </c>
      <c r="J479" s="150" t="str">
        <f t="shared" si="9"/>
        <v>Empoli  vs  Sassuolo</v>
      </c>
    </row>
    <row r="480" spans="1:10">
      <c r="A480" s="162">
        <v>43513</v>
      </c>
      <c r="B480" s="143" t="s">
        <v>2548</v>
      </c>
      <c r="C480" s="144" t="s">
        <v>1855</v>
      </c>
      <c r="D480" s="143" t="s">
        <v>2219</v>
      </c>
      <c r="E480" s="145">
        <v>2</v>
      </c>
      <c r="F480" s="145">
        <v>2.5</v>
      </c>
      <c r="G480" s="146" t="s">
        <v>1562</v>
      </c>
      <c r="H480" s="145" t="s">
        <v>1153</v>
      </c>
      <c r="J480" s="150" t="str">
        <f t="shared" si="9"/>
        <v>Viktoria Plzen  vs  Slavia Prague</v>
      </c>
    </row>
    <row r="481" spans="1:10">
      <c r="A481" s="162">
        <v>43513</v>
      </c>
      <c r="B481" s="143" t="s">
        <v>2675</v>
      </c>
      <c r="C481" s="144" t="s">
        <v>2096</v>
      </c>
      <c r="D481" s="143" t="s">
        <v>1266</v>
      </c>
      <c r="E481" s="145">
        <v>2</v>
      </c>
      <c r="F481" s="145">
        <v>2.5</v>
      </c>
      <c r="G481" s="146" t="s">
        <v>1561</v>
      </c>
      <c r="H481" s="145" t="s">
        <v>1153</v>
      </c>
      <c r="J481" s="150" t="str">
        <f t="shared" si="9"/>
        <v>Mafra  vs  Estoril</v>
      </c>
    </row>
    <row r="482" spans="1:10">
      <c r="A482" s="162">
        <v>43513</v>
      </c>
      <c r="B482" s="143" t="s">
        <v>1431</v>
      </c>
      <c r="C482" s="144" t="s">
        <v>1973</v>
      </c>
      <c r="D482" s="143" t="s">
        <v>1264</v>
      </c>
      <c r="E482" s="145">
        <v>2</v>
      </c>
      <c r="F482" s="145">
        <v>2.42</v>
      </c>
      <c r="G482" s="146" t="s">
        <v>1565</v>
      </c>
      <c r="H482" s="145" t="s">
        <v>1154</v>
      </c>
      <c r="J482" s="150" t="str">
        <f t="shared" si="9"/>
        <v>Maccabi Petah Tikva  vs  Maccabi Netanya</v>
      </c>
    </row>
    <row r="483" spans="1:10">
      <c r="A483" s="162">
        <v>43513</v>
      </c>
      <c r="B483" s="143" t="s">
        <v>2068</v>
      </c>
      <c r="C483" s="144" t="s">
        <v>2071</v>
      </c>
      <c r="D483" s="143" t="s">
        <v>1898</v>
      </c>
      <c r="E483" s="145">
        <v>2</v>
      </c>
      <c r="F483" s="145">
        <v>2.14</v>
      </c>
      <c r="G483" s="146" t="s">
        <v>1565</v>
      </c>
      <c r="H483" s="145" t="s">
        <v>1154</v>
      </c>
      <c r="J483" s="150" t="str">
        <f t="shared" si="9"/>
        <v>SPAL  vs  ACF Fiorentina</v>
      </c>
    </row>
    <row r="484" spans="1:10">
      <c r="A484" s="162">
        <v>43513</v>
      </c>
      <c r="B484" s="143" t="s">
        <v>2653</v>
      </c>
      <c r="C484" s="144" t="s">
        <v>2654</v>
      </c>
      <c r="D484" s="143" t="s">
        <v>2220</v>
      </c>
      <c r="E484" s="145">
        <v>2</v>
      </c>
      <c r="F484" s="145">
        <v>1.96</v>
      </c>
      <c r="G484" s="146" t="s">
        <v>1522</v>
      </c>
      <c r="H484" s="145" t="s">
        <v>1153</v>
      </c>
      <c r="J484" s="150" t="str">
        <f t="shared" si="9"/>
        <v>Esbjerg  vs  Brondby</v>
      </c>
    </row>
    <row r="485" spans="1:10">
      <c r="A485" s="162">
        <v>43513</v>
      </c>
      <c r="B485" s="143" t="s">
        <v>2634</v>
      </c>
      <c r="C485" s="144" t="s">
        <v>2041</v>
      </c>
      <c r="D485" s="143" t="s">
        <v>1736</v>
      </c>
      <c r="E485" s="145">
        <v>2</v>
      </c>
      <c r="F485" s="145">
        <v>1.82</v>
      </c>
      <c r="G485" s="146" t="s">
        <v>1561</v>
      </c>
      <c r="H485" s="145" t="s">
        <v>1153</v>
      </c>
      <c r="J485" s="150" t="str">
        <f t="shared" si="9"/>
        <v>Banfield  vs  River Plate</v>
      </c>
    </row>
    <row r="486" spans="1:10">
      <c r="A486" s="162">
        <v>43513</v>
      </c>
      <c r="B486" s="177" t="s">
        <v>2693</v>
      </c>
      <c r="C486" s="144" t="s">
        <v>2023</v>
      </c>
      <c r="D486" s="143" t="s">
        <v>1850</v>
      </c>
      <c r="E486" s="145">
        <v>2</v>
      </c>
      <c r="F486" s="145">
        <v>1.82</v>
      </c>
      <c r="G486" s="146" t="s">
        <v>1565</v>
      </c>
      <c r="H486" s="145" t="s">
        <v>1154</v>
      </c>
      <c r="J486" s="150" t="str">
        <f t="shared" si="9"/>
        <v>Kasimpasa  vs  Galatasaray</v>
      </c>
    </row>
    <row r="487" spans="1:10">
      <c r="A487" s="162">
        <v>43513</v>
      </c>
      <c r="B487" s="143" t="s">
        <v>2651</v>
      </c>
      <c r="C487" s="144" t="s">
        <v>2652</v>
      </c>
      <c r="D487" s="143" t="s">
        <v>2220</v>
      </c>
      <c r="E487" s="145">
        <v>2</v>
      </c>
      <c r="F487" s="145">
        <v>1.76</v>
      </c>
      <c r="G487" s="146" t="s">
        <v>1509</v>
      </c>
      <c r="H487" s="145" t="s">
        <v>1154</v>
      </c>
      <c r="J487" s="150" t="str">
        <f t="shared" si="9"/>
        <v>Randers  vs  FC Copenhagen</v>
      </c>
    </row>
    <row r="488" spans="1:10">
      <c r="A488" s="162">
        <v>43513</v>
      </c>
      <c r="B488" s="143" t="s">
        <v>2671</v>
      </c>
      <c r="C488" s="144" t="s">
        <v>2672</v>
      </c>
      <c r="D488" s="143" t="s">
        <v>1266</v>
      </c>
      <c r="E488" s="145">
        <v>2</v>
      </c>
      <c r="F488" s="145">
        <v>1.76</v>
      </c>
      <c r="G488" s="146" t="s">
        <v>1560</v>
      </c>
      <c r="H488" s="145" t="s">
        <v>1153</v>
      </c>
      <c r="J488" s="150" t="str">
        <f t="shared" si="9"/>
        <v>Sporting Covilha  vs  Pacos de Ferreira</v>
      </c>
    </row>
    <row r="489" spans="1:10">
      <c r="A489" s="162">
        <v>43513</v>
      </c>
      <c r="B489" s="143" t="s">
        <v>2655</v>
      </c>
      <c r="C489" s="144" t="s">
        <v>1376</v>
      </c>
      <c r="D489" s="143" t="s">
        <v>1262</v>
      </c>
      <c r="E489" s="145">
        <v>2</v>
      </c>
      <c r="F489" s="145">
        <v>1.7</v>
      </c>
      <c r="G489" s="146" t="s">
        <v>1509</v>
      </c>
      <c r="H489" s="145" t="s">
        <v>1154</v>
      </c>
      <c r="J489" s="150" t="str">
        <f t="shared" si="9"/>
        <v>Doncaster Rovers  vs  Crystal Palace</v>
      </c>
    </row>
    <row r="490" spans="1:10">
      <c r="A490" s="162">
        <v>43513</v>
      </c>
      <c r="B490" s="143" t="s">
        <v>2641</v>
      </c>
      <c r="C490" s="144" t="s">
        <v>2642</v>
      </c>
      <c r="D490" s="143" t="s">
        <v>2571</v>
      </c>
      <c r="E490" s="145">
        <v>2</v>
      </c>
      <c r="F490" s="145">
        <v>1.58</v>
      </c>
      <c r="G490" s="146" t="s">
        <v>1523</v>
      </c>
      <c r="H490" s="145" t="s">
        <v>1153</v>
      </c>
      <c r="J490" s="150" t="str">
        <f t="shared" si="9"/>
        <v>Septemvri Sofia  vs  Beroe</v>
      </c>
    </row>
    <row r="491" spans="1:10">
      <c r="A491" s="162">
        <v>43513</v>
      </c>
      <c r="B491" s="143" t="s">
        <v>2636</v>
      </c>
      <c r="C491" s="144" t="s">
        <v>2551</v>
      </c>
      <c r="D491" s="143" t="s">
        <v>2570</v>
      </c>
      <c r="E491" s="145">
        <v>2</v>
      </c>
      <c r="F491" s="145">
        <v>1.1299999999999999</v>
      </c>
      <c r="G491" s="146" t="s">
        <v>1511</v>
      </c>
      <c r="H491" s="145" t="s">
        <v>1153</v>
      </c>
      <c r="J491" s="150" t="str">
        <f t="shared" si="9"/>
        <v>Wiener Neustadt  vs  Salzburg</v>
      </c>
    </row>
    <row r="492" spans="1:10">
      <c r="A492" s="162">
        <v>43514</v>
      </c>
      <c r="B492" s="73" t="s">
        <v>2714</v>
      </c>
      <c r="C492" s="144" t="s">
        <v>1433</v>
      </c>
      <c r="D492" s="73" t="s">
        <v>1264</v>
      </c>
      <c r="E492" s="145">
        <v>2</v>
      </c>
      <c r="F492" s="145">
        <v>3</v>
      </c>
      <c r="G492" s="146" t="s">
        <v>1798</v>
      </c>
      <c r="H492" s="145" t="s">
        <v>1153</v>
      </c>
      <c r="J492" s="150" t="str">
        <f t="shared" si="9"/>
        <v>Hapoel Be’er Sheva  vs  Beitar Jerusalem</v>
      </c>
    </row>
    <row r="493" spans="1:10">
      <c r="A493" s="162">
        <v>43514</v>
      </c>
      <c r="B493" s="73" t="s">
        <v>1316</v>
      </c>
      <c r="C493" s="144" t="s">
        <v>2003</v>
      </c>
      <c r="D493" s="73" t="s">
        <v>1265</v>
      </c>
      <c r="E493" s="145">
        <v>2</v>
      </c>
      <c r="F493" s="145">
        <v>2.42</v>
      </c>
      <c r="G493" s="146" t="s">
        <v>1506</v>
      </c>
      <c r="H493" s="145" t="s">
        <v>1154</v>
      </c>
      <c r="J493" s="150" t="str">
        <f t="shared" si="9"/>
        <v>Huesca  vs  Athletic Club</v>
      </c>
    </row>
    <row r="494" spans="1:10">
      <c r="A494" s="162">
        <v>43514</v>
      </c>
      <c r="B494" s="73" t="s">
        <v>2718</v>
      </c>
      <c r="C494" s="144" t="s">
        <v>2113</v>
      </c>
      <c r="D494" s="73" t="s">
        <v>1850</v>
      </c>
      <c r="E494" s="145">
        <v>2</v>
      </c>
      <c r="F494" s="145">
        <v>1.6</v>
      </c>
      <c r="G494" s="146" t="s">
        <v>1506</v>
      </c>
      <c r="H494" s="145" t="s">
        <v>1154</v>
      </c>
      <c r="J494" s="150" t="str">
        <f t="shared" si="9"/>
        <v>Antalyaspor  vs  Istanbul BB</v>
      </c>
    </row>
    <row r="495" spans="1:10">
      <c r="A495" s="162">
        <v>43514</v>
      </c>
      <c r="B495" s="73" t="s">
        <v>2240</v>
      </c>
      <c r="C495" s="144" t="s">
        <v>2710</v>
      </c>
      <c r="D495" s="73" t="s">
        <v>2219</v>
      </c>
      <c r="E495" s="145">
        <v>2</v>
      </c>
      <c r="F495" s="145">
        <v>1.58</v>
      </c>
      <c r="G495" s="146" t="s">
        <v>1559</v>
      </c>
      <c r="H495" s="145" t="s">
        <v>1154</v>
      </c>
      <c r="J495" s="150" t="str">
        <f t="shared" si="9"/>
        <v>Dukla Prague  vs  Sparta Prague</v>
      </c>
    </row>
    <row r="496" spans="1:10">
      <c r="A496" s="162">
        <v>43514</v>
      </c>
      <c r="B496" s="73" t="s">
        <v>2713</v>
      </c>
      <c r="C496" s="144" t="s">
        <v>1947</v>
      </c>
      <c r="D496" s="73" t="s">
        <v>1846</v>
      </c>
      <c r="E496" s="145">
        <v>2</v>
      </c>
      <c r="F496" s="145">
        <v>1.42</v>
      </c>
      <c r="G496" s="146" t="s">
        <v>1510</v>
      </c>
      <c r="H496" s="145" t="s">
        <v>1153</v>
      </c>
      <c r="J496" s="150" t="str">
        <f t="shared" si="9"/>
        <v>Nurnberg  vs  Bv09 Borussia Dortmund</v>
      </c>
    </row>
    <row r="497" spans="1:10">
      <c r="A497" s="162">
        <v>43514</v>
      </c>
      <c r="B497" s="73" t="s">
        <v>1395</v>
      </c>
      <c r="C497" s="144" t="s">
        <v>1383</v>
      </c>
      <c r="D497" s="73" t="s">
        <v>1242</v>
      </c>
      <c r="E497" s="145">
        <v>2</v>
      </c>
      <c r="F497" s="145">
        <v>1.35</v>
      </c>
      <c r="G497" s="146" t="s">
        <v>1508</v>
      </c>
      <c r="H497" s="145" t="s">
        <v>1154</v>
      </c>
      <c r="J497" s="150" t="str">
        <f t="shared" si="9"/>
        <v>Desportivo Aves  vs  SL Benfica</v>
      </c>
    </row>
    <row r="498" spans="1:10">
      <c r="A498" s="162">
        <v>43516</v>
      </c>
      <c r="B498" s="73" t="s">
        <v>2739</v>
      </c>
      <c r="C498" s="144" t="s">
        <v>2740</v>
      </c>
      <c r="D498" s="73" t="s">
        <v>2571</v>
      </c>
      <c r="E498" s="145">
        <v>2</v>
      </c>
      <c r="F498" s="145">
        <v>1.4</v>
      </c>
      <c r="G498" s="146" t="s">
        <v>1509</v>
      </c>
      <c r="H498" s="145" t="s">
        <v>1154</v>
      </c>
      <c r="J498" s="150" t="str">
        <f t="shared" si="9"/>
        <v>Vitosha Bistritsa  vs  Levski Sofia</v>
      </c>
    </row>
    <row r="499" spans="1:10">
      <c r="A499" s="162">
        <v>43516</v>
      </c>
      <c r="B499" s="73" t="s">
        <v>1952</v>
      </c>
      <c r="C499" s="144" t="s">
        <v>1714</v>
      </c>
      <c r="D499" s="73" t="s">
        <v>2515</v>
      </c>
      <c r="E499" s="145">
        <v>2</v>
      </c>
      <c r="F499" s="145">
        <v>1.28</v>
      </c>
      <c r="G499" s="146" t="s">
        <v>1559</v>
      </c>
      <c r="H499" s="145" t="s">
        <v>1154</v>
      </c>
      <c r="J499" s="150" t="str">
        <f t="shared" si="9"/>
        <v>Schalke 04  vs  Manchester City</v>
      </c>
    </row>
    <row r="500" spans="1:10">
      <c r="A500" s="162">
        <v>43518</v>
      </c>
      <c r="B500" s="143" t="s">
        <v>2775</v>
      </c>
      <c r="C500" s="144" t="s">
        <v>1451</v>
      </c>
      <c r="D500" s="143" t="s">
        <v>1261</v>
      </c>
      <c r="E500" s="145">
        <v>2</v>
      </c>
      <c r="F500" s="145">
        <v>2.23</v>
      </c>
      <c r="G500" s="146" t="s">
        <v>1506</v>
      </c>
      <c r="H500" s="145" t="s">
        <v>1154</v>
      </c>
      <c r="J500" s="150" t="str">
        <f t="shared" si="9"/>
        <v>Dijon FCO  vs  AS Saint-Etienne</v>
      </c>
    </row>
    <row r="501" spans="1:10">
      <c r="A501" s="162">
        <v>43518</v>
      </c>
      <c r="B501" s="143" t="s">
        <v>1347</v>
      </c>
      <c r="C501" s="144" t="s">
        <v>1396</v>
      </c>
      <c r="D501" s="143" t="s">
        <v>1242</v>
      </c>
      <c r="E501" s="145">
        <v>2</v>
      </c>
      <c r="F501" s="145">
        <v>1.5</v>
      </c>
      <c r="G501" s="146" t="s">
        <v>1508</v>
      </c>
      <c r="H501" s="145" t="s">
        <v>1154</v>
      </c>
      <c r="J501" s="150" t="str">
        <f t="shared" si="9"/>
        <v>Tondela  vs  FC Porto</v>
      </c>
    </row>
    <row r="502" spans="1:10">
      <c r="A502" s="162">
        <v>43518</v>
      </c>
      <c r="B502" s="143" t="s">
        <v>2254</v>
      </c>
      <c r="C502" s="144" t="s">
        <v>1750</v>
      </c>
      <c r="D502" s="143" t="s">
        <v>1737</v>
      </c>
      <c r="E502" s="145">
        <v>2</v>
      </c>
      <c r="F502" s="145">
        <v>1.21</v>
      </c>
      <c r="G502" s="146" t="s">
        <v>2134</v>
      </c>
      <c r="H502" s="145" t="s">
        <v>1154</v>
      </c>
      <c r="J502" s="150" t="str">
        <f t="shared" si="9"/>
        <v>Rudes  vs  Rijeka</v>
      </c>
    </row>
    <row r="503" spans="1:10">
      <c r="A503" s="162">
        <v>43518</v>
      </c>
      <c r="B503" s="143" t="s">
        <v>2779</v>
      </c>
      <c r="C503" s="144" t="s">
        <v>2179</v>
      </c>
      <c r="D503" s="143" t="s">
        <v>2595</v>
      </c>
      <c r="E503" s="145">
        <v>2</v>
      </c>
      <c r="F503" s="145">
        <v>1.0900000000000001</v>
      </c>
      <c r="G503" s="146" t="s">
        <v>1509</v>
      </c>
      <c r="H503" s="145" t="s">
        <v>1154</v>
      </c>
      <c r="J503" s="150" t="str">
        <f t="shared" si="9"/>
        <v>Assyriska Turabdin  vs  IFK Norrkoping</v>
      </c>
    </row>
    <row r="504" spans="1:10">
      <c r="A504" s="162">
        <v>43519</v>
      </c>
      <c r="B504" s="143" t="s">
        <v>2807</v>
      </c>
      <c r="C504" s="144" t="s">
        <v>1912</v>
      </c>
      <c r="D504" s="143" t="s">
        <v>1845</v>
      </c>
      <c r="E504" s="145">
        <v>2</v>
      </c>
      <c r="F504" s="145">
        <v>5.05</v>
      </c>
      <c r="G504" s="159" t="s">
        <v>1523</v>
      </c>
      <c r="H504" s="23" t="s">
        <v>1153</v>
      </c>
      <c r="J504" s="150" t="str">
        <f t="shared" si="9"/>
        <v>Royal Excel Mouscron  vs  Lokeren</v>
      </c>
    </row>
    <row r="505" spans="1:10">
      <c r="A505" s="162">
        <v>43519</v>
      </c>
      <c r="B505" s="143" t="s">
        <v>2852</v>
      </c>
      <c r="C505" s="144" t="s">
        <v>2853</v>
      </c>
      <c r="D505" s="143" t="s">
        <v>1899</v>
      </c>
      <c r="E505" s="145">
        <v>2</v>
      </c>
      <c r="F505" s="145">
        <v>3.3</v>
      </c>
      <c r="G505" s="159" t="s">
        <v>1513</v>
      </c>
      <c r="H505" s="23" t="s">
        <v>1153</v>
      </c>
      <c r="J505" s="150" t="str">
        <f t="shared" si="9"/>
        <v>Sion  vs  St. Gallen</v>
      </c>
    </row>
    <row r="506" spans="1:10">
      <c r="A506" s="162">
        <v>43519</v>
      </c>
      <c r="B506" s="143" t="s">
        <v>2799</v>
      </c>
      <c r="C506" s="144" t="s">
        <v>2800</v>
      </c>
      <c r="D506" s="143" t="s">
        <v>2766</v>
      </c>
      <c r="E506" s="145">
        <v>2</v>
      </c>
      <c r="F506" s="145">
        <v>2.67</v>
      </c>
      <c r="G506" s="159" t="s">
        <v>1560</v>
      </c>
      <c r="H506" s="23" t="s">
        <v>1153</v>
      </c>
      <c r="J506" s="150" t="str">
        <f t="shared" si="9"/>
        <v>Admira Wacker  vs  Wacker Innsbruck</v>
      </c>
    </row>
    <row r="507" spans="1:10">
      <c r="A507" s="162">
        <v>43519</v>
      </c>
      <c r="B507" s="143" t="s">
        <v>1751</v>
      </c>
      <c r="C507" s="144" t="s">
        <v>1924</v>
      </c>
      <c r="D507" s="143" t="s">
        <v>1267</v>
      </c>
      <c r="E507" s="145">
        <v>2</v>
      </c>
      <c r="F507" s="145">
        <v>2.6</v>
      </c>
      <c r="G507" s="159" t="s">
        <v>1561</v>
      </c>
      <c r="H507" s="23" t="s">
        <v>1153</v>
      </c>
      <c r="J507" s="150" t="str">
        <f t="shared" si="9"/>
        <v>Bournemouth  vs  Wolverhampton Wanderers</v>
      </c>
    </row>
    <row r="508" spans="1:10">
      <c r="A508" s="162">
        <v>43519</v>
      </c>
      <c r="B508" s="143" t="s">
        <v>2325</v>
      </c>
      <c r="C508" s="144" t="s">
        <v>1973</v>
      </c>
      <c r="D508" s="143" t="s">
        <v>1264</v>
      </c>
      <c r="E508" s="145">
        <v>2</v>
      </c>
      <c r="F508" s="145">
        <v>2.4700000000000002</v>
      </c>
      <c r="G508" s="159" t="s">
        <v>1511</v>
      </c>
      <c r="H508" s="23" t="s">
        <v>1154</v>
      </c>
      <c r="J508" s="150" t="str">
        <f t="shared" si="9"/>
        <v>Hapoel Tel-Aviv  vs  Maccabi Netanya</v>
      </c>
    </row>
    <row r="509" spans="1:10">
      <c r="A509" s="162">
        <v>43519</v>
      </c>
      <c r="B509" s="143" t="s">
        <v>2337</v>
      </c>
      <c r="C509" s="144" t="s">
        <v>2854</v>
      </c>
      <c r="D509" s="143" t="s">
        <v>1849</v>
      </c>
      <c r="E509" s="145">
        <v>2</v>
      </c>
      <c r="F509" s="145">
        <v>2.4700000000000002</v>
      </c>
      <c r="G509" s="159" t="s">
        <v>1562</v>
      </c>
      <c r="H509" s="23" t="s">
        <v>1153</v>
      </c>
      <c r="J509" s="150" t="str">
        <f t="shared" si="9"/>
        <v>Rapperswil-Jona  vs  FC Schaffhausen</v>
      </c>
    </row>
    <row r="510" spans="1:10">
      <c r="A510" s="162">
        <v>43519</v>
      </c>
      <c r="B510" s="143" t="s">
        <v>1769</v>
      </c>
      <c r="C510" s="144" t="s">
        <v>1379</v>
      </c>
      <c r="D510" s="143" t="s">
        <v>1242</v>
      </c>
      <c r="E510" s="145">
        <v>2</v>
      </c>
      <c r="F510" s="145">
        <v>2.37</v>
      </c>
      <c r="G510" s="159" t="s">
        <v>1523</v>
      </c>
      <c r="H510" s="23" t="s">
        <v>1153</v>
      </c>
      <c r="J510" s="150" t="str">
        <f t="shared" si="9"/>
        <v>Vitoria Setubal  vs  Vitoria Guimaraes</v>
      </c>
    </row>
    <row r="511" spans="1:10">
      <c r="A511" s="162">
        <v>43519</v>
      </c>
      <c r="B511" s="143" t="s">
        <v>2813</v>
      </c>
      <c r="C511" s="144" t="s">
        <v>2814</v>
      </c>
      <c r="D511" s="143" t="s">
        <v>2220</v>
      </c>
      <c r="E511" s="145">
        <v>2</v>
      </c>
      <c r="F511" s="145">
        <v>2.06</v>
      </c>
      <c r="G511" s="159" t="s">
        <v>1591</v>
      </c>
      <c r="H511" s="23" t="s">
        <v>1154</v>
      </c>
      <c r="J511" s="150" t="str">
        <f t="shared" si="9"/>
        <v>Vejle  vs  FC Nordsjaelland</v>
      </c>
    </row>
    <row r="512" spans="1:10">
      <c r="A512" s="162">
        <v>43519</v>
      </c>
      <c r="B512" s="143" t="s">
        <v>2815</v>
      </c>
      <c r="C512" s="144" t="s">
        <v>1369</v>
      </c>
      <c r="D512" s="143" t="s">
        <v>1267</v>
      </c>
      <c r="E512" s="145">
        <v>2</v>
      </c>
      <c r="F512" s="145">
        <v>1.68</v>
      </c>
      <c r="G512" s="159" t="s">
        <v>1522</v>
      </c>
      <c r="H512" s="23" t="s">
        <v>1153</v>
      </c>
      <c r="J512" s="150" t="str">
        <f t="shared" si="9"/>
        <v>Burnley  vs  Tottenham Hotspur</v>
      </c>
    </row>
    <row r="513" spans="1:10">
      <c r="A513" s="162">
        <v>43519</v>
      </c>
      <c r="B513" s="143" t="s">
        <v>2847</v>
      </c>
      <c r="C513" s="144" t="s">
        <v>2848</v>
      </c>
      <c r="D513" s="143" t="s">
        <v>2595</v>
      </c>
      <c r="E513" s="145">
        <v>2</v>
      </c>
      <c r="F513" s="145">
        <v>1.24</v>
      </c>
      <c r="G513" s="159" t="s">
        <v>1795</v>
      </c>
      <c r="H513" s="23" t="s">
        <v>1153</v>
      </c>
      <c r="J513" s="150" t="str">
        <f t="shared" si="9"/>
        <v>Karlstad  vs  Ostersunds FK</v>
      </c>
    </row>
    <row r="514" spans="1:10">
      <c r="A514" s="162">
        <v>43519</v>
      </c>
      <c r="B514" s="143" t="s">
        <v>2849</v>
      </c>
      <c r="C514" s="144" t="s">
        <v>2850</v>
      </c>
      <c r="D514" s="143" t="s">
        <v>2595</v>
      </c>
      <c r="E514" s="145">
        <v>2</v>
      </c>
      <c r="F514" s="145">
        <v>1.07</v>
      </c>
      <c r="G514" s="159" t="s">
        <v>1509</v>
      </c>
      <c r="H514" s="23" t="s">
        <v>1154</v>
      </c>
      <c r="J514" s="150" t="str">
        <f t="shared" si="9"/>
        <v>Hassleholms IF  vs  Djurgarden</v>
      </c>
    </row>
    <row r="515" spans="1:10">
      <c r="A515" s="162">
        <v>43520</v>
      </c>
      <c r="B515" s="143" t="s">
        <v>2929</v>
      </c>
      <c r="C515" s="144" t="s">
        <v>1439</v>
      </c>
      <c r="D515" s="143" t="s">
        <v>1265</v>
      </c>
      <c r="E515" s="145">
        <v>2</v>
      </c>
      <c r="F515" s="145">
        <v>3.2</v>
      </c>
      <c r="G515" s="159" t="s">
        <v>1509</v>
      </c>
      <c r="H515" s="23" t="s">
        <v>1154</v>
      </c>
      <c r="J515" s="150" t="str">
        <f t="shared" si="9"/>
        <v>Real Valladolid  vs  Real Betis Balompie</v>
      </c>
    </row>
    <row r="516" spans="1:10">
      <c r="A516" s="162">
        <v>43520</v>
      </c>
      <c r="B516" s="143" t="s">
        <v>2939</v>
      </c>
      <c r="C516" s="144" t="s">
        <v>2940</v>
      </c>
      <c r="D516" s="143" t="s">
        <v>1850</v>
      </c>
      <c r="E516" s="145">
        <v>2</v>
      </c>
      <c r="F516" s="145">
        <v>2.66</v>
      </c>
      <c r="G516" s="159" t="s">
        <v>1522</v>
      </c>
      <c r="H516" s="23" t="s">
        <v>1153</v>
      </c>
      <c r="J516" s="150" t="str">
        <f t="shared" si="9"/>
        <v>Ankaragucu  vs  BB Erzurumspor</v>
      </c>
    </row>
    <row r="517" spans="1:10">
      <c r="A517" s="162">
        <v>43520</v>
      </c>
      <c r="B517" s="143" t="s">
        <v>2428</v>
      </c>
      <c r="C517" s="144" t="s">
        <v>2228</v>
      </c>
      <c r="D517" s="143" t="s">
        <v>2220</v>
      </c>
      <c r="E517" s="145">
        <v>2</v>
      </c>
      <c r="F517" s="145">
        <v>2.58</v>
      </c>
      <c r="G517" s="159" t="s">
        <v>1562</v>
      </c>
      <c r="H517" s="23" t="s">
        <v>1153</v>
      </c>
      <c r="J517" s="150" t="str">
        <f t="shared" si="9"/>
        <v>Hobro  vs  Esbjerg</v>
      </c>
    </row>
    <row r="518" spans="1:10">
      <c r="A518" s="162">
        <v>43520</v>
      </c>
      <c r="B518" s="143" t="s">
        <v>2216</v>
      </c>
      <c r="C518" s="144" t="s">
        <v>2896</v>
      </c>
      <c r="D518" s="143" t="s">
        <v>1257</v>
      </c>
      <c r="E518" s="145">
        <v>2</v>
      </c>
      <c r="F518" s="145">
        <v>2.5</v>
      </c>
      <c r="G518" s="159" t="s">
        <v>1510</v>
      </c>
      <c r="H518" s="23" t="s">
        <v>1153</v>
      </c>
      <c r="J518" s="150" t="str">
        <f t="shared" si="9"/>
        <v>Newcastle Jets  vs  Adelaide United</v>
      </c>
    </row>
    <row r="519" spans="1:10">
      <c r="A519" s="162">
        <v>43520</v>
      </c>
      <c r="B519" s="143" t="s">
        <v>2178</v>
      </c>
      <c r="C519" s="144" t="s">
        <v>2897</v>
      </c>
      <c r="D519" s="143" t="s">
        <v>2766</v>
      </c>
      <c r="E519" s="145">
        <v>2</v>
      </c>
      <c r="F519" s="145">
        <v>2.38</v>
      </c>
      <c r="G519" s="159" t="s">
        <v>1561</v>
      </c>
      <c r="H519" s="23" t="s">
        <v>1153</v>
      </c>
      <c r="J519" s="150" t="str">
        <f t="shared" si="9"/>
        <v>SV Mattersburg  vs  Sturm Graz</v>
      </c>
    </row>
    <row r="520" spans="1:10">
      <c r="A520" s="162">
        <v>43520</v>
      </c>
      <c r="B520" s="143" t="s">
        <v>2913</v>
      </c>
      <c r="C520" s="144" t="s">
        <v>1428</v>
      </c>
      <c r="D520" s="143" t="s">
        <v>1261</v>
      </c>
      <c r="E520" s="145">
        <v>2</v>
      </c>
      <c r="F520" s="145">
        <v>2.2999999999999998</v>
      </c>
      <c r="G520" s="159" t="s">
        <v>1562</v>
      </c>
      <c r="H520" s="23" t="s">
        <v>1153</v>
      </c>
      <c r="J520" s="150" t="str">
        <f t="shared" ref="J520:J583" si="10">CONCATENATE(B520," vs ",C520)</f>
        <v>AS Monaco  vs  Olympique Lyonnais</v>
      </c>
    </row>
    <row r="521" spans="1:10">
      <c r="A521" s="162">
        <v>43520</v>
      </c>
      <c r="B521" s="143" t="s">
        <v>2916</v>
      </c>
      <c r="C521" s="144" t="s">
        <v>1955</v>
      </c>
      <c r="D521" s="143" t="s">
        <v>1693</v>
      </c>
      <c r="E521" s="145">
        <v>2</v>
      </c>
      <c r="F521" s="145">
        <v>2.13</v>
      </c>
      <c r="G521" s="159" t="s">
        <v>1522</v>
      </c>
      <c r="H521" s="23" t="s">
        <v>1153</v>
      </c>
      <c r="J521" s="150" t="str">
        <f t="shared" si="10"/>
        <v>Jahn Regensburg  vs  Hamburger SV</v>
      </c>
    </row>
    <row r="522" spans="1:10">
      <c r="A522" s="162">
        <v>43520</v>
      </c>
      <c r="B522" s="143" t="s">
        <v>2242</v>
      </c>
      <c r="C522" s="144" t="s">
        <v>2338</v>
      </c>
      <c r="D522" s="143" t="s">
        <v>1849</v>
      </c>
      <c r="E522" s="145">
        <v>2</v>
      </c>
      <c r="F522" s="145">
        <v>2.12</v>
      </c>
      <c r="G522" s="159" t="s">
        <v>1562</v>
      </c>
      <c r="H522" s="23" t="s">
        <v>1153</v>
      </c>
      <c r="J522" s="150" t="str">
        <f t="shared" si="10"/>
        <v>Vaduz  vs  Aarau</v>
      </c>
    </row>
    <row r="523" spans="1:10">
      <c r="A523" s="162">
        <v>43520</v>
      </c>
      <c r="B523" s="143" t="s">
        <v>2925</v>
      </c>
      <c r="C523" s="144" t="s">
        <v>2926</v>
      </c>
      <c r="D523" s="143" t="s">
        <v>1848</v>
      </c>
      <c r="E523" s="145">
        <v>2</v>
      </c>
      <c r="F523" s="145">
        <v>1.98</v>
      </c>
      <c r="G523" s="159" t="s">
        <v>1508</v>
      </c>
      <c r="H523" s="23" t="s">
        <v>1154</v>
      </c>
      <c r="J523" s="150" t="str">
        <f t="shared" si="10"/>
        <v>FC Emmen  vs  Vitesse Arnhem</v>
      </c>
    </row>
    <row r="524" spans="1:10">
      <c r="A524" s="162">
        <v>43520</v>
      </c>
      <c r="B524" s="143" t="s">
        <v>1294</v>
      </c>
      <c r="C524" s="144" t="s">
        <v>1444</v>
      </c>
      <c r="D524" s="143" t="s">
        <v>1257</v>
      </c>
      <c r="E524" s="145">
        <v>2</v>
      </c>
      <c r="F524" s="145">
        <v>1.84</v>
      </c>
      <c r="G524" s="159" t="s">
        <v>1561</v>
      </c>
      <c r="H524" s="23" t="s">
        <v>1153</v>
      </c>
      <c r="J524" s="150" t="str">
        <f t="shared" si="10"/>
        <v>Western Sydney Wanderers  vs  Perth Glory</v>
      </c>
    </row>
    <row r="525" spans="1:10">
      <c r="A525" s="162">
        <v>43520</v>
      </c>
      <c r="B525" s="143" t="s">
        <v>2227</v>
      </c>
      <c r="C525" s="144" t="s">
        <v>2504</v>
      </c>
      <c r="D525" s="143" t="s">
        <v>2220</v>
      </c>
      <c r="E525" s="145">
        <v>2</v>
      </c>
      <c r="F525" s="145">
        <v>1.77</v>
      </c>
      <c r="G525" s="159" t="s">
        <v>1511</v>
      </c>
      <c r="H525" s="23" t="s">
        <v>1154</v>
      </c>
      <c r="J525" s="150" t="str">
        <f t="shared" si="10"/>
        <v>AGF Aarhus  vs  FC Midtjylland</v>
      </c>
    </row>
    <row r="526" spans="1:10">
      <c r="A526" s="162">
        <v>43520</v>
      </c>
      <c r="B526" s="143" t="s">
        <v>2206</v>
      </c>
      <c r="C526" s="144" t="s">
        <v>1465</v>
      </c>
      <c r="D526" s="143" t="s">
        <v>1266</v>
      </c>
      <c r="E526" s="145">
        <v>2</v>
      </c>
      <c r="F526" s="145">
        <v>1.75</v>
      </c>
      <c r="G526" s="159" t="s">
        <v>1511</v>
      </c>
      <c r="H526" s="23" t="s">
        <v>1154</v>
      </c>
      <c r="J526" s="150" t="str">
        <f t="shared" si="10"/>
        <v>Farense  vs  Pacos de Ferreira</v>
      </c>
    </row>
    <row r="527" spans="1:10">
      <c r="A527" s="162">
        <v>43520</v>
      </c>
      <c r="B527" s="143" t="s">
        <v>2434</v>
      </c>
      <c r="C527" s="144" t="s">
        <v>1457</v>
      </c>
      <c r="D527" s="143" t="s">
        <v>1264</v>
      </c>
      <c r="E527" s="145">
        <v>2</v>
      </c>
      <c r="F527" s="145">
        <v>1.74</v>
      </c>
      <c r="G527" s="159" t="s">
        <v>1511</v>
      </c>
      <c r="H527" s="23" t="s">
        <v>1154</v>
      </c>
      <c r="J527" s="150" t="str">
        <f t="shared" si="10"/>
        <v>Hapoel Hadera  vs  Hapoel Be’er Sheva</v>
      </c>
    </row>
    <row r="528" spans="1:10">
      <c r="A528" s="162">
        <v>43520</v>
      </c>
      <c r="B528" s="143" t="s">
        <v>1870</v>
      </c>
      <c r="C528" s="144" t="s">
        <v>2914</v>
      </c>
      <c r="D528" s="143" t="s">
        <v>1846</v>
      </c>
      <c r="E528" s="145">
        <v>2</v>
      </c>
      <c r="F528" s="145">
        <v>1.6</v>
      </c>
      <c r="G528" s="159" t="s">
        <v>1508</v>
      </c>
      <c r="H528" s="23" t="s">
        <v>1154</v>
      </c>
      <c r="J528" s="150" t="str">
        <f t="shared" si="10"/>
        <v>Hannover 96  vs  Eintracht Frankfurt</v>
      </c>
    </row>
    <row r="529" spans="1:10">
      <c r="A529" s="162">
        <v>43520</v>
      </c>
      <c r="B529" s="143" t="s">
        <v>2911</v>
      </c>
      <c r="C529" s="144" t="s">
        <v>1714</v>
      </c>
      <c r="D529" s="143" t="s">
        <v>1258</v>
      </c>
      <c r="E529" s="145">
        <v>2</v>
      </c>
      <c r="F529" s="145">
        <v>1.58</v>
      </c>
      <c r="G529" s="159" t="s">
        <v>1510</v>
      </c>
      <c r="H529" s="23" t="s">
        <v>1153</v>
      </c>
      <c r="J529" s="150" t="str">
        <f t="shared" si="10"/>
        <v>Chelsea  vs  Manchester City</v>
      </c>
    </row>
    <row r="530" spans="1:10">
      <c r="A530" s="162">
        <v>43520</v>
      </c>
      <c r="B530" s="143" t="s">
        <v>2899</v>
      </c>
      <c r="C530" s="144" t="s">
        <v>2551</v>
      </c>
      <c r="D530" s="143" t="s">
        <v>2766</v>
      </c>
      <c r="E530" s="145">
        <v>2</v>
      </c>
      <c r="F530" s="145">
        <v>1.52</v>
      </c>
      <c r="G530" s="159" t="s">
        <v>1562</v>
      </c>
      <c r="H530" s="23" t="s">
        <v>1153</v>
      </c>
      <c r="J530" s="150" t="str">
        <f t="shared" si="10"/>
        <v>Rapid Vienna  vs  Salzburg</v>
      </c>
    </row>
    <row r="531" spans="1:10">
      <c r="A531" s="162">
        <v>43520</v>
      </c>
      <c r="B531" s="143" t="s">
        <v>2918</v>
      </c>
      <c r="C531" s="144" t="s">
        <v>1671</v>
      </c>
      <c r="D531" s="143" t="s">
        <v>1898</v>
      </c>
      <c r="E531" s="145">
        <v>2</v>
      </c>
      <c r="F531" s="145">
        <v>1.5</v>
      </c>
      <c r="G531" s="159" t="s">
        <v>1506</v>
      </c>
      <c r="H531" s="23" t="s">
        <v>1154</v>
      </c>
      <c r="J531" s="150" t="str">
        <f t="shared" si="10"/>
        <v>Bologna  vs  Juventus</v>
      </c>
    </row>
    <row r="532" spans="1:10">
      <c r="A532" s="162">
        <v>43520</v>
      </c>
      <c r="B532" s="143" t="s">
        <v>2919</v>
      </c>
      <c r="C532" s="144" t="s">
        <v>1727</v>
      </c>
      <c r="D532" s="143" t="s">
        <v>1898</v>
      </c>
      <c r="E532" s="145">
        <v>2</v>
      </c>
      <c r="F532" s="145">
        <v>1.45</v>
      </c>
      <c r="G532" s="159" t="s">
        <v>1794</v>
      </c>
      <c r="H532" s="23" t="s">
        <v>1154</v>
      </c>
      <c r="J532" s="150" t="str">
        <f t="shared" si="10"/>
        <v>Parma  vs  SSC Napoli</v>
      </c>
    </row>
    <row r="533" spans="1:10">
      <c r="A533" s="162">
        <v>43520</v>
      </c>
      <c r="B533" s="143" t="s">
        <v>2934</v>
      </c>
      <c r="C533" s="144" t="s">
        <v>2935</v>
      </c>
      <c r="D533" s="143" t="s">
        <v>2595</v>
      </c>
      <c r="E533" s="145">
        <v>2</v>
      </c>
      <c r="F533" s="145">
        <v>1.3</v>
      </c>
      <c r="G533" s="159" t="s">
        <v>1523</v>
      </c>
      <c r="H533" s="23" t="s">
        <v>1153</v>
      </c>
      <c r="J533" s="150" t="str">
        <f t="shared" si="10"/>
        <v>Nykoping  vs  Orebro</v>
      </c>
    </row>
    <row r="534" spans="1:10">
      <c r="A534" s="162">
        <v>43520</v>
      </c>
      <c r="B534" s="143" t="s">
        <v>2923</v>
      </c>
      <c r="C534" s="144" t="s">
        <v>2369</v>
      </c>
      <c r="D534" s="143" t="s">
        <v>1848</v>
      </c>
      <c r="E534" s="145">
        <v>2</v>
      </c>
      <c r="F534" s="145">
        <v>1.21</v>
      </c>
      <c r="G534" s="159" t="s">
        <v>1892</v>
      </c>
      <c r="H534" s="23" t="s">
        <v>1154</v>
      </c>
      <c r="J534" s="150" t="str">
        <f t="shared" si="10"/>
        <v>ADO Den Haag  vs  AFC Ajax Amsterdam</v>
      </c>
    </row>
    <row r="535" spans="1:10">
      <c r="A535" s="162">
        <v>43520</v>
      </c>
      <c r="B535" s="143" t="s">
        <v>2936</v>
      </c>
      <c r="C535" s="144" t="s">
        <v>2937</v>
      </c>
      <c r="D535" s="143" t="s">
        <v>2595</v>
      </c>
      <c r="E535" s="145">
        <v>2</v>
      </c>
      <c r="F535" s="145">
        <v>1.19</v>
      </c>
      <c r="G535" s="159" t="s">
        <v>1561</v>
      </c>
      <c r="H535" s="23" t="s">
        <v>1153</v>
      </c>
      <c r="J535" s="150" t="str">
        <f t="shared" si="10"/>
        <v>Norrby  vs  AIK Solna</v>
      </c>
    </row>
    <row r="536" spans="1:10">
      <c r="A536" s="162">
        <v>43520</v>
      </c>
      <c r="B536" s="143" t="s">
        <v>2930</v>
      </c>
      <c r="C536" s="144" t="s">
        <v>2931</v>
      </c>
      <c r="D536" s="143" t="s">
        <v>2595</v>
      </c>
      <c r="E536" s="145">
        <v>2</v>
      </c>
      <c r="F536" s="145">
        <v>1.1599999999999999</v>
      </c>
      <c r="G536" s="159" t="s">
        <v>1561</v>
      </c>
      <c r="H536" s="23" t="s">
        <v>1153</v>
      </c>
      <c r="J536" s="150" t="str">
        <f t="shared" si="10"/>
        <v>Eskilsminne  vs  Hammarby</v>
      </c>
    </row>
    <row r="537" spans="1:10">
      <c r="A537" s="162">
        <v>43520</v>
      </c>
      <c r="B537" s="143" t="s">
        <v>2932</v>
      </c>
      <c r="C537" s="144" t="s">
        <v>2933</v>
      </c>
      <c r="D537" s="143" t="s">
        <v>2595</v>
      </c>
      <c r="E537" s="145">
        <v>2</v>
      </c>
      <c r="F537" s="145">
        <v>1.08</v>
      </c>
      <c r="G537" s="159" t="s">
        <v>1794</v>
      </c>
      <c r="H537" s="23" t="s">
        <v>1154</v>
      </c>
      <c r="J537" s="150" t="str">
        <f t="shared" si="10"/>
        <v>Rosengard  vs  BK Hacken Goteborg</v>
      </c>
    </row>
    <row r="538" spans="1:10">
      <c r="A538" s="162">
        <v>43521</v>
      </c>
      <c r="B538" s="73" t="s">
        <v>2957</v>
      </c>
      <c r="C538" s="144" t="s">
        <v>2963</v>
      </c>
      <c r="D538" s="73" t="s">
        <v>1736</v>
      </c>
      <c r="E538" s="145">
        <v>2</v>
      </c>
      <c r="F538" s="145">
        <v>3.7</v>
      </c>
      <c r="G538" s="159" t="s">
        <v>1510</v>
      </c>
      <c r="H538" s="23" t="s">
        <v>1153</v>
      </c>
      <c r="J538" s="150" t="str">
        <f t="shared" si="10"/>
        <v>Aldosivi  vs  Gimnasia de la Plata </v>
      </c>
    </row>
    <row r="539" spans="1:10">
      <c r="A539" s="162">
        <v>43521</v>
      </c>
      <c r="B539" s="73" t="s">
        <v>2959</v>
      </c>
      <c r="C539" s="144" t="s">
        <v>2966</v>
      </c>
      <c r="D539" s="73" t="s">
        <v>2219</v>
      </c>
      <c r="E539" s="145">
        <v>2</v>
      </c>
      <c r="F539" s="145">
        <v>1.78</v>
      </c>
      <c r="G539" s="159" t="s">
        <v>1511</v>
      </c>
      <c r="H539" s="23" t="s">
        <v>1154</v>
      </c>
      <c r="J539" s="150" t="str">
        <f t="shared" si="10"/>
        <v>Opava  vs  Viktoria Plzen </v>
      </c>
    </row>
    <row r="540" spans="1:10">
      <c r="A540" s="162">
        <v>43521</v>
      </c>
      <c r="B540" s="73" t="s">
        <v>2960</v>
      </c>
      <c r="C540" s="144" t="s">
        <v>2971</v>
      </c>
      <c r="D540" s="73" t="s">
        <v>1242</v>
      </c>
      <c r="E540" s="145">
        <v>2</v>
      </c>
      <c r="F540" s="145">
        <v>1.75</v>
      </c>
      <c r="G540" s="159" t="s">
        <v>1510</v>
      </c>
      <c r="H540" s="23" t="s">
        <v>1153</v>
      </c>
      <c r="J540" s="150" t="str">
        <f t="shared" si="10"/>
        <v>Maritimo Funchal  vs  Sporting Clube de Portugal </v>
      </c>
    </row>
    <row r="541" spans="1:10">
      <c r="A541" s="162">
        <v>43521</v>
      </c>
      <c r="B541" s="73" t="s">
        <v>2961</v>
      </c>
      <c r="C541" s="144" t="s">
        <v>2974</v>
      </c>
      <c r="D541" s="73" t="s">
        <v>2595</v>
      </c>
      <c r="E541" s="145">
        <v>2</v>
      </c>
      <c r="F541" s="145">
        <v>1.38</v>
      </c>
      <c r="G541" s="159" t="s">
        <v>1522</v>
      </c>
      <c r="H541" s="23" t="s">
        <v>1153</v>
      </c>
      <c r="J541" s="150" t="str">
        <f t="shared" si="10"/>
        <v>Oster  vs  Malmo FF </v>
      </c>
    </row>
    <row r="542" spans="1:10">
      <c r="A542" s="162">
        <v>43522</v>
      </c>
      <c r="B542" s="73" t="s">
        <v>2989</v>
      </c>
      <c r="C542" s="144" t="s">
        <v>2305</v>
      </c>
      <c r="D542" s="73" t="s">
        <v>1847</v>
      </c>
      <c r="E542" s="145">
        <v>2</v>
      </c>
      <c r="F542" s="145">
        <v>2.54</v>
      </c>
      <c r="G542" s="159" t="s">
        <v>1560</v>
      </c>
      <c r="H542" s="23" t="s">
        <v>1153</v>
      </c>
      <c r="J542" s="150" t="str">
        <f t="shared" si="10"/>
        <v>Crotone  vs  Palermo</v>
      </c>
    </row>
    <row r="543" spans="1:10">
      <c r="A543" s="162">
        <v>43522</v>
      </c>
      <c r="B543" s="73" t="s">
        <v>1274</v>
      </c>
      <c r="C543" s="144" t="s">
        <v>1924</v>
      </c>
      <c r="D543" s="73" t="s">
        <v>1267</v>
      </c>
      <c r="E543" s="145">
        <v>2</v>
      </c>
      <c r="F543" s="145">
        <v>1.83</v>
      </c>
      <c r="G543" s="159" t="s">
        <v>1523</v>
      </c>
      <c r="H543" s="23" t="s">
        <v>1153</v>
      </c>
      <c r="J543" s="150" t="str">
        <f t="shared" si="10"/>
        <v>Huddersfield Town  vs  Wolverhampton Wanderers</v>
      </c>
    </row>
    <row r="544" spans="1:10">
      <c r="A544" s="162">
        <v>43523</v>
      </c>
      <c r="B544" s="73" t="s">
        <v>2911</v>
      </c>
      <c r="C544" s="144" t="s">
        <v>1369</v>
      </c>
      <c r="D544" s="73" t="s">
        <v>1267</v>
      </c>
      <c r="E544" s="145">
        <v>2</v>
      </c>
      <c r="F544" s="145">
        <v>3.15</v>
      </c>
      <c r="G544" s="159" t="s">
        <v>1562</v>
      </c>
      <c r="H544" s="23" t="s">
        <v>1153</v>
      </c>
      <c r="J544" s="150" t="str">
        <f t="shared" si="10"/>
        <v>Chelsea  vs  Tottenham Hotspur</v>
      </c>
    </row>
    <row r="545" spans="1:10">
      <c r="A545" s="162">
        <v>43523</v>
      </c>
      <c r="B545" s="73" t="s">
        <v>3009</v>
      </c>
      <c r="C545" s="144" t="s">
        <v>1473</v>
      </c>
      <c r="D545" s="73" t="s">
        <v>1215</v>
      </c>
      <c r="E545" s="145">
        <v>2</v>
      </c>
      <c r="F545" s="145">
        <v>2.42</v>
      </c>
      <c r="G545" s="159" t="s">
        <v>1508</v>
      </c>
      <c r="H545" s="23" t="s">
        <v>1154</v>
      </c>
      <c r="J545" s="150" t="str">
        <f t="shared" si="10"/>
        <v>Real Madrid  vs  Barcelona CF</v>
      </c>
    </row>
    <row r="546" spans="1:10">
      <c r="A546" s="162">
        <v>43523</v>
      </c>
      <c r="B546" s="73" t="s">
        <v>2064</v>
      </c>
      <c r="C546" s="144" t="s">
        <v>1803</v>
      </c>
      <c r="D546" s="73" t="s">
        <v>1693</v>
      </c>
      <c r="E546" s="145">
        <v>2</v>
      </c>
      <c r="F546" s="145">
        <v>1.55</v>
      </c>
      <c r="G546" s="159" t="s">
        <v>1506</v>
      </c>
      <c r="H546" s="23" t="s">
        <v>1154</v>
      </c>
      <c r="J546" s="150" t="str">
        <f t="shared" si="10"/>
        <v>Erzgebirge Aue  vs  Koln</v>
      </c>
    </row>
    <row r="547" spans="1:10">
      <c r="A547" s="162">
        <v>43524</v>
      </c>
      <c r="B547" s="73" t="s">
        <v>2503</v>
      </c>
      <c r="C547" s="144" t="s">
        <v>2654</v>
      </c>
      <c r="D547" s="73" t="s">
        <v>2993</v>
      </c>
      <c r="E547" s="145">
        <v>2</v>
      </c>
      <c r="F547" s="145">
        <v>1.56</v>
      </c>
      <c r="G547" s="159" t="s">
        <v>1564</v>
      </c>
      <c r="H547" s="23" t="s">
        <v>1564</v>
      </c>
      <c r="J547" s="150" t="str">
        <f t="shared" si="10"/>
        <v>Vendsyssel  vs  Brondby</v>
      </c>
    </row>
    <row r="548" spans="1:10">
      <c r="A548" s="162">
        <v>43525</v>
      </c>
      <c r="B548" s="73" t="s">
        <v>3029</v>
      </c>
      <c r="C548" s="144" t="s">
        <v>2166</v>
      </c>
      <c r="D548" s="73" t="s">
        <v>1693</v>
      </c>
      <c r="E548" s="145">
        <v>2</v>
      </c>
      <c r="F548" s="145">
        <v>3.35</v>
      </c>
      <c r="G548" s="159" t="s">
        <v>1509</v>
      </c>
      <c r="H548" s="23" t="s">
        <v>1154</v>
      </c>
      <c r="J548" s="150" t="str">
        <f t="shared" si="10"/>
        <v>Holstein Kiel  vs  Union Berlin</v>
      </c>
    </row>
    <row r="549" spans="1:10">
      <c r="A549" s="162">
        <v>43525</v>
      </c>
      <c r="B549" s="73" t="s">
        <v>3030</v>
      </c>
      <c r="C549" s="144" t="s">
        <v>2661</v>
      </c>
      <c r="D549" s="73" t="s">
        <v>1693</v>
      </c>
      <c r="E549" s="145">
        <v>2</v>
      </c>
      <c r="F549" s="145">
        <v>3.2</v>
      </c>
      <c r="G549" s="159" t="s">
        <v>1523</v>
      </c>
      <c r="H549" s="23" t="s">
        <v>1153</v>
      </c>
      <c r="J549" s="150" t="str">
        <f t="shared" si="10"/>
        <v>MSV Duisburg  vs  Magdeburg</v>
      </c>
    </row>
    <row r="550" spans="1:10">
      <c r="A550" s="162">
        <v>43525</v>
      </c>
      <c r="B550" s="73" t="s">
        <v>3025</v>
      </c>
      <c r="C550" s="144" t="s">
        <v>1801</v>
      </c>
      <c r="D550" s="73" t="s">
        <v>1736</v>
      </c>
      <c r="E550" s="145">
        <v>2</v>
      </c>
      <c r="F550" s="145">
        <v>2.48</v>
      </c>
      <c r="G550" s="159" t="s">
        <v>1591</v>
      </c>
      <c r="H550" s="23" t="s">
        <v>1154</v>
      </c>
      <c r="J550" s="150" t="str">
        <f t="shared" si="10"/>
        <v>Union de Santa Fe  vs  Boca Juniors</v>
      </c>
    </row>
    <row r="551" spans="1:10">
      <c r="A551" s="162">
        <v>43525</v>
      </c>
      <c r="B551" s="73" t="s">
        <v>2180</v>
      </c>
      <c r="C551" s="144" t="s">
        <v>2273</v>
      </c>
      <c r="D551" s="73" t="s">
        <v>1898</v>
      </c>
      <c r="E551" s="145">
        <v>2</v>
      </c>
      <c r="F551" s="145">
        <v>1.74</v>
      </c>
      <c r="G551" s="159" t="s">
        <v>1522</v>
      </c>
      <c r="H551" s="23" t="s">
        <v>1153</v>
      </c>
      <c r="J551" s="150" t="str">
        <f t="shared" si="10"/>
        <v>Cagliari  vs  Internazionale</v>
      </c>
    </row>
    <row r="552" spans="1:10">
      <c r="A552" s="162">
        <v>43525</v>
      </c>
      <c r="B552" s="73" t="s">
        <v>2586</v>
      </c>
      <c r="C552" s="144" t="s">
        <v>1947</v>
      </c>
      <c r="D552" s="73" t="s">
        <v>1846</v>
      </c>
      <c r="E552" s="145">
        <v>2</v>
      </c>
      <c r="F552" s="145">
        <v>1.63</v>
      </c>
      <c r="G552" s="159" t="s">
        <v>1522</v>
      </c>
      <c r="H552" s="23" t="s">
        <v>1153</v>
      </c>
      <c r="J552" s="150" t="str">
        <f t="shared" si="10"/>
        <v>Augsburg  vs  Bv09 Borussia Dortmund</v>
      </c>
    </row>
    <row r="553" spans="1:10">
      <c r="A553" s="162">
        <v>43526</v>
      </c>
      <c r="B553" s="73" t="s">
        <v>1952</v>
      </c>
      <c r="C553" s="144" t="s">
        <v>2189</v>
      </c>
      <c r="D553" s="73" t="s">
        <v>1846</v>
      </c>
      <c r="E553" s="145">
        <v>2</v>
      </c>
      <c r="F553" s="145">
        <v>4.6500000000000004</v>
      </c>
      <c r="G553" s="146" t="s">
        <v>1794</v>
      </c>
      <c r="H553" s="145" t="s">
        <v>1154</v>
      </c>
      <c r="J553" s="150" t="str">
        <f t="shared" si="10"/>
        <v>Schalke 04  vs  Fortuna Dusseldorf</v>
      </c>
    </row>
    <row r="554" spans="1:10">
      <c r="A554" s="162">
        <v>43526</v>
      </c>
      <c r="B554" s="73" t="s">
        <v>3086</v>
      </c>
      <c r="C554" s="144" t="s">
        <v>2588</v>
      </c>
      <c r="D554" s="73" t="s">
        <v>1849</v>
      </c>
      <c r="E554" s="145">
        <v>2</v>
      </c>
      <c r="F554" s="145">
        <v>2.94</v>
      </c>
      <c r="G554" s="146" t="s">
        <v>1561</v>
      </c>
      <c r="H554" s="145" t="s">
        <v>1153</v>
      </c>
      <c r="J554" s="150" t="str">
        <f t="shared" si="10"/>
        <v>FC Schaffhausen  vs  Vaduz</v>
      </c>
    </row>
    <row r="555" spans="1:10">
      <c r="A555" s="162">
        <v>43526</v>
      </c>
      <c r="B555" s="73" t="s">
        <v>3009</v>
      </c>
      <c r="C555" s="144" t="s">
        <v>1473</v>
      </c>
      <c r="D555" s="73" t="s">
        <v>1265</v>
      </c>
      <c r="E555" s="145">
        <v>2</v>
      </c>
      <c r="F555" s="145">
        <v>2.4300000000000002</v>
      </c>
      <c r="G555" s="146" t="s">
        <v>1506</v>
      </c>
      <c r="H555" s="145" t="s">
        <v>1154</v>
      </c>
      <c r="J555" s="150" t="str">
        <f t="shared" si="10"/>
        <v>Real Madrid  vs  Barcelona CF</v>
      </c>
    </row>
    <row r="556" spans="1:10">
      <c r="A556" s="162">
        <v>43526</v>
      </c>
      <c r="B556" s="73" t="s">
        <v>3049</v>
      </c>
      <c r="C556" s="144" t="s">
        <v>3050</v>
      </c>
      <c r="D556" s="73" t="s">
        <v>2571</v>
      </c>
      <c r="E556" s="145">
        <v>2</v>
      </c>
      <c r="F556" s="145">
        <v>2.0299999999999998</v>
      </c>
      <c r="G556" s="146" t="s">
        <v>1561</v>
      </c>
      <c r="H556" s="145" t="s">
        <v>1153</v>
      </c>
      <c r="J556" s="150" t="str">
        <f t="shared" si="10"/>
        <v>Dunav 2010  vs  Botev Plovdiv</v>
      </c>
    </row>
    <row r="557" spans="1:10">
      <c r="A557" s="162">
        <v>43526</v>
      </c>
      <c r="B557" s="73" t="s">
        <v>2246</v>
      </c>
      <c r="C557" s="144" t="s">
        <v>2115</v>
      </c>
      <c r="D557" s="73" t="s">
        <v>1850</v>
      </c>
      <c r="E557" s="145">
        <v>2</v>
      </c>
      <c r="F557" s="145">
        <v>1.96</v>
      </c>
      <c r="G557" s="146" t="s">
        <v>1513</v>
      </c>
      <c r="H557" s="145" t="s">
        <v>1153</v>
      </c>
      <c r="J557" s="150" t="str">
        <f t="shared" si="10"/>
        <v>Kayserispor  vs  Besiktas JK</v>
      </c>
    </row>
    <row r="558" spans="1:10">
      <c r="A558" s="162">
        <v>43526</v>
      </c>
      <c r="B558" s="73" t="s">
        <v>3047</v>
      </c>
      <c r="C558" s="144" t="s">
        <v>1916</v>
      </c>
      <c r="D558" s="73" t="s">
        <v>1845</v>
      </c>
      <c r="E558" s="145">
        <v>2</v>
      </c>
      <c r="F558" s="145">
        <v>1.9</v>
      </c>
      <c r="G558" s="146" t="s">
        <v>1561</v>
      </c>
      <c r="H558" s="145" t="s">
        <v>1153</v>
      </c>
      <c r="J558" s="150" t="str">
        <f t="shared" si="10"/>
        <v>Sporting Charleroi  vs  Racing Genk</v>
      </c>
    </row>
    <row r="559" spans="1:10">
      <c r="A559" s="162">
        <v>43526</v>
      </c>
      <c r="B559" s="73" t="s">
        <v>1316</v>
      </c>
      <c r="C559" s="144" t="s">
        <v>2005</v>
      </c>
      <c r="D559" s="73" t="s">
        <v>1265</v>
      </c>
      <c r="E559" s="145">
        <v>2</v>
      </c>
      <c r="F559" s="145">
        <v>1.9</v>
      </c>
      <c r="G559" s="146" t="s">
        <v>1522</v>
      </c>
      <c r="H559" s="145" t="s">
        <v>1153</v>
      </c>
      <c r="J559" s="150" t="str">
        <f t="shared" si="10"/>
        <v>Huesca  vs  Sevilla CF</v>
      </c>
    </row>
    <row r="560" spans="1:10">
      <c r="A560" s="162">
        <v>43526</v>
      </c>
      <c r="B560" s="73" t="s">
        <v>3046</v>
      </c>
      <c r="C560" s="144" t="s">
        <v>2748</v>
      </c>
      <c r="D560" s="73" t="s">
        <v>2766</v>
      </c>
      <c r="E560" s="145">
        <v>2</v>
      </c>
      <c r="F560" s="145">
        <v>1.82</v>
      </c>
      <c r="G560" s="146" t="s">
        <v>1794</v>
      </c>
      <c r="H560" s="145" t="s">
        <v>1154</v>
      </c>
      <c r="J560" s="150" t="str">
        <f t="shared" si="10"/>
        <v>St. Polten  vs  Rapid Vienna</v>
      </c>
    </row>
    <row r="561" spans="1:10">
      <c r="A561" s="162">
        <v>43526</v>
      </c>
      <c r="B561" s="73" t="s">
        <v>3051</v>
      </c>
      <c r="C561" s="144" t="s">
        <v>2549</v>
      </c>
      <c r="D561" s="73" t="s">
        <v>1737</v>
      </c>
      <c r="E561" s="145">
        <v>2</v>
      </c>
      <c r="F561" s="145">
        <v>1.55</v>
      </c>
      <c r="G561" s="146" t="s">
        <v>1561</v>
      </c>
      <c r="H561" s="145" t="s">
        <v>1153</v>
      </c>
      <c r="J561" s="150" t="str">
        <f t="shared" si="10"/>
        <v>Lokomotiva Zagreb  vs  Dinamo Zagreb</v>
      </c>
    </row>
    <row r="562" spans="1:10">
      <c r="A562" s="162">
        <v>43526</v>
      </c>
      <c r="B562" s="73" t="s">
        <v>2713</v>
      </c>
      <c r="C562" s="144" t="s">
        <v>1871</v>
      </c>
      <c r="D562" s="73" t="s">
        <v>1846</v>
      </c>
      <c r="E562" s="145">
        <v>2</v>
      </c>
      <c r="F562" s="145">
        <v>1.42</v>
      </c>
      <c r="G562" s="146" t="s">
        <v>1506</v>
      </c>
      <c r="H562" s="145" t="s">
        <v>1154</v>
      </c>
      <c r="J562" s="150" t="str">
        <f t="shared" si="10"/>
        <v>Nurnberg  vs  RB Leipzig</v>
      </c>
    </row>
    <row r="563" spans="1:10">
      <c r="A563" s="162">
        <v>43526</v>
      </c>
      <c r="B563" s="73" t="s">
        <v>1330</v>
      </c>
      <c r="C563" s="144" t="s">
        <v>2207</v>
      </c>
      <c r="D563" s="73" t="s">
        <v>1264</v>
      </c>
      <c r="E563" s="145">
        <v>2</v>
      </c>
      <c r="F563" s="145">
        <v>1.3</v>
      </c>
      <c r="G563" s="146" t="s">
        <v>1509</v>
      </c>
      <c r="H563" s="145" t="s">
        <v>1154</v>
      </c>
      <c r="J563" s="150" t="str">
        <f t="shared" si="10"/>
        <v>MS Ashdod  vs  Maccabi Tel-Aviv</v>
      </c>
    </row>
    <row r="564" spans="1:10">
      <c r="A564" s="162">
        <v>43526</v>
      </c>
      <c r="B564" s="73" t="s">
        <v>3063</v>
      </c>
      <c r="C564" s="144" t="s">
        <v>1454</v>
      </c>
      <c r="D564" s="73" t="s">
        <v>1261</v>
      </c>
      <c r="E564" s="145">
        <v>2</v>
      </c>
      <c r="F564" s="145">
        <v>1.25</v>
      </c>
      <c r="G564" s="146" t="s">
        <v>1511</v>
      </c>
      <c r="H564" s="145" t="s">
        <v>1154</v>
      </c>
      <c r="J564" s="150" t="str">
        <f t="shared" si="10"/>
        <v>Stade Malherbe de Caen  vs  Paris Saint-Germain</v>
      </c>
    </row>
    <row r="565" spans="1:10">
      <c r="A565" s="162">
        <v>43526</v>
      </c>
      <c r="B565" s="73" t="s">
        <v>1751</v>
      </c>
      <c r="C565" s="144" t="s">
        <v>1714</v>
      </c>
      <c r="D565" s="73" t="s">
        <v>1267</v>
      </c>
      <c r="E565" s="145">
        <v>2</v>
      </c>
      <c r="F565" s="145">
        <v>1.23</v>
      </c>
      <c r="G565" s="146" t="s">
        <v>1506</v>
      </c>
      <c r="H565" s="145" t="s">
        <v>1154</v>
      </c>
      <c r="J565" s="150" t="str">
        <f t="shared" si="10"/>
        <v>Bournemouth  vs  Manchester City</v>
      </c>
    </row>
    <row r="566" spans="1:10">
      <c r="A566" s="162">
        <v>43526</v>
      </c>
      <c r="B566" s="73" t="s">
        <v>2083</v>
      </c>
      <c r="C566" s="144" t="s">
        <v>3073</v>
      </c>
      <c r="D566" s="73" t="s">
        <v>1848</v>
      </c>
      <c r="E566" s="145">
        <v>2</v>
      </c>
      <c r="F566" s="145">
        <v>1.18</v>
      </c>
      <c r="G566" s="146" t="s">
        <v>1509</v>
      </c>
      <c r="H566" s="145" t="s">
        <v>1154</v>
      </c>
      <c r="J566" s="150" t="str">
        <f t="shared" si="10"/>
        <v>Excelsior Rotterdam  vs  PSV Eindhoven</v>
      </c>
    </row>
    <row r="567" spans="1:10">
      <c r="A567" s="6">
        <v>43466</v>
      </c>
      <c r="B567" s="3" t="s">
        <v>1366</v>
      </c>
      <c r="C567" s="3" t="s">
        <v>1367</v>
      </c>
      <c r="D567" s="3" t="s">
        <v>1267</v>
      </c>
      <c r="E567" s="23">
        <v>1</v>
      </c>
      <c r="G567" s="188" t="s">
        <v>1506</v>
      </c>
      <c r="H567" s="23" t="s">
        <v>1153</v>
      </c>
      <c r="J567" s="150" t="str">
        <f t="shared" si="10"/>
        <v>Everton  vs  Leicester City</v>
      </c>
    </row>
    <row r="568" spans="1:10">
      <c r="A568" s="6">
        <v>43466</v>
      </c>
      <c r="B568" s="3" t="s">
        <v>1269</v>
      </c>
      <c r="C568" s="3" t="s">
        <v>1368</v>
      </c>
      <c r="D568" s="3" t="s">
        <v>1267</v>
      </c>
      <c r="E568" s="23">
        <v>1</v>
      </c>
      <c r="G568" s="188" t="s">
        <v>1507</v>
      </c>
      <c r="H568" s="23" t="s">
        <v>1154</v>
      </c>
      <c r="J568" s="150" t="str">
        <f t="shared" si="10"/>
        <v>Arsenal  vs  Fulham</v>
      </c>
    </row>
    <row r="569" spans="1:10">
      <c r="A569" s="6">
        <v>43467</v>
      </c>
      <c r="B569" s="3" t="s">
        <v>1271</v>
      </c>
      <c r="C569" s="3" t="s">
        <v>1370</v>
      </c>
      <c r="D569" s="3" t="s">
        <v>1257</v>
      </c>
      <c r="E569" s="23">
        <v>1</v>
      </c>
      <c r="G569" s="189" t="s">
        <v>1517</v>
      </c>
      <c r="H569" s="23" t="s">
        <v>1153</v>
      </c>
      <c r="J569" s="150" t="str">
        <f t="shared" si="10"/>
        <v>Newcastle Jets  vs  Brisbane Roar</v>
      </c>
    </row>
    <row r="570" spans="1:10">
      <c r="A570" s="6">
        <v>43467</v>
      </c>
      <c r="B570" s="3" t="s">
        <v>1273</v>
      </c>
      <c r="C570" s="3" t="s">
        <v>1372</v>
      </c>
      <c r="D570" s="3" t="s">
        <v>1267</v>
      </c>
      <c r="E570" s="23">
        <v>1</v>
      </c>
      <c r="G570" s="188" t="s">
        <v>1510</v>
      </c>
      <c r="H570" s="23" t="s">
        <v>1153</v>
      </c>
      <c r="J570" s="150" t="str">
        <f t="shared" si="10"/>
        <v>Chelsea  vs  Southampton</v>
      </c>
    </row>
    <row r="571" spans="1:10">
      <c r="A571" s="6">
        <v>43467</v>
      </c>
      <c r="B571" s="3" t="s">
        <v>1380</v>
      </c>
      <c r="C571" s="3" t="s">
        <v>1381</v>
      </c>
      <c r="D571" s="3" t="s">
        <v>1242</v>
      </c>
      <c r="E571" s="23">
        <v>1</v>
      </c>
      <c r="G571" s="189" t="s">
        <v>1519</v>
      </c>
      <c r="H571" s="23" t="s">
        <v>1154</v>
      </c>
      <c r="J571" s="150" t="str">
        <f t="shared" si="10"/>
        <v>Boavista  vs  Vitoria Setubal</v>
      </c>
    </row>
    <row r="572" spans="1:10">
      <c r="A572" s="6">
        <v>43467</v>
      </c>
      <c r="B572" s="3" t="s">
        <v>1279</v>
      </c>
      <c r="C572" s="3" t="s">
        <v>1382</v>
      </c>
      <c r="D572" s="3" t="s">
        <v>1242</v>
      </c>
      <c r="E572" s="23">
        <v>1</v>
      </c>
      <c r="G572" s="189" t="s">
        <v>1520</v>
      </c>
      <c r="H572" s="23" t="s">
        <v>1154</v>
      </c>
      <c r="J572" s="150" t="str">
        <f t="shared" si="10"/>
        <v>Sporting Braga  vs  Maritimo Funchal</v>
      </c>
    </row>
    <row r="573" spans="1:10">
      <c r="A573" s="6">
        <v>43467</v>
      </c>
      <c r="B573" s="3" t="s">
        <v>1384</v>
      </c>
      <c r="C573" s="3" t="s">
        <v>1385</v>
      </c>
      <c r="D573" s="3" t="s">
        <v>1242</v>
      </c>
      <c r="E573" s="23">
        <v>1</v>
      </c>
      <c r="G573" s="189" t="s">
        <v>1515</v>
      </c>
      <c r="H573" s="23" t="s">
        <v>1153</v>
      </c>
      <c r="J573" s="150" t="str">
        <f t="shared" si="10"/>
        <v>Rio Ave  vs  Moreirense</v>
      </c>
    </row>
    <row r="574" spans="1:10">
      <c r="A574" s="6">
        <v>43467</v>
      </c>
      <c r="B574" s="3" t="s">
        <v>1281</v>
      </c>
      <c r="C574" s="3" t="s">
        <v>1388</v>
      </c>
      <c r="D574" s="3" t="s">
        <v>1266</v>
      </c>
      <c r="E574" s="23">
        <v>1</v>
      </c>
      <c r="G574" s="188" t="s">
        <v>1506</v>
      </c>
      <c r="H574" s="23" t="s">
        <v>1153</v>
      </c>
      <c r="J574" s="150" t="str">
        <f t="shared" si="10"/>
        <v>Vitoria Guimaraes II  vs  Famalicao</v>
      </c>
    </row>
    <row r="575" spans="1:10">
      <c r="A575" s="6">
        <v>43467</v>
      </c>
      <c r="B575" s="3" t="s">
        <v>1282</v>
      </c>
      <c r="C575" s="3" t="s">
        <v>1389</v>
      </c>
      <c r="D575" s="3" t="s">
        <v>1266</v>
      </c>
      <c r="E575" s="23">
        <v>1</v>
      </c>
      <c r="G575" s="188" t="s">
        <v>1559</v>
      </c>
      <c r="H575" s="23" t="s">
        <v>1153</v>
      </c>
      <c r="J575" s="150" t="str">
        <f t="shared" si="10"/>
        <v>Estoril  vs  Penafiel</v>
      </c>
    </row>
    <row r="576" spans="1:10">
      <c r="A576" s="6">
        <v>43467</v>
      </c>
      <c r="B576" s="3" t="s">
        <v>1283</v>
      </c>
      <c r="C576" s="3" t="s">
        <v>1390</v>
      </c>
      <c r="D576" s="3" t="s">
        <v>1266</v>
      </c>
      <c r="E576" s="23">
        <v>1</v>
      </c>
      <c r="G576" s="188" t="s">
        <v>1523</v>
      </c>
      <c r="H576" s="23" t="s">
        <v>1154</v>
      </c>
      <c r="J576" s="150" t="str">
        <f t="shared" si="10"/>
        <v>Pacos de Ferreira  vs  Arouca</v>
      </c>
    </row>
    <row r="577" spans="1:10">
      <c r="A577" s="6">
        <v>43468</v>
      </c>
      <c r="B577" s="3" t="s">
        <v>1392</v>
      </c>
      <c r="C577" s="3" t="s">
        <v>1393</v>
      </c>
      <c r="D577" s="3" t="s">
        <v>1242</v>
      </c>
      <c r="E577" s="23">
        <v>1</v>
      </c>
      <c r="G577" s="188" t="s">
        <v>1510</v>
      </c>
      <c r="H577" s="23" t="s">
        <v>1153</v>
      </c>
      <c r="J577" s="150" t="str">
        <f t="shared" si="10"/>
        <v>Chaves  vs  Feirense</v>
      </c>
    </row>
    <row r="578" spans="1:10">
      <c r="A578" s="6">
        <v>43468</v>
      </c>
      <c r="B578" s="3" t="s">
        <v>1285</v>
      </c>
      <c r="C578" s="3" t="s">
        <v>1394</v>
      </c>
      <c r="D578" s="3" t="s">
        <v>1242</v>
      </c>
      <c r="E578" s="23">
        <v>1</v>
      </c>
      <c r="G578" s="188" t="s">
        <v>1522</v>
      </c>
      <c r="H578" s="23" t="s">
        <v>1154</v>
      </c>
      <c r="J578" s="150" t="str">
        <f t="shared" si="10"/>
        <v>Sporting Clube de Portugal  vs  Belenenses</v>
      </c>
    </row>
    <row r="579" spans="1:10">
      <c r="A579" s="6">
        <v>43469</v>
      </c>
      <c r="B579" s="3" t="s">
        <v>1287</v>
      </c>
      <c r="C579" s="3" t="s">
        <v>1398</v>
      </c>
      <c r="D579" s="3" t="s">
        <v>1257</v>
      </c>
      <c r="E579" s="23">
        <v>1</v>
      </c>
      <c r="G579" s="189" t="s">
        <v>1525</v>
      </c>
      <c r="H579" s="23" t="s">
        <v>1154</v>
      </c>
      <c r="J579" s="150" t="str">
        <f t="shared" si="10"/>
        <v>Sydney FC  vs  Central Coast Mariners</v>
      </c>
    </row>
    <row r="580" spans="1:10">
      <c r="A580" s="6">
        <v>43469</v>
      </c>
      <c r="B580" s="3" t="s">
        <v>1288</v>
      </c>
      <c r="C580" s="3" t="s">
        <v>1400</v>
      </c>
      <c r="D580" s="3" t="s">
        <v>1263</v>
      </c>
      <c r="E580" s="23">
        <v>1</v>
      </c>
      <c r="G580" s="189" t="s">
        <v>1529</v>
      </c>
      <c r="H580" s="23" t="s">
        <v>1154</v>
      </c>
      <c r="J580" s="150" t="str">
        <f t="shared" si="10"/>
        <v>Nantes Atlantique  vs  La Berrichonne de Chateauroux</v>
      </c>
    </row>
    <row r="581" spans="1:10">
      <c r="A581" s="6">
        <v>43469</v>
      </c>
      <c r="B581" s="3" t="s">
        <v>1290</v>
      </c>
      <c r="C581" s="3" t="s">
        <v>1402</v>
      </c>
      <c r="D581" s="3" t="s">
        <v>1260</v>
      </c>
      <c r="E581" s="23">
        <v>1</v>
      </c>
      <c r="G581" s="188" t="s">
        <v>1560</v>
      </c>
      <c r="H581" s="23" t="s">
        <v>1154</v>
      </c>
      <c r="J581" s="150" t="str">
        <f t="shared" si="10"/>
        <v>Academica de Coimbra  vs  Cova Piedade</v>
      </c>
    </row>
    <row r="582" spans="1:10">
      <c r="A582" s="6">
        <v>43469</v>
      </c>
      <c r="B582" s="3" t="s">
        <v>1291</v>
      </c>
      <c r="C582" s="3" t="s">
        <v>1405</v>
      </c>
      <c r="D582" s="3" t="s">
        <v>1265</v>
      </c>
      <c r="E582" s="23">
        <v>1</v>
      </c>
      <c r="G582" s="189" t="s">
        <v>1519</v>
      </c>
      <c r="H582" s="23" t="s">
        <v>1154</v>
      </c>
      <c r="J582" s="150" t="str">
        <f t="shared" si="10"/>
        <v>RCD Espanyol  vs  Leganes CF</v>
      </c>
    </row>
    <row r="583" spans="1:10">
      <c r="A583" s="6">
        <v>43470</v>
      </c>
      <c r="B583" s="3" t="s">
        <v>1292</v>
      </c>
      <c r="C583" s="3" t="s">
        <v>1406</v>
      </c>
      <c r="D583" s="3" t="s">
        <v>1166</v>
      </c>
      <c r="E583" s="23">
        <v>1</v>
      </c>
      <c r="G583" s="189" t="s">
        <v>1528</v>
      </c>
      <c r="H583" s="23" t="s">
        <v>1153</v>
      </c>
      <c r="J583" s="150" t="str">
        <f t="shared" si="10"/>
        <v>United Arab Emirates  vs  Bahrain</v>
      </c>
    </row>
    <row r="584" spans="1:10">
      <c r="A584" s="6">
        <v>43470</v>
      </c>
      <c r="B584" s="3" t="s">
        <v>1295</v>
      </c>
      <c r="C584" s="3" t="s">
        <v>1409</v>
      </c>
      <c r="D584" s="3" t="s">
        <v>1262</v>
      </c>
      <c r="E584" s="23">
        <v>1</v>
      </c>
      <c r="G584" s="189" t="s">
        <v>1520</v>
      </c>
      <c r="H584" s="23" t="s">
        <v>1154</v>
      </c>
      <c r="J584" s="150" t="str">
        <f t="shared" ref="J584:J647" si="11">CONCATENATE(B584," vs ",C584)</f>
        <v>Manchester United  vs  Reading</v>
      </c>
    </row>
    <row r="585" spans="1:10">
      <c r="A585" s="6">
        <v>43470</v>
      </c>
      <c r="B585" s="3" t="s">
        <v>1275</v>
      </c>
      <c r="C585" s="3" t="s">
        <v>1410</v>
      </c>
      <c r="D585" s="3" t="s">
        <v>1262</v>
      </c>
      <c r="E585" s="23">
        <v>1</v>
      </c>
      <c r="G585" s="189" t="s">
        <v>1520</v>
      </c>
      <c r="H585" s="23" t="s">
        <v>1154</v>
      </c>
      <c r="J585" s="150" t="str">
        <f t="shared" si="11"/>
        <v>West Ham United  vs  Birmingham City</v>
      </c>
    </row>
    <row r="586" spans="1:10">
      <c r="A586" s="6">
        <v>43470</v>
      </c>
      <c r="B586" s="3" t="s">
        <v>1273</v>
      </c>
      <c r="C586" s="3" t="s">
        <v>1412</v>
      </c>
      <c r="D586" s="3" t="s">
        <v>1262</v>
      </c>
      <c r="E586" s="23">
        <v>1</v>
      </c>
      <c r="G586" s="189" t="s">
        <v>1520</v>
      </c>
      <c r="H586" s="23" t="s">
        <v>1154</v>
      </c>
      <c r="J586" s="150" t="str">
        <f t="shared" si="11"/>
        <v>Chelsea  vs  Nottingham Forest</v>
      </c>
    </row>
    <row r="587" spans="1:10">
      <c r="A587" s="6">
        <v>43470</v>
      </c>
      <c r="B587" s="3" t="s">
        <v>1366</v>
      </c>
      <c r="C587" s="3" t="s">
        <v>1413</v>
      </c>
      <c r="D587" s="3" t="s">
        <v>1262</v>
      </c>
      <c r="E587" s="23">
        <v>1</v>
      </c>
      <c r="G587" s="189" t="s">
        <v>1527</v>
      </c>
      <c r="H587" s="23" t="s">
        <v>1154</v>
      </c>
      <c r="J587" s="150" t="str">
        <f t="shared" si="11"/>
        <v>Everton  vs  Lincoln City</v>
      </c>
    </row>
    <row r="588" spans="1:10">
      <c r="A588" s="6">
        <v>43470</v>
      </c>
      <c r="B588" s="3" t="s">
        <v>1299</v>
      </c>
      <c r="C588" s="3" t="s">
        <v>1416</v>
      </c>
      <c r="D588" s="3" t="s">
        <v>1262</v>
      </c>
      <c r="E588" s="23">
        <v>1</v>
      </c>
      <c r="G588" s="189" t="s">
        <v>1519</v>
      </c>
      <c r="H588" s="23" t="s">
        <v>1154</v>
      </c>
      <c r="J588" s="150" t="str">
        <f t="shared" si="11"/>
        <v>Crystal Palace  vs  Grimsby Town</v>
      </c>
    </row>
    <row r="589" spans="1:10">
      <c r="A589" s="6">
        <v>43470</v>
      </c>
      <c r="B589" s="3" t="s">
        <v>1300</v>
      </c>
      <c r="C589" s="3" t="s">
        <v>1417</v>
      </c>
      <c r="D589" s="3" t="s">
        <v>1262</v>
      </c>
      <c r="E589" s="23">
        <v>1</v>
      </c>
      <c r="G589" s="189" t="s">
        <v>1519</v>
      </c>
      <c r="H589" s="23" t="s">
        <v>1154</v>
      </c>
      <c r="J589" s="150" t="str">
        <f t="shared" si="11"/>
        <v>Bristol City  vs  Huddersfield Town</v>
      </c>
    </row>
    <row r="590" spans="1:10">
      <c r="A590" s="6">
        <v>43470</v>
      </c>
      <c r="B590" s="3" t="s">
        <v>1303</v>
      </c>
      <c r="C590" s="3" t="s">
        <v>1420</v>
      </c>
      <c r="D590" s="3" t="s">
        <v>1263</v>
      </c>
      <c r="E590" s="23">
        <v>1</v>
      </c>
      <c r="G590" s="189" t="s">
        <v>1519</v>
      </c>
      <c r="H590" s="23" t="s">
        <v>1154</v>
      </c>
      <c r="J590" s="150" t="str">
        <f t="shared" si="11"/>
        <v>Amiens SC  vs  Valenciennes</v>
      </c>
    </row>
    <row r="591" spans="1:10">
      <c r="A591" s="6">
        <v>43470</v>
      </c>
      <c r="B591" s="3" t="s">
        <v>1311</v>
      </c>
      <c r="C591" s="3" t="s">
        <v>1430</v>
      </c>
      <c r="D591" s="3" t="s">
        <v>1264</v>
      </c>
      <c r="E591" s="23">
        <v>1</v>
      </c>
      <c r="G591" s="188" t="s">
        <v>1561</v>
      </c>
      <c r="H591" s="23" t="s">
        <v>1153</v>
      </c>
      <c r="J591" s="150" t="str">
        <f t="shared" si="11"/>
        <v>Hapoel Haifa  vs  Hapoel Hadera</v>
      </c>
    </row>
    <row r="592" spans="1:10">
      <c r="A592" s="6">
        <v>43470</v>
      </c>
      <c r="B592" s="3" t="s">
        <v>1313</v>
      </c>
      <c r="C592" s="3" t="s">
        <v>1434</v>
      </c>
      <c r="D592" s="3" t="s">
        <v>1242</v>
      </c>
      <c r="E592" s="23">
        <v>1</v>
      </c>
      <c r="G592" s="189" t="s">
        <v>1527</v>
      </c>
      <c r="H592" s="23" t="s">
        <v>1154</v>
      </c>
      <c r="J592" s="150" t="str">
        <f t="shared" si="11"/>
        <v>Maritimo Funchal  vs  Portimonense</v>
      </c>
    </row>
    <row r="593" spans="1:10">
      <c r="A593" s="6">
        <v>43471</v>
      </c>
      <c r="B593" s="3" t="s">
        <v>1317</v>
      </c>
      <c r="C593" s="3" t="s">
        <v>1440</v>
      </c>
      <c r="D593" s="3" t="s">
        <v>1166</v>
      </c>
      <c r="E593" s="23">
        <v>1</v>
      </c>
      <c r="G593" s="188" t="s">
        <v>1506</v>
      </c>
      <c r="H593" s="23" t="s">
        <v>1153</v>
      </c>
      <c r="J593" s="150" t="str">
        <f t="shared" si="11"/>
        <v>Australia  vs  Jordan</v>
      </c>
    </row>
    <row r="594" spans="1:10">
      <c r="A594" s="6">
        <v>43471</v>
      </c>
      <c r="B594" s="3" t="s">
        <v>1318</v>
      </c>
      <c r="C594" s="3" t="s">
        <v>1441</v>
      </c>
      <c r="D594" s="3" t="s">
        <v>1166</v>
      </c>
      <c r="E594" s="23">
        <v>1</v>
      </c>
      <c r="G594" s="188" t="s">
        <v>1565</v>
      </c>
      <c r="H594" s="23" t="s">
        <v>1153</v>
      </c>
      <c r="J594" s="150" t="str">
        <f t="shared" si="11"/>
        <v>Thailand  vs  India</v>
      </c>
    </row>
    <row r="595" spans="1:10">
      <c r="A595" s="6">
        <v>43471</v>
      </c>
      <c r="B595" s="3" t="s">
        <v>1320</v>
      </c>
      <c r="C595" s="3" t="s">
        <v>1443</v>
      </c>
      <c r="D595" s="3" t="s">
        <v>1257</v>
      </c>
      <c r="E595" s="23">
        <v>1</v>
      </c>
      <c r="G595" s="189" t="s">
        <v>1527</v>
      </c>
      <c r="H595" s="23" t="s">
        <v>1154</v>
      </c>
      <c r="J595" s="150" t="str">
        <f t="shared" si="11"/>
        <v>Melbourne City  vs  Newcastle Jets</v>
      </c>
    </row>
    <row r="596" spans="1:10">
      <c r="A596" s="6">
        <v>43471</v>
      </c>
      <c r="B596" s="3" t="s">
        <v>1284</v>
      </c>
      <c r="C596" s="3" t="s">
        <v>1446</v>
      </c>
      <c r="D596" s="3" t="s">
        <v>1262</v>
      </c>
      <c r="E596" s="23">
        <v>1</v>
      </c>
      <c r="G596" s="159" t="s">
        <v>1545</v>
      </c>
      <c r="H596" s="23" t="s">
        <v>1154</v>
      </c>
      <c r="J596" s="150" t="str">
        <f t="shared" si="11"/>
        <v>Manchester City  vs  Rotherham United</v>
      </c>
    </row>
    <row r="597" spans="1:10">
      <c r="A597" s="6">
        <v>43471</v>
      </c>
      <c r="B597" s="3" t="s">
        <v>1327</v>
      </c>
      <c r="C597" s="3" t="s">
        <v>1450</v>
      </c>
      <c r="D597" s="3" t="s">
        <v>1263</v>
      </c>
      <c r="E597" s="23">
        <v>1</v>
      </c>
      <c r="G597" s="159" t="s">
        <v>1517</v>
      </c>
      <c r="H597" s="23" t="s">
        <v>1153</v>
      </c>
      <c r="J597" s="150" t="str">
        <f t="shared" si="11"/>
        <v>Stade Rennais  vs  Stade Brestois</v>
      </c>
    </row>
    <row r="598" spans="1:10">
      <c r="A598" s="6">
        <v>43471</v>
      </c>
      <c r="B598" s="3" t="s">
        <v>1329</v>
      </c>
      <c r="C598" s="3" t="s">
        <v>1452</v>
      </c>
      <c r="D598" s="3" t="s">
        <v>1263</v>
      </c>
      <c r="E598" s="23">
        <v>1</v>
      </c>
      <c r="G598" s="159" t="s">
        <v>1531</v>
      </c>
      <c r="H598" s="23" t="s">
        <v>1153</v>
      </c>
      <c r="J598" s="150" t="str">
        <f t="shared" si="11"/>
        <v>Girondins de Bordeaux  vs  Le Havre</v>
      </c>
    </row>
    <row r="599" spans="1:10">
      <c r="A599" s="6">
        <v>43471</v>
      </c>
      <c r="B599" s="3" t="s">
        <v>1332</v>
      </c>
      <c r="C599" s="3" t="s">
        <v>1459</v>
      </c>
      <c r="D599" s="3" t="s">
        <v>1242</v>
      </c>
      <c r="E599" s="23">
        <v>1</v>
      </c>
      <c r="G599" s="189" t="s">
        <v>1517</v>
      </c>
      <c r="H599" s="23" t="s">
        <v>1153</v>
      </c>
      <c r="J599" s="150" t="str">
        <f t="shared" si="11"/>
        <v>Feirense  vs  Santa Clara</v>
      </c>
    </row>
    <row r="600" spans="1:10">
      <c r="A600" s="6">
        <v>43471</v>
      </c>
      <c r="B600" s="3" t="s">
        <v>1334</v>
      </c>
      <c r="C600" s="3" t="s">
        <v>1460</v>
      </c>
      <c r="D600" s="3" t="s">
        <v>1242</v>
      </c>
      <c r="E600" s="23">
        <v>1</v>
      </c>
      <c r="G600" s="189" t="s">
        <v>1547</v>
      </c>
      <c r="H600" s="23" t="s">
        <v>1154</v>
      </c>
      <c r="J600" s="150" t="str">
        <f t="shared" si="11"/>
        <v>SL Benfica  vs  Rio Ave</v>
      </c>
    </row>
    <row r="601" spans="1:10">
      <c r="A601" s="6">
        <v>43471</v>
      </c>
      <c r="B601" s="3" t="s">
        <v>1279</v>
      </c>
      <c r="C601" s="3" t="s">
        <v>1461</v>
      </c>
      <c r="D601" s="3" t="s">
        <v>1242</v>
      </c>
      <c r="E601" s="23">
        <v>1</v>
      </c>
      <c r="G601" s="189" t="s">
        <v>1519</v>
      </c>
      <c r="H601" s="23" t="s">
        <v>1154</v>
      </c>
      <c r="J601" s="150" t="str">
        <f t="shared" si="11"/>
        <v>Sporting Braga  vs  Boavista</v>
      </c>
    </row>
    <row r="602" spans="1:10">
      <c r="A602" s="6">
        <v>43471</v>
      </c>
      <c r="B602" s="3" t="s">
        <v>1336</v>
      </c>
      <c r="C602" s="3" t="s">
        <v>1463</v>
      </c>
      <c r="D602" s="3" t="s">
        <v>1266</v>
      </c>
      <c r="E602" s="23">
        <v>1</v>
      </c>
      <c r="G602" s="188" t="s">
        <v>1559</v>
      </c>
      <c r="H602" s="23" t="s">
        <v>1153</v>
      </c>
      <c r="J602" s="150" t="str">
        <f t="shared" si="11"/>
        <v>Sporting Braga II  vs  Vitoria Guimaraes II</v>
      </c>
    </row>
    <row r="603" spans="1:10">
      <c r="A603" s="6">
        <v>43471</v>
      </c>
      <c r="B603" s="3" t="s">
        <v>1337</v>
      </c>
      <c r="C603" s="3" t="s">
        <v>1464</v>
      </c>
      <c r="D603" s="3" t="s">
        <v>1266</v>
      </c>
      <c r="E603" s="23">
        <v>1</v>
      </c>
      <c r="G603" s="188" t="s">
        <v>1523</v>
      </c>
      <c r="H603" s="23" t="s">
        <v>1154</v>
      </c>
      <c r="J603" s="150" t="str">
        <f t="shared" si="11"/>
        <v>Leixoes Matosinhos  vs  Sporting Covilha</v>
      </c>
    </row>
    <row r="604" spans="1:10">
      <c r="A604" s="6">
        <v>43471</v>
      </c>
      <c r="B604" s="3" t="s">
        <v>1339</v>
      </c>
      <c r="C604" s="3" t="s">
        <v>1466</v>
      </c>
      <c r="D604" s="3" t="s">
        <v>1266</v>
      </c>
      <c r="E604" s="23">
        <v>1</v>
      </c>
      <c r="G604" s="188" t="s">
        <v>1512</v>
      </c>
      <c r="H604" s="23" t="s">
        <v>1153</v>
      </c>
      <c r="J604" s="150" t="str">
        <f t="shared" si="11"/>
        <v>Arouca  vs  Farense</v>
      </c>
    </row>
    <row r="605" spans="1:10">
      <c r="A605" s="6">
        <v>43471</v>
      </c>
      <c r="B605" s="3" t="s">
        <v>1341</v>
      </c>
      <c r="C605" s="3" t="s">
        <v>1472</v>
      </c>
      <c r="D605" s="3" t="s">
        <v>1265</v>
      </c>
      <c r="E605" s="23">
        <v>1</v>
      </c>
      <c r="G605" s="189" t="s">
        <v>1516</v>
      </c>
      <c r="H605" s="23" t="s">
        <v>1153</v>
      </c>
      <c r="J605" s="150" t="str">
        <f t="shared" si="11"/>
        <v>Real Madrid  vs  Real Sociedad</v>
      </c>
    </row>
    <row r="606" spans="1:10">
      <c r="A606" s="6">
        <v>43472</v>
      </c>
      <c r="B606" s="3" t="s">
        <v>1343</v>
      </c>
      <c r="C606" s="3" t="s">
        <v>1474</v>
      </c>
      <c r="D606" s="1" t="s">
        <v>1166</v>
      </c>
      <c r="E606" s="23">
        <v>1</v>
      </c>
      <c r="G606" s="159" t="s">
        <v>1527</v>
      </c>
      <c r="H606" s="23" t="s">
        <v>1154</v>
      </c>
      <c r="J606" s="150" t="str">
        <f t="shared" si="11"/>
        <v>China  vs  Kyrgyzstan (6) 1-0</v>
      </c>
    </row>
    <row r="607" spans="1:10">
      <c r="A607" s="6">
        <v>43472</v>
      </c>
      <c r="B607" s="3" t="s">
        <v>1344</v>
      </c>
      <c r="C607" s="3" t="s">
        <v>1475</v>
      </c>
      <c r="D607" s="1" t="s">
        <v>1166</v>
      </c>
      <c r="E607" s="23">
        <v>1</v>
      </c>
      <c r="G607" s="159" t="s">
        <v>1519</v>
      </c>
      <c r="H607" s="23" t="s">
        <v>1154</v>
      </c>
      <c r="J607" s="150" t="str">
        <f t="shared" si="11"/>
        <v>South Korea  vs  Philippines (7) 1-0</v>
      </c>
    </row>
    <row r="608" spans="1:10">
      <c r="A608" s="6">
        <v>43472</v>
      </c>
      <c r="B608" s="3" t="s">
        <v>1345</v>
      </c>
      <c r="C608" s="3" t="s">
        <v>1476</v>
      </c>
      <c r="D608" s="1" t="s">
        <v>1166</v>
      </c>
      <c r="E608" s="23">
        <v>1</v>
      </c>
      <c r="G608" s="159" t="s">
        <v>1535</v>
      </c>
      <c r="H608" s="23" t="s">
        <v>1154</v>
      </c>
      <c r="J608" s="150" t="str">
        <f t="shared" si="11"/>
        <v>Iran  vs  Yemen (7) 1-0</v>
      </c>
    </row>
    <row r="609" spans="1:10">
      <c r="A609" s="6">
        <v>43472</v>
      </c>
      <c r="B609" s="3" t="s">
        <v>1346</v>
      </c>
      <c r="C609" s="3" t="s">
        <v>1479</v>
      </c>
      <c r="D609" s="1" t="s">
        <v>1263</v>
      </c>
      <c r="E609" s="23">
        <v>1</v>
      </c>
      <c r="G609" s="159" t="s">
        <v>1519</v>
      </c>
      <c r="H609" s="23" t="s">
        <v>1154</v>
      </c>
      <c r="J609" s="150" t="str">
        <f t="shared" si="11"/>
        <v>Lille OSC  vs  Sochaux-Montbeliard (6) 2-1</v>
      </c>
    </row>
    <row r="610" spans="1:10">
      <c r="A610" s="6">
        <v>43472</v>
      </c>
      <c r="B610" s="3" t="s">
        <v>1480</v>
      </c>
      <c r="C610" s="3" t="s">
        <v>1481</v>
      </c>
      <c r="D610" s="1" t="s">
        <v>1264</v>
      </c>
      <c r="E610" s="23">
        <v>1</v>
      </c>
      <c r="G610" s="159" t="s">
        <v>1529</v>
      </c>
      <c r="H610" s="23" t="s">
        <v>1154</v>
      </c>
      <c r="J610" s="150" t="str">
        <f t="shared" si="11"/>
        <v>Maccabi Tel-Aviv  vs  Maccabi Netanya (7) 1-0</v>
      </c>
    </row>
    <row r="611" spans="1:10">
      <c r="A611" s="6">
        <v>43472</v>
      </c>
      <c r="B611" s="3" t="s">
        <v>1348</v>
      </c>
      <c r="C611" s="3" t="s">
        <v>1483</v>
      </c>
      <c r="D611" s="1" t="s">
        <v>1242</v>
      </c>
      <c r="E611" s="23">
        <v>1</v>
      </c>
      <c r="G611" s="159" t="s">
        <v>1521</v>
      </c>
      <c r="H611" s="23" t="s">
        <v>1154</v>
      </c>
      <c r="J611" s="150" t="str">
        <f t="shared" si="11"/>
        <v>FC Porto  vs  CD Nacional de Madeira (7) 2-0</v>
      </c>
    </row>
    <row r="612" spans="1:10">
      <c r="A612" s="6">
        <v>43473</v>
      </c>
      <c r="B612" s="3" t="s">
        <v>1351</v>
      </c>
      <c r="C612" s="3" t="s">
        <v>1486</v>
      </c>
      <c r="D612" s="1" t="s">
        <v>1166</v>
      </c>
      <c r="E612" s="23">
        <v>1</v>
      </c>
      <c r="G612" s="159" t="s">
        <v>1526</v>
      </c>
      <c r="H612" s="23" t="s">
        <v>1154</v>
      </c>
      <c r="J612" s="150" t="str">
        <f t="shared" si="11"/>
        <v>Saudi Arabia  vs  North Korea</v>
      </c>
    </row>
    <row r="613" spans="1:10">
      <c r="A613" s="6">
        <v>43473</v>
      </c>
      <c r="B613" s="3" t="s">
        <v>1352</v>
      </c>
      <c r="C613" s="3" t="s">
        <v>1487</v>
      </c>
      <c r="D613" s="3" t="s">
        <v>1258</v>
      </c>
      <c r="E613" s="23">
        <v>1</v>
      </c>
      <c r="G613" s="159" t="s">
        <v>1519</v>
      </c>
      <c r="H613" s="23" t="s">
        <v>1154</v>
      </c>
      <c r="J613" s="150" t="str">
        <f t="shared" si="11"/>
        <v>Tottenham Hotspur  vs  Chelsea</v>
      </c>
    </row>
    <row r="614" spans="1:10">
      <c r="A614" s="6">
        <v>43473</v>
      </c>
      <c r="B614" s="3" t="s">
        <v>1353</v>
      </c>
      <c r="C614" s="3" t="s">
        <v>1488</v>
      </c>
      <c r="D614" s="1" t="s">
        <v>1259</v>
      </c>
      <c r="E614" s="23">
        <v>1</v>
      </c>
      <c r="G614" s="190" t="s">
        <v>1511</v>
      </c>
      <c r="H614" s="23" t="s">
        <v>1153</v>
      </c>
      <c r="J614" s="150" t="str">
        <f t="shared" si="11"/>
        <v>Olympique Lyonnais  vs  Racing Club Strasbourg</v>
      </c>
    </row>
    <row r="615" spans="1:10">
      <c r="A615" s="6">
        <v>43473</v>
      </c>
      <c r="B615" s="3" t="s">
        <v>1303</v>
      </c>
      <c r="C615" s="3" t="s">
        <v>1489</v>
      </c>
      <c r="D615" s="1" t="s">
        <v>1259</v>
      </c>
      <c r="E615" s="23">
        <v>1</v>
      </c>
      <c r="G615" s="159" t="s">
        <v>1514</v>
      </c>
      <c r="H615" s="23" t="s">
        <v>1153</v>
      </c>
      <c r="J615" s="150" t="str">
        <f t="shared" si="11"/>
        <v>Amiens SC  vs  Angers SCO</v>
      </c>
    </row>
    <row r="616" spans="1:10">
      <c r="A616" s="6">
        <v>43474</v>
      </c>
      <c r="B616" s="3" t="s">
        <v>1355</v>
      </c>
      <c r="C616" s="3" t="s">
        <v>1490</v>
      </c>
      <c r="D616" s="1" t="s">
        <v>1166</v>
      </c>
      <c r="E616" s="24">
        <v>1</v>
      </c>
      <c r="G616" s="191" t="s">
        <v>1532</v>
      </c>
      <c r="H616" s="23" t="s">
        <v>1154</v>
      </c>
      <c r="J616" s="150" t="str">
        <f t="shared" si="11"/>
        <v>Japan  vs  Turkmenistan</v>
      </c>
    </row>
    <row r="617" spans="1:10">
      <c r="A617" s="6">
        <v>43474</v>
      </c>
      <c r="B617" s="3" t="s">
        <v>1356</v>
      </c>
      <c r="C617" s="3" t="s">
        <v>1491</v>
      </c>
      <c r="D617" s="1" t="s">
        <v>1166</v>
      </c>
      <c r="E617" s="24">
        <v>1</v>
      </c>
      <c r="G617" s="191" t="s">
        <v>1527</v>
      </c>
      <c r="H617" s="23" t="s">
        <v>1154</v>
      </c>
      <c r="J617" s="150" t="str">
        <f t="shared" si="11"/>
        <v>Uzbekistan  vs  Oman</v>
      </c>
    </row>
    <row r="618" spans="1:10">
      <c r="A618" s="6">
        <v>43474</v>
      </c>
      <c r="B618" s="3" t="s">
        <v>1357</v>
      </c>
      <c r="C618" s="3" t="s">
        <v>1492</v>
      </c>
      <c r="D618" s="1" t="s">
        <v>1166</v>
      </c>
      <c r="E618" s="24">
        <v>1</v>
      </c>
      <c r="G618" s="191" t="s">
        <v>1520</v>
      </c>
      <c r="H618" s="23" t="s">
        <v>1154</v>
      </c>
      <c r="J618" s="150" t="str">
        <f t="shared" si="11"/>
        <v>Qatar  vs  Lebanon</v>
      </c>
    </row>
    <row r="619" spans="1:10">
      <c r="A619" s="6">
        <v>43474</v>
      </c>
      <c r="B619" s="3" t="s">
        <v>1293</v>
      </c>
      <c r="C619" s="3" t="s">
        <v>1493</v>
      </c>
      <c r="D619" s="1" t="s">
        <v>1257</v>
      </c>
      <c r="E619" s="24">
        <v>1</v>
      </c>
      <c r="G619" s="159" t="s">
        <v>1520</v>
      </c>
      <c r="H619" s="23" t="s">
        <v>1154</v>
      </c>
      <c r="J619" s="150" t="str">
        <f t="shared" si="11"/>
        <v>Adelaide United  vs  Melbourne Victory</v>
      </c>
    </row>
    <row r="620" spans="1:10">
      <c r="A620" s="6">
        <v>43474</v>
      </c>
      <c r="B620" s="3" t="s">
        <v>1358</v>
      </c>
      <c r="C620" s="3" t="s">
        <v>1494</v>
      </c>
      <c r="D620" s="1" t="s">
        <v>1257</v>
      </c>
      <c r="E620" s="24">
        <v>1</v>
      </c>
      <c r="G620" s="159" t="s">
        <v>1521</v>
      </c>
      <c r="H620" s="23" t="s">
        <v>1154</v>
      </c>
      <c r="J620" s="150" t="str">
        <f t="shared" si="11"/>
        <v>Perth Glory  vs  Sydney FC</v>
      </c>
    </row>
    <row r="621" spans="1:10">
      <c r="A621" s="6">
        <v>43474</v>
      </c>
      <c r="B621" s="3" t="s">
        <v>1284</v>
      </c>
      <c r="C621" s="3" t="s">
        <v>1495</v>
      </c>
      <c r="D621" s="3" t="s">
        <v>1258</v>
      </c>
      <c r="E621" s="24">
        <v>1</v>
      </c>
      <c r="G621" s="159" t="s">
        <v>1554</v>
      </c>
      <c r="H621" s="23" t="s">
        <v>1154</v>
      </c>
      <c r="J621" s="150" t="str">
        <f t="shared" si="11"/>
        <v>Manchester City  vs  Burton Albion</v>
      </c>
    </row>
    <row r="622" spans="1:10">
      <c r="A622" s="6">
        <v>43474</v>
      </c>
      <c r="B622" s="3" t="s">
        <v>1360</v>
      </c>
      <c r="C622" s="3" t="s">
        <v>1498</v>
      </c>
      <c r="D622" s="1" t="s">
        <v>1259</v>
      </c>
      <c r="E622" s="23">
        <v>1</v>
      </c>
      <c r="G622" s="159" t="s">
        <v>1515</v>
      </c>
      <c r="H622" s="23" t="s">
        <v>1153</v>
      </c>
      <c r="J622" s="150" t="str">
        <f t="shared" si="11"/>
        <v>Paris Saint-Germain  vs  En Avant Guingamp</v>
      </c>
    </row>
    <row r="623" spans="1:10">
      <c r="A623" s="6">
        <v>43474</v>
      </c>
      <c r="B623" s="3" t="s">
        <v>1282</v>
      </c>
      <c r="C623" s="3" t="s">
        <v>1390</v>
      </c>
      <c r="D623" s="1" t="s">
        <v>1260</v>
      </c>
      <c r="E623" s="23">
        <v>1</v>
      </c>
      <c r="G623" s="190" t="s">
        <v>1561</v>
      </c>
      <c r="H623" s="23" t="s">
        <v>1153</v>
      </c>
      <c r="J623" s="150" t="str">
        <f t="shared" si="11"/>
        <v>Estoril  vs  Arouca</v>
      </c>
    </row>
    <row r="624" spans="1:10">
      <c r="A624" s="6">
        <v>43474</v>
      </c>
      <c r="B624" s="3" t="s">
        <v>1283</v>
      </c>
      <c r="C624" s="3" t="s">
        <v>1499</v>
      </c>
      <c r="D624" s="1" t="s">
        <v>1260</v>
      </c>
      <c r="E624" s="23">
        <v>1</v>
      </c>
      <c r="G624" s="190" t="s">
        <v>1523</v>
      </c>
      <c r="H624" s="23" t="s">
        <v>1154</v>
      </c>
      <c r="J624" s="150" t="str">
        <f t="shared" si="11"/>
        <v>Pacos de Ferreira  vs  Leixoes Matosinhos</v>
      </c>
    </row>
    <row r="625" spans="1:10">
      <c r="A625" s="6">
        <v>43474</v>
      </c>
      <c r="B625" s="3" t="s">
        <v>1361</v>
      </c>
      <c r="C625" s="3" t="s">
        <v>1402</v>
      </c>
      <c r="D625" s="1" t="s">
        <v>1260</v>
      </c>
      <c r="E625" s="23">
        <v>1</v>
      </c>
      <c r="G625" s="190" t="s">
        <v>1522</v>
      </c>
      <c r="H625" s="23" t="s">
        <v>1154</v>
      </c>
      <c r="J625" s="150" t="str">
        <f t="shared" si="11"/>
        <v>Varzim  vs  Cova Piedade</v>
      </c>
    </row>
    <row r="626" spans="1:10">
      <c r="A626" s="6">
        <v>43474</v>
      </c>
      <c r="B626" s="3" t="s">
        <v>1363</v>
      </c>
      <c r="C626" s="3" t="s">
        <v>1502</v>
      </c>
      <c r="D626" s="1" t="s">
        <v>1215</v>
      </c>
      <c r="E626" s="23">
        <v>1</v>
      </c>
      <c r="G626" s="159" t="s">
        <v>1528</v>
      </c>
      <c r="H626" s="23" t="s">
        <v>1153</v>
      </c>
      <c r="J626" s="150" t="str">
        <f t="shared" si="11"/>
        <v>Girona  vs  Atletico Madrid</v>
      </c>
    </row>
    <row r="627" spans="1:10">
      <c r="A627" s="6">
        <v>43474</v>
      </c>
      <c r="B627" s="3" t="s">
        <v>1364</v>
      </c>
      <c r="C627" s="3" t="s">
        <v>1503</v>
      </c>
      <c r="D627" s="1" t="s">
        <v>1215</v>
      </c>
      <c r="E627" s="23">
        <v>1</v>
      </c>
      <c r="G627" s="159" t="s">
        <v>1519</v>
      </c>
      <c r="H627" s="23" t="s">
        <v>1154</v>
      </c>
      <c r="J627" s="150" t="str">
        <f t="shared" si="11"/>
        <v>Getafe  vs  Real Valladolid</v>
      </c>
    </row>
    <row r="628" spans="1:10">
      <c r="A628" s="6">
        <v>43475</v>
      </c>
      <c r="B628" s="3" t="s">
        <v>1252</v>
      </c>
      <c r="C628" s="3" t="s">
        <v>1253</v>
      </c>
      <c r="D628" s="3" t="s">
        <v>1215</v>
      </c>
      <c r="E628" s="23">
        <v>1</v>
      </c>
      <c r="F628" s="23">
        <v>2.66</v>
      </c>
      <c r="G628" s="190" t="s">
        <v>1591</v>
      </c>
      <c r="H628" s="23" t="s">
        <v>1153</v>
      </c>
      <c r="J628" s="150" t="str">
        <f t="shared" si="11"/>
        <v>Athletic Club vs Sevilla CF</v>
      </c>
    </row>
    <row r="629" spans="1:10">
      <c r="A629" s="6">
        <v>43475</v>
      </c>
      <c r="B629" s="3" t="s">
        <v>1254</v>
      </c>
      <c r="C629" s="3" t="s">
        <v>890</v>
      </c>
      <c r="D629" s="3" t="s">
        <v>1215</v>
      </c>
      <c r="E629" s="23">
        <v>1</v>
      </c>
      <c r="F629" s="23">
        <v>2.13</v>
      </c>
      <c r="G629" s="190" t="s">
        <v>1510</v>
      </c>
      <c r="H629" s="23" t="s">
        <v>1153</v>
      </c>
      <c r="J629" s="150" t="str">
        <f t="shared" si="11"/>
        <v>Real Betis Balompie vs Real Sociedad</v>
      </c>
    </row>
    <row r="630" spans="1:10">
      <c r="A630" s="6">
        <v>43475</v>
      </c>
      <c r="B630" s="3" t="s">
        <v>1245</v>
      </c>
      <c r="C630" s="3" t="s">
        <v>1248</v>
      </c>
      <c r="D630" s="3" t="s">
        <v>1166</v>
      </c>
      <c r="E630" s="23">
        <v>1</v>
      </c>
      <c r="F630" s="23">
        <v>1.9</v>
      </c>
      <c r="G630" s="190" t="s">
        <v>1506</v>
      </c>
      <c r="H630" s="23" t="s">
        <v>1153</v>
      </c>
      <c r="J630" s="150" t="str">
        <f t="shared" si="11"/>
        <v>Bahrain  vs  Thailand</v>
      </c>
    </row>
    <row r="631" spans="1:10">
      <c r="A631" s="31">
        <v>43476</v>
      </c>
      <c r="B631" s="32" t="s">
        <v>1320</v>
      </c>
      <c r="C631" s="32" t="s">
        <v>1370</v>
      </c>
      <c r="D631" s="33" t="s">
        <v>1257</v>
      </c>
      <c r="E631" s="34">
        <v>1</v>
      </c>
      <c r="F631" s="36">
        <v>1.56</v>
      </c>
      <c r="G631" s="192" t="s">
        <v>1523</v>
      </c>
      <c r="H631" s="23" t="s">
        <v>1154</v>
      </c>
      <c r="J631" s="150" t="str">
        <f t="shared" si="11"/>
        <v>Melbourne City  vs  Brisbane Roar</v>
      </c>
    </row>
    <row r="632" spans="1:10">
      <c r="A632" s="31">
        <v>43476</v>
      </c>
      <c r="B632" s="32" t="s">
        <v>1353</v>
      </c>
      <c r="C632" s="32" t="s">
        <v>1598</v>
      </c>
      <c r="D632" s="32" t="s">
        <v>1261</v>
      </c>
      <c r="E632" s="35">
        <v>1</v>
      </c>
      <c r="F632" s="35">
        <v>1.47</v>
      </c>
      <c r="G632" s="142" t="s">
        <v>1561</v>
      </c>
      <c r="H632" s="23" t="s">
        <v>1153</v>
      </c>
      <c r="J632" s="150" t="str">
        <f t="shared" si="11"/>
        <v>Olympique Lyonnais  vs  Stade de Reims</v>
      </c>
    </row>
    <row r="633" spans="1:10">
      <c r="A633" s="31">
        <v>43476</v>
      </c>
      <c r="B633" s="32" t="s">
        <v>1599</v>
      </c>
      <c r="C633" s="32" t="s">
        <v>1393</v>
      </c>
      <c r="D633" s="32" t="s">
        <v>1242</v>
      </c>
      <c r="E633" s="35">
        <v>1</v>
      </c>
      <c r="F633" s="36">
        <v>2</v>
      </c>
      <c r="G633" s="142" t="s">
        <v>1561</v>
      </c>
      <c r="H633" s="23" t="s">
        <v>1153</v>
      </c>
      <c r="J633" s="150" t="str">
        <f t="shared" si="11"/>
        <v>Desportivo Aves  vs  Feirense</v>
      </c>
    </row>
    <row r="634" spans="1:10">
      <c r="A634" s="31">
        <v>43476</v>
      </c>
      <c r="B634" s="32" t="s">
        <v>1601</v>
      </c>
      <c r="C634" s="32" t="s">
        <v>1385</v>
      </c>
      <c r="D634" s="32" t="s">
        <v>1242</v>
      </c>
      <c r="E634" s="35">
        <v>1</v>
      </c>
      <c r="F634" s="36">
        <v>1.9</v>
      </c>
      <c r="G634" s="142" t="s">
        <v>1523</v>
      </c>
      <c r="H634" s="23" t="s">
        <v>1154</v>
      </c>
      <c r="J634" s="150" t="str">
        <f t="shared" si="11"/>
        <v>Vitoria Guimaraes  vs  Moreirense</v>
      </c>
    </row>
    <row r="635" spans="1:10">
      <c r="A635" s="31">
        <v>43494</v>
      </c>
      <c r="B635" s="3" t="s">
        <v>1705</v>
      </c>
      <c r="C635" s="3" t="s">
        <v>1706</v>
      </c>
      <c r="D635" s="3" t="s">
        <v>1690</v>
      </c>
      <c r="E635" s="23">
        <v>1</v>
      </c>
      <c r="G635" s="159" t="s">
        <v>1522</v>
      </c>
      <c r="H635" s="23" t="s">
        <v>1154</v>
      </c>
      <c r="J635" s="150" t="str">
        <f t="shared" si="11"/>
        <v>Real Garcilaso  vs  Deportivo La Guaira</v>
      </c>
    </row>
    <row r="636" spans="1:10">
      <c r="A636" s="31">
        <v>43494</v>
      </c>
      <c r="B636" s="3" t="s">
        <v>1269</v>
      </c>
      <c r="C636" s="3" t="s">
        <v>1709</v>
      </c>
      <c r="D636" s="3" t="s">
        <v>1267</v>
      </c>
      <c r="E636" s="23">
        <v>1</v>
      </c>
      <c r="G636" s="159" t="s">
        <v>1522</v>
      </c>
      <c r="H636" s="23" t="s">
        <v>1154</v>
      </c>
      <c r="J636" s="150" t="str">
        <f t="shared" si="11"/>
        <v>Arsenal  vs  Cardiff City</v>
      </c>
    </row>
    <row r="637" spans="1:10">
      <c r="A637" s="31">
        <v>43494</v>
      </c>
      <c r="B637" s="3" t="s">
        <v>1710</v>
      </c>
      <c r="C637" s="3" t="s">
        <v>1711</v>
      </c>
      <c r="D637" s="3" t="s">
        <v>1267</v>
      </c>
      <c r="E637" s="23">
        <v>1</v>
      </c>
      <c r="F637" s="23">
        <v>3.9</v>
      </c>
      <c r="G637" s="159" t="s">
        <v>1506</v>
      </c>
      <c r="H637" s="23" t="s">
        <v>1153</v>
      </c>
      <c r="J637" s="150" t="str">
        <f t="shared" si="11"/>
        <v>Huddersfield Town  vs  Everton</v>
      </c>
    </row>
    <row r="638" spans="1:10">
      <c r="A638" s="31">
        <v>43494</v>
      </c>
      <c r="B638" s="3" t="s">
        <v>1375</v>
      </c>
      <c r="C638" s="3" t="s">
        <v>1712</v>
      </c>
      <c r="D638" s="3" t="s">
        <v>1267</v>
      </c>
      <c r="E638" s="23">
        <v>1</v>
      </c>
      <c r="G638" s="159" t="s">
        <v>1560</v>
      </c>
      <c r="H638" s="23" t="s">
        <v>1154</v>
      </c>
      <c r="J638" s="150" t="str">
        <f>CONCATENATE(B675," vs ",C675)</f>
        <v>MyPa  vs  Jaro Pietarsaari</v>
      </c>
    </row>
    <row r="639" spans="1:10">
      <c r="A639" s="31">
        <v>43494</v>
      </c>
      <c r="B639" s="3" t="s">
        <v>1295</v>
      </c>
      <c r="C639" s="3" t="s">
        <v>1713</v>
      </c>
      <c r="D639" s="3" t="s">
        <v>1267</v>
      </c>
      <c r="E639" s="23">
        <v>1</v>
      </c>
      <c r="G639" s="159" t="s">
        <v>1513</v>
      </c>
      <c r="H639" s="23" t="s">
        <v>1153</v>
      </c>
      <c r="J639" s="150" t="str">
        <f t="shared" si="11"/>
        <v>Manchester United  vs  Burnley</v>
      </c>
    </row>
    <row r="640" spans="1:10">
      <c r="A640" s="31">
        <v>43494</v>
      </c>
      <c r="B640" s="3" t="s">
        <v>1715</v>
      </c>
      <c r="C640" s="3" t="s">
        <v>1716</v>
      </c>
      <c r="D640" s="3" t="s">
        <v>1692</v>
      </c>
      <c r="E640" s="23">
        <v>1</v>
      </c>
      <c r="G640" s="159" t="s">
        <v>1523</v>
      </c>
      <c r="H640" s="23" t="s">
        <v>1154</v>
      </c>
      <c r="J640" s="150" t="str">
        <f t="shared" si="11"/>
        <v>HJK Helsinki  vs  HIFK Helsinki</v>
      </c>
    </row>
    <row r="641" spans="1:10">
      <c r="A641" s="31">
        <v>43494</v>
      </c>
      <c r="B641" s="3" t="s">
        <v>1670</v>
      </c>
      <c r="C641" s="3" t="s">
        <v>1717</v>
      </c>
      <c r="D641" s="3" t="s">
        <v>1259</v>
      </c>
      <c r="E641" s="23">
        <v>1</v>
      </c>
      <c r="F641" s="23">
        <v>2.8</v>
      </c>
      <c r="G641" s="159" t="s">
        <v>1513</v>
      </c>
      <c r="H641" s="23" t="s">
        <v>1153</v>
      </c>
      <c r="J641" s="150" t="str">
        <f t="shared" si="11"/>
        <v>En Avant Guingamp  vs  AS Monaco</v>
      </c>
    </row>
    <row r="642" spans="1:10">
      <c r="A642" s="31">
        <v>43494</v>
      </c>
      <c r="B642" s="3" t="s">
        <v>1718</v>
      </c>
      <c r="C642" s="3" t="s">
        <v>1719</v>
      </c>
      <c r="D642" s="3" t="s">
        <v>1693</v>
      </c>
      <c r="E642" s="23">
        <v>1</v>
      </c>
      <c r="G642" s="159" t="s">
        <v>1522</v>
      </c>
      <c r="H642" s="23" t="s">
        <v>1154</v>
      </c>
      <c r="J642" s="150" t="str">
        <f t="shared" si="11"/>
        <v>VfL Bochum  vs  MSV Duisburg</v>
      </c>
    </row>
    <row r="643" spans="1:10">
      <c r="A643" s="31">
        <v>43494</v>
      </c>
      <c r="B643" s="3" t="s">
        <v>1720</v>
      </c>
      <c r="C643" s="3" t="s">
        <v>1721</v>
      </c>
      <c r="D643" s="3" t="s">
        <v>1693</v>
      </c>
      <c r="E643" s="23">
        <v>1</v>
      </c>
      <c r="F643" s="23">
        <v>2.76</v>
      </c>
      <c r="G643" s="159" t="s">
        <v>1522</v>
      </c>
      <c r="H643" s="23" t="s">
        <v>1154</v>
      </c>
      <c r="J643" s="150" t="str">
        <f t="shared" si="11"/>
        <v>Darmstadt 98  vs  St. Pauli</v>
      </c>
    </row>
    <row r="644" spans="1:10">
      <c r="A644" s="31">
        <v>43494</v>
      </c>
      <c r="B644" s="3" t="s">
        <v>1722</v>
      </c>
      <c r="C644" s="3" t="s">
        <v>1723</v>
      </c>
      <c r="D644" s="3" t="s">
        <v>1693</v>
      </c>
      <c r="E644" s="23">
        <v>1</v>
      </c>
      <c r="F644" s="23">
        <v>2.87</v>
      </c>
      <c r="G644" s="159" t="s">
        <v>1506</v>
      </c>
      <c r="H644" s="23" t="s">
        <v>1153</v>
      </c>
      <c r="J644" s="150" t="str">
        <f t="shared" si="11"/>
        <v>Greuther Furth  vs  Ingolstadt</v>
      </c>
    </row>
    <row r="645" spans="1:10">
      <c r="A645" s="31">
        <v>43494</v>
      </c>
      <c r="B645" s="3" t="s">
        <v>1334</v>
      </c>
      <c r="C645" s="3" t="s">
        <v>1461</v>
      </c>
      <c r="D645" s="3" t="s">
        <v>1242</v>
      </c>
      <c r="E645" s="23">
        <v>1</v>
      </c>
      <c r="G645" s="159" t="s">
        <v>1732</v>
      </c>
      <c r="H645" s="23" t="s">
        <v>1154</v>
      </c>
      <c r="J645" s="150" t="str">
        <f t="shared" si="11"/>
        <v>SL Benfica  vs  Boavista</v>
      </c>
    </row>
    <row r="646" spans="1:10">
      <c r="A646" s="31">
        <v>43494</v>
      </c>
      <c r="B646" s="3" t="s">
        <v>1279</v>
      </c>
      <c r="C646" s="3" t="s">
        <v>1459</v>
      </c>
      <c r="D646" s="3" t="s">
        <v>1242</v>
      </c>
      <c r="E646" s="23">
        <v>1</v>
      </c>
      <c r="G646" s="159" t="s">
        <v>1523</v>
      </c>
      <c r="H646" s="23" t="s">
        <v>1154</v>
      </c>
      <c r="J646" s="150" t="str">
        <f t="shared" si="11"/>
        <v>Sporting Braga  vs  Santa Clara</v>
      </c>
    </row>
    <row r="647" spans="1:10">
      <c r="A647" s="31">
        <v>43494</v>
      </c>
      <c r="B647" s="3" t="s">
        <v>1280</v>
      </c>
      <c r="C647" s="3" t="s">
        <v>1728</v>
      </c>
      <c r="D647" s="3" t="s">
        <v>1242</v>
      </c>
      <c r="E647" s="23">
        <v>1</v>
      </c>
      <c r="G647" s="159" t="s">
        <v>1506</v>
      </c>
      <c r="H647" s="23" t="s">
        <v>1153</v>
      </c>
      <c r="J647" s="150" t="str">
        <f t="shared" si="11"/>
        <v>Portimonense  vs  Chaves</v>
      </c>
    </row>
    <row r="648" spans="1:10">
      <c r="A648" s="31">
        <v>43494</v>
      </c>
      <c r="B648" s="3" t="s">
        <v>1361</v>
      </c>
      <c r="C648" s="3" t="s">
        <v>1499</v>
      </c>
      <c r="D648" s="3" t="s">
        <v>1266</v>
      </c>
      <c r="E648" s="23">
        <v>1</v>
      </c>
      <c r="F648" s="23">
        <v>2.35</v>
      </c>
      <c r="G648" s="159" t="s">
        <v>1523</v>
      </c>
      <c r="H648" s="23" t="s">
        <v>1154</v>
      </c>
      <c r="J648" s="150" t="str">
        <f t="shared" ref="J648:J711" si="12">CONCATENATE(B648," vs ",C648)</f>
        <v>Varzim  vs  Leixoes Matosinhos</v>
      </c>
    </row>
    <row r="649" spans="1:10">
      <c r="A649" s="31">
        <v>43494</v>
      </c>
      <c r="B649" s="3" t="s">
        <v>1282</v>
      </c>
      <c r="C649" s="3" t="s">
        <v>1730</v>
      </c>
      <c r="D649" s="3" t="s">
        <v>1266</v>
      </c>
      <c r="E649" s="23">
        <v>1</v>
      </c>
      <c r="G649" s="159" t="s">
        <v>1522</v>
      </c>
      <c r="H649" s="23" t="s">
        <v>1154</v>
      </c>
      <c r="J649" s="150" t="str">
        <f t="shared" si="12"/>
        <v>Estoril  vs  Sporting Braga II</v>
      </c>
    </row>
    <row r="650" spans="1:10">
      <c r="A650" s="31">
        <v>43495</v>
      </c>
      <c r="B650" s="3" t="s">
        <v>1745</v>
      </c>
      <c r="C650" s="3" t="s">
        <v>1746</v>
      </c>
      <c r="D650" s="3" t="s">
        <v>1736</v>
      </c>
      <c r="E650" s="23">
        <v>1</v>
      </c>
      <c r="F650" s="23">
        <v>3.7</v>
      </c>
      <c r="G650" s="159" t="s">
        <v>1794</v>
      </c>
      <c r="H650" s="23" t="s">
        <v>1153</v>
      </c>
      <c r="J650" s="150" t="str">
        <f t="shared" si="12"/>
        <v>Godoy Cruz de Mendoza  vs  River Plate</v>
      </c>
    </row>
    <row r="651" spans="1:10">
      <c r="A651" s="31">
        <v>43495</v>
      </c>
      <c r="B651" s="3" t="s">
        <v>1739</v>
      </c>
      <c r="C651" s="3" t="s">
        <v>1740</v>
      </c>
      <c r="D651" s="3" t="s">
        <v>1690</v>
      </c>
      <c r="E651" s="23">
        <v>1</v>
      </c>
      <c r="F651" s="23">
        <v>1.78</v>
      </c>
      <c r="G651" s="159" t="s">
        <v>1511</v>
      </c>
      <c r="H651" s="23" t="s">
        <v>1153</v>
      </c>
      <c r="J651" s="150" t="str">
        <f t="shared" si="12"/>
        <v>Nacional Asuncion  vs  Delfin</v>
      </c>
    </row>
    <row r="652" spans="1:10">
      <c r="A652" s="31">
        <v>43495</v>
      </c>
      <c r="B652" s="3" t="s">
        <v>1741</v>
      </c>
      <c r="C652" s="3" t="s">
        <v>1742</v>
      </c>
      <c r="D652" s="3" t="s">
        <v>1690</v>
      </c>
      <c r="E652" s="23">
        <v>1</v>
      </c>
      <c r="F652" s="23">
        <v>1.58</v>
      </c>
      <c r="G652" s="159" t="s">
        <v>1559</v>
      </c>
      <c r="H652" s="23" t="s">
        <v>1153</v>
      </c>
      <c r="J652" s="150" t="str">
        <f t="shared" si="12"/>
        <v>Defensor Sporting  vs  Bolivar La Paz</v>
      </c>
    </row>
    <row r="653" spans="1:10">
      <c r="A653" s="31">
        <v>43495</v>
      </c>
      <c r="B653" s="3" t="s">
        <v>1352</v>
      </c>
      <c r="C653" s="3" t="s">
        <v>1755</v>
      </c>
      <c r="D653" s="3" t="s">
        <v>1267</v>
      </c>
      <c r="E653" s="23">
        <v>1</v>
      </c>
      <c r="F653" s="23">
        <v>1.67</v>
      </c>
      <c r="G653" s="159" t="s">
        <v>1522</v>
      </c>
      <c r="H653" s="23" t="s">
        <v>1154</v>
      </c>
      <c r="J653" s="150" t="str">
        <f t="shared" si="12"/>
        <v>Tottenham Hotspur  vs  Watford</v>
      </c>
    </row>
    <row r="654" spans="1:10">
      <c r="A654" s="31">
        <v>43495</v>
      </c>
      <c r="B654" s="3" t="s">
        <v>1754</v>
      </c>
      <c r="C654" s="3" t="s">
        <v>1367</v>
      </c>
      <c r="D654" s="3" t="s">
        <v>1267</v>
      </c>
      <c r="E654" s="23">
        <v>1</v>
      </c>
      <c r="F654" s="23">
        <v>1.25</v>
      </c>
      <c r="G654" s="159" t="s">
        <v>1561</v>
      </c>
      <c r="H654" s="23" t="s">
        <v>1153</v>
      </c>
      <c r="J654" s="150" t="str">
        <f t="shared" si="12"/>
        <v>Liverpool  vs  Leicester City</v>
      </c>
    </row>
    <row r="655" spans="1:10">
      <c r="A655" s="31">
        <v>43495</v>
      </c>
      <c r="B655" s="3" t="s">
        <v>1756</v>
      </c>
      <c r="C655" s="3" t="s">
        <v>1757</v>
      </c>
      <c r="D655" s="3" t="s">
        <v>1259</v>
      </c>
      <c r="E655" s="23">
        <v>1</v>
      </c>
      <c r="F655" s="23">
        <v>2.33</v>
      </c>
      <c r="G655" s="159" t="s">
        <v>1795</v>
      </c>
      <c r="H655" s="23" t="s">
        <v>1154</v>
      </c>
      <c r="J655" s="150" t="str">
        <f t="shared" si="12"/>
        <v>Racing Club Strasbourg  vs  Girondins de Bordeaux</v>
      </c>
    </row>
    <row r="656" spans="1:10">
      <c r="A656" s="31">
        <v>43495</v>
      </c>
      <c r="B656" s="3" t="s">
        <v>1760</v>
      </c>
      <c r="C656" s="3" t="s">
        <v>1761</v>
      </c>
      <c r="D656" s="3" t="s">
        <v>1693</v>
      </c>
      <c r="E656" s="23">
        <v>1</v>
      </c>
      <c r="F656" s="23">
        <v>1.65</v>
      </c>
      <c r="G656" s="159" t="s">
        <v>1522</v>
      </c>
      <c r="H656" s="23" t="s">
        <v>1154</v>
      </c>
      <c r="J656" s="150" t="str">
        <f t="shared" si="12"/>
        <v>Hamburger SV  vs  SV Sandhausen</v>
      </c>
    </row>
    <row r="657" spans="1:10">
      <c r="A657" s="31">
        <v>43495</v>
      </c>
      <c r="B657" s="3" t="s">
        <v>1766</v>
      </c>
      <c r="C657" s="3" t="s">
        <v>1767</v>
      </c>
      <c r="D657" s="3" t="s">
        <v>1668</v>
      </c>
      <c r="E657" s="23">
        <v>1</v>
      </c>
      <c r="F657" s="23">
        <v>2.58</v>
      </c>
      <c r="G657" s="159" t="s">
        <v>1797</v>
      </c>
      <c r="H657" s="23" t="s">
        <v>1154</v>
      </c>
      <c r="J657" s="150" t="str">
        <f t="shared" si="12"/>
        <v>ACF Fiorentina  vs  AS Roma</v>
      </c>
    </row>
    <row r="658" spans="1:10">
      <c r="A658" s="31">
        <v>43495</v>
      </c>
      <c r="B658" s="3" t="s">
        <v>1348</v>
      </c>
      <c r="C658" s="3" t="s">
        <v>1394</v>
      </c>
      <c r="D658" s="3" t="s">
        <v>1242</v>
      </c>
      <c r="E658" s="23">
        <v>1</v>
      </c>
      <c r="F658" s="23">
        <v>1.19</v>
      </c>
      <c r="G658" s="159" t="s">
        <v>1560</v>
      </c>
      <c r="H658" s="23" t="s">
        <v>1154</v>
      </c>
      <c r="J658" s="150" t="str">
        <f t="shared" si="12"/>
        <v>FC Porto  vs  Belenenses</v>
      </c>
    </row>
    <row r="659" spans="1:10">
      <c r="A659" s="31">
        <v>43495</v>
      </c>
      <c r="B659" s="3" t="s">
        <v>1771</v>
      </c>
      <c r="C659" s="3" t="s">
        <v>1390</v>
      </c>
      <c r="D659" s="3" t="s">
        <v>1266</v>
      </c>
      <c r="E659" s="23">
        <v>1</v>
      </c>
      <c r="F659" s="23">
        <v>1.9</v>
      </c>
      <c r="G659" s="159" t="s">
        <v>1798</v>
      </c>
      <c r="H659" s="23" t="s">
        <v>1154</v>
      </c>
      <c r="J659" s="150" t="str">
        <f t="shared" si="12"/>
        <v>SL Benfica II  vs  Arouca</v>
      </c>
    </row>
    <row r="660" spans="1:10">
      <c r="A660" s="31">
        <v>43495</v>
      </c>
      <c r="B660" s="3" t="s">
        <v>1774</v>
      </c>
      <c r="C660" s="3" t="s">
        <v>1775</v>
      </c>
      <c r="D660" s="3" t="s">
        <v>1215</v>
      </c>
      <c r="E660" s="23">
        <v>1</v>
      </c>
      <c r="F660" s="23">
        <v>1.82</v>
      </c>
      <c r="G660" s="159" t="s">
        <v>1798</v>
      </c>
      <c r="H660" s="23" t="s">
        <v>1154</v>
      </c>
      <c r="J660" s="150" t="str">
        <f t="shared" si="12"/>
        <v>Real Betis Balompie  vs  RCD Espanyol</v>
      </c>
    </row>
    <row r="661" spans="1:10">
      <c r="A661" s="31">
        <v>43495</v>
      </c>
      <c r="B661" s="3" t="s">
        <v>1772</v>
      </c>
      <c r="C661" s="3" t="s">
        <v>1773</v>
      </c>
      <c r="D661" s="3" t="s">
        <v>1215</v>
      </c>
      <c r="E661" s="23">
        <v>1</v>
      </c>
      <c r="F661" s="23">
        <v>1.26</v>
      </c>
      <c r="G661" s="159" t="s">
        <v>1799</v>
      </c>
      <c r="H661" s="23" t="s">
        <v>1154</v>
      </c>
      <c r="J661" s="150" t="str">
        <f t="shared" si="12"/>
        <v>Barcelona CF  vs  Sevilla CF</v>
      </c>
    </row>
    <row r="662" spans="1:10">
      <c r="A662" s="31">
        <v>43497</v>
      </c>
      <c r="B662" s="143" t="s">
        <v>1852</v>
      </c>
      <c r="C662" s="144" t="s">
        <v>1853</v>
      </c>
      <c r="D662" s="143" t="s">
        <v>1735</v>
      </c>
      <c r="E662" s="145">
        <v>1</v>
      </c>
      <c r="F662" s="145">
        <v>1.19</v>
      </c>
      <c r="G662" s="146" t="s">
        <v>1562</v>
      </c>
      <c r="H662" s="145" t="s">
        <v>1154</v>
      </c>
      <c r="J662" s="150" t="str">
        <f t="shared" si="12"/>
        <v>Salzburg  vs  Beijing Guoan</v>
      </c>
    </row>
    <row r="663" spans="1:10">
      <c r="A663" s="31">
        <v>43497</v>
      </c>
      <c r="B663" s="143" t="s">
        <v>1863</v>
      </c>
      <c r="C663" s="144" t="s">
        <v>1864</v>
      </c>
      <c r="D663" s="143" t="s">
        <v>1845</v>
      </c>
      <c r="E663" s="145">
        <v>1</v>
      </c>
      <c r="F663" s="145">
        <v>2.68</v>
      </c>
      <c r="G663" s="146" t="s">
        <v>1560</v>
      </c>
      <c r="H663" s="145" t="s">
        <v>1154</v>
      </c>
      <c r="J663" s="150" t="str">
        <f t="shared" si="12"/>
        <v>Royal Excel Mouscron  vs  Sporting Charleroi</v>
      </c>
    </row>
    <row r="664" spans="1:10">
      <c r="A664" s="31">
        <v>43497</v>
      </c>
      <c r="B664" s="143" t="s">
        <v>1865</v>
      </c>
      <c r="C664" s="144" t="s">
        <v>1866</v>
      </c>
      <c r="D664" s="143" t="s">
        <v>1737</v>
      </c>
      <c r="E664" s="145">
        <v>1</v>
      </c>
      <c r="F664" s="145">
        <v>1.5</v>
      </c>
      <c r="G664" s="146" t="s">
        <v>1562</v>
      </c>
      <c r="H664" s="145" t="s">
        <v>1154</v>
      </c>
      <c r="J664" s="150" t="str">
        <f t="shared" si="12"/>
        <v>Lokomotiva Zagreb  vs  Inter Zapresic</v>
      </c>
    </row>
    <row r="665" spans="1:10">
      <c r="A665" s="31">
        <v>43497</v>
      </c>
      <c r="B665" s="143" t="s">
        <v>1878</v>
      </c>
      <c r="C665" s="144" t="s">
        <v>1879</v>
      </c>
      <c r="D665" s="143" t="s">
        <v>1848</v>
      </c>
      <c r="E665" s="145">
        <v>1</v>
      </c>
      <c r="F665" s="145">
        <v>2.35</v>
      </c>
      <c r="G665" s="146" t="s">
        <v>1560</v>
      </c>
      <c r="H665" s="145" t="s">
        <v>1154</v>
      </c>
      <c r="J665" s="150" t="str">
        <f t="shared" si="12"/>
        <v>De Graafschap  vs  NAC Breda</v>
      </c>
    </row>
    <row r="666" spans="1:10">
      <c r="A666" s="31">
        <v>43497</v>
      </c>
      <c r="B666" s="143" t="s">
        <v>1867</v>
      </c>
      <c r="C666" s="144" t="s">
        <v>1868</v>
      </c>
      <c r="D666" s="143" t="s">
        <v>1692</v>
      </c>
      <c r="E666" s="145">
        <v>1</v>
      </c>
      <c r="F666" s="145">
        <v>1.47</v>
      </c>
      <c r="G666" s="146" t="s">
        <v>1798</v>
      </c>
      <c r="H666" s="145" t="s">
        <v>1154</v>
      </c>
      <c r="J666" s="150" t="str">
        <f t="shared" si="12"/>
        <v>TPS Turku  vs  Ekenas IF</v>
      </c>
    </row>
    <row r="667" spans="1:10">
      <c r="A667" s="31">
        <v>43497</v>
      </c>
      <c r="B667" s="143" t="s">
        <v>1346</v>
      </c>
      <c r="C667" s="144" t="s">
        <v>1869</v>
      </c>
      <c r="D667" s="143" t="s">
        <v>1261</v>
      </c>
      <c r="E667" s="145">
        <v>1</v>
      </c>
      <c r="F667" s="145">
        <v>1.84</v>
      </c>
      <c r="G667" s="146" t="s">
        <v>1731</v>
      </c>
      <c r="H667" s="145" t="s">
        <v>1154</v>
      </c>
      <c r="J667" s="150" t="str">
        <f t="shared" si="12"/>
        <v>Lille OSC  vs  OGC Nice</v>
      </c>
    </row>
    <row r="668" spans="1:10">
      <c r="A668" s="31">
        <v>43497</v>
      </c>
      <c r="B668" s="143" t="s">
        <v>1872</v>
      </c>
      <c r="C668" s="144" t="s">
        <v>1873</v>
      </c>
      <c r="D668" s="143" t="s">
        <v>1693</v>
      </c>
      <c r="E668" s="145">
        <v>1</v>
      </c>
      <c r="F668" s="145">
        <v>2.52</v>
      </c>
      <c r="G668" s="146" t="s">
        <v>1795</v>
      </c>
      <c r="H668" s="145" t="s">
        <v>1154</v>
      </c>
      <c r="J668" s="150" t="str">
        <f t="shared" si="12"/>
        <v>MSV Duisburg  vs  Darmstadt 98</v>
      </c>
    </row>
    <row r="669" spans="1:10">
      <c r="A669" s="31">
        <v>43497</v>
      </c>
      <c r="B669" s="143" t="s">
        <v>1874</v>
      </c>
      <c r="C669" s="144" t="s">
        <v>1875</v>
      </c>
      <c r="D669" s="143" t="s">
        <v>1693</v>
      </c>
      <c r="E669" s="145">
        <v>1</v>
      </c>
      <c r="F669" s="145">
        <v>2.0699999999999998</v>
      </c>
      <c r="G669" s="146" t="s">
        <v>1506</v>
      </c>
      <c r="H669" s="145" t="s">
        <v>1153</v>
      </c>
      <c r="J669" s="150" t="str">
        <f t="shared" si="12"/>
        <v>Ingolstadt  vs  Magdeburg</v>
      </c>
    </row>
    <row r="670" spans="1:10">
      <c r="A670" s="31">
        <v>43497</v>
      </c>
      <c r="B670" s="143" t="s">
        <v>1876</v>
      </c>
      <c r="C670" s="144" t="s">
        <v>1877</v>
      </c>
      <c r="D670" s="143" t="s">
        <v>1847</v>
      </c>
      <c r="E670" s="145">
        <v>1</v>
      </c>
      <c r="F670" s="145">
        <v>1.78</v>
      </c>
      <c r="G670" s="146" t="s">
        <v>1510</v>
      </c>
      <c r="H670" s="145" t="s">
        <v>1153</v>
      </c>
      <c r="J670" s="150" t="str">
        <f t="shared" si="12"/>
        <v>Lecce  vs  Ascoli</v>
      </c>
    </row>
    <row r="671" spans="1:10">
      <c r="A671" s="31">
        <v>43497</v>
      </c>
      <c r="B671" s="143" t="s">
        <v>1384</v>
      </c>
      <c r="C671" s="144" t="s">
        <v>1880</v>
      </c>
      <c r="D671" s="143" t="s">
        <v>1242</v>
      </c>
      <c r="E671" s="145">
        <v>1</v>
      </c>
      <c r="F671" s="145">
        <v>1.96</v>
      </c>
      <c r="G671" s="146" t="s">
        <v>1513</v>
      </c>
      <c r="H671" s="145" t="s">
        <v>1153</v>
      </c>
      <c r="J671" s="150" t="str">
        <f t="shared" si="12"/>
        <v>Rio Ave  vs  Tondela</v>
      </c>
    </row>
    <row r="672" spans="1:10">
      <c r="A672" s="31">
        <v>43497</v>
      </c>
      <c r="B672" s="143" t="s">
        <v>1883</v>
      </c>
      <c r="C672" s="144" t="s">
        <v>1884</v>
      </c>
      <c r="D672" s="143" t="s">
        <v>1849</v>
      </c>
      <c r="E672" s="145">
        <v>1</v>
      </c>
      <c r="F672" s="145">
        <v>1.87</v>
      </c>
      <c r="G672" s="146" t="s">
        <v>1798</v>
      </c>
      <c r="H672" s="145" t="s">
        <v>1154</v>
      </c>
      <c r="J672" s="150" t="str">
        <f t="shared" si="12"/>
        <v>Aarau  vs  FC Wil</v>
      </c>
    </row>
    <row r="673" spans="1:10">
      <c r="A673" s="31">
        <v>43498</v>
      </c>
      <c r="B673" s="143" t="s">
        <v>1856</v>
      </c>
      <c r="C673" s="144" t="s">
        <v>1857</v>
      </c>
      <c r="D673" s="143" t="s">
        <v>1736</v>
      </c>
      <c r="E673" s="145">
        <v>1</v>
      </c>
      <c r="F673" s="145">
        <v>2.3199999999999998</v>
      </c>
      <c r="G673" s="146" t="s">
        <v>1798</v>
      </c>
      <c r="H673" s="145" t="s">
        <v>1154</v>
      </c>
      <c r="J673" s="150" t="str">
        <f t="shared" si="12"/>
        <v>Gimnasia de la Plata  vs  Tigre</v>
      </c>
    </row>
    <row r="674" spans="1:10">
      <c r="A674" s="31">
        <v>43498</v>
      </c>
      <c r="B674" s="151" t="s">
        <v>1936</v>
      </c>
      <c r="C674" s="144" t="s">
        <v>1937</v>
      </c>
      <c r="D674" s="143" t="s">
        <v>1692</v>
      </c>
      <c r="E674" s="145">
        <v>1</v>
      </c>
      <c r="F674" s="145">
        <v>3.9</v>
      </c>
      <c r="G674" s="146" t="s">
        <v>1523</v>
      </c>
      <c r="H674" s="145" t="s">
        <v>1154</v>
      </c>
      <c r="J674" s="150" t="str">
        <f t="shared" si="12"/>
        <v>VPS Vaasa  vs  KuPS Kuopio</v>
      </c>
    </row>
    <row r="675" spans="1:10">
      <c r="A675" s="31">
        <v>43498</v>
      </c>
      <c r="B675" s="151" t="s">
        <v>1926</v>
      </c>
      <c r="C675" s="144" t="s">
        <v>1927</v>
      </c>
      <c r="D675" s="143" t="s">
        <v>1692</v>
      </c>
      <c r="E675" s="145">
        <v>1</v>
      </c>
      <c r="F675" s="145">
        <v>3.4</v>
      </c>
      <c r="G675" s="146" t="s">
        <v>1510</v>
      </c>
      <c r="H675" s="145" t="s">
        <v>1153</v>
      </c>
      <c r="J675" s="150" t="str">
        <f t="shared" si="12"/>
        <v>MyPa  vs  Jaro Pietarsaari</v>
      </c>
    </row>
    <row r="676" spans="1:10">
      <c r="A676" s="31">
        <v>43498</v>
      </c>
      <c r="B676" s="151" t="s">
        <v>1983</v>
      </c>
      <c r="C676" s="144" t="s">
        <v>1984</v>
      </c>
      <c r="D676" s="143" t="s">
        <v>1847</v>
      </c>
      <c r="E676" s="145">
        <v>1</v>
      </c>
      <c r="F676" s="145">
        <v>3.35</v>
      </c>
      <c r="G676" s="146" t="s">
        <v>1561</v>
      </c>
      <c r="H676" s="145" t="s">
        <v>1153</v>
      </c>
      <c r="J676" s="150" t="str">
        <f t="shared" si="12"/>
        <v>Carpi  vs  Hellas Verona</v>
      </c>
    </row>
    <row r="677" spans="1:10">
      <c r="A677" s="31">
        <v>43498</v>
      </c>
      <c r="B677" s="151" t="s">
        <v>1900</v>
      </c>
      <c r="C677" s="144" t="s">
        <v>1901</v>
      </c>
      <c r="D677" s="143" t="s">
        <v>1736</v>
      </c>
      <c r="E677" s="145">
        <v>1</v>
      </c>
      <c r="F677" s="145">
        <v>3.05</v>
      </c>
      <c r="G677" s="146" t="s">
        <v>1510</v>
      </c>
      <c r="H677" s="145" t="s">
        <v>1153</v>
      </c>
      <c r="J677" s="150" t="str">
        <f t="shared" si="12"/>
        <v>San Lorenzo de Almagro  vs  independiente</v>
      </c>
    </row>
    <row r="678" spans="1:10">
      <c r="A678" s="31">
        <v>43498</v>
      </c>
      <c r="B678" s="151" t="s">
        <v>1991</v>
      </c>
      <c r="C678" s="144" t="s">
        <v>1992</v>
      </c>
      <c r="D678" s="143" t="s">
        <v>1848</v>
      </c>
      <c r="E678" s="145">
        <v>1</v>
      </c>
      <c r="F678" s="145">
        <v>2.67</v>
      </c>
      <c r="G678" s="146" t="s">
        <v>1511</v>
      </c>
      <c r="H678" s="145" t="s">
        <v>1153</v>
      </c>
      <c r="J678" s="150" t="str">
        <f t="shared" si="12"/>
        <v>Willem II  vs  Groningen</v>
      </c>
    </row>
    <row r="679" spans="1:10">
      <c r="A679" s="31">
        <v>43498</v>
      </c>
      <c r="B679" s="151" t="s">
        <v>1296</v>
      </c>
      <c r="C679" s="144" t="s">
        <v>1372</v>
      </c>
      <c r="D679" s="143" t="s">
        <v>1267</v>
      </c>
      <c r="E679" s="145">
        <v>1</v>
      </c>
      <c r="F679" s="145">
        <v>2.54</v>
      </c>
      <c r="G679" s="146" t="s">
        <v>1561</v>
      </c>
      <c r="H679" s="145" t="s">
        <v>1153</v>
      </c>
      <c r="J679" s="150" t="str">
        <f t="shared" si="12"/>
        <v>Burnley  vs  Southampton</v>
      </c>
    </row>
    <row r="680" spans="1:10">
      <c r="A680" s="31">
        <v>43498</v>
      </c>
      <c r="B680" s="151" t="s">
        <v>1403</v>
      </c>
      <c r="C680" s="144" t="s">
        <v>2001</v>
      </c>
      <c r="D680" s="143" t="s">
        <v>1265</v>
      </c>
      <c r="E680" s="145">
        <v>1</v>
      </c>
      <c r="F680" s="145">
        <v>2.5</v>
      </c>
      <c r="G680" s="146" t="s">
        <v>1510</v>
      </c>
      <c r="H680" s="145" t="s">
        <v>1153</v>
      </c>
      <c r="J680" s="150" t="str">
        <f t="shared" si="12"/>
        <v>Levante CF  vs  Getafe</v>
      </c>
    </row>
    <row r="681" spans="1:10">
      <c r="A681" s="31">
        <v>43498</v>
      </c>
      <c r="B681" s="151" t="s">
        <v>1338</v>
      </c>
      <c r="C681" s="144" t="s">
        <v>1999</v>
      </c>
      <c r="D681" s="143" t="s">
        <v>1266</v>
      </c>
      <c r="E681" s="145">
        <v>1</v>
      </c>
      <c r="F681" s="145">
        <v>2.4</v>
      </c>
      <c r="G681" s="146" t="s">
        <v>1561</v>
      </c>
      <c r="H681" s="145" t="s">
        <v>1153</v>
      </c>
      <c r="J681" s="150" t="str">
        <f t="shared" si="12"/>
        <v>Mafra  vs  SL Benfica II</v>
      </c>
    </row>
    <row r="682" spans="1:10">
      <c r="A682" s="31">
        <v>43498</v>
      </c>
      <c r="B682" s="151" t="s">
        <v>1948</v>
      </c>
      <c r="C682" s="144" t="s">
        <v>1949</v>
      </c>
      <c r="D682" s="143" t="s">
        <v>1846</v>
      </c>
      <c r="E682" s="145">
        <v>1</v>
      </c>
      <c r="F682" s="145">
        <v>2.2999999999999998</v>
      </c>
      <c r="G682" s="146" t="s">
        <v>1506</v>
      </c>
      <c r="H682" s="145" t="s">
        <v>1153</v>
      </c>
      <c r="J682" s="150" t="str">
        <f t="shared" si="12"/>
        <v>Hertha Berlin  vs  VfL Wolfsburg</v>
      </c>
    </row>
    <row r="683" spans="1:10">
      <c r="A683" s="31">
        <v>43498</v>
      </c>
      <c r="B683" s="151" t="s">
        <v>1985</v>
      </c>
      <c r="C683" s="144" t="s">
        <v>1986</v>
      </c>
      <c r="D683" s="143" t="s">
        <v>1847</v>
      </c>
      <c r="E683" s="145">
        <v>1</v>
      </c>
      <c r="F683" s="145">
        <v>2.2799999999999998</v>
      </c>
      <c r="G683" s="146" t="s">
        <v>1510</v>
      </c>
      <c r="H683" s="145" t="s">
        <v>1153</v>
      </c>
      <c r="J683" s="150" t="str">
        <f t="shared" si="12"/>
        <v>Padova  vs  Salernitana</v>
      </c>
    </row>
    <row r="684" spans="1:10">
      <c r="A684" s="31">
        <v>43498</v>
      </c>
      <c r="B684" s="151" t="s">
        <v>1762</v>
      </c>
      <c r="C684" s="144" t="s">
        <v>1956</v>
      </c>
      <c r="D684" s="143" t="s">
        <v>1693</v>
      </c>
      <c r="E684" s="145">
        <v>1</v>
      </c>
      <c r="F684" s="145">
        <v>2.13</v>
      </c>
      <c r="G684" s="146" t="s">
        <v>1523</v>
      </c>
      <c r="H684" s="145" t="s">
        <v>1154</v>
      </c>
      <c r="J684" s="150" t="str">
        <f t="shared" si="12"/>
        <v>Heidenheim  vs  Dynamo Dresden</v>
      </c>
    </row>
    <row r="685" spans="1:10">
      <c r="A685" s="31">
        <v>43498</v>
      </c>
      <c r="B685" s="151" t="s">
        <v>2016</v>
      </c>
      <c r="C685" s="144" t="s">
        <v>2017</v>
      </c>
      <c r="D685" s="143" t="s">
        <v>1850</v>
      </c>
      <c r="E685" s="145">
        <v>1</v>
      </c>
      <c r="F685" s="145">
        <v>2.13</v>
      </c>
      <c r="G685" s="146" t="s">
        <v>1561</v>
      </c>
      <c r="H685" s="145" t="s">
        <v>1153</v>
      </c>
      <c r="J685" s="150" t="str">
        <f t="shared" si="12"/>
        <v>Yeni Malatyaspor  vs  Kayserispor</v>
      </c>
    </row>
    <row r="686" spans="1:10">
      <c r="A686" s="31">
        <v>43498</v>
      </c>
      <c r="B686" s="151" t="s">
        <v>1904</v>
      </c>
      <c r="C686" s="144" t="s">
        <v>1905</v>
      </c>
      <c r="D686" s="143" t="s">
        <v>1736</v>
      </c>
      <c r="E686" s="145">
        <v>1</v>
      </c>
      <c r="F686" s="145">
        <v>2.0699999999999998</v>
      </c>
      <c r="G686" s="146" t="s">
        <v>1523</v>
      </c>
      <c r="H686" s="145" t="s">
        <v>1154</v>
      </c>
      <c r="J686" s="150" t="str">
        <f t="shared" si="12"/>
        <v>Atletico Lanus  vs  Colon de Santa Fe</v>
      </c>
    </row>
    <row r="687" spans="1:10">
      <c r="A687" s="31">
        <v>43498</v>
      </c>
      <c r="B687" s="151" t="s">
        <v>1906</v>
      </c>
      <c r="C687" s="144" t="s">
        <v>1907</v>
      </c>
      <c r="D687" s="143" t="s">
        <v>1736</v>
      </c>
      <c r="E687" s="145">
        <v>1</v>
      </c>
      <c r="F687" s="145">
        <v>2.0699999999999998</v>
      </c>
      <c r="G687" s="146" t="s">
        <v>1510</v>
      </c>
      <c r="H687" s="145" t="s">
        <v>1153</v>
      </c>
      <c r="J687" s="150" t="str">
        <f t="shared" si="12"/>
        <v>Rosario Central  vs  Aldosivi</v>
      </c>
    </row>
    <row r="688" spans="1:10">
      <c r="A688" s="31">
        <v>43498</v>
      </c>
      <c r="B688" s="151" t="s">
        <v>1392</v>
      </c>
      <c r="C688" s="144" t="s">
        <v>1382</v>
      </c>
      <c r="D688" s="143" t="s">
        <v>1242</v>
      </c>
      <c r="E688" s="145">
        <v>1</v>
      </c>
      <c r="F688" s="145">
        <v>2.0699999999999998</v>
      </c>
      <c r="G688" s="146" t="s">
        <v>1523</v>
      </c>
      <c r="H688" s="145" t="s">
        <v>1154</v>
      </c>
      <c r="J688" s="150" t="str">
        <f t="shared" si="12"/>
        <v>Chaves  vs  Maritimo Funchal</v>
      </c>
    </row>
    <row r="689" spans="1:16">
      <c r="A689" s="31">
        <v>43498</v>
      </c>
      <c r="B689" s="151" t="s">
        <v>1299</v>
      </c>
      <c r="C689" s="144" t="s">
        <v>1368</v>
      </c>
      <c r="D689" s="143" t="s">
        <v>1267</v>
      </c>
      <c r="E689" s="145">
        <v>1</v>
      </c>
      <c r="F689" s="145">
        <v>1.96</v>
      </c>
      <c r="G689" s="146" t="s">
        <v>1562</v>
      </c>
      <c r="H689" s="145" t="s">
        <v>1154</v>
      </c>
      <c r="J689" s="150" t="str">
        <f t="shared" si="12"/>
        <v>Crystal Palace  vs  Fulham</v>
      </c>
    </row>
    <row r="690" spans="1:16">
      <c r="A690" s="31">
        <v>43498</v>
      </c>
      <c r="B690" s="151" t="s">
        <v>1987</v>
      </c>
      <c r="C690" s="144" t="s">
        <v>1988</v>
      </c>
      <c r="D690" s="143" t="s">
        <v>1847</v>
      </c>
      <c r="E690" s="145">
        <v>1</v>
      </c>
      <c r="F690" s="145">
        <v>1.93</v>
      </c>
      <c r="G690" s="146" t="s">
        <v>1562</v>
      </c>
      <c r="H690" s="145" t="s">
        <v>1154</v>
      </c>
      <c r="J690" s="150" t="str">
        <f t="shared" si="12"/>
        <v>Spezia  vs  Cremonese</v>
      </c>
    </row>
    <row r="691" spans="1:16">
      <c r="A691" s="31">
        <v>43498</v>
      </c>
      <c r="B691" s="151" t="s">
        <v>1929</v>
      </c>
      <c r="C691" s="144" t="s">
        <v>1716</v>
      </c>
      <c r="D691" s="143" t="s">
        <v>1692</v>
      </c>
      <c r="E691" s="145">
        <v>1</v>
      </c>
      <c r="F691" s="145">
        <v>1.82</v>
      </c>
      <c r="G691" s="146" t="s">
        <v>1522</v>
      </c>
      <c r="H691" s="145" t="s">
        <v>1154</v>
      </c>
      <c r="J691" s="150" t="str">
        <f t="shared" si="12"/>
        <v>FC Lahti  vs  HIFK Helsinki</v>
      </c>
    </row>
    <row r="692" spans="1:16">
      <c r="A692" s="31">
        <v>43498</v>
      </c>
      <c r="B692" s="151" t="s">
        <v>1913</v>
      </c>
      <c r="C692" s="144" t="s">
        <v>1914</v>
      </c>
      <c r="D692" s="143" t="s">
        <v>1845</v>
      </c>
      <c r="E692" s="145">
        <v>1</v>
      </c>
      <c r="F692" s="145">
        <v>1.77</v>
      </c>
      <c r="G692" s="154" t="s">
        <v>1795</v>
      </c>
      <c r="H692" s="145" t="s">
        <v>1154</v>
      </c>
      <c r="J692" s="150" t="str">
        <f t="shared" si="12"/>
        <v>Zulte-Waregem  vs  Cercle Brugge</v>
      </c>
    </row>
    <row r="693" spans="1:16">
      <c r="A693" s="31">
        <v>43498</v>
      </c>
      <c r="B693" s="151" t="s">
        <v>1359</v>
      </c>
      <c r="C693" s="144" t="s">
        <v>1940</v>
      </c>
      <c r="D693" s="143" t="s">
        <v>1261</v>
      </c>
      <c r="E693" s="145">
        <v>1</v>
      </c>
      <c r="F693" s="145">
        <v>1.76</v>
      </c>
      <c r="G693" s="146" t="s">
        <v>1522</v>
      </c>
      <c r="H693" s="145" t="s">
        <v>1154</v>
      </c>
      <c r="J693" s="150" t="str">
        <f t="shared" si="12"/>
        <v>AS Monaco  vs  Toulouse</v>
      </c>
    </row>
    <row r="694" spans="1:16">
      <c r="A694" s="31">
        <v>43498</v>
      </c>
      <c r="B694" s="151" t="s">
        <v>1959</v>
      </c>
      <c r="C694" s="144" t="s">
        <v>1960</v>
      </c>
      <c r="D694" s="143" t="s">
        <v>1897</v>
      </c>
      <c r="E694" s="145">
        <v>1</v>
      </c>
      <c r="F694" s="145">
        <v>1.7</v>
      </c>
      <c r="G694" s="146" t="s">
        <v>1511</v>
      </c>
      <c r="H694" s="145" t="s">
        <v>1153</v>
      </c>
      <c r="J694" s="150" t="str">
        <f t="shared" si="12"/>
        <v>MTK Budapest  vs  Paksi SE</v>
      </c>
    </row>
    <row r="695" spans="1:16">
      <c r="A695" s="31">
        <v>43498</v>
      </c>
      <c r="B695" s="151" t="s">
        <v>1989</v>
      </c>
      <c r="C695" s="144" t="s">
        <v>1990</v>
      </c>
      <c r="D695" s="143" t="s">
        <v>1848</v>
      </c>
      <c r="E695" s="145">
        <v>1</v>
      </c>
      <c r="F695" s="145">
        <v>1.7</v>
      </c>
      <c r="G695" s="146" t="s">
        <v>1513</v>
      </c>
      <c r="H695" s="145" t="s">
        <v>1153</v>
      </c>
      <c r="J695" s="150" t="str">
        <f t="shared" si="12"/>
        <v>Vitesse Arnhem  vs  Heerenveen</v>
      </c>
    </row>
    <row r="696" spans="1:16">
      <c r="A696" s="31">
        <v>43498</v>
      </c>
      <c r="B696" s="151" t="s">
        <v>1358</v>
      </c>
      <c r="C696" s="144" t="s">
        <v>1908</v>
      </c>
      <c r="D696" s="143" t="s">
        <v>1257</v>
      </c>
      <c r="E696" s="145">
        <v>1</v>
      </c>
      <c r="F696" s="145">
        <v>1.6</v>
      </c>
      <c r="G696" s="146" t="s">
        <v>1560</v>
      </c>
      <c r="H696" s="145" t="s">
        <v>1154</v>
      </c>
      <c r="J696" s="150" t="str">
        <f t="shared" si="12"/>
        <v>Perth Glory  vs  Wellington Phoenix</v>
      </c>
    </row>
    <row r="697" spans="1:16">
      <c r="A697" s="31">
        <v>43498</v>
      </c>
      <c r="B697" s="151" t="s">
        <v>1327</v>
      </c>
      <c r="C697" s="144" t="s">
        <v>1941</v>
      </c>
      <c r="D697" s="143" t="s">
        <v>1261</v>
      </c>
      <c r="E697" s="145">
        <v>1</v>
      </c>
      <c r="F697" s="145">
        <v>1.6</v>
      </c>
      <c r="G697" s="146" t="s">
        <v>1523</v>
      </c>
      <c r="H697" s="145" t="s">
        <v>1154</v>
      </c>
      <c r="J697" s="150" t="str">
        <f t="shared" si="12"/>
        <v>Stade Rennais  vs  Amiens SC</v>
      </c>
    </row>
    <row r="698" spans="1:16">
      <c r="A698" s="31">
        <v>43498</v>
      </c>
      <c r="B698" s="151" t="s">
        <v>1968</v>
      </c>
      <c r="C698" s="144" t="s">
        <v>1969</v>
      </c>
      <c r="D698" s="143" t="s">
        <v>1897</v>
      </c>
      <c r="E698" s="145">
        <v>1</v>
      </c>
      <c r="F698" s="145">
        <v>1.5</v>
      </c>
      <c r="G698" s="146" t="s">
        <v>1523</v>
      </c>
      <c r="H698" s="145" t="s">
        <v>1154</v>
      </c>
      <c r="J698" s="150" t="str">
        <f t="shared" si="12"/>
        <v>Ferencvaros  vs  Budapest Honved</v>
      </c>
    </row>
    <row r="699" spans="1:16">
      <c r="A699" s="31">
        <v>43498</v>
      </c>
      <c r="B699" s="151" t="s">
        <v>2010</v>
      </c>
      <c r="C699" s="144" t="s">
        <v>2011</v>
      </c>
      <c r="D699" s="143" t="s">
        <v>1849</v>
      </c>
      <c r="E699" s="145">
        <v>1</v>
      </c>
      <c r="F699" s="145">
        <v>1.48</v>
      </c>
      <c r="G699" s="146" t="s">
        <v>1564</v>
      </c>
      <c r="H699" s="145" t="s">
        <v>1564</v>
      </c>
      <c r="J699" s="150" t="str">
        <f t="shared" si="12"/>
        <v>Lausanne Sport  vs  SC Kriens</v>
      </c>
      <c r="P699" s="3">
        <f>+P2-P3-P4-P5</f>
        <v>0</v>
      </c>
    </row>
    <row r="700" spans="1:16">
      <c r="A700" s="31">
        <v>43498</v>
      </c>
      <c r="B700" s="151" t="s">
        <v>2012</v>
      </c>
      <c r="C700" s="144" t="s">
        <v>2013</v>
      </c>
      <c r="D700" s="143" t="s">
        <v>1849</v>
      </c>
      <c r="E700" s="145">
        <v>1</v>
      </c>
      <c r="F700" s="145">
        <v>1.48</v>
      </c>
      <c r="G700" s="146" t="s">
        <v>1509</v>
      </c>
      <c r="H700" s="145" t="s">
        <v>1153</v>
      </c>
      <c r="J700" s="150" t="str">
        <f t="shared" si="12"/>
        <v>FC Schaffhausen  vs  Chiasso</v>
      </c>
    </row>
    <row r="701" spans="1:16">
      <c r="A701" s="31">
        <v>43498</v>
      </c>
      <c r="B701" s="151" t="s">
        <v>1942</v>
      </c>
      <c r="C701" s="144" t="s">
        <v>1943</v>
      </c>
      <c r="D701" s="143" t="s">
        <v>1846</v>
      </c>
      <c r="E701" s="145">
        <v>1</v>
      </c>
      <c r="F701" s="145">
        <v>1.45</v>
      </c>
      <c r="G701" s="146" t="s">
        <v>1561</v>
      </c>
      <c r="H701" s="145" t="s">
        <v>1153</v>
      </c>
      <c r="J701" s="150" t="str">
        <f t="shared" si="12"/>
        <v>Hoffenheim  vs  Fortuna Dusseldorf</v>
      </c>
    </row>
    <row r="702" spans="1:16">
      <c r="A702" s="31">
        <v>43498</v>
      </c>
      <c r="B702" s="151" t="s">
        <v>1293</v>
      </c>
      <c r="C702" s="144" t="s">
        <v>1370</v>
      </c>
      <c r="D702" s="143" t="s">
        <v>1257</v>
      </c>
      <c r="E702" s="145">
        <v>1</v>
      </c>
      <c r="F702" s="145">
        <v>1.44</v>
      </c>
      <c r="G702" s="146" t="s">
        <v>2124</v>
      </c>
      <c r="H702" s="145" t="s">
        <v>1154</v>
      </c>
      <c r="J702" s="150" t="str">
        <f t="shared" si="12"/>
        <v>Adelaide United  vs  Brisbane Roar</v>
      </c>
    </row>
    <row r="703" spans="1:16">
      <c r="A703" s="31">
        <v>43498</v>
      </c>
      <c r="B703" s="151" t="s">
        <v>1961</v>
      </c>
      <c r="C703" s="144" t="s">
        <v>1962</v>
      </c>
      <c r="D703" s="143" t="s">
        <v>1897</v>
      </c>
      <c r="E703" s="145">
        <v>1</v>
      </c>
      <c r="F703" s="145">
        <v>1.44</v>
      </c>
      <c r="G703" s="146" t="s">
        <v>1508</v>
      </c>
      <c r="H703" s="145" t="s">
        <v>1153</v>
      </c>
      <c r="J703" s="150" t="str">
        <f t="shared" si="12"/>
        <v>Vidi  vs  Puskas FC</v>
      </c>
    </row>
    <row r="704" spans="1:16">
      <c r="A704" s="31">
        <v>43498</v>
      </c>
      <c r="B704" s="151" t="s">
        <v>2014</v>
      </c>
      <c r="C704" s="144" t="s">
        <v>2015</v>
      </c>
      <c r="D704" s="143" t="s">
        <v>1849</v>
      </c>
      <c r="E704" s="145">
        <v>1</v>
      </c>
      <c r="F704" s="145">
        <v>1.44</v>
      </c>
      <c r="G704" s="146" t="s">
        <v>1562</v>
      </c>
      <c r="H704" s="145" t="s">
        <v>1154</v>
      </c>
      <c r="J704" s="150" t="str">
        <f t="shared" si="12"/>
        <v>Servette  vs  Vaduz</v>
      </c>
    </row>
    <row r="705" spans="1:10">
      <c r="A705" s="31">
        <v>43498</v>
      </c>
      <c r="B705" s="151" t="s">
        <v>1352</v>
      </c>
      <c r="C705" s="144" t="s">
        <v>1921</v>
      </c>
      <c r="D705" s="143" t="s">
        <v>1267</v>
      </c>
      <c r="E705" s="145">
        <v>1</v>
      </c>
      <c r="F705" s="145">
        <v>1.43</v>
      </c>
      <c r="G705" s="146" t="s">
        <v>1523</v>
      </c>
      <c r="H705" s="145" t="s">
        <v>1154</v>
      </c>
      <c r="J705" s="150" t="str">
        <f t="shared" si="12"/>
        <v>Tottenham Hotspur  vs  Newcastle United</v>
      </c>
    </row>
    <row r="706" spans="1:10">
      <c r="A706" s="31">
        <v>43498</v>
      </c>
      <c r="B706" s="151" t="s">
        <v>1957</v>
      </c>
      <c r="C706" s="144" t="s">
        <v>1958</v>
      </c>
      <c r="D706" s="143" t="s">
        <v>1693</v>
      </c>
      <c r="E706" s="145">
        <v>1</v>
      </c>
      <c r="F706" s="145">
        <v>1.42</v>
      </c>
      <c r="G706" s="146" t="s">
        <v>2127</v>
      </c>
      <c r="H706" s="145" t="s">
        <v>1154</v>
      </c>
      <c r="J706" s="150" t="str">
        <f t="shared" si="12"/>
        <v>Paderborn 07  vs  Greuther Furth</v>
      </c>
    </row>
    <row r="707" spans="1:10">
      <c r="A707" s="31">
        <v>43498</v>
      </c>
      <c r="B707" s="151" t="s">
        <v>2020</v>
      </c>
      <c r="C707" s="144" t="s">
        <v>2021</v>
      </c>
      <c r="D707" s="143" t="s">
        <v>1850</v>
      </c>
      <c r="E707" s="145">
        <v>1</v>
      </c>
      <c r="F707" s="145">
        <v>1.36</v>
      </c>
      <c r="G707" s="146" t="s">
        <v>1523</v>
      </c>
      <c r="H707" s="145" t="s">
        <v>1154</v>
      </c>
      <c r="J707" s="150" t="str">
        <f t="shared" si="12"/>
        <v>Trabzonspor  vs  Ankaragucu</v>
      </c>
    </row>
    <row r="708" spans="1:10">
      <c r="A708" s="31">
        <v>43498</v>
      </c>
      <c r="B708" s="151" t="s">
        <v>1977</v>
      </c>
      <c r="C708" s="144" t="s">
        <v>1978</v>
      </c>
      <c r="D708" s="143" t="s">
        <v>1898</v>
      </c>
      <c r="E708" s="145">
        <v>1</v>
      </c>
      <c r="F708" s="145">
        <v>1.3</v>
      </c>
      <c r="G708" s="146" t="s">
        <v>1560</v>
      </c>
      <c r="H708" s="145" t="s">
        <v>1153</v>
      </c>
      <c r="J708" s="150" t="str">
        <f t="shared" si="12"/>
        <v>SSC Napoli  vs  Sampdoria</v>
      </c>
    </row>
    <row r="709" spans="1:10">
      <c r="A709" s="31">
        <v>43498</v>
      </c>
      <c r="B709" s="151" t="s">
        <v>1995</v>
      </c>
      <c r="C709" s="144" t="s">
        <v>1996</v>
      </c>
      <c r="D709" s="143" t="s">
        <v>1848</v>
      </c>
      <c r="E709" s="145">
        <v>1</v>
      </c>
      <c r="F709" s="145">
        <v>1.25</v>
      </c>
      <c r="G709" s="146" t="s">
        <v>2126</v>
      </c>
      <c r="H709" s="145" t="s">
        <v>1154</v>
      </c>
      <c r="J709" s="150" t="str">
        <f t="shared" si="12"/>
        <v>AZ Alkmaar  vs  FC Emmen</v>
      </c>
    </row>
    <row r="710" spans="1:10">
      <c r="A710" s="31">
        <v>43498</v>
      </c>
      <c r="B710" s="151" t="s">
        <v>2008</v>
      </c>
      <c r="C710" s="144" t="s">
        <v>2009</v>
      </c>
      <c r="D710" s="143" t="s">
        <v>1899</v>
      </c>
      <c r="E710" s="145">
        <v>1</v>
      </c>
      <c r="F710" s="145">
        <v>1.25</v>
      </c>
      <c r="G710" s="146" t="s">
        <v>1562</v>
      </c>
      <c r="H710" s="145" t="s">
        <v>1154</v>
      </c>
      <c r="J710" s="150" t="str">
        <f t="shared" si="12"/>
        <v>Young Boys Bern  vs  Neuchatel Xamax</v>
      </c>
    </row>
    <row r="711" spans="1:10">
      <c r="A711" s="31">
        <v>43498</v>
      </c>
      <c r="B711" s="151" t="s">
        <v>1273</v>
      </c>
      <c r="C711" s="144" t="s">
        <v>1417</v>
      </c>
      <c r="D711" s="143" t="s">
        <v>1267</v>
      </c>
      <c r="E711" s="145">
        <v>1</v>
      </c>
      <c r="F711" s="145">
        <v>1.24</v>
      </c>
      <c r="G711" s="146" t="s">
        <v>2126</v>
      </c>
      <c r="H711" s="145" t="s">
        <v>1154</v>
      </c>
      <c r="J711" s="150" t="str">
        <f t="shared" si="12"/>
        <v>Chelsea  vs  Huddersfield Town</v>
      </c>
    </row>
    <row r="712" spans="1:10">
      <c r="A712" s="31">
        <v>43498</v>
      </c>
      <c r="B712" s="151" t="s">
        <v>1715</v>
      </c>
      <c r="C712" s="144" t="s">
        <v>1928</v>
      </c>
      <c r="D712" s="143" t="s">
        <v>1692</v>
      </c>
      <c r="E712" s="145">
        <v>1</v>
      </c>
      <c r="F712" s="145">
        <v>1.19</v>
      </c>
      <c r="G712" s="146" t="s">
        <v>1513</v>
      </c>
      <c r="H712" s="145" t="s">
        <v>1153</v>
      </c>
      <c r="J712" s="150" t="str">
        <f t="shared" ref="J712:J775" si="13">CONCATENATE(B712," vs ",C712)</f>
        <v>HJK Helsinki  vs  IFK Mariehamn</v>
      </c>
    </row>
    <row r="713" spans="1:10">
      <c r="A713" s="31">
        <v>43498</v>
      </c>
      <c r="B713" s="151" t="s">
        <v>1979</v>
      </c>
      <c r="C713" s="144" t="s">
        <v>1980</v>
      </c>
      <c r="D713" s="143" t="s">
        <v>1898</v>
      </c>
      <c r="E713" s="145">
        <v>1</v>
      </c>
      <c r="F713" s="145">
        <v>1.19</v>
      </c>
      <c r="G713" s="146" t="s">
        <v>1512</v>
      </c>
      <c r="H713" s="145" t="s">
        <v>1153</v>
      </c>
      <c r="J713" s="150" t="str">
        <f t="shared" si="13"/>
        <v>Juventus  vs  Parma</v>
      </c>
    </row>
    <row r="714" spans="1:10">
      <c r="A714" s="31">
        <v>43498</v>
      </c>
      <c r="B714" s="151" t="s">
        <v>1993</v>
      </c>
      <c r="C714" s="144" t="s">
        <v>1994</v>
      </c>
      <c r="D714" s="143" t="s">
        <v>1848</v>
      </c>
      <c r="E714" s="145">
        <v>1</v>
      </c>
      <c r="F714" s="145">
        <v>1.08</v>
      </c>
      <c r="G714" s="146" t="s">
        <v>2127</v>
      </c>
      <c r="H714" s="145" t="s">
        <v>1154</v>
      </c>
      <c r="J714" s="150" t="str">
        <f t="shared" si="13"/>
        <v>AFC Ajax Amsterdam  vs  VVV Venlo</v>
      </c>
    </row>
    <row r="715" spans="1:10">
      <c r="A715" s="31">
        <v>43498</v>
      </c>
      <c r="B715" s="151" t="s">
        <v>1917</v>
      </c>
      <c r="C715" s="144" t="s">
        <v>1918</v>
      </c>
      <c r="D715" s="143" t="s">
        <v>1737</v>
      </c>
      <c r="E715" s="145">
        <v>1</v>
      </c>
      <c r="F715" s="145">
        <v>1.07</v>
      </c>
      <c r="G715" s="146" t="s">
        <v>2125</v>
      </c>
      <c r="H715" s="145" t="s">
        <v>1154</v>
      </c>
      <c r="J715" s="150" t="str">
        <f t="shared" si="13"/>
        <v>Dinamo Zagreb  vs  Rudes</v>
      </c>
    </row>
    <row r="716" spans="1:10">
      <c r="A716" s="31">
        <v>43499</v>
      </c>
      <c r="B716" s="151" t="s">
        <v>1774</v>
      </c>
      <c r="C716" s="144" t="s">
        <v>1502</v>
      </c>
      <c r="D716" s="143" t="s">
        <v>1265</v>
      </c>
      <c r="E716" s="145">
        <v>1</v>
      </c>
      <c r="F716" s="145">
        <v>3.55</v>
      </c>
      <c r="G716" s="146" t="s">
        <v>1523</v>
      </c>
      <c r="H716" s="145" t="s">
        <v>1154</v>
      </c>
      <c r="J716" s="150" t="str">
        <f t="shared" si="13"/>
        <v>Real Betis Balompie  vs  Atletico Madrid</v>
      </c>
    </row>
    <row r="717" spans="1:10">
      <c r="A717" s="31">
        <v>43499</v>
      </c>
      <c r="B717" s="151" t="s">
        <v>1285</v>
      </c>
      <c r="C717" s="144" t="s">
        <v>2093</v>
      </c>
      <c r="D717" s="143" t="s">
        <v>1242</v>
      </c>
      <c r="E717" s="145">
        <v>1</v>
      </c>
      <c r="F717" s="145">
        <v>3.15</v>
      </c>
      <c r="G717" s="146" t="s">
        <v>2134</v>
      </c>
      <c r="H717" s="145" t="s">
        <v>1153</v>
      </c>
      <c r="J717" s="150" t="str">
        <f t="shared" si="13"/>
        <v>Sporting Clube de Portugal  vs  SL Benfica</v>
      </c>
    </row>
    <row r="718" spans="1:10">
      <c r="A718" s="31">
        <v>43499</v>
      </c>
      <c r="B718" s="151" t="s">
        <v>2081</v>
      </c>
      <c r="C718" s="144" t="s">
        <v>2082</v>
      </c>
      <c r="D718" s="143" t="s">
        <v>1847</v>
      </c>
      <c r="E718" s="145">
        <v>1</v>
      </c>
      <c r="F718" s="145">
        <v>2.48</v>
      </c>
      <c r="G718" s="146" t="s">
        <v>1892</v>
      </c>
      <c r="H718" s="145" t="s">
        <v>1153</v>
      </c>
      <c r="J718" s="150" t="str">
        <f t="shared" si="13"/>
        <v>Pescara  vs  Brescia</v>
      </c>
    </row>
    <row r="719" spans="1:10">
      <c r="A719" s="31">
        <v>43499</v>
      </c>
      <c r="B719" s="151" t="s">
        <v>2091</v>
      </c>
      <c r="C719" s="144" t="s">
        <v>1381</v>
      </c>
      <c r="D719" s="143" t="s">
        <v>1242</v>
      </c>
      <c r="E719" s="145">
        <v>1</v>
      </c>
      <c r="F719" s="145">
        <v>2.33</v>
      </c>
      <c r="G719" s="146" t="s">
        <v>1510</v>
      </c>
      <c r="H719" s="145" t="s">
        <v>1153</v>
      </c>
      <c r="J719" s="150" t="str">
        <f t="shared" si="13"/>
        <v>CD Nacional de Madeira  vs  Vitoria Setubal</v>
      </c>
    </row>
    <row r="720" spans="1:10">
      <c r="A720" s="31">
        <v>43499</v>
      </c>
      <c r="B720" s="151" t="s">
        <v>2060</v>
      </c>
      <c r="C720" s="144" t="s">
        <v>2061</v>
      </c>
      <c r="D720" s="143" t="s">
        <v>1693</v>
      </c>
      <c r="E720" s="145">
        <v>1</v>
      </c>
      <c r="F720" s="145">
        <v>2.1</v>
      </c>
      <c r="G720" s="146" t="s">
        <v>1562</v>
      </c>
      <c r="H720" s="145" t="s">
        <v>1154</v>
      </c>
      <c r="J720" s="150" t="str">
        <f t="shared" si="13"/>
        <v>Holstein Kiel  vs  Jahn Regensburg</v>
      </c>
    </row>
    <row r="721" spans="1:10">
      <c r="A721" s="31">
        <v>43499</v>
      </c>
      <c r="B721" s="151" t="s">
        <v>1314</v>
      </c>
      <c r="C721" s="144" t="s">
        <v>1389</v>
      </c>
      <c r="D721" s="143" t="s">
        <v>1266</v>
      </c>
      <c r="E721" s="145">
        <v>1</v>
      </c>
      <c r="F721" s="145">
        <v>2.1</v>
      </c>
      <c r="G721" s="146" t="s">
        <v>1562</v>
      </c>
      <c r="H721" s="145" t="s">
        <v>1154</v>
      </c>
      <c r="J721" s="150" t="str">
        <f t="shared" si="13"/>
        <v>FC Porto II  vs  Penafiel</v>
      </c>
    </row>
    <row r="722" spans="1:10">
      <c r="A722" s="31">
        <v>43499</v>
      </c>
      <c r="B722" s="151" t="s">
        <v>2044</v>
      </c>
      <c r="C722" s="144" t="s">
        <v>2045</v>
      </c>
      <c r="D722" s="143" t="s">
        <v>1845</v>
      </c>
      <c r="E722" s="145">
        <v>1</v>
      </c>
      <c r="F722" s="145">
        <v>2.06</v>
      </c>
      <c r="G722" s="146" t="s">
        <v>1522</v>
      </c>
      <c r="H722" s="145" t="s">
        <v>1154</v>
      </c>
      <c r="J722" s="150" t="str">
        <f t="shared" si="13"/>
        <v>Standard de Liege  vs  RSC Anderlecht</v>
      </c>
    </row>
    <row r="723" spans="1:10">
      <c r="A723" s="31">
        <v>43499</v>
      </c>
      <c r="B723" s="151" t="s">
        <v>2077</v>
      </c>
      <c r="C723" s="144" t="s">
        <v>2078</v>
      </c>
      <c r="D723" s="143" t="s">
        <v>1847</v>
      </c>
      <c r="E723" s="145">
        <v>1</v>
      </c>
      <c r="F723" s="145">
        <v>1.88</v>
      </c>
      <c r="G723" s="146" t="s">
        <v>1561</v>
      </c>
      <c r="H723" s="145" t="s">
        <v>1153</v>
      </c>
      <c r="J723" s="150" t="str">
        <f t="shared" si="13"/>
        <v>Crotone  vs  Livorno</v>
      </c>
    </row>
    <row r="724" spans="1:10">
      <c r="A724" s="31">
        <v>43499</v>
      </c>
      <c r="B724" s="151" t="s">
        <v>2108</v>
      </c>
      <c r="C724" s="144" t="s">
        <v>2109</v>
      </c>
      <c r="D724" s="143" t="s">
        <v>1849</v>
      </c>
      <c r="E724" s="145">
        <v>1</v>
      </c>
      <c r="F724" s="145">
        <v>1.72</v>
      </c>
      <c r="G724" s="146" t="s">
        <v>1564</v>
      </c>
      <c r="H724" s="145" t="s">
        <v>1564</v>
      </c>
      <c r="J724" s="150" t="str">
        <f t="shared" si="13"/>
        <v>Winterthur  vs  Rapperswil-Jona</v>
      </c>
    </row>
    <row r="725" spans="1:10">
      <c r="A725" s="31">
        <v>43499</v>
      </c>
      <c r="B725" s="151" t="s">
        <v>2042</v>
      </c>
      <c r="C725" s="144" t="s">
        <v>2043</v>
      </c>
      <c r="D725" s="143" t="s">
        <v>1845</v>
      </c>
      <c r="E725" s="145">
        <v>1</v>
      </c>
      <c r="F725" s="145">
        <v>1.7</v>
      </c>
      <c r="G725" s="146" t="s">
        <v>1561</v>
      </c>
      <c r="H725" s="145" t="s">
        <v>1153</v>
      </c>
      <c r="J725" s="150" t="str">
        <f t="shared" si="13"/>
        <v>Club Brugge  vs  AA Gent</v>
      </c>
    </row>
    <row r="726" spans="1:10">
      <c r="A726" s="31">
        <v>43499</v>
      </c>
      <c r="B726" s="151" t="s">
        <v>1339</v>
      </c>
      <c r="C726" s="144" t="s">
        <v>2097</v>
      </c>
      <c r="D726" s="143" t="s">
        <v>1266</v>
      </c>
      <c r="E726" s="145">
        <v>1</v>
      </c>
      <c r="F726" s="145">
        <v>1.7</v>
      </c>
      <c r="G726" s="146" t="s">
        <v>1562</v>
      </c>
      <c r="H726" s="145" t="s">
        <v>1154</v>
      </c>
      <c r="J726" s="150" t="str">
        <f t="shared" si="13"/>
        <v>Arouca  vs  Academico Viseu</v>
      </c>
    </row>
    <row r="727" spans="1:10">
      <c r="A727" s="31">
        <v>43499</v>
      </c>
      <c r="B727" s="151" t="s">
        <v>1340</v>
      </c>
      <c r="C727" s="144" t="s">
        <v>2101</v>
      </c>
      <c r="D727" s="143" t="s">
        <v>1265</v>
      </c>
      <c r="E727" s="145">
        <v>1</v>
      </c>
      <c r="F727" s="145">
        <v>1.7</v>
      </c>
      <c r="G727" s="146" t="s">
        <v>1560</v>
      </c>
      <c r="H727" s="145" t="s">
        <v>1154</v>
      </c>
      <c r="J727" s="150" t="str">
        <f t="shared" si="13"/>
        <v>Eibar  vs  Girona</v>
      </c>
    </row>
    <row r="728" spans="1:10">
      <c r="A728" s="31">
        <v>43499</v>
      </c>
      <c r="B728" s="151" t="s">
        <v>2036</v>
      </c>
      <c r="C728" s="144" t="s">
        <v>2037</v>
      </c>
      <c r="D728" s="143" t="s">
        <v>1736</v>
      </c>
      <c r="E728" s="145">
        <v>1</v>
      </c>
      <c r="F728" s="145">
        <v>1.56</v>
      </c>
      <c r="G728" s="146" t="s">
        <v>1798</v>
      </c>
      <c r="H728" s="145" t="s">
        <v>1154</v>
      </c>
      <c r="J728" s="150" t="str">
        <f t="shared" si="13"/>
        <v>Racing Club Avellaneda  vs  Atletico Huracan</v>
      </c>
    </row>
    <row r="729" spans="1:10">
      <c r="A729" s="31">
        <v>43499</v>
      </c>
      <c r="B729" s="151" t="s">
        <v>2050</v>
      </c>
      <c r="C729" s="144" t="s">
        <v>2051</v>
      </c>
      <c r="D729" s="143" t="s">
        <v>1737</v>
      </c>
      <c r="E729" s="145">
        <v>1</v>
      </c>
      <c r="F729" s="145">
        <v>1.5</v>
      </c>
      <c r="G729" s="146" t="s">
        <v>1591</v>
      </c>
      <c r="H729" s="145" t="s">
        <v>1153</v>
      </c>
      <c r="J729" s="150" t="str">
        <f t="shared" si="13"/>
        <v>Rijeka  vs  Gorica</v>
      </c>
    </row>
    <row r="730" spans="1:10">
      <c r="A730" s="31">
        <v>43499</v>
      </c>
      <c r="B730" s="151" t="s">
        <v>2034</v>
      </c>
      <c r="C730" s="144" t="s">
        <v>2035</v>
      </c>
      <c r="D730" s="143" t="s">
        <v>1736</v>
      </c>
      <c r="E730" s="145">
        <v>1</v>
      </c>
      <c r="F730" s="145">
        <v>1.45</v>
      </c>
      <c r="G730" s="146" t="s">
        <v>1562</v>
      </c>
      <c r="H730" s="145" t="s">
        <v>1154</v>
      </c>
      <c r="J730" s="150" t="str">
        <f t="shared" si="13"/>
        <v>Boca Juniors  vs  Godoy Cruz de Mendoza</v>
      </c>
    </row>
    <row r="731" spans="1:10">
      <c r="A731" s="31">
        <v>43499</v>
      </c>
      <c r="B731" s="151" t="s">
        <v>1804</v>
      </c>
      <c r="C731" s="144" t="s">
        <v>2074</v>
      </c>
      <c r="D731" s="143" t="s">
        <v>1898</v>
      </c>
      <c r="E731" s="145">
        <v>1</v>
      </c>
      <c r="F731" s="145">
        <v>1.38</v>
      </c>
      <c r="G731" s="146" t="s">
        <v>1506</v>
      </c>
      <c r="H731" s="145" t="s">
        <v>1153</v>
      </c>
      <c r="J731" s="150" t="str">
        <f t="shared" si="13"/>
        <v>Internazionale  vs  Bologna</v>
      </c>
    </row>
    <row r="732" spans="1:10">
      <c r="A732" s="31">
        <v>43499</v>
      </c>
      <c r="B732" s="151" t="s">
        <v>1480</v>
      </c>
      <c r="C732" s="144" t="s">
        <v>2067</v>
      </c>
      <c r="D732" s="143" t="s">
        <v>1264</v>
      </c>
      <c r="E732" s="145">
        <v>1</v>
      </c>
      <c r="F732" s="145">
        <v>1.34</v>
      </c>
      <c r="G732" s="146" t="s">
        <v>1561</v>
      </c>
      <c r="H732" s="145" t="s">
        <v>1153</v>
      </c>
      <c r="J732" s="150" t="str">
        <f t="shared" si="13"/>
        <v>Maccabi Tel-Aviv  vs  Hapoel Haifa</v>
      </c>
    </row>
    <row r="733" spans="1:10">
      <c r="A733" s="31">
        <v>43499</v>
      </c>
      <c r="B733" s="151" t="s">
        <v>1284</v>
      </c>
      <c r="C733" s="144" t="s">
        <v>2053</v>
      </c>
      <c r="D733" s="143" t="s">
        <v>1267</v>
      </c>
      <c r="E733" s="145">
        <v>1</v>
      </c>
      <c r="F733" s="145">
        <v>1.3</v>
      </c>
      <c r="G733" s="146" t="s">
        <v>1798</v>
      </c>
      <c r="H733" s="145" t="s">
        <v>1154</v>
      </c>
      <c r="J733" s="150" t="str">
        <f t="shared" si="13"/>
        <v>Manchester City  vs  Arsenal</v>
      </c>
    </row>
    <row r="734" spans="1:10">
      <c r="A734" s="31">
        <v>43499</v>
      </c>
      <c r="B734" s="151" t="s">
        <v>1341</v>
      </c>
      <c r="C734" s="144" t="s">
        <v>2100</v>
      </c>
      <c r="D734" s="143" t="s">
        <v>1265</v>
      </c>
      <c r="E734" s="145">
        <v>1</v>
      </c>
      <c r="F734" s="145">
        <v>1.25</v>
      </c>
      <c r="G734" s="146" t="s">
        <v>1560</v>
      </c>
      <c r="H734" s="145" t="s">
        <v>1154</v>
      </c>
      <c r="J734" s="150" t="str">
        <f t="shared" si="13"/>
        <v>Real Madrid  vs  Deportivo Alaves</v>
      </c>
    </row>
    <row r="735" spans="1:10">
      <c r="A735" s="31">
        <v>43499</v>
      </c>
      <c r="B735" s="151" t="s">
        <v>2087</v>
      </c>
      <c r="C735" s="144" t="s">
        <v>2088</v>
      </c>
      <c r="D735" s="143" t="s">
        <v>1848</v>
      </c>
      <c r="E735" s="145">
        <v>1</v>
      </c>
      <c r="F735" s="145">
        <v>1.1499999999999999</v>
      </c>
      <c r="G735" s="146" t="s">
        <v>2126</v>
      </c>
      <c r="H735" s="145" t="s">
        <v>1154</v>
      </c>
      <c r="J735" s="150" t="str">
        <f t="shared" si="13"/>
        <v>PSV Eindhoven  vs  Fortuna Sittard</v>
      </c>
    </row>
    <row r="736" spans="1:10">
      <c r="A736" s="31">
        <v>43500</v>
      </c>
      <c r="B736" s="151" t="s">
        <v>2169</v>
      </c>
      <c r="C736" s="144" t="s">
        <v>2170</v>
      </c>
      <c r="D736" s="143" t="s">
        <v>1736</v>
      </c>
      <c r="E736" s="145">
        <v>1</v>
      </c>
      <c r="F736" s="145">
        <v>3</v>
      </c>
      <c r="G736" s="146" t="s">
        <v>1560</v>
      </c>
      <c r="H736" s="145" t="s">
        <v>1154</v>
      </c>
      <c r="J736" s="150" t="str">
        <f t="shared" si="13"/>
        <v>Patronato  vs  Atletico Tucuman</v>
      </c>
    </row>
    <row r="737" spans="1:10">
      <c r="A737" s="31">
        <v>43500</v>
      </c>
      <c r="B737" s="151" t="s">
        <v>1602</v>
      </c>
      <c r="C737" s="144" t="s">
        <v>1405</v>
      </c>
      <c r="D737" s="143" t="s">
        <v>1265</v>
      </c>
      <c r="E737" s="145">
        <v>1</v>
      </c>
      <c r="F737" s="145">
        <v>2.35</v>
      </c>
      <c r="G737" s="146" t="s">
        <v>1511</v>
      </c>
      <c r="H737" s="145" t="s">
        <v>1153</v>
      </c>
      <c r="J737" s="150" t="str">
        <f t="shared" si="13"/>
        <v>Rayo Vallecano de Madrid  vs  Leganes CF</v>
      </c>
    </row>
    <row r="738" spans="1:10">
      <c r="A738" s="31">
        <v>43500</v>
      </c>
      <c r="B738" s="151" t="s">
        <v>2172</v>
      </c>
      <c r="C738" s="144" t="s">
        <v>2173</v>
      </c>
      <c r="D738" s="143" t="s">
        <v>1850</v>
      </c>
      <c r="E738" s="145">
        <v>1</v>
      </c>
      <c r="F738" s="145">
        <v>2.3199999999999998</v>
      </c>
      <c r="G738" s="146" t="s">
        <v>1510</v>
      </c>
      <c r="H738" s="145" t="s">
        <v>1153</v>
      </c>
      <c r="J738" s="150" t="str">
        <f t="shared" si="13"/>
        <v>Bursaspor  vs  Konyaspor</v>
      </c>
    </row>
    <row r="739" spans="1:10">
      <c r="A739" s="31">
        <v>43500</v>
      </c>
      <c r="B739" s="151" t="s">
        <v>2174</v>
      </c>
      <c r="C739" s="144" t="s">
        <v>2175</v>
      </c>
      <c r="D739" s="143" t="s">
        <v>1264</v>
      </c>
      <c r="E739" s="145">
        <v>1</v>
      </c>
      <c r="F739" s="145">
        <v>1.97</v>
      </c>
      <c r="G739" s="146" t="s">
        <v>1795</v>
      </c>
      <c r="H739" s="145" t="s">
        <v>1154</v>
      </c>
      <c r="J739" s="150" t="str">
        <f t="shared" si="13"/>
        <v>Maccabi Haifa  vs  Hapoel Tel-Aviv</v>
      </c>
    </row>
    <row r="740" spans="1:10">
      <c r="A740" s="31">
        <v>43500</v>
      </c>
      <c r="B740" s="151" t="s">
        <v>2176</v>
      </c>
      <c r="C740" s="144" t="s">
        <v>2177</v>
      </c>
      <c r="D740" s="143" t="s">
        <v>1847</v>
      </c>
      <c r="E740" s="145">
        <v>1</v>
      </c>
      <c r="F740" s="145">
        <v>1.8</v>
      </c>
      <c r="G740" s="146" t="s">
        <v>1510</v>
      </c>
      <c r="H740" s="145" t="s">
        <v>1153</v>
      </c>
      <c r="J740" s="150" t="str">
        <f t="shared" si="13"/>
        <v>Palermo  vs  Foggia</v>
      </c>
    </row>
    <row r="741" spans="1:10">
      <c r="A741" s="157">
        <v>43501</v>
      </c>
      <c r="B741" s="147" t="s">
        <v>1760</v>
      </c>
      <c r="C741" s="12" t="s">
        <v>2152</v>
      </c>
      <c r="D741" s="148" t="s">
        <v>2137</v>
      </c>
      <c r="E741" s="149">
        <v>1</v>
      </c>
      <c r="F741" s="149">
        <v>2.0699999999999998</v>
      </c>
      <c r="G741" s="160" t="s">
        <v>1523</v>
      </c>
      <c r="H741" s="149" t="s">
        <v>1154</v>
      </c>
      <c r="J741" s="150" t="str">
        <f t="shared" si="13"/>
        <v>Hamburger SV  vs  Nurnberg</v>
      </c>
    </row>
    <row r="742" spans="1:10">
      <c r="A742" s="157">
        <v>43501</v>
      </c>
      <c r="B742" s="147" t="s">
        <v>2159</v>
      </c>
      <c r="C742" s="12" t="s">
        <v>2160</v>
      </c>
      <c r="D742" s="148" t="s">
        <v>2138</v>
      </c>
      <c r="E742" s="149">
        <v>1</v>
      </c>
      <c r="F742" s="149">
        <v>2.0299999999999998</v>
      </c>
      <c r="G742" s="160" t="s">
        <v>1523</v>
      </c>
      <c r="H742" s="149" t="s">
        <v>1154</v>
      </c>
      <c r="J742" s="150" t="str">
        <f t="shared" si="13"/>
        <v>Maccabi Netanya  vs  Maccabi Petah Tikva</v>
      </c>
    </row>
    <row r="743" spans="1:10">
      <c r="A743" s="157">
        <v>43501</v>
      </c>
      <c r="B743" s="147" t="s">
        <v>1288</v>
      </c>
      <c r="C743" s="12" t="s">
        <v>1940</v>
      </c>
      <c r="D743" s="148" t="s">
        <v>1263</v>
      </c>
      <c r="E743" s="149">
        <v>1</v>
      </c>
      <c r="F743" s="149">
        <v>2.02</v>
      </c>
      <c r="G743" s="160" t="s">
        <v>1562</v>
      </c>
      <c r="H743" s="149" t="s">
        <v>1154</v>
      </c>
      <c r="J743" s="150" t="str">
        <f t="shared" si="13"/>
        <v>Nantes Atlantique  vs  Toulouse</v>
      </c>
    </row>
    <row r="744" spans="1:10">
      <c r="A744" s="6">
        <v>43501</v>
      </c>
      <c r="B744" s="156" t="s">
        <v>2155</v>
      </c>
      <c r="C744" s="3" t="s">
        <v>2156</v>
      </c>
      <c r="D744" s="73" t="s">
        <v>2137</v>
      </c>
      <c r="E744" s="23">
        <v>1</v>
      </c>
      <c r="F744" s="23">
        <v>1.5</v>
      </c>
      <c r="G744" s="159" t="s">
        <v>1512</v>
      </c>
      <c r="H744" s="23" t="s">
        <v>1153</v>
      </c>
      <c r="J744" s="150" t="str">
        <f t="shared" si="13"/>
        <v>Bv09 Borussia Dortmund  vs  Werder Bremen</v>
      </c>
    </row>
    <row r="745" spans="1:10">
      <c r="A745" s="6">
        <v>43501</v>
      </c>
      <c r="B745" s="156" t="s">
        <v>2143</v>
      </c>
      <c r="C745" s="3" t="s">
        <v>2144</v>
      </c>
      <c r="D745" s="73" t="s">
        <v>1690</v>
      </c>
      <c r="E745" s="23">
        <v>1</v>
      </c>
      <c r="F745" s="23">
        <v>1.43</v>
      </c>
      <c r="G745" s="159" t="s">
        <v>1561</v>
      </c>
      <c r="H745" s="23" t="s">
        <v>1153</v>
      </c>
      <c r="J745" s="150" t="str">
        <f t="shared" si="13"/>
        <v>The Strongest  vs  Libertad Asuncion</v>
      </c>
    </row>
    <row r="746" spans="1:10">
      <c r="A746" s="6">
        <v>43501</v>
      </c>
      <c r="B746" s="156" t="s">
        <v>1375</v>
      </c>
      <c r="C746" s="3" t="s">
        <v>2147</v>
      </c>
      <c r="D746" s="73" t="s">
        <v>1262</v>
      </c>
      <c r="E746" s="23">
        <v>1</v>
      </c>
      <c r="F746" s="23">
        <v>1.19</v>
      </c>
      <c r="G746" s="159" t="s">
        <v>1795</v>
      </c>
      <c r="H746" s="23" t="s">
        <v>1154</v>
      </c>
      <c r="J746" s="150" t="str">
        <f t="shared" si="13"/>
        <v>Wolverhampton Wanderers  vs  Shrewsbury Town</v>
      </c>
    </row>
    <row r="747" spans="1:10">
      <c r="A747" s="162">
        <v>43502</v>
      </c>
      <c r="B747" s="151" t="s">
        <v>2196</v>
      </c>
      <c r="C747" s="144" t="s">
        <v>2197</v>
      </c>
      <c r="D747" s="143" t="s">
        <v>1262</v>
      </c>
      <c r="E747" s="145">
        <v>1</v>
      </c>
      <c r="F747" s="145">
        <v>3.05</v>
      </c>
      <c r="G747" s="146" t="s">
        <v>1591</v>
      </c>
      <c r="H747" s="145" t="s">
        <v>1153</v>
      </c>
      <c r="J747" s="150" t="str">
        <f t="shared" si="13"/>
        <v>West Bromwich Albion  vs  Brighton &amp; Hove Albion</v>
      </c>
    </row>
    <row r="748" spans="1:10">
      <c r="A748" s="162">
        <v>43502</v>
      </c>
      <c r="B748" s="151" t="s">
        <v>1741</v>
      </c>
      <c r="C748" s="144" t="s">
        <v>2198</v>
      </c>
      <c r="D748" s="143" t="s">
        <v>1690</v>
      </c>
      <c r="E748" s="145">
        <v>1</v>
      </c>
      <c r="F748" s="145">
        <v>2.58</v>
      </c>
      <c r="G748" s="146" t="s">
        <v>1511</v>
      </c>
      <c r="H748" s="145" t="s">
        <v>1153</v>
      </c>
      <c r="J748" s="150" t="str">
        <f t="shared" si="13"/>
        <v>Defensor Sporting  vs  Barcelona Guayaquil</v>
      </c>
    </row>
    <row r="749" spans="1:10">
      <c r="A749" s="162">
        <v>43502</v>
      </c>
      <c r="B749" s="151" t="s">
        <v>2006</v>
      </c>
      <c r="C749" s="144" t="s">
        <v>2199</v>
      </c>
      <c r="D749" s="143" t="s">
        <v>1899</v>
      </c>
      <c r="E749" s="145">
        <v>1</v>
      </c>
      <c r="F749" s="145">
        <v>2.46</v>
      </c>
      <c r="G749" s="146" t="s">
        <v>1591</v>
      </c>
      <c r="H749" s="145" t="s">
        <v>1153</v>
      </c>
      <c r="J749" s="150" t="str">
        <f t="shared" si="13"/>
        <v>Lugano  vs  Thun</v>
      </c>
    </row>
    <row r="750" spans="1:10">
      <c r="A750" s="162">
        <v>43502</v>
      </c>
      <c r="B750" s="151" t="s">
        <v>2200</v>
      </c>
      <c r="C750" s="144" t="s">
        <v>2201</v>
      </c>
      <c r="D750" s="143" t="s">
        <v>2136</v>
      </c>
      <c r="E750" s="145">
        <v>1</v>
      </c>
      <c r="F750" s="145">
        <v>2.33</v>
      </c>
      <c r="G750" s="146" t="s">
        <v>1523</v>
      </c>
      <c r="H750" s="145" t="s">
        <v>1154</v>
      </c>
      <c r="J750" s="150" t="str">
        <f t="shared" si="13"/>
        <v>Botafogo  vs  Defensa y Justicia</v>
      </c>
    </row>
    <row r="751" spans="1:10">
      <c r="A751" s="162">
        <v>43502</v>
      </c>
      <c r="B751" s="151" t="s">
        <v>1386</v>
      </c>
      <c r="C751" s="144" t="s">
        <v>2202</v>
      </c>
      <c r="D751" s="143" t="s">
        <v>1266</v>
      </c>
      <c r="E751" s="145">
        <v>1</v>
      </c>
      <c r="F751" s="145">
        <v>2.1</v>
      </c>
      <c r="G751" s="146" t="s">
        <v>1560</v>
      </c>
      <c r="H751" s="145" t="s">
        <v>1154</v>
      </c>
      <c r="J751" s="150" t="str">
        <f t="shared" si="13"/>
        <v>Sporting Covilha  vs  Cova de Piedade</v>
      </c>
    </row>
    <row r="752" spans="1:10">
      <c r="A752" s="162">
        <v>43502</v>
      </c>
      <c r="B752" s="151" t="s">
        <v>1772</v>
      </c>
      <c r="C752" s="144" t="s">
        <v>2203</v>
      </c>
      <c r="D752" s="143" t="s">
        <v>1215</v>
      </c>
      <c r="E752" s="145">
        <v>1</v>
      </c>
      <c r="F752" s="145">
        <v>1.8</v>
      </c>
      <c r="G752" s="146" t="s">
        <v>1561</v>
      </c>
      <c r="H752" s="145" t="s">
        <v>1153</v>
      </c>
      <c r="J752" s="150" t="str">
        <f t="shared" si="13"/>
        <v>Barcelona CF  vs  Real Madrid</v>
      </c>
    </row>
    <row r="753" spans="1:10">
      <c r="A753" s="162">
        <v>43502</v>
      </c>
      <c r="B753" s="151" t="s">
        <v>2204</v>
      </c>
      <c r="C753" s="144" t="s">
        <v>1949</v>
      </c>
      <c r="D753" s="143" t="s">
        <v>2137</v>
      </c>
      <c r="E753" s="145">
        <v>1</v>
      </c>
      <c r="F753" s="145">
        <v>1.78</v>
      </c>
      <c r="G753" s="146" t="s">
        <v>1523</v>
      </c>
      <c r="H753" s="145" t="s">
        <v>1154</v>
      </c>
      <c r="J753" s="150" t="str">
        <f t="shared" si="13"/>
        <v>RB Leipzig  vs  VfL Wolfsburg</v>
      </c>
    </row>
    <row r="754" spans="1:10">
      <c r="A754" s="162">
        <v>43502</v>
      </c>
      <c r="B754" s="151" t="s">
        <v>1334</v>
      </c>
      <c r="C754" s="144" t="s">
        <v>2205</v>
      </c>
      <c r="D754" s="143" t="s">
        <v>2184</v>
      </c>
      <c r="E754" s="145">
        <v>1</v>
      </c>
      <c r="F754" s="145">
        <v>1.76</v>
      </c>
      <c r="G754" s="146" t="s">
        <v>1522</v>
      </c>
      <c r="H754" s="145" t="s">
        <v>1154</v>
      </c>
      <c r="J754" s="150" t="str">
        <f t="shared" si="13"/>
        <v>SL Benfica  vs  Sporting Clube de Portugal</v>
      </c>
    </row>
    <row r="755" spans="1:10">
      <c r="A755" s="162">
        <v>43503</v>
      </c>
      <c r="B755" s="151" t="s">
        <v>2217</v>
      </c>
      <c r="C755" s="144" t="s">
        <v>2218</v>
      </c>
      <c r="D755" s="143" t="s">
        <v>1898</v>
      </c>
      <c r="E755" s="145">
        <v>1</v>
      </c>
      <c r="F755" s="145">
        <v>1.38</v>
      </c>
      <c r="G755" s="146" t="s">
        <v>1523</v>
      </c>
      <c r="H755" s="145" t="s">
        <v>1154</v>
      </c>
      <c r="J755" s="150" t="str">
        <f t="shared" si="13"/>
        <v>SS Lazio  vs  Empoli</v>
      </c>
    </row>
    <row r="756" spans="1:10">
      <c r="A756" s="162">
        <v>43504</v>
      </c>
      <c r="B756" s="151" t="s">
        <v>2230</v>
      </c>
      <c r="C756" s="144" t="s">
        <v>2231</v>
      </c>
      <c r="D756" s="143" t="s">
        <v>1261</v>
      </c>
      <c r="E756" s="145">
        <v>1</v>
      </c>
      <c r="F756" s="145">
        <v>3.85</v>
      </c>
      <c r="G756" s="146" t="s">
        <v>1511</v>
      </c>
      <c r="H756" s="145" t="s">
        <v>1153</v>
      </c>
      <c r="J756" s="150" t="str">
        <f t="shared" si="13"/>
        <v>Dijon FCO  vs  Olympique de Marseille</v>
      </c>
    </row>
    <row r="757" spans="1:10">
      <c r="A757" s="162">
        <v>43504</v>
      </c>
      <c r="B757" s="151" t="s">
        <v>2233</v>
      </c>
      <c r="C757" s="144" t="s">
        <v>2234</v>
      </c>
      <c r="D757" s="143" t="s">
        <v>1847</v>
      </c>
      <c r="E757" s="145">
        <v>1</v>
      </c>
      <c r="F757" s="145">
        <v>3.2</v>
      </c>
      <c r="G757" s="146" t="s">
        <v>1506</v>
      </c>
      <c r="H757" s="145" t="s">
        <v>1153</v>
      </c>
      <c r="J757" s="150" t="str">
        <f t="shared" si="13"/>
        <v>Salernitana  vs  Benevento</v>
      </c>
    </row>
    <row r="758" spans="1:10">
      <c r="A758" s="162">
        <v>43504</v>
      </c>
      <c r="B758" s="151" t="s">
        <v>2235</v>
      </c>
      <c r="C758" s="144" t="s">
        <v>2236</v>
      </c>
      <c r="D758" s="143" t="s">
        <v>1736</v>
      </c>
      <c r="E758" s="145">
        <v>1</v>
      </c>
      <c r="F758" s="145">
        <v>3.15</v>
      </c>
      <c r="G758" s="146" t="s">
        <v>1561</v>
      </c>
      <c r="H758" s="145" t="s">
        <v>1153</v>
      </c>
      <c r="J758" s="150" t="str">
        <f t="shared" si="13"/>
        <v>Atletico Huracan  vs  Velez Sarsfield</v>
      </c>
    </row>
    <row r="759" spans="1:10">
      <c r="A759" s="162">
        <v>43504</v>
      </c>
      <c r="B759" s="151" t="s">
        <v>2244</v>
      </c>
      <c r="C759" s="144" t="s">
        <v>2245</v>
      </c>
      <c r="D759" s="143" t="s">
        <v>1736</v>
      </c>
      <c r="E759" s="145">
        <v>1</v>
      </c>
      <c r="F759" s="145">
        <v>2.2200000000000002</v>
      </c>
      <c r="G759" s="146" t="s">
        <v>2387</v>
      </c>
      <c r="H759" s="145" t="s">
        <v>1153</v>
      </c>
      <c r="J759" s="150" t="str">
        <f t="shared" si="13"/>
        <v>Tigre  vs  Banfield</v>
      </c>
    </row>
    <row r="760" spans="1:10">
      <c r="A760" s="162">
        <v>43505</v>
      </c>
      <c r="B760" s="151" t="s">
        <v>2266</v>
      </c>
      <c r="C760" s="144" t="s">
        <v>2267</v>
      </c>
      <c r="D760" s="143" t="s">
        <v>1897</v>
      </c>
      <c r="E760" s="145">
        <v>1</v>
      </c>
      <c r="F760" s="145">
        <v>4.7</v>
      </c>
      <c r="G760" s="146" t="s">
        <v>1564</v>
      </c>
      <c r="H760" s="145" t="s">
        <v>1564</v>
      </c>
      <c r="J760" s="150" t="str">
        <f t="shared" si="13"/>
        <v>Varda SE  vs  Debreceni VC</v>
      </c>
    </row>
    <row r="761" spans="1:10">
      <c r="A761" s="162">
        <v>43505</v>
      </c>
      <c r="B761" s="151" t="s">
        <v>2309</v>
      </c>
      <c r="C761" s="144" t="s">
        <v>2310</v>
      </c>
      <c r="D761" s="143" t="s">
        <v>1692</v>
      </c>
      <c r="E761" s="145">
        <v>1</v>
      </c>
      <c r="F761" s="145">
        <v>2.82</v>
      </c>
      <c r="G761" s="146" t="s">
        <v>1591</v>
      </c>
      <c r="H761" s="145" t="s">
        <v>1153</v>
      </c>
      <c r="J761" s="150" t="str">
        <f t="shared" si="13"/>
        <v>Jaro Pietarsaari  vs  AC Oulu</v>
      </c>
    </row>
    <row r="762" spans="1:10">
      <c r="A762" s="162">
        <v>43505</v>
      </c>
      <c r="B762" s="151" t="s">
        <v>2311</v>
      </c>
      <c r="C762" s="144" t="s">
        <v>1949</v>
      </c>
      <c r="D762" s="143" t="s">
        <v>1846</v>
      </c>
      <c r="E762" s="145">
        <v>1</v>
      </c>
      <c r="F762" s="145">
        <v>2.78</v>
      </c>
      <c r="G762" s="146" t="s">
        <v>1512</v>
      </c>
      <c r="H762" s="145" t="s">
        <v>1153</v>
      </c>
      <c r="J762" s="150" t="str">
        <f t="shared" si="13"/>
        <v>SC Freiburg  vs  VfL Wolfsburg</v>
      </c>
    </row>
    <row r="763" spans="1:10">
      <c r="A763" s="162">
        <v>43505</v>
      </c>
      <c r="B763" s="151" t="s">
        <v>1320</v>
      </c>
      <c r="C763" s="144" t="s">
        <v>2312</v>
      </c>
      <c r="D763" s="143" t="s">
        <v>1257</v>
      </c>
      <c r="E763" s="145">
        <v>1</v>
      </c>
      <c r="F763" s="145">
        <v>2.54</v>
      </c>
      <c r="G763" s="146" t="s">
        <v>1561</v>
      </c>
      <c r="H763" s="145" t="s">
        <v>1153</v>
      </c>
      <c r="J763" s="150" t="str">
        <f t="shared" si="13"/>
        <v>Melbourne City  vs  Adelaide United</v>
      </c>
    </row>
    <row r="764" spans="1:10">
      <c r="A764" s="162">
        <v>43505</v>
      </c>
      <c r="B764" s="151" t="s">
        <v>1749</v>
      </c>
      <c r="C764" s="144" t="s">
        <v>2051</v>
      </c>
      <c r="D764" s="143" t="s">
        <v>1737</v>
      </c>
      <c r="E764" s="145">
        <v>1</v>
      </c>
      <c r="F764" s="145">
        <v>2.5299999999999998</v>
      </c>
      <c r="G764" s="146" t="s">
        <v>1562</v>
      </c>
      <c r="H764" s="145" t="s">
        <v>1154</v>
      </c>
      <c r="J764" s="150" t="str">
        <f t="shared" si="13"/>
        <v>Slaven Koprivnica  vs  Gorica</v>
      </c>
    </row>
    <row r="765" spans="1:10">
      <c r="A765" s="162">
        <v>43505</v>
      </c>
      <c r="B765" s="151" t="s">
        <v>2314</v>
      </c>
      <c r="C765" s="144" t="s">
        <v>1711</v>
      </c>
      <c r="D765" s="143" t="s">
        <v>1267</v>
      </c>
      <c r="E765" s="145">
        <v>1</v>
      </c>
      <c r="F765" s="145">
        <v>2.36</v>
      </c>
      <c r="G765" s="146" t="s">
        <v>1523</v>
      </c>
      <c r="H765" s="145" t="s">
        <v>1154</v>
      </c>
      <c r="J765" s="150" t="str">
        <f t="shared" si="13"/>
        <v>Watford  vs  Everton</v>
      </c>
    </row>
    <row r="766" spans="1:10">
      <c r="A766" s="162">
        <v>43505</v>
      </c>
      <c r="B766" s="151" t="s">
        <v>1729</v>
      </c>
      <c r="C766" s="144" t="s">
        <v>1499</v>
      </c>
      <c r="D766" s="143" t="s">
        <v>1266</v>
      </c>
      <c r="E766" s="145">
        <v>1</v>
      </c>
      <c r="F766" s="145">
        <v>2.2999999999999998</v>
      </c>
      <c r="G766" s="146" t="s">
        <v>1561</v>
      </c>
      <c r="H766" s="145" t="s">
        <v>1153</v>
      </c>
      <c r="J766" s="150" t="str">
        <f t="shared" si="13"/>
        <v>Farense  vs  Leixoes Matosinhos</v>
      </c>
    </row>
    <row r="767" spans="1:10">
      <c r="A767" s="162">
        <v>43505</v>
      </c>
      <c r="B767" s="151" t="s">
        <v>2317</v>
      </c>
      <c r="C767" s="144" t="s">
        <v>2318</v>
      </c>
      <c r="D767" s="143" t="s">
        <v>1692</v>
      </c>
      <c r="E767" s="145">
        <v>1</v>
      </c>
      <c r="F767" s="145">
        <v>2.2200000000000002</v>
      </c>
      <c r="G767" s="146" t="s">
        <v>1513</v>
      </c>
      <c r="H767" s="145" t="s">
        <v>1153</v>
      </c>
      <c r="J767" s="150" t="str">
        <f t="shared" si="13"/>
        <v>KuPS Kuopio  vs  SJK</v>
      </c>
    </row>
    <row r="768" spans="1:10">
      <c r="A768" s="162">
        <v>43505</v>
      </c>
      <c r="B768" s="151" t="s">
        <v>2319</v>
      </c>
      <c r="C768" s="144" t="s">
        <v>2320</v>
      </c>
      <c r="D768" s="143" t="s">
        <v>1847</v>
      </c>
      <c r="E768" s="145">
        <v>1</v>
      </c>
      <c r="F768" s="145">
        <v>2.1800000000000002</v>
      </c>
      <c r="G768" s="146" t="s">
        <v>1506</v>
      </c>
      <c r="H768" s="145" t="s">
        <v>1153</v>
      </c>
      <c r="J768" s="150" t="str">
        <f t="shared" si="13"/>
        <v>Cittadella  vs  Spezia</v>
      </c>
    </row>
    <row r="769" spans="1:10">
      <c r="A769" s="162">
        <v>43505</v>
      </c>
      <c r="B769" s="151" t="s">
        <v>2321</v>
      </c>
      <c r="C769" s="144" t="s">
        <v>2322</v>
      </c>
      <c r="D769" s="143" t="s">
        <v>1848</v>
      </c>
      <c r="E769" s="145">
        <v>1</v>
      </c>
      <c r="F769" s="145">
        <v>2.1800000000000002</v>
      </c>
      <c r="G769" s="146" t="s">
        <v>1561</v>
      </c>
      <c r="H769" s="145" t="s">
        <v>1153</v>
      </c>
      <c r="J769" s="150" t="str">
        <f t="shared" si="13"/>
        <v>Heerenveen  vs  PEC Zwolle</v>
      </c>
    </row>
    <row r="770" spans="1:10">
      <c r="A770" s="162">
        <v>43505</v>
      </c>
      <c r="B770" s="151" t="s">
        <v>1299</v>
      </c>
      <c r="C770" s="144" t="s">
        <v>1712</v>
      </c>
      <c r="D770" s="143" t="s">
        <v>1267</v>
      </c>
      <c r="E770" s="145">
        <v>1</v>
      </c>
      <c r="F770" s="145">
        <v>2.1</v>
      </c>
      <c r="G770" s="146" t="s">
        <v>1561</v>
      </c>
      <c r="H770" s="145" t="s">
        <v>1153</v>
      </c>
      <c r="J770" s="150" t="str">
        <f t="shared" si="13"/>
        <v>Crystal Palace  vs  West Ham United</v>
      </c>
    </row>
    <row r="771" spans="1:10">
      <c r="A771" s="162">
        <v>43505</v>
      </c>
      <c r="B771" s="151" t="s">
        <v>1362</v>
      </c>
      <c r="C771" s="144" t="s">
        <v>1730</v>
      </c>
      <c r="D771" s="143" t="s">
        <v>1266</v>
      </c>
      <c r="E771" s="145">
        <v>1</v>
      </c>
      <c r="F771" s="145">
        <v>2.08</v>
      </c>
      <c r="G771" s="146" t="s">
        <v>1560</v>
      </c>
      <c r="H771" s="145" t="s">
        <v>1154</v>
      </c>
      <c r="J771" s="150" t="str">
        <f t="shared" si="13"/>
        <v>Penafiel  vs  Sporting Braga II</v>
      </c>
    </row>
    <row r="772" spans="1:10">
      <c r="A772" s="162">
        <v>43505</v>
      </c>
      <c r="B772" s="151" t="s">
        <v>1756</v>
      </c>
      <c r="C772" s="144" t="s">
        <v>1489</v>
      </c>
      <c r="D772" s="143" t="s">
        <v>1261</v>
      </c>
      <c r="E772" s="145">
        <v>1</v>
      </c>
      <c r="F772" s="145">
        <v>2</v>
      </c>
      <c r="G772" s="146" t="s">
        <v>1511</v>
      </c>
      <c r="H772" s="145" t="s">
        <v>1153</v>
      </c>
      <c r="J772" s="150" t="str">
        <f t="shared" si="13"/>
        <v>Racing Club Strasbourg  vs  Angers SCO</v>
      </c>
    </row>
    <row r="773" spans="1:10">
      <c r="A773" s="162">
        <v>43505</v>
      </c>
      <c r="B773" s="151" t="s">
        <v>1363</v>
      </c>
      <c r="C773" s="144" t="s">
        <v>2326</v>
      </c>
      <c r="D773" s="143" t="s">
        <v>1265</v>
      </c>
      <c r="E773" s="145">
        <v>1</v>
      </c>
      <c r="F773" s="145">
        <v>1.98</v>
      </c>
      <c r="G773" s="146" t="s">
        <v>1509</v>
      </c>
      <c r="H773" s="145" t="s">
        <v>1153</v>
      </c>
      <c r="J773" s="150" t="str">
        <f t="shared" si="13"/>
        <v>Girona  vs  Huesca</v>
      </c>
    </row>
    <row r="774" spans="1:10">
      <c r="A774" s="162">
        <v>43505</v>
      </c>
      <c r="B774" s="151" t="s">
        <v>2327</v>
      </c>
      <c r="C774" s="144" t="s">
        <v>2328</v>
      </c>
      <c r="D774" s="143" t="s">
        <v>2219</v>
      </c>
      <c r="E774" s="145">
        <v>1</v>
      </c>
      <c r="F774" s="145">
        <v>1.9</v>
      </c>
      <c r="G774" s="146" t="s">
        <v>1506</v>
      </c>
      <c r="H774" s="145" t="s">
        <v>1153</v>
      </c>
      <c r="J774" s="150" t="str">
        <f t="shared" si="13"/>
        <v>Zlin  vs  Slovacko</v>
      </c>
    </row>
    <row r="775" spans="1:10">
      <c r="A775" s="162">
        <v>43505</v>
      </c>
      <c r="B775" s="151" t="s">
        <v>1771</v>
      </c>
      <c r="C775" s="144" t="s">
        <v>2329</v>
      </c>
      <c r="D775" s="143" t="s">
        <v>1266</v>
      </c>
      <c r="E775" s="145">
        <v>1</v>
      </c>
      <c r="F775" s="145">
        <v>1.9</v>
      </c>
      <c r="G775" s="146" t="s">
        <v>1506</v>
      </c>
      <c r="H775" s="145" t="s">
        <v>1153</v>
      </c>
      <c r="J775" s="150" t="str">
        <f t="shared" si="13"/>
        <v>SL Benfica II  vs  Academica de Coimbra</v>
      </c>
    </row>
    <row r="776" spans="1:10">
      <c r="A776" s="162">
        <v>43505</v>
      </c>
      <c r="B776" s="151" t="s">
        <v>1364</v>
      </c>
      <c r="C776" s="144" t="s">
        <v>2330</v>
      </c>
      <c r="D776" s="143" t="s">
        <v>1265</v>
      </c>
      <c r="E776" s="145">
        <v>1</v>
      </c>
      <c r="F776" s="145">
        <v>1.9</v>
      </c>
      <c r="G776" s="146" t="s">
        <v>1798</v>
      </c>
      <c r="H776" s="145" t="s">
        <v>1154</v>
      </c>
      <c r="J776" s="150" t="str">
        <f t="shared" ref="J776:J839" si="14">CONCATENATE(B776," vs ",C776)</f>
        <v>Getafe  vs  Celta de Vigo</v>
      </c>
    </row>
    <row r="777" spans="1:10">
      <c r="A777" s="162">
        <v>43505</v>
      </c>
      <c r="B777" s="143" t="s">
        <v>2331</v>
      </c>
      <c r="C777" s="144" t="s">
        <v>2332</v>
      </c>
      <c r="D777" s="143" t="s">
        <v>1736</v>
      </c>
      <c r="E777" s="145">
        <v>1</v>
      </c>
      <c r="F777" s="145">
        <v>1.88</v>
      </c>
      <c r="G777" s="146" t="s">
        <v>1522</v>
      </c>
      <c r="H777" s="145" t="s">
        <v>1154</v>
      </c>
      <c r="J777" s="150" t="str">
        <f t="shared" si="14"/>
        <v>Independiente  vs  Union de Santa Fe</v>
      </c>
    </row>
    <row r="778" spans="1:10">
      <c r="A778" s="162">
        <v>43505</v>
      </c>
      <c r="B778" s="151" t="s">
        <v>2159</v>
      </c>
      <c r="C778" s="144" t="s">
        <v>2333</v>
      </c>
      <c r="D778" s="143" t="s">
        <v>1264</v>
      </c>
      <c r="E778" s="145">
        <v>1</v>
      </c>
      <c r="F778" s="145">
        <v>1.88</v>
      </c>
      <c r="G778" s="146" t="s">
        <v>1523</v>
      </c>
      <c r="H778" s="145" t="s">
        <v>1154</v>
      </c>
      <c r="J778" s="150" t="str">
        <f t="shared" si="14"/>
        <v>Maccabi Netanya  vs  Hapoel Ra’anana</v>
      </c>
    </row>
    <row r="779" spans="1:10">
      <c r="A779" s="162">
        <v>43505</v>
      </c>
      <c r="B779" s="151" t="s">
        <v>2334</v>
      </c>
      <c r="C779" s="144" t="s">
        <v>2335</v>
      </c>
      <c r="D779" s="143" t="s">
        <v>1736</v>
      </c>
      <c r="E779" s="145">
        <v>1</v>
      </c>
      <c r="F779" s="145">
        <v>1.86</v>
      </c>
      <c r="G779" s="146" t="s">
        <v>1523</v>
      </c>
      <c r="H779" s="145" t="s">
        <v>1154</v>
      </c>
      <c r="J779" s="150" t="str">
        <f t="shared" si="14"/>
        <v>Estudiantes de la Plata  vs  Patronato</v>
      </c>
    </row>
    <row r="780" spans="1:10">
      <c r="A780" s="162">
        <v>43505</v>
      </c>
      <c r="B780" s="151" t="s">
        <v>2204</v>
      </c>
      <c r="C780" s="144" t="s">
        <v>2336</v>
      </c>
      <c r="D780" s="143" t="s">
        <v>1846</v>
      </c>
      <c r="E780" s="145">
        <v>1</v>
      </c>
      <c r="F780" s="145">
        <v>1.84</v>
      </c>
      <c r="G780" s="146" t="s">
        <v>1510</v>
      </c>
      <c r="H780" s="145" t="s">
        <v>1153</v>
      </c>
      <c r="J780" s="150" t="str">
        <f t="shared" si="14"/>
        <v>RB Leipzig  vs  Eintracht Frankfurt</v>
      </c>
    </row>
    <row r="781" spans="1:10">
      <c r="A781" s="162">
        <v>43505</v>
      </c>
      <c r="B781" s="151" t="s">
        <v>2339</v>
      </c>
      <c r="C781" s="144" t="s">
        <v>2340</v>
      </c>
      <c r="D781" s="143" t="s">
        <v>1897</v>
      </c>
      <c r="E781" s="145">
        <v>1</v>
      </c>
      <c r="F781" s="145">
        <v>1.8</v>
      </c>
      <c r="G781" s="146" t="s">
        <v>1561</v>
      </c>
      <c r="H781" s="145" t="s">
        <v>1153</v>
      </c>
      <c r="J781" s="150" t="str">
        <f t="shared" si="14"/>
        <v>Paksi SE  vs  Szombathelyi Haladas</v>
      </c>
    </row>
    <row r="782" spans="1:10">
      <c r="A782" s="162">
        <v>43505</v>
      </c>
      <c r="B782" s="151" t="s">
        <v>1291</v>
      </c>
      <c r="C782" s="144" t="s">
        <v>2341</v>
      </c>
      <c r="D782" s="143" t="s">
        <v>1265</v>
      </c>
      <c r="E782" s="145">
        <v>1</v>
      </c>
      <c r="F782" s="145">
        <v>1.8</v>
      </c>
      <c r="G782" s="146" t="s">
        <v>1522</v>
      </c>
      <c r="H782" s="145" t="s">
        <v>1154</v>
      </c>
      <c r="J782" s="150" t="str">
        <f t="shared" si="14"/>
        <v>RCD Espanyol  vs  Rayo Vallecano de Madrid</v>
      </c>
    </row>
    <row r="783" spans="1:10">
      <c r="A783" s="162">
        <v>43505</v>
      </c>
      <c r="B783" s="151" t="s">
        <v>2342</v>
      </c>
      <c r="C783" s="144" t="s">
        <v>2343</v>
      </c>
      <c r="D783" s="143" t="s">
        <v>1850</v>
      </c>
      <c r="E783" s="145">
        <v>1</v>
      </c>
      <c r="F783" s="145">
        <v>1.77</v>
      </c>
      <c r="G783" s="146" t="s">
        <v>1564</v>
      </c>
      <c r="H783" s="145" t="s">
        <v>1564</v>
      </c>
      <c r="J783" s="150" t="str">
        <f t="shared" si="14"/>
        <v>Rizespor  vs  Antalyaspor</v>
      </c>
    </row>
    <row r="784" spans="1:10">
      <c r="A784" s="162">
        <v>43505</v>
      </c>
      <c r="B784" s="151" t="s">
        <v>2344</v>
      </c>
      <c r="C784" s="144" t="s">
        <v>1709</v>
      </c>
      <c r="D784" s="143" t="s">
        <v>1267</v>
      </c>
      <c r="E784" s="145">
        <v>1</v>
      </c>
      <c r="F784" s="145">
        <v>1.75</v>
      </c>
      <c r="G784" s="146" t="s">
        <v>1511</v>
      </c>
      <c r="H784" s="145" t="s">
        <v>1153</v>
      </c>
      <c r="J784" s="150" t="str">
        <f t="shared" si="14"/>
        <v>Southampton  vs  Cardiff City</v>
      </c>
    </row>
    <row r="785" spans="1:10">
      <c r="A785" s="162">
        <v>43505</v>
      </c>
      <c r="B785" s="151" t="s">
        <v>2155</v>
      </c>
      <c r="C785" s="144" t="s">
        <v>2345</v>
      </c>
      <c r="D785" s="143" t="s">
        <v>1846</v>
      </c>
      <c r="E785" s="145">
        <v>1</v>
      </c>
      <c r="F785" s="145">
        <v>1.74</v>
      </c>
      <c r="G785" s="146" t="s">
        <v>1512</v>
      </c>
      <c r="H785" s="145" t="s">
        <v>1153</v>
      </c>
      <c r="J785" s="150" t="str">
        <f t="shared" si="14"/>
        <v>Bv09 Borussia Dortmund  vs  TSG Hoffenheim</v>
      </c>
    </row>
    <row r="786" spans="1:10">
      <c r="A786" s="162">
        <v>43505</v>
      </c>
      <c r="B786" s="151" t="s">
        <v>1802</v>
      </c>
      <c r="C786" s="144" t="s">
        <v>1761</v>
      </c>
      <c r="D786" s="143" t="s">
        <v>1693</v>
      </c>
      <c r="E786" s="145">
        <v>1</v>
      </c>
      <c r="F786" s="145">
        <v>1.7</v>
      </c>
      <c r="G786" s="146" t="s">
        <v>1562</v>
      </c>
      <c r="H786" s="145" t="s">
        <v>1154</v>
      </c>
      <c r="J786" s="150" t="str">
        <f t="shared" si="14"/>
        <v>Union Berlin  vs  SV Sandhausen</v>
      </c>
    </row>
    <row r="787" spans="1:10">
      <c r="A787" s="162">
        <v>43505</v>
      </c>
      <c r="B787" s="151" t="s">
        <v>1268</v>
      </c>
      <c r="C787" s="144" t="s">
        <v>1398</v>
      </c>
      <c r="D787" s="143" t="s">
        <v>1257</v>
      </c>
      <c r="E787" s="145">
        <v>1</v>
      </c>
      <c r="F787" s="145">
        <v>1.68</v>
      </c>
      <c r="G787" s="146" t="s">
        <v>1562</v>
      </c>
      <c r="H787" s="145" t="s">
        <v>1154</v>
      </c>
      <c r="J787" s="150" t="str">
        <f t="shared" si="14"/>
        <v>Western Sydney Wanderers  vs  Central Coast Mariners</v>
      </c>
    </row>
    <row r="788" spans="1:10">
      <c r="A788" s="162">
        <v>43505</v>
      </c>
      <c r="B788" s="151" t="s">
        <v>2348</v>
      </c>
      <c r="C788" s="144" t="s">
        <v>2349</v>
      </c>
      <c r="D788" s="143" t="s">
        <v>1899</v>
      </c>
      <c r="E788" s="145">
        <v>1</v>
      </c>
      <c r="F788" s="145">
        <v>1.67</v>
      </c>
      <c r="G788" s="146" t="s">
        <v>1798</v>
      </c>
      <c r="H788" s="145" t="s">
        <v>1154</v>
      </c>
      <c r="J788" s="150" t="str">
        <f t="shared" si="14"/>
        <v>FC Zurich  vs  Grasshopper Zurich</v>
      </c>
    </row>
    <row r="789" spans="1:10">
      <c r="A789" s="162">
        <v>43505</v>
      </c>
      <c r="B789" s="151" t="s">
        <v>2352</v>
      </c>
      <c r="C789" s="144" t="s">
        <v>2353</v>
      </c>
      <c r="D789" s="143" t="s">
        <v>1850</v>
      </c>
      <c r="E789" s="145">
        <v>1</v>
      </c>
      <c r="F789" s="145">
        <v>1.63</v>
      </c>
      <c r="G789" s="146" t="s">
        <v>1564</v>
      </c>
      <c r="H789" s="145" t="s">
        <v>1564</v>
      </c>
      <c r="J789" s="150" t="str">
        <f t="shared" si="14"/>
        <v>Besiktas JK  vs  Bursaspor</v>
      </c>
    </row>
    <row r="790" spans="1:10">
      <c r="A790" s="162">
        <v>43505</v>
      </c>
      <c r="B790" s="151" t="s">
        <v>2354</v>
      </c>
      <c r="C790" s="144" t="s">
        <v>2355</v>
      </c>
      <c r="D790" s="143" t="s">
        <v>1845</v>
      </c>
      <c r="E790" s="145">
        <v>1</v>
      </c>
      <c r="F790" s="145">
        <v>1.62</v>
      </c>
      <c r="G790" s="146" t="s">
        <v>1522</v>
      </c>
      <c r="H790" s="145" t="s">
        <v>1154</v>
      </c>
      <c r="J790" s="150" t="str">
        <f t="shared" si="14"/>
        <v>Sint-Truiden  vs  Waasland-Beveren</v>
      </c>
    </row>
    <row r="791" spans="1:10">
      <c r="A791" s="162">
        <v>43505</v>
      </c>
      <c r="B791" s="151" t="s">
        <v>2356</v>
      </c>
      <c r="C791" s="144" t="s">
        <v>2357</v>
      </c>
      <c r="D791" s="143" t="s">
        <v>1899</v>
      </c>
      <c r="E791" s="145">
        <v>1</v>
      </c>
      <c r="F791" s="145">
        <v>1.52</v>
      </c>
      <c r="G791" s="146" t="s">
        <v>1561</v>
      </c>
      <c r="H791" s="145" t="s">
        <v>1153</v>
      </c>
      <c r="J791" s="150" t="str">
        <f t="shared" si="14"/>
        <v>FC Basel  vs  St. Gallen</v>
      </c>
    </row>
    <row r="792" spans="1:10">
      <c r="A792" s="162">
        <v>43505</v>
      </c>
      <c r="B792" s="151" t="s">
        <v>1311</v>
      </c>
      <c r="C792" s="144" t="s">
        <v>2358</v>
      </c>
      <c r="D792" s="143" t="s">
        <v>1264</v>
      </c>
      <c r="E792" s="145">
        <v>1</v>
      </c>
      <c r="F792" s="145">
        <v>1.45</v>
      </c>
      <c r="G792" s="146" t="s">
        <v>1506</v>
      </c>
      <c r="H792" s="145" t="s">
        <v>1153</v>
      </c>
      <c r="J792" s="150" t="str">
        <f t="shared" si="14"/>
        <v>Hapoel Haifa  vs  MS Ashdod</v>
      </c>
    </row>
    <row r="793" spans="1:10">
      <c r="A793" s="162">
        <v>43505</v>
      </c>
      <c r="B793" s="151" t="s">
        <v>2359</v>
      </c>
      <c r="C793" s="144" t="s">
        <v>2360</v>
      </c>
      <c r="D793" s="143" t="s">
        <v>2219</v>
      </c>
      <c r="E793" s="145">
        <v>1</v>
      </c>
      <c r="F793" s="145">
        <v>1.4</v>
      </c>
      <c r="G793" s="146" t="s">
        <v>1731</v>
      </c>
      <c r="H793" s="145" t="s">
        <v>1154</v>
      </c>
      <c r="J793" s="150" t="str">
        <f t="shared" si="14"/>
        <v>Slovan Liberec  vs  Marila Pribram</v>
      </c>
    </row>
    <row r="794" spans="1:10">
      <c r="A794" s="162">
        <v>43505</v>
      </c>
      <c r="B794" s="151" t="s">
        <v>2361</v>
      </c>
      <c r="C794" s="144" t="s">
        <v>2362</v>
      </c>
      <c r="D794" s="143" t="s">
        <v>1847</v>
      </c>
      <c r="E794" s="145">
        <v>1</v>
      </c>
      <c r="F794" s="145">
        <v>1.4</v>
      </c>
      <c r="G794" s="146" t="s">
        <v>1798</v>
      </c>
      <c r="H794" s="145" t="s">
        <v>1154</v>
      </c>
      <c r="J794" s="150" t="str">
        <f t="shared" si="14"/>
        <v>Brescia  vs  Carpi</v>
      </c>
    </row>
    <row r="795" spans="1:10">
      <c r="A795" s="162">
        <v>43505</v>
      </c>
      <c r="B795" s="151" t="s">
        <v>2363</v>
      </c>
      <c r="C795" s="144" t="s">
        <v>2364</v>
      </c>
      <c r="D795" s="143" t="s">
        <v>1850</v>
      </c>
      <c r="E795" s="145">
        <v>1</v>
      </c>
      <c r="F795" s="145">
        <v>1.32</v>
      </c>
      <c r="G795" s="146" t="s">
        <v>1564</v>
      </c>
      <c r="H795" s="145" t="s">
        <v>1564</v>
      </c>
      <c r="J795" s="150" t="str">
        <f t="shared" si="14"/>
        <v>Istanbul BB  vs  BB Erzurumspor</v>
      </c>
    </row>
    <row r="796" spans="1:10">
      <c r="A796" s="162">
        <v>43505</v>
      </c>
      <c r="B796" s="151" t="s">
        <v>1961</v>
      </c>
      <c r="C796" s="144" t="s">
        <v>2365</v>
      </c>
      <c r="D796" s="143" t="s">
        <v>1897</v>
      </c>
      <c r="E796" s="145">
        <v>1</v>
      </c>
      <c r="F796" s="145">
        <v>1.27</v>
      </c>
      <c r="G796" s="146" t="s">
        <v>1511</v>
      </c>
      <c r="H796" s="145" t="s">
        <v>1153</v>
      </c>
      <c r="J796" s="150" t="str">
        <f t="shared" si="14"/>
        <v>Vidi  vs  Diosgyori VTK</v>
      </c>
    </row>
    <row r="797" spans="1:10">
      <c r="A797" s="162">
        <v>43505</v>
      </c>
      <c r="B797" s="151" t="s">
        <v>1360</v>
      </c>
      <c r="C797" s="144" t="s">
        <v>1757</v>
      </c>
      <c r="D797" s="143" t="s">
        <v>1261</v>
      </c>
      <c r="E797" s="145">
        <v>1</v>
      </c>
      <c r="F797" s="145">
        <v>1.26</v>
      </c>
      <c r="G797" s="146" t="s">
        <v>1523</v>
      </c>
      <c r="H797" s="145" t="s">
        <v>1154</v>
      </c>
      <c r="J797" s="150" t="str">
        <f t="shared" si="14"/>
        <v>Paris Saint-Germain  vs  Girondins de Bordeaux</v>
      </c>
    </row>
    <row r="798" spans="1:10">
      <c r="A798" s="162">
        <v>43505</v>
      </c>
      <c r="B798" s="151" t="s">
        <v>2366</v>
      </c>
      <c r="C798" s="144" t="s">
        <v>2367</v>
      </c>
      <c r="D798" s="143" t="s">
        <v>1846</v>
      </c>
      <c r="E798" s="145">
        <v>1</v>
      </c>
      <c r="F798" s="145">
        <v>1.24</v>
      </c>
      <c r="G798" s="146" t="s">
        <v>1798</v>
      </c>
      <c r="H798" s="145" t="s">
        <v>1154</v>
      </c>
      <c r="J798" s="150" t="str">
        <f t="shared" si="14"/>
        <v>Bayern Munich  vs  Schalke 04</v>
      </c>
    </row>
    <row r="799" spans="1:10">
      <c r="A799" s="162">
        <v>43505</v>
      </c>
      <c r="B799" s="151" t="s">
        <v>2370</v>
      </c>
      <c r="C799" s="144" t="s">
        <v>2371</v>
      </c>
      <c r="D799" s="143" t="s">
        <v>2219</v>
      </c>
      <c r="E799" s="145">
        <v>1</v>
      </c>
      <c r="F799" s="145">
        <v>1.19</v>
      </c>
      <c r="G799" s="146" t="s">
        <v>1562</v>
      </c>
      <c r="H799" s="145" t="s">
        <v>1154</v>
      </c>
      <c r="J799" s="150" t="str">
        <f t="shared" si="14"/>
        <v>Slavia Prague  vs  Teplice</v>
      </c>
    </row>
    <row r="800" spans="1:10">
      <c r="A800" s="162">
        <v>43505</v>
      </c>
      <c r="B800" s="151" t="s">
        <v>1754</v>
      </c>
      <c r="C800" s="144" t="s">
        <v>2372</v>
      </c>
      <c r="D800" s="143" t="s">
        <v>1267</v>
      </c>
      <c r="E800" s="145">
        <v>1</v>
      </c>
      <c r="F800" s="145">
        <v>1.19</v>
      </c>
      <c r="G800" s="146" t="s">
        <v>1560</v>
      </c>
      <c r="H800" s="145" t="s">
        <v>1154</v>
      </c>
      <c r="J800" s="150" t="str">
        <f t="shared" si="14"/>
        <v>Liverpool  vs  Bournemouth</v>
      </c>
    </row>
    <row r="801" spans="1:10">
      <c r="A801" s="162">
        <v>43505</v>
      </c>
      <c r="B801" s="151" t="s">
        <v>1917</v>
      </c>
      <c r="C801" s="144" t="s">
        <v>2373</v>
      </c>
      <c r="D801" s="143" t="s">
        <v>1737</v>
      </c>
      <c r="E801" s="145">
        <v>1</v>
      </c>
      <c r="F801" s="145">
        <v>1.1299999999999999</v>
      </c>
      <c r="G801" s="146" t="s">
        <v>1523</v>
      </c>
      <c r="H801" s="145" t="s">
        <v>1154</v>
      </c>
      <c r="J801" s="150" t="str">
        <f t="shared" si="14"/>
        <v>Dinamo Zagreb  vs  Istra 1961</v>
      </c>
    </row>
    <row r="802" spans="1:10">
      <c r="A802" s="162">
        <v>43505</v>
      </c>
      <c r="B802" s="151" t="s">
        <v>2374</v>
      </c>
      <c r="C802" s="144" t="s">
        <v>2375</v>
      </c>
      <c r="D802" s="143" t="s">
        <v>1848</v>
      </c>
      <c r="E802" s="145">
        <v>1</v>
      </c>
      <c r="F802" s="145">
        <v>1.1299999999999999</v>
      </c>
      <c r="G802" s="146" t="s">
        <v>1731</v>
      </c>
      <c r="H802" s="145" t="s">
        <v>1154</v>
      </c>
      <c r="J802" s="150" t="str">
        <f t="shared" si="14"/>
        <v>Feyenoord Rotterdam  vs  De Graafschap</v>
      </c>
    </row>
    <row r="803" spans="1:10">
      <c r="A803" s="162">
        <v>43506</v>
      </c>
      <c r="B803" s="151" t="s">
        <v>2398</v>
      </c>
      <c r="C803" s="144" t="s">
        <v>2399</v>
      </c>
      <c r="D803" s="143" t="s">
        <v>1899</v>
      </c>
      <c r="E803" s="145">
        <v>1</v>
      </c>
      <c r="F803" s="145">
        <v>4</v>
      </c>
      <c r="G803" s="146" t="s">
        <v>1561</v>
      </c>
      <c r="H803" s="145" t="s">
        <v>1153</v>
      </c>
      <c r="J803" s="150" t="str">
        <f t="shared" si="14"/>
        <v>Thun  vs  Young Boys Bern</v>
      </c>
    </row>
    <row r="804" spans="1:10">
      <c r="A804" s="162">
        <v>43506</v>
      </c>
      <c r="B804" s="151" t="s">
        <v>1670</v>
      </c>
      <c r="C804" s="144" t="s">
        <v>2403</v>
      </c>
      <c r="D804" s="143" t="s">
        <v>1261</v>
      </c>
      <c r="E804" s="145">
        <v>1</v>
      </c>
      <c r="F804" s="145">
        <v>3.4</v>
      </c>
      <c r="G804" s="146" t="s">
        <v>1509</v>
      </c>
      <c r="H804" s="145" t="s">
        <v>1153</v>
      </c>
      <c r="J804" s="150" t="str">
        <f t="shared" si="14"/>
        <v>En Avant Guingamp  vs  Lille OSC</v>
      </c>
    </row>
    <row r="805" spans="1:10">
      <c r="A805" s="162">
        <v>43506</v>
      </c>
      <c r="B805" s="151" t="s">
        <v>2426</v>
      </c>
      <c r="C805" s="144" t="s">
        <v>2427</v>
      </c>
      <c r="D805" s="143" t="s">
        <v>1899</v>
      </c>
      <c r="E805" s="145">
        <v>1</v>
      </c>
      <c r="F805" s="145">
        <v>2.92</v>
      </c>
      <c r="G805" s="146" t="s">
        <v>1522</v>
      </c>
      <c r="H805" s="145" t="s">
        <v>1154</v>
      </c>
      <c r="J805" s="150" t="str">
        <f t="shared" si="14"/>
        <v>Neuchatel Xamax  vs  Luzern</v>
      </c>
    </row>
    <row r="806" spans="1:10">
      <c r="A806" s="162">
        <v>43506</v>
      </c>
      <c r="B806" s="151" t="s">
        <v>1308</v>
      </c>
      <c r="C806" s="144" t="s">
        <v>1598</v>
      </c>
      <c r="D806" s="143" t="s">
        <v>1261</v>
      </c>
      <c r="E806" s="145">
        <v>1</v>
      </c>
      <c r="F806" s="145">
        <v>2.76</v>
      </c>
      <c r="G806" s="146" t="s">
        <v>1561</v>
      </c>
      <c r="H806" s="145" t="s">
        <v>1153</v>
      </c>
      <c r="J806" s="150" t="str">
        <f t="shared" si="14"/>
        <v>Toulouse  vs  Stade de Reims</v>
      </c>
    </row>
    <row r="807" spans="1:10">
      <c r="A807" s="162">
        <v>43506</v>
      </c>
      <c r="B807" s="151" t="s">
        <v>1339</v>
      </c>
      <c r="C807" s="144" t="s">
        <v>1388</v>
      </c>
      <c r="D807" s="143" t="s">
        <v>1266</v>
      </c>
      <c r="E807" s="145">
        <v>1</v>
      </c>
      <c r="F807" s="145">
        <v>2.6</v>
      </c>
      <c r="G807" s="146" t="s">
        <v>1522</v>
      </c>
      <c r="H807" s="145" t="s">
        <v>1154</v>
      </c>
      <c r="J807" s="150" t="str">
        <f t="shared" si="14"/>
        <v>Arouca  vs  Famalicao</v>
      </c>
    </row>
    <row r="808" spans="1:10">
      <c r="A808" s="162">
        <v>43506</v>
      </c>
      <c r="B808" s="151" t="s">
        <v>2430</v>
      </c>
      <c r="C808" s="144" t="s">
        <v>2431</v>
      </c>
      <c r="D808" s="143" t="s">
        <v>1264</v>
      </c>
      <c r="E808" s="145">
        <v>1</v>
      </c>
      <c r="F808" s="145">
        <v>2.57</v>
      </c>
      <c r="G808" s="146" t="s">
        <v>1561</v>
      </c>
      <c r="H808" s="145" t="s">
        <v>1153</v>
      </c>
      <c r="J808" s="150" t="str">
        <f t="shared" si="14"/>
        <v>Beitar Jerusalem  vs  Maccabi Haifa</v>
      </c>
    </row>
    <row r="809" spans="1:10">
      <c r="A809" s="162">
        <v>43506</v>
      </c>
      <c r="B809" s="151" t="s">
        <v>2438</v>
      </c>
      <c r="C809" s="144" t="s">
        <v>1717</v>
      </c>
      <c r="D809" s="143" t="s">
        <v>1261</v>
      </c>
      <c r="E809" s="145">
        <v>1</v>
      </c>
      <c r="F809" s="145">
        <v>2.35</v>
      </c>
      <c r="G809" s="146" t="s">
        <v>1513</v>
      </c>
      <c r="H809" s="145" t="s">
        <v>1153</v>
      </c>
      <c r="J809" s="150" t="str">
        <f t="shared" si="14"/>
        <v>Montpellier HSC  vs  AS Monaco</v>
      </c>
    </row>
    <row r="810" spans="1:10">
      <c r="A810" s="162">
        <v>43506</v>
      </c>
      <c r="B810" s="151" t="s">
        <v>2439</v>
      </c>
      <c r="C810" s="144" t="s">
        <v>2440</v>
      </c>
      <c r="D810" s="143" t="s">
        <v>1850</v>
      </c>
      <c r="E810" s="145">
        <v>1</v>
      </c>
      <c r="F810" s="145">
        <v>2.3199999999999998</v>
      </c>
      <c r="G810" s="146" t="s">
        <v>1795</v>
      </c>
      <c r="H810" s="145" t="s">
        <v>1154</v>
      </c>
      <c r="J810" s="150" t="str">
        <f t="shared" si="14"/>
        <v>Goztepe  vs  Alanyaspor</v>
      </c>
    </row>
    <row r="811" spans="1:10">
      <c r="A811" s="162">
        <v>43506</v>
      </c>
      <c r="B811" s="151" t="s">
        <v>2441</v>
      </c>
      <c r="C811" s="144" t="s">
        <v>2442</v>
      </c>
      <c r="D811" s="143" t="s">
        <v>1898</v>
      </c>
      <c r="E811" s="145">
        <v>1</v>
      </c>
      <c r="F811" s="145">
        <v>2.2799999999999998</v>
      </c>
      <c r="G811" s="146" t="s">
        <v>1561</v>
      </c>
      <c r="H811" s="145" t="s">
        <v>1153</v>
      </c>
      <c r="J811" s="150" t="str">
        <f t="shared" si="14"/>
        <v>Bologna  vs  Genoa</v>
      </c>
    </row>
    <row r="812" spans="1:10">
      <c r="A812" s="162">
        <v>43506</v>
      </c>
      <c r="B812" s="151" t="s">
        <v>1926</v>
      </c>
      <c r="C812" s="144" t="s">
        <v>2443</v>
      </c>
      <c r="D812" s="143" t="s">
        <v>1692</v>
      </c>
      <c r="E812" s="145">
        <v>1</v>
      </c>
      <c r="F812" s="145">
        <v>2.1800000000000002</v>
      </c>
      <c r="G812" s="146" t="s">
        <v>1565</v>
      </c>
      <c r="H812" s="145" t="s">
        <v>1153</v>
      </c>
      <c r="J812" s="150" t="str">
        <f t="shared" si="14"/>
        <v>MyPa  vs  MuSa</v>
      </c>
    </row>
    <row r="813" spans="1:10">
      <c r="A813" s="162">
        <v>43506</v>
      </c>
      <c r="B813" s="151" t="s">
        <v>2444</v>
      </c>
      <c r="C813" s="144" t="s">
        <v>2445</v>
      </c>
      <c r="D813" s="143" t="s">
        <v>1847</v>
      </c>
      <c r="E813" s="145">
        <v>1</v>
      </c>
      <c r="F813" s="145">
        <v>2.1800000000000002</v>
      </c>
      <c r="G813" s="146" t="s">
        <v>1562</v>
      </c>
      <c r="H813" s="145" t="s">
        <v>1154</v>
      </c>
      <c r="J813" s="150" t="str">
        <f t="shared" si="14"/>
        <v>Livorno  vs  Cosenza</v>
      </c>
    </row>
    <row r="814" spans="1:10">
      <c r="A814" s="162">
        <v>43506</v>
      </c>
      <c r="B814" s="151" t="s">
        <v>2446</v>
      </c>
      <c r="C814" s="144" t="s">
        <v>2447</v>
      </c>
      <c r="D814" s="143" t="s">
        <v>1847</v>
      </c>
      <c r="E814" s="145">
        <v>1</v>
      </c>
      <c r="F814" s="145">
        <v>2.1800000000000002</v>
      </c>
      <c r="G814" s="146" t="s">
        <v>1561</v>
      </c>
      <c r="H814" s="145" t="s">
        <v>1153</v>
      </c>
      <c r="J814" s="150" t="str">
        <f t="shared" si="14"/>
        <v>Foggia  vs  Pescara</v>
      </c>
    </row>
    <row r="815" spans="1:10">
      <c r="A815" s="162">
        <v>43506</v>
      </c>
      <c r="B815" s="151" t="s">
        <v>2448</v>
      </c>
      <c r="C815" s="144" t="s">
        <v>2449</v>
      </c>
      <c r="D815" s="143" t="s">
        <v>1846</v>
      </c>
      <c r="E815" s="145">
        <v>1</v>
      </c>
      <c r="F815" s="145">
        <v>2.13</v>
      </c>
      <c r="G815" s="146" t="s">
        <v>1560</v>
      </c>
      <c r="H815" s="145" t="s">
        <v>1154</v>
      </c>
      <c r="J815" s="150" t="str">
        <f t="shared" si="14"/>
        <v>Fortuna Dusseldorf  vs  VfB Stuttgart</v>
      </c>
    </row>
    <row r="816" spans="1:10">
      <c r="A816" s="162">
        <v>43506</v>
      </c>
      <c r="B816" s="151" t="s">
        <v>1380</v>
      </c>
      <c r="C816" s="144" t="s">
        <v>1459</v>
      </c>
      <c r="D816" s="143" t="s">
        <v>1242</v>
      </c>
      <c r="E816" s="145">
        <v>1</v>
      </c>
      <c r="F816" s="145">
        <v>2.06</v>
      </c>
      <c r="G816" s="146" t="s">
        <v>1523</v>
      </c>
      <c r="H816" s="145" t="s">
        <v>1154</v>
      </c>
      <c r="J816" s="150" t="str">
        <f t="shared" si="14"/>
        <v>Boavista  vs  Santa Clara</v>
      </c>
    </row>
    <row r="817" spans="1:10">
      <c r="A817" s="162">
        <v>43506</v>
      </c>
      <c r="B817" s="151" t="s">
        <v>1745</v>
      </c>
      <c r="C817" s="144" t="s">
        <v>2450</v>
      </c>
      <c r="D817" s="143" t="s">
        <v>1736</v>
      </c>
      <c r="E817" s="145">
        <v>1</v>
      </c>
      <c r="F817" s="145">
        <v>2.0299999999999998</v>
      </c>
      <c r="G817" s="146" t="s">
        <v>1795</v>
      </c>
      <c r="H817" s="145" t="s">
        <v>1154</v>
      </c>
      <c r="J817" s="150" t="str">
        <f t="shared" si="14"/>
        <v>Godoy Cruz de Mendoza  vs  San Martin de Tucuman</v>
      </c>
    </row>
    <row r="818" spans="1:10">
      <c r="A818" s="162">
        <v>43506</v>
      </c>
      <c r="B818" s="151" t="s">
        <v>1288</v>
      </c>
      <c r="C818" s="144" t="s">
        <v>2451</v>
      </c>
      <c r="D818" s="143" t="s">
        <v>1261</v>
      </c>
      <c r="E818" s="145">
        <v>1</v>
      </c>
      <c r="F818" s="145">
        <v>2.02</v>
      </c>
      <c r="G818" s="146" t="s">
        <v>2134</v>
      </c>
      <c r="H818" s="145" t="s">
        <v>1153</v>
      </c>
      <c r="J818" s="150" t="str">
        <f t="shared" si="14"/>
        <v>Nantes Atlantique  vs  Nimes Olympique</v>
      </c>
    </row>
    <row r="819" spans="1:10">
      <c r="A819" s="162">
        <v>43506</v>
      </c>
      <c r="B819" s="151" t="s">
        <v>2452</v>
      </c>
      <c r="C819" s="144" t="s">
        <v>2453</v>
      </c>
      <c r="D819" s="143" t="s">
        <v>1737</v>
      </c>
      <c r="E819" s="145">
        <v>1</v>
      </c>
      <c r="F819" s="145">
        <v>1.98</v>
      </c>
      <c r="G819" s="146" t="s">
        <v>1522</v>
      </c>
      <c r="H819" s="145" t="s">
        <v>1154</v>
      </c>
      <c r="J819" s="150" t="str">
        <f t="shared" si="14"/>
        <v>Hajduk Split  vs  Lokomotiva Zagreb</v>
      </c>
    </row>
    <row r="820" spans="1:10">
      <c r="A820" s="162">
        <v>43506</v>
      </c>
      <c r="B820" s="151" t="s">
        <v>2454</v>
      </c>
      <c r="C820" s="144" t="s">
        <v>2455</v>
      </c>
      <c r="D820" s="143" t="s">
        <v>1849</v>
      </c>
      <c r="E820" s="145">
        <v>1</v>
      </c>
      <c r="F820" s="145">
        <v>1.98</v>
      </c>
      <c r="G820" s="146" t="s">
        <v>1561</v>
      </c>
      <c r="H820" s="145" t="s">
        <v>1153</v>
      </c>
      <c r="J820" s="150" t="str">
        <f t="shared" si="14"/>
        <v>FC Wil  vs  FC Schaffhausen</v>
      </c>
    </row>
    <row r="821" spans="1:10">
      <c r="A821" s="162">
        <v>43506</v>
      </c>
      <c r="B821" s="151" t="s">
        <v>2456</v>
      </c>
      <c r="C821" s="144" t="s">
        <v>2457</v>
      </c>
      <c r="D821" s="143" t="s">
        <v>1848</v>
      </c>
      <c r="E821" s="145">
        <v>1</v>
      </c>
      <c r="F821" s="145">
        <v>1.83</v>
      </c>
      <c r="G821" s="146" t="s">
        <v>1507</v>
      </c>
      <c r="H821" s="145" t="s">
        <v>1154</v>
      </c>
      <c r="J821" s="150" t="str">
        <f t="shared" si="14"/>
        <v>Fortuna Sittard  vs  Excelsior Rotterdam</v>
      </c>
    </row>
    <row r="822" spans="1:10">
      <c r="A822" s="162">
        <v>43506</v>
      </c>
      <c r="B822" s="151" t="s">
        <v>2458</v>
      </c>
      <c r="C822" s="144" t="s">
        <v>1472</v>
      </c>
      <c r="D822" s="143" t="s">
        <v>1265</v>
      </c>
      <c r="E822" s="145">
        <v>1</v>
      </c>
      <c r="F822" s="145">
        <v>1.82</v>
      </c>
      <c r="G822" s="146" t="s">
        <v>1510</v>
      </c>
      <c r="H822" s="145" t="s">
        <v>1153</v>
      </c>
      <c r="J822" s="150" t="str">
        <f t="shared" si="14"/>
        <v>Valencia CF  vs  Real Sociedad</v>
      </c>
    </row>
    <row r="823" spans="1:10">
      <c r="A823" s="162">
        <v>43506</v>
      </c>
      <c r="B823" s="151" t="s">
        <v>2461</v>
      </c>
      <c r="C823" s="144" t="s">
        <v>2462</v>
      </c>
      <c r="D823" s="143" t="s">
        <v>2220</v>
      </c>
      <c r="E823" s="145">
        <v>1</v>
      </c>
      <c r="F823" s="145">
        <v>1.73</v>
      </c>
      <c r="G823" s="146" t="s">
        <v>1799</v>
      </c>
      <c r="H823" s="145" t="s">
        <v>1154</v>
      </c>
      <c r="J823" s="150" t="str">
        <f t="shared" si="14"/>
        <v>FC Copenhagen  vs  OB Odense</v>
      </c>
    </row>
    <row r="824" spans="1:10">
      <c r="A824" s="162">
        <v>43506</v>
      </c>
      <c r="B824" s="151" t="s">
        <v>2465</v>
      </c>
      <c r="C824" s="144" t="s">
        <v>2466</v>
      </c>
      <c r="D824" s="143" t="s">
        <v>1846</v>
      </c>
      <c r="E824" s="145">
        <v>1</v>
      </c>
      <c r="F824" s="145">
        <v>1.72</v>
      </c>
      <c r="G824" s="146" t="s">
        <v>1731</v>
      </c>
      <c r="H824" s="145" t="s">
        <v>1154</v>
      </c>
      <c r="J824" s="150" t="str">
        <f t="shared" si="14"/>
        <v>Werder Bremen  vs  Augsburg</v>
      </c>
    </row>
    <row r="825" spans="1:10">
      <c r="A825" s="162">
        <v>43506</v>
      </c>
      <c r="B825" s="151" t="s">
        <v>1352</v>
      </c>
      <c r="C825" s="144" t="s">
        <v>1367</v>
      </c>
      <c r="D825" s="143" t="s">
        <v>1267</v>
      </c>
      <c r="E825" s="145">
        <v>1</v>
      </c>
      <c r="F825" s="145">
        <v>1.7</v>
      </c>
      <c r="G825" s="146" t="s">
        <v>1798</v>
      </c>
      <c r="H825" s="145" t="s">
        <v>1154</v>
      </c>
      <c r="J825" s="150" t="str">
        <f t="shared" si="14"/>
        <v>Tottenham Hotspur  vs  Leicester City</v>
      </c>
    </row>
    <row r="826" spans="1:10">
      <c r="A826" s="162">
        <v>43506</v>
      </c>
      <c r="B826" s="151" t="s">
        <v>2467</v>
      </c>
      <c r="C826" s="144" t="s">
        <v>2468</v>
      </c>
      <c r="D826" s="143" t="s">
        <v>1898</v>
      </c>
      <c r="E826" s="145">
        <v>1</v>
      </c>
      <c r="F826" s="145">
        <v>1.7</v>
      </c>
      <c r="G826" s="146" t="s">
        <v>1523</v>
      </c>
      <c r="H826" s="145" t="s">
        <v>1154</v>
      </c>
      <c r="J826" s="150" t="str">
        <f t="shared" si="14"/>
        <v>Torino  vs  Udinese</v>
      </c>
    </row>
    <row r="827" spans="1:10">
      <c r="A827" s="162">
        <v>43506</v>
      </c>
      <c r="B827" s="151" t="s">
        <v>1470</v>
      </c>
      <c r="C827" s="144" t="s">
        <v>2469</v>
      </c>
      <c r="D827" s="143" t="s">
        <v>1265</v>
      </c>
      <c r="E827" s="145">
        <v>1</v>
      </c>
      <c r="F827" s="145">
        <v>1.7</v>
      </c>
      <c r="G827" s="146" t="s">
        <v>1513</v>
      </c>
      <c r="H827" s="145" t="s">
        <v>1153</v>
      </c>
      <c r="J827" s="150" t="str">
        <f t="shared" si="14"/>
        <v>Sevilla CF  vs  Eibar</v>
      </c>
    </row>
    <row r="828" spans="1:10">
      <c r="A828" s="162">
        <v>43506</v>
      </c>
      <c r="B828" s="151" t="s">
        <v>2472</v>
      </c>
      <c r="C828" s="144" t="s">
        <v>2473</v>
      </c>
      <c r="D828" s="143" t="s">
        <v>1845</v>
      </c>
      <c r="E828" s="145">
        <v>1</v>
      </c>
      <c r="F828" s="145">
        <v>1.58</v>
      </c>
      <c r="G828" s="146" t="s">
        <v>1511</v>
      </c>
      <c r="H828" s="145" t="s">
        <v>1153</v>
      </c>
      <c r="J828" s="150" t="str">
        <f t="shared" si="14"/>
        <v>AA Gent  vs  Royal Excel Mouscron</v>
      </c>
    </row>
    <row r="829" spans="1:10">
      <c r="A829" s="162">
        <v>43506</v>
      </c>
      <c r="B829" s="151" t="s">
        <v>1282</v>
      </c>
      <c r="C829" s="144" t="s">
        <v>2202</v>
      </c>
      <c r="D829" s="143" t="s">
        <v>1266</v>
      </c>
      <c r="E829" s="145">
        <v>1</v>
      </c>
      <c r="F829" s="145">
        <v>1.56</v>
      </c>
      <c r="G829" s="146" t="s">
        <v>1562</v>
      </c>
      <c r="H829" s="145" t="s">
        <v>1154</v>
      </c>
      <c r="J829" s="150" t="str">
        <f t="shared" si="14"/>
        <v>Estoril  vs  Cova de Piedade</v>
      </c>
    </row>
    <row r="830" spans="1:10">
      <c r="A830" s="162">
        <v>43506</v>
      </c>
      <c r="B830" s="151" t="s">
        <v>1284</v>
      </c>
      <c r="C830" s="144" t="s">
        <v>1487</v>
      </c>
      <c r="D830" s="143" t="s">
        <v>1267</v>
      </c>
      <c r="E830" s="145">
        <v>1</v>
      </c>
      <c r="F830" s="145">
        <v>1.5</v>
      </c>
      <c r="G830" s="146" t="s">
        <v>2127</v>
      </c>
      <c r="H830" s="145" t="s">
        <v>1154</v>
      </c>
      <c r="J830" s="150" t="str">
        <f t="shared" si="14"/>
        <v>Manchester City  vs  Chelsea</v>
      </c>
    </row>
    <row r="831" spans="1:10">
      <c r="A831" s="162">
        <v>43506</v>
      </c>
      <c r="B831" s="151" t="s">
        <v>2474</v>
      </c>
      <c r="C831" s="144" t="s">
        <v>2475</v>
      </c>
      <c r="D831" s="143" t="s">
        <v>1898</v>
      </c>
      <c r="E831" s="145">
        <v>1</v>
      </c>
      <c r="F831" s="145">
        <v>1.5</v>
      </c>
      <c r="G831" s="146" t="s">
        <v>1506</v>
      </c>
      <c r="H831" s="145" t="s">
        <v>1153</v>
      </c>
      <c r="J831" s="150" t="str">
        <f t="shared" si="14"/>
        <v>Sampdoria  vs  Frosinone</v>
      </c>
    </row>
    <row r="832" spans="1:10">
      <c r="A832" s="162">
        <v>43506</v>
      </c>
      <c r="B832" s="151" t="s">
        <v>2480</v>
      </c>
      <c r="C832" s="144" t="s">
        <v>2481</v>
      </c>
      <c r="D832" s="143" t="s">
        <v>1898</v>
      </c>
      <c r="E832" s="145">
        <v>1</v>
      </c>
      <c r="F832" s="145">
        <v>1.42</v>
      </c>
      <c r="G832" s="146" t="s">
        <v>1560</v>
      </c>
      <c r="H832" s="145" t="s">
        <v>1154</v>
      </c>
      <c r="J832" s="150" t="str">
        <f t="shared" si="14"/>
        <v>AC Milan  vs  Cagliari</v>
      </c>
    </row>
    <row r="833" spans="1:10">
      <c r="A833" s="162">
        <v>43506</v>
      </c>
      <c r="B833" s="151" t="s">
        <v>1283</v>
      </c>
      <c r="C833" s="144" t="s">
        <v>2484</v>
      </c>
      <c r="D833" s="143" t="s">
        <v>1266</v>
      </c>
      <c r="E833" s="145">
        <v>1</v>
      </c>
      <c r="F833" s="145">
        <v>1.34</v>
      </c>
      <c r="G833" s="146" t="s">
        <v>1523</v>
      </c>
      <c r="H833" s="145" t="s">
        <v>1154</v>
      </c>
      <c r="J833" s="150" t="str">
        <f t="shared" si="14"/>
        <v>Pacos de Ferreira  vs  Varzim</v>
      </c>
    </row>
    <row r="834" spans="1:10">
      <c r="A834" s="162">
        <v>43506</v>
      </c>
      <c r="B834" s="151" t="s">
        <v>1768</v>
      </c>
      <c r="C834" s="144" t="s">
        <v>2485</v>
      </c>
      <c r="D834" s="143" t="s">
        <v>1898</v>
      </c>
      <c r="E834" s="145">
        <v>1</v>
      </c>
      <c r="F834" s="145">
        <v>1.32</v>
      </c>
      <c r="G834" s="146" t="s">
        <v>1522</v>
      </c>
      <c r="H834" s="145" t="s">
        <v>1154</v>
      </c>
      <c r="J834" s="150" t="str">
        <f t="shared" si="14"/>
        <v>Atalanta Bergamo  vs  SPAL</v>
      </c>
    </row>
    <row r="835" spans="1:10">
      <c r="A835" s="162">
        <v>43506</v>
      </c>
      <c r="B835" s="151" t="s">
        <v>2486</v>
      </c>
      <c r="C835" s="144" t="s">
        <v>2487</v>
      </c>
      <c r="D835" s="143" t="s">
        <v>2219</v>
      </c>
      <c r="E835" s="145">
        <v>1</v>
      </c>
      <c r="F835" s="145">
        <v>1.3</v>
      </c>
      <c r="G835" s="146" t="s">
        <v>1523</v>
      </c>
      <c r="H835" s="145" t="s">
        <v>1154</v>
      </c>
      <c r="J835" s="150" t="str">
        <f t="shared" si="14"/>
        <v>Sparta Prague  vs  Bohemians 1905</v>
      </c>
    </row>
    <row r="836" spans="1:10">
      <c r="A836" s="162">
        <v>43506</v>
      </c>
      <c r="B836" s="151" t="s">
        <v>1279</v>
      </c>
      <c r="C836" s="144" t="s">
        <v>1728</v>
      </c>
      <c r="D836" s="143" t="s">
        <v>1242</v>
      </c>
      <c r="E836" s="145">
        <v>1</v>
      </c>
      <c r="F836" s="145">
        <v>1.3</v>
      </c>
      <c r="G836" s="146" t="s">
        <v>1522</v>
      </c>
      <c r="H836" s="145" t="s">
        <v>1154</v>
      </c>
      <c r="J836" s="150" t="str">
        <f t="shared" si="14"/>
        <v>Sporting Braga  vs  Chaves</v>
      </c>
    </row>
    <row r="837" spans="1:10">
      <c r="A837" s="162">
        <v>43506</v>
      </c>
      <c r="B837" s="151" t="s">
        <v>1334</v>
      </c>
      <c r="C837" s="144" t="s">
        <v>2488</v>
      </c>
      <c r="D837" s="143" t="s">
        <v>1242</v>
      </c>
      <c r="E837" s="145">
        <v>1</v>
      </c>
      <c r="F837" s="145">
        <v>1.1599999999999999</v>
      </c>
      <c r="G837" s="146" t="s">
        <v>2514</v>
      </c>
      <c r="H837" s="145" t="s">
        <v>1154</v>
      </c>
      <c r="J837" s="150" t="str">
        <f t="shared" si="14"/>
        <v>SL Benfica  vs  CD Nacional de Madeira</v>
      </c>
    </row>
    <row r="838" spans="1:10">
      <c r="A838" s="162">
        <v>43507</v>
      </c>
      <c r="B838" s="151" t="s">
        <v>1281</v>
      </c>
      <c r="C838" s="144" t="s">
        <v>1464</v>
      </c>
      <c r="D838" s="143" t="s">
        <v>1266</v>
      </c>
      <c r="E838" s="145">
        <v>1</v>
      </c>
      <c r="F838" s="145">
        <v>2.1</v>
      </c>
      <c r="G838" s="146" t="s">
        <v>1513</v>
      </c>
      <c r="H838" s="145" t="s">
        <v>1153</v>
      </c>
      <c r="J838" s="150" t="str">
        <f t="shared" si="14"/>
        <v>Vitoria Guimaraes II  vs  Sporting Covilha</v>
      </c>
    </row>
    <row r="839" spans="1:10">
      <c r="A839" s="162">
        <v>43507</v>
      </c>
      <c r="B839" s="151" t="s">
        <v>2512</v>
      </c>
      <c r="C839" s="144" t="s">
        <v>2513</v>
      </c>
      <c r="D839" s="143" t="s">
        <v>1850</v>
      </c>
      <c r="E839" s="145">
        <v>1</v>
      </c>
      <c r="F839" s="145">
        <v>1.75</v>
      </c>
      <c r="G839" s="146" t="s">
        <v>1522</v>
      </c>
      <c r="H839" s="145" t="s">
        <v>1154</v>
      </c>
      <c r="J839" s="150" t="str">
        <f t="shared" si="14"/>
        <v>Sivasspor  vs  Akhisarspor</v>
      </c>
    </row>
    <row r="840" spans="1:10">
      <c r="A840" s="162">
        <v>43507</v>
      </c>
      <c r="B840" s="151" t="s">
        <v>1375</v>
      </c>
      <c r="C840" s="144" t="s">
        <v>1921</v>
      </c>
      <c r="D840" s="143" t="s">
        <v>1267</v>
      </c>
      <c r="E840" s="145">
        <v>1</v>
      </c>
      <c r="F840" s="145">
        <v>1.67</v>
      </c>
      <c r="G840" s="146" t="s">
        <v>1561</v>
      </c>
      <c r="H840" s="145" t="s">
        <v>1153</v>
      </c>
      <c r="J840" s="150" t="str">
        <f t="shared" ref="J840:J903" si="15">CONCATENATE(B840," vs ",C840)</f>
        <v>Wolverhampton Wanderers  vs  Newcastle United</v>
      </c>
    </row>
    <row r="841" spans="1:10">
      <c r="A841" s="162">
        <v>43507</v>
      </c>
      <c r="B841" s="151" t="s">
        <v>1760</v>
      </c>
      <c r="C841" s="144" t="s">
        <v>1956</v>
      </c>
      <c r="D841" s="143" t="s">
        <v>1693</v>
      </c>
      <c r="E841" s="145">
        <v>1</v>
      </c>
      <c r="F841" s="145">
        <v>1.57</v>
      </c>
      <c r="G841" s="146" t="s">
        <v>1523</v>
      </c>
      <c r="H841" s="145" t="s">
        <v>1154</v>
      </c>
      <c r="J841" s="150" t="str">
        <f t="shared" si="15"/>
        <v>Hamburger SV  vs  Dynamo Dresden</v>
      </c>
    </row>
    <row r="842" spans="1:10">
      <c r="A842" s="162">
        <v>43508</v>
      </c>
      <c r="B842" s="3" t="s">
        <v>1295</v>
      </c>
      <c r="C842" s="3" t="s">
        <v>2517</v>
      </c>
      <c r="D842" s="3" t="s">
        <v>2515</v>
      </c>
      <c r="E842" s="23">
        <v>1</v>
      </c>
      <c r="F842" s="23">
        <v>2.2999999999999998</v>
      </c>
      <c r="G842" s="159" t="s">
        <v>1509</v>
      </c>
      <c r="H842" s="23" t="s">
        <v>1153</v>
      </c>
      <c r="J842" s="150" t="str">
        <f t="shared" si="15"/>
        <v>Manchester United  vs  Paris Saint-Germain</v>
      </c>
    </row>
    <row r="843" spans="1:10">
      <c r="A843" s="162">
        <v>43508</v>
      </c>
      <c r="B843" s="3" t="s">
        <v>2075</v>
      </c>
      <c r="C843" s="3" t="s">
        <v>2518</v>
      </c>
      <c r="D843" s="3" t="s">
        <v>2515</v>
      </c>
      <c r="E843" s="23">
        <v>1</v>
      </c>
      <c r="F843" s="23">
        <v>2.1</v>
      </c>
      <c r="G843" s="159" t="s">
        <v>1522</v>
      </c>
      <c r="H843" s="23" t="s">
        <v>1154</v>
      </c>
      <c r="J843" s="150" t="str">
        <f t="shared" si="15"/>
        <v>AS Roma  vs  FC Porto</v>
      </c>
    </row>
    <row r="844" spans="1:10">
      <c r="A844" s="162">
        <v>43508</v>
      </c>
      <c r="B844" s="3" t="s">
        <v>2523</v>
      </c>
      <c r="C844" s="3" t="s">
        <v>2524</v>
      </c>
      <c r="D844" s="3" t="s">
        <v>1690</v>
      </c>
      <c r="E844" s="23">
        <v>1</v>
      </c>
      <c r="F844" s="23">
        <v>1.54</v>
      </c>
      <c r="G844" s="159" t="s">
        <v>1561</v>
      </c>
      <c r="H844" s="23" t="s">
        <v>1153</v>
      </c>
      <c r="J844" s="150" t="str">
        <f t="shared" si="15"/>
        <v>Independiente Medellin  vs  Palestino</v>
      </c>
    </row>
    <row r="845" spans="1:10">
      <c r="A845" s="162">
        <v>43508</v>
      </c>
      <c r="B845" s="3" t="s">
        <v>2521</v>
      </c>
      <c r="C845" s="3" t="s">
        <v>2522</v>
      </c>
      <c r="D845" s="3" t="s">
        <v>1690</v>
      </c>
      <c r="E845" s="23">
        <v>1</v>
      </c>
      <c r="F845" s="23">
        <v>1.23</v>
      </c>
      <c r="G845" s="159" t="s">
        <v>1795</v>
      </c>
      <c r="H845" s="23" t="s">
        <v>1154</v>
      </c>
      <c r="J845" s="150" t="str">
        <f t="shared" si="15"/>
        <v>Atletico Mineiro  vs  Danubio</v>
      </c>
    </row>
    <row r="846" spans="1:10">
      <c r="A846" s="162">
        <v>43509</v>
      </c>
      <c r="B846" s="3" t="s">
        <v>2536</v>
      </c>
      <c r="C846" s="3" t="s">
        <v>1740</v>
      </c>
      <c r="D846" s="3" t="s">
        <v>1690</v>
      </c>
      <c r="E846" s="23">
        <v>1</v>
      </c>
      <c r="F846" s="23">
        <v>3.05</v>
      </c>
      <c r="G846" s="159" t="s">
        <v>1510</v>
      </c>
      <c r="H846" s="23" t="s">
        <v>1153</v>
      </c>
      <c r="J846" s="150" t="str">
        <f t="shared" si="15"/>
        <v>Caracas  vs  Delfin</v>
      </c>
    </row>
    <row r="847" spans="1:10">
      <c r="A847" s="162">
        <v>43509</v>
      </c>
      <c r="B847" s="3" t="s">
        <v>1352</v>
      </c>
      <c r="C847" s="3" t="s">
        <v>2529</v>
      </c>
      <c r="D847" s="3" t="s">
        <v>2515</v>
      </c>
      <c r="E847" s="23">
        <v>1</v>
      </c>
      <c r="F847" s="23">
        <v>2.16</v>
      </c>
      <c r="G847" s="159" t="s">
        <v>1560</v>
      </c>
      <c r="H847" s="23" t="s">
        <v>1154</v>
      </c>
      <c r="J847" s="150" t="str">
        <f t="shared" si="15"/>
        <v>Tottenham Hotspur  vs  Bv09 Borussia Dortmund</v>
      </c>
    </row>
    <row r="848" spans="1:10">
      <c r="A848" s="162">
        <v>43509</v>
      </c>
      <c r="B848" s="3" t="s">
        <v>2535</v>
      </c>
      <c r="C848" s="3" t="s">
        <v>2281</v>
      </c>
      <c r="D848" s="3" t="s">
        <v>1690</v>
      </c>
      <c r="E848" s="23">
        <v>1</v>
      </c>
      <c r="F848" s="23">
        <v>1.4</v>
      </c>
      <c r="G848" s="159" t="s">
        <v>1510</v>
      </c>
      <c r="H848" s="23" t="s">
        <v>1153</v>
      </c>
      <c r="J848" s="150" t="str">
        <f t="shared" si="15"/>
        <v>Sao Paulo  vs  Talleres de Cordoba</v>
      </c>
    </row>
    <row r="849" spans="1:10">
      <c r="A849" s="162">
        <v>43509</v>
      </c>
      <c r="B849" s="3" t="s">
        <v>2531</v>
      </c>
      <c r="C849" s="3" t="s">
        <v>2532</v>
      </c>
      <c r="D849" s="3" t="s">
        <v>1690</v>
      </c>
      <c r="E849" s="23">
        <v>1</v>
      </c>
      <c r="F849" s="23">
        <v>1.37</v>
      </c>
      <c r="G849" s="159" t="s">
        <v>1510</v>
      </c>
      <c r="H849" s="23" t="s">
        <v>1153</v>
      </c>
      <c r="J849" s="150" t="str">
        <f t="shared" si="15"/>
        <v>Universidad de Chile  vs  Melgar FBC</v>
      </c>
    </row>
    <row r="850" spans="1:10">
      <c r="A850" s="162">
        <v>43509</v>
      </c>
      <c r="B850" s="3" t="s">
        <v>2533</v>
      </c>
      <c r="C850" s="3" t="s">
        <v>2534</v>
      </c>
      <c r="D850" s="3" t="s">
        <v>1690</v>
      </c>
      <c r="E850" s="23">
        <v>1</v>
      </c>
      <c r="F850" s="23">
        <v>1.37</v>
      </c>
      <c r="G850" s="159" t="s">
        <v>1732</v>
      </c>
      <c r="H850" s="23" t="s">
        <v>1154</v>
      </c>
      <c r="J850" s="150" t="str">
        <f t="shared" si="15"/>
        <v>Libertad Asuncion  vs  The Strongest</v>
      </c>
    </row>
    <row r="851" spans="1:10">
      <c r="A851" s="162">
        <v>43510</v>
      </c>
      <c r="B851" s="151" t="s">
        <v>1906</v>
      </c>
      <c r="C851" s="144" t="s">
        <v>1746</v>
      </c>
      <c r="D851" s="143" t="s">
        <v>1736</v>
      </c>
      <c r="E851" s="145">
        <v>1</v>
      </c>
      <c r="F851" s="145">
        <v>3.9</v>
      </c>
      <c r="G851" s="146" t="s">
        <v>1561</v>
      </c>
      <c r="H851" s="145" t="s">
        <v>1153</v>
      </c>
      <c r="J851" s="150" t="str">
        <f t="shared" si="15"/>
        <v>Rosario Central  vs  River Plate</v>
      </c>
    </row>
    <row r="852" spans="1:10">
      <c r="A852" s="162">
        <v>43510</v>
      </c>
      <c r="B852" s="151" t="s">
        <v>2390</v>
      </c>
      <c r="C852" s="144" t="s">
        <v>2093</v>
      </c>
      <c r="D852" s="143" t="s">
        <v>2516</v>
      </c>
      <c r="E852" s="145">
        <v>1</v>
      </c>
      <c r="F852" s="145">
        <v>2.6</v>
      </c>
      <c r="G852" s="146" t="s">
        <v>1511</v>
      </c>
      <c r="H852" s="145" t="s">
        <v>1153</v>
      </c>
      <c r="J852" s="150" t="str">
        <f t="shared" si="15"/>
        <v>Galatasaray  vs  SL Benfica</v>
      </c>
    </row>
    <row r="853" spans="1:10">
      <c r="A853" s="162">
        <v>43510</v>
      </c>
      <c r="B853" s="151" t="s">
        <v>2370</v>
      </c>
      <c r="C853" s="144" t="s">
        <v>2542</v>
      </c>
      <c r="D853" s="143" t="s">
        <v>2516</v>
      </c>
      <c r="E853" s="145">
        <v>1</v>
      </c>
      <c r="F853" s="145">
        <v>2.35</v>
      </c>
      <c r="G853" s="146" t="s">
        <v>1510</v>
      </c>
      <c r="H853" s="145" t="s">
        <v>1153</v>
      </c>
      <c r="J853" s="150" t="str">
        <f t="shared" si="15"/>
        <v>Slavia Prague  vs  Racing Genk</v>
      </c>
    </row>
    <row r="854" spans="1:10">
      <c r="A854" s="162">
        <v>43510</v>
      </c>
      <c r="B854" s="151" t="s">
        <v>2217</v>
      </c>
      <c r="C854" s="144" t="s">
        <v>1773</v>
      </c>
      <c r="D854" s="143" t="s">
        <v>2516</v>
      </c>
      <c r="E854" s="145">
        <v>1</v>
      </c>
      <c r="F854" s="145">
        <v>2.35</v>
      </c>
      <c r="G854" s="146" t="s">
        <v>1506</v>
      </c>
      <c r="H854" s="145" t="s">
        <v>1153</v>
      </c>
      <c r="J854" s="150" t="str">
        <f t="shared" si="15"/>
        <v>SS Lazio  vs  Sevilla CF</v>
      </c>
    </row>
    <row r="855" spans="1:10">
      <c r="A855" s="162">
        <v>43510</v>
      </c>
      <c r="B855" s="151" t="s">
        <v>2558</v>
      </c>
      <c r="C855" s="144" t="s">
        <v>2559</v>
      </c>
      <c r="D855" s="143" t="s">
        <v>2136</v>
      </c>
      <c r="E855" s="145">
        <v>1</v>
      </c>
      <c r="F855" s="145">
        <v>2.2799999999999998</v>
      </c>
      <c r="G855" s="146" t="s">
        <v>1561</v>
      </c>
      <c r="H855" s="145" t="s">
        <v>1153</v>
      </c>
      <c r="J855" s="150" t="str">
        <f t="shared" si="15"/>
        <v>Corinthians  vs  Racing Club Avellaneda</v>
      </c>
    </row>
    <row r="856" spans="1:10">
      <c r="A856" s="162">
        <v>43510</v>
      </c>
      <c r="B856" s="151" t="s">
        <v>2554</v>
      </c>
      <c r="C856" s="144" t="s">
        <v>2336</v>
      </c>
      <c r="D856" s="143" t="s">
        <v>2516</v>
      </c>
      <c r="E856" s="145">
        <v>1</v>
      </c>
      <c r="F856" s="145">
        <v>2.25</v>
      </c>
      <c r="G856" s="146" t="s">
        <v>1513</v>
      </c>
      <c r="H856" s="145" t="s">
        <v>1153</v>
      </c>
      <c r="J856" s="150" t="str">
        <f t="shared" si="15"/>
        <v>Shakhtar Donetsk  vs  Eintracht Frankfurt</v>
      </c>
    </row>
    <row r="857" spans="1:10">
      <c r="A857" s="162">
        <v>43510</v>
      </c>
      <c r="B857" s="151" t="s">
        <v>1285</v>
      </c>
      <c r="C857" s="144" t="s">
        <v>2556</v>
      </c>
      <c r="D857" s="143" t="s">
        <v>2516</v>
      </c>
      <c r="E857" s="145">
        <v>1</v>
      </c>
      <c r="F857" s="145">
        <v>2.2000000000000002</v>
      </c>
      <c r="G857" s="146" t="s">
        <v>1506</v>
      </c>
      <c r="H857" s="145" t="s">
        <v>1153</v>
      </c>
      <c r="J857" s="150" t="str">
        <f t="shared" si="15"/>
        <v>Sporting Clube de Portugal  vs  Villarreal CF</v>
      </c>
    </row>
    <row r="858" spans="1:10">
      <c r="A858" s="162">
        <v>43510</v>
      </c>
      <c r="B858" s="151" t="s">
        <v>2545</v>
      </c>
      <c r="C858" s="144" t="s">
        <v>2546</v>
      </c>
      <c r="D858" s="143" t="s">
        <v>2516</v>
      </c>
      <c r="E858" s="145">
        <v>1</v>
      </c>
      <c r="F858" s="145">
        <v>1.95</v>
      </c>
      <c r="G858" s="146" t="s">
        <v>1513</v>
      </c>
      <c r="H858" s="145" t="s">
        <v>1153</v>
      </c>
      <c r="J858" s="150" t="str">
        <f t="shared" si="15"/>
        <v>Olympiakos Piraeus  vs  Dinamo Kiev</v>
      </c>
    </row>
    <row r="859" spans="1:10">
      <c r="A859" s="162">
        <v>43510</v>
      </c>
      <c r="B859" s="151" t="s">
        <v>2557</v>
      </c>
      <c r="C859" s="144" t="s">
        <v>1706</v>
      </c>
      <c r="D859" s="143" t="s">
        <v>1690</v>
      </c>
      <c r="E859" s="145">
        <v>1</v>
      </c>
      <c r="F859" s="145">
        <v>1.19</v>
      </c>
      <c r="G859" s="146" t="s">
        <v>1510</v>
      </c>
      <c r="H859" s="145" t="s">
        <v>1153</v>
      </c>
      <c r="J859" s="150" t="str">
        <f t="shared" si="15"/>
        <v>Atletico Nacional de Medellin  vs  Deportivo La Guaira</v>
      </c>
    </row>
    <row r="860" spans="1:10">
      <c r="A860" s="162">
        <v>43511</v>
      </c>
      <c r="B860" s="151" t="s">
        <v>2016</v>
      </c>
      <c r="C860" s="144" t="s">
        <v>2589</v>
      </c>
      <c r="D860" s="143" t="s">
        <v>1850</v>
      </c>
      <c r="E860" s="145">
        <v>1</v>
      </c>
      <c r="F860" s="145">
        <v>3.55</v>
      </c>
      <c r="G860" s="146" t="s">
        <v>1511</v>
      </c>
      <c r="H860" s="145" t="s">
        <v>1153</v>
      </c>
      <c r="J860" s="150" t="str">
        <f t="shared" si="15"/>
        <v>Yeni Malatyaspor  vs  Besiktas JK</v>
      </c>
    </row>
    <row r="861" spans="1:10">
      <c r="A861" s="162">
        <v>43511</v>
      </c>
      <c r="B861" s="151" t="s">
        <v>2062</v>
      </c>
      <c r="C861" s="144" t="s">
        <v>1873</v>
      </c>
      <c r="D861" s="143" t="s">
        <v>1693</v>
      </c>
      <c r="E861" s="145">
        <v>1</v>
      </c>
      <c r="F861" s="145">
        <v>2.1800000000000002</v>
      </c>
      <c r="G861" s="146" t="s">
        <v>1561</v>
      </c>
      <c r="H861" s="145" t="s">
        <v>1153</v>
      </c>
      <c r="J861" s="150" t="str">
        <f t="shared" si="15"/>
        <v>SV Sandhausen  vs  Darmstadt 98</v>
      </c>
    </row>
    <row r="862" spans="1:10">
      <c r="A862" s="162">
        <v>43511</v>
      </c>
      <c r="B862" s="151" t="s">
        <v>2176</v>
      </c>
      <c r="C862" s="144" t="s">
        <v>2082</v>
      </c>
      <c r="D862" s="143" t="s">
        <v>1847</v>
      </c>
      <c r="E862" s="145">
        <v>1</v>
      </c>
      <c r="F862" s="145">
        <v>2.08</v>
      </c>
      <c r="G862" s="146" t="s">
        <v>1561</v>
      </c>
      <c r="H862" s="168" t="s">
        <v>1153</v>
      </c>
      <c r="J862" s="150" t="str">
        <f t="shared" si="15"/>
        <v>Palermo  vs  Brescia</v>
      </c>
    </row>
    <row r="863" spans="1:10">
      <c r="A863" s="162">
        <v>43511</v>
      </c>
      <c r="B863" s="151" t="s">
        <v>1340</v>
      </c>
      <c r="C863" s="144" t="s">
        <v>2001</v>
      </c>
      <c r="D863" s="143" t="s">
        <v>1265</v>
      </c>
      <c r="E863" s="145">
        <v>1</v>
      </c>
      <c r="F863" s="145">
        <v>2.04</v>
      </c>
      <c r="G863" s="146" t="s">
        <v>1513</v>
      </c>
      <c r="H863" s="145" t="s">
        <v>1153</v>
      </c>
      <c r="J863" s="150" t="str">
        <f t="shared" si="15"/>
        <v>Eibar  vs  Getafe</v>
      </c>
    </row>
    <row r="864" spans="1:10">
      <c r="A864" s="162">
        <v>43511</v>
      </c>
      <c r="B864" s="151" t="s">
        <v>1384</v>
      </c>
      <c r="C864" s="144" t="s">
        <v>1459</v>
      </c>
      <c r="D864" s="143" t="s">
        <v>1242</v>
      </c>
      <c r="E864" s="145">
        <v>1</v>
      </c>
      <c r="F864" s="145">
        <v>1.76</v>
      </c>
      <c r="G864" s="146" t="s">
        <v>1511</v>
      </c>
      <c r="H864" s="145" t="s">
        <v>1153</v>
      </c>
      <c r="J864" s="150" t="str">
        <f t="shared" si="15"/>
        <v>Rio Ave  vs  Santa Clara</v>
      </c>
    </row>
    <row r="865" spans="1:10">
      <c r="A865" s="162">
        <v>43511</v>
      </c>
      <c r="B865" s="151" t="s">
        <v>2573</v>
      </c>
      <c r="C865" s="144" t="s">
        <v>1905</v>
      </c>
      <c r="D865" s="143" t="s">
        <v>1736</v>
      </c>
      <c r="E865" s="145">
        <v>1</v>
      </c>
      <c r="F865" s="145">
        <v>1.62</v>
      </c>
      <c r="G865" s="146" t="s">
        <v>1561</v>
      </c>
      <c r="H865" s="145" t="s">
        <v>1153</v>
      </c>
      <c r="J865" s="150" t="str">
        <f t="shared" si="15"/>
        <v>Velez Sarsfield  vs  Colon de Santa Fe</v>
      </c>
    </row>
    <row r="866" spans="1:10">
      <c r="A866" s="162">
        <v>43511</v>
      </c>
      <c r="B866" s="151" t="s">
        <v>2044</v>
      </c>
      <c r="C866" s="144" t="s">
        <v>2577</v>
      </c>
      <c r="D866" s="143" t="s">
        <v>1845</v>
      </c>
      <c r="E866" s="145">
        <v>1</v>
      </c>
      <c r="F866" s="145">
        <v>1.3</v>
      </c>
      <c r="G866" s="146" t="s">
        <v>1798</v>
      </c>
      <c r="H866" s="145" t="s">
        <v>1154</v>
      </c>
      <c r="J866" s="150" t="str">
        <f t="shared" si="15"/>
        <v>Standard de Liege  vs  Lokeren</v>
      </c>
    </row>
    <row r="867" spans="1:10">
      <c r="A867" s="162">
        <v>43511</v>
      </c>
      <c r="B867" s="151" t="s">
        <v>1353</v>
      </c>
      <c r="C867" s="144" t="s">
        <v>1498</v>
      </c>
      <c r="D867" s="143" t="s">
        <v>1261</v>
      </c>
      <c r="E867" s="145">
        <v>1</v>
      </c>
      <c r="F867" s="145">
        <v>1.3</v>
      </c>
      <c r="G867" s="146" t="s">
        <v>1522</v>
      </c>
      <c r="H867" s="145" t="s">
        <v>1154</v>
      </c>
      <c r="J867" s="150" t="str">
        <f t="shared" si="15"/>
        <v>Olympique Lyonnais  vs  En Avant Guingamp</v>
      </c>
    </row>
    <row r="868" spans="1:10">
      <c r="A868" s="162">
        <v>43511</v>
      </c>
      <c r="B868" s="151" t="s">
        <v>1865</v>
      </c>
      <c r="C868" s="144" t="s">
        <v>1918</v>
      </c>
      <c r="D868" s="143" t="s">
        <v>1737</v>
      </c>
      <c r="E868" s="145">
        <v>1</v>
      </c>
      <c r="F868" s="145">
        <v>1.17</v>
      </c>
      <c r="G868" s="146" t="s">
        <v>1510</v>
      </c>
      <c r="H868" s="145" t="s">
        <v>1153</v>
      </c>
      <c r="J868" s="150" t="str">
        <f t="shared" si="15"/>
        <v>Lokomotiva Zagreb  vs  Rudes</v>
      </c>
    </row>
    <row r="869" spans="1:10">
      <c r="A869" s="162">
        <v>43511</v>
      </c>
      <c r="B869" s="151" t="s">
        <v>1979</v>
      </c>
      <c r="C869" s="144" t="s">
        <v>2475</v>
      </c>
      <c r="D869" s="143" t="s">
        <v>1898</v>
      </c>
      <c r="E869" s="145">
        <v>1</v>
      </c>
      <c r="F869" s="145">
        <v>1.1299999999999999</v>
      </c>
      <c r="G869" s="146" t="s">
        <v>1560</v>
      </c>
      <c r="H869" s="145" t="s">
        <v>1154</v>
      </c>
      <c r="J869" s="150" t="str">
        <f t="shared" si="15"/>
        <v>Juventus  vs  Frosinone</v>
      </c>
    </row>
    <row r="870" spans="1:10">
      <c r="A870" s="162">
        <v>43512</v>
      </c>
      <c r="B870" s="151" t="s">
        <v>2616</v>
      </c>
      <c r="C870" s="144" t="s">
        <v>2175</v>
      </c>
      <c r="D870" s="143" t="s">
        <v>1264</v>
      </c>
      <c r="E870" s="145">
        <v>1</v>
      </c>
      <c r="F870" s="145">
        <v>3.3</v>
      </c>
      <c r="G870" s="146" t="s">
        <v>1510</v>
      </c>
      <c r="H870" s="145" t="s">
        <v>1153</v>
      </c>
      <c r="J870" s="150" t="str">
        <f t="shared" si="15"/>
        <v>Hapoel Ra’anana  vs  Hapoel Tel-Aviv</v>
      </c>
    </row>
    <row r="871" spans="1:10">
      <c r="A871" s="162">
        <v>43512</v>
      </c>
      <c r="B871" s="151" t="s">
        <v>2614</v>
      </c>
      <c r="C871" s="144" t="s">
        <v>2615</v>
      </c>
      <c r="D871" s="143" t="s">
        <v>1897</v>
      </c>
      <c r="E871" s="145">
        <v>1</v>
      </c>
      <c r="F871" s="145">
        <v>3.2</v>
      </c>
      <c r="G871" s="146" t="s">
        <v>1506</v>
      </c>
      <c r="H871" s="145" t="s">
        <v>1153</v>
      </c>
      <c r="J871" s="150" t="str">
        <f t="shared" si="15"/>
        <v>Puskas FC  vs  Ujpest</v>
      </c>
    </row>
    <row r="872" spans="1:10">
      <c r="A872" s="162">
        <v>43512</v>
      </c>
      <c r="B872" s="151" t="s">
        <v>2282</v>
      </c>
      <c r="C872" s="144" t="s">
        <v>2608</v>
      </c>
      <c r="D872" s="143" t="s">
        <v>1692</v>
      </c>
      <c r="E872" s="145">
        <v>1</v>
      </c>
      <c r="F872" s="145">
        <v>2.98</v>
      </c>
      <c r="G872" s="146" t="s">
        <v>1523</v>
      </c>
      <c r="H872" s="145" t="s">
        <v>1154</v>
      </c>
      <c r="J872" s="150" t="str">
        <f t="shared" si="15"/>
        <v>Ekenas IF  vs  KTP</v>
      </c>
    </row>
    <row r="873" spans="1:10">
      <c r="A873" s="162">
        <v>43512</v>
      </c>
      <c r="B873" s="151" t="s">
        <v>2106</v>
      </c>
      <c r="C873" s="144" t="s">
        <v>2199</v>
      </c>
      <c r="D873" s="143" t="s">
        <v>1899</v>
      </c>
      <c r="E873" s="145">
        <v>1</v>
      </c>
      <c r="F873" s="145">
        <v>2.42</v>
      </c>
      <c r="G873" s="146" t="s">
        <v>1591</v>
      </c>
      <c r="H873" s="145" t="s">
        <v>1153</v>
      </c>
      <c r="J873" s="150" t="str">
        <f t="shared" si="15"/>
        <v>St. Gallen  vs  Thun</v>
      </c>
    </row>
    <row r="874" spans="1:10">
      <c r="A874" s="162">
        <v>43512</v>
      </c>
      <c r="B874" s="151" t="s">
        <v>1939</v>
      </c>
      <c r="C874" s="144" t="s">
        <v>1869</v>
      </c>
      <c r="D874" s="143" t="s">
        <v>1261</v>
      </c>
      <c r="E874" s="145">
        <v>1</v>
      </c>
      <c r="F874" s="145">
        <v>2.38</v>
      </c>
      <c r="G874" s="146" t="s">
        <v>1560</v>
      </c>
      <c r="H874" s="145" t="s">
        <v>1154</v>
      </c>
      <c r="J874" s="150" t="str">
        <f t="shared" si="15"/>
        <v>Angers SCO  vs  OGC Nice</v>
      </c>
    </row>
    <row r="875" spans="1:10">
      <c r="A875" s="162">
        <v>43512</v>
      </c>
      <c r="B875" s="151" t="s">
        <v>1948</v>
      </c>
      <c r="C875" s="144" t="s">
        <v>2156</v>
      </c>
      <c r="D875" s="143" t="s">
        <v>1846</v>
      </c>
      <c r="E875" s="145">
        <v>1</v>
      </c>
      <c r="F875" s="145">
        <v>2.38</v>
      </c>
      <c r="G875" s="146" t="s">
        <v>1561</v>
      </c>
      <c r="H875" s="145" t="s">
        <v>1153</v>
      </c>
      <c r="J875" s="150" t="str">
        <f t="shared" si="15"/>
        <v>Hertha Berlin  vs  Werder Bremen</v>
      </c>
    </row>
    <row r="876" spans="1:10">
      <c r="A876" s="162">
        <v>43512</v>
      </c>
      <c r="B876" s="151" t="s">
        <v>1900</v>
      </c>
      <c r="C876" s="144" t="s">
        <v>2596</v>
      </c>
      <c r="D876" s="143" t="s">
        <v>1736</v>
      </c>
      <c r="E876" s="145">
        <v>1</v>
      </c>
      <c r="F876" s="145">
        <v>2.2999999999999998</v>
      </c>
      <c r="G876" s="146" t="s">
        <v>1561</v>
      </c>
      <c r="H876" s="145" t="s">
        <v>1153</v>
      </c>
      <c r="J876" s="150" t="str">
        <f t="shared" si="15"/>
        <v>San Lorenzo de Almagro  vs  Newell’s Old Boys</v>
      </c>
    </row>
    <row r="877" spans="1:10">
      <c r="A877" s="162">
        <v>43512</v>
      </c>
      <c r="B877" s="151" t="s">
        <v>2620</v>
      </c>
      <c r="C877" s="144" t="s">
        <v>1986</v>
      </c>
      <c r="D877" s="143" t="s">
        <v>1847</v>
      </c>
      <c r="E877" s="145">
        <v>1</v>
      </c>
      <c r="F877" s="145">
        <v>2.1800000000000002</v>
      </c>
      <c r="G877" s="146" t="s">
        <v>2134</v>
      </c>
      <c r="H877" s="145" t="s">
        <v>1153</v>
      </c>
      <c r="J877" s="150" t="str">
        <f t="shared" si="15"/>
        <v>Ascoli  vs  Salernitana</v>
      </c>
    </row>
    <row r="878" spans="1:10">
      <c r="A878" s="162">
        <v>43512</v>
      </c>
      <c r="B878" s="151" t="s">
        <v>1911</v>
      </c>
      <c r="C878" s="144" t="s">
        <v>1864</v>
      </c>
      <c r="D878" s="143" t="s">
        <v>1845</v>
      </c>
      <c r="E878" s="145">
        <v>1</v>
      </c>
      <c r="F878" s="145">
        <v>2.17</v>
      </c>
      <c r="G878" s="146" t="s">
        <v>1511</v>
      </c>
      <c r="H878" s="145" t="s">
        <v>1153</v>
      </c>
      <c r="J878" s="150" t="str">
        <f t="shared" si="15"/>
        <v>Kortrijk  vs  Sporting Charleroi</v>
      </c>
    </row>
    <row r="879" spans="1:10">
      <c r="A879" s="162">
        <v>43512</v>
      </c>
      <c r="B879" s="151" t="s">
        <v>2002</v>
      </c>
      <c r="C879" s="144" t="s">
        <v>1405</v>
      </c>
      <c r="D879" s="143" t="s">
        <v>1265</v>
      </c>
      <c r="E879" s="145">
        <v>1</v>
      </c>
      <c r="F879" s="145">
        <v>2.0699999999999998</v>
      </c>
      <c r="G879" s="146" t="s">
        <v>1560</v>
      </c>
      <c r="H879" s="145" t="s">
        <v>1154</v>
      </c>
      <c r="J879" s="150" t="str">
        <f t="shared" si="15"/>
        <v>Real Sociedad  vs  Leganes CF</v>
      </c>
    </row>
    <row r="880" spans="1:10">
      <c r="A880" s="162">
        <v>43512</v>
      </c>
      <c r="B880" s="151" t="s">
        <v>2599</v>
      </c>
      <c r="C880" s="144" t="s">
        <v>2600</v>
      </c>
      <c r="D880" s="143" t="s">
        <v>2571</v>
      </c>
      <c r="E880" s="145">
        <v>1</v>
      </c>
      <c r="F880" s="145">
        <v>2.02</v>
      </c>
      <c r="G880" s="146" t="s">
        <v>1523</v>
      </c>
      <c r="H880" s="145" t="s">
        <v>1154</v>
      </c>
      <c r="J880" s="150" t="str">
        <f t="shared" si="15"/>
        <v>Botev Vratsa  vs  Vitosha Bistritsa</v>
      </c>
    </row>
    <row r="881" spans="1:10">
      <c r="A881" s="162">
        <v>43512</v>
      </c>
      <c r="B881" s="151" t="s">
        <v>1768</v>
      </c>
      <c r="C881" s="144" t="s">
        <v>2618</v>
      </c>
      <c r="D881" s="143" t="s">
        <v>1898</v>
      </c>
      <c r="E881" s="145">
        <v>1</v>
      </c>
      <c r="F881" s="145">
        <v>2.02</v>
      </c>
      <c r="G881" s="146" t="s">
        <v>1591</v>
      </c>
      <c r="H881" s="145" t="s">
        <v>1153</v>
      </c>
      <c r="J881" s="150" t="str">
        <f t="shared" si="15"/>
        <v>Atalanta Bergamo  vs  AC Milan</v>
      </c>
    </row>
    <row r="882" spans="1:10">
      <c r="A882" s="162">
        <v>43512</v>
      </c>
      <c r="B882" s="151" t="s">
        <v>2603</v>
      </c>
      <c r="C882" s="144" t="s">
        <v>1866</v>
      </c>
      <c r="D882" s="143" t="s">
        <v>1737</v>
      </c>
      <c r="E882" s="145">
        <v>1</v>
      </c>
      <c r="F882" s="145">
        <v>1.97</v>
      </c>
      <c r="G882" s="146" t="s">
        <v>1513</v>
      </c>
      <c r="H882" s="145" t="s">
        <v>1153</v>
      </c>
      <c r="J882" s="150" t="str">
        <f t="shared" si="15"/>
        <v>Gorica  vs  Inter Zapresic</v>
      </c>
    </row>
    <row r="883" spans="1:10">
      <c r="A883" s="162">
        <v>43512</v>
      </c>
      <c r="B883" s="151" t="s">
        <v>1936</v>
      </c>
      <c r="C883" s="144" t="s">
        <v>2609</v>
      </c>
      <c r="D883" s="143" t="s">
        <v>1692</v>
      </c>
      <c r="E883" s="145">
        <v>1</v>
      </c>
      <c r="F883" s="145">
        <v>1.93</v>
      </c>
      <c r="G883" s="146" t="s">
        <v>1506</v>
      </c>
      <c r="H883" s="145" t="s">
        <v>1153</v>
      </c>
      <c r="J883" s="150" t="str">
        <f t="shared" si="15"/>
        <v>VPS Vaasa  vs  KPV Kokkola</v>
      </c>
    </row>
    <row r="884" spans="1:10">
      <c r="A884" s="162">
        <v>43512</v>
      </c>
      <c r="B884" s="151" t="s">
        <v>2079</v>
      </c>
      <c r="C884" s="144" t="s">
        <v>2619</v>
      </c>
      <c r="D884" s="143" t="s">
        <v>1847</v>
      </c>
      <c r="E884" s="145">
        <v>1</v>
      </c>
      <c r="F884" s="145">
        <v>1.86</v>
      </c>
      <c r="G884" s="146" t="s">
        <v>1523</v>
      </c>
      <c r="H884" s="145" t="s">
        <v>1154</v>
      </c>
      <c r="J884" s="150" t="str">
        <f t="shared" si="15"/>
        <v>Benevento  vs  Cittadella</v>
      </c>
    </row>
    <row r="885" spans="1:10">
      <c r="A885" s="162">
        <v>43512</v>
      </c>
      <c r="B885" s="151" t="s">
        <v>1885</v>
      </c>
      <c r="C885" s="144" t="s">
        <v>2173</v>
      </c>
      <c r="D885" s="143" t="s">
        <v>1850</v>
      </c>
      <c r="E885" s="145">
        <v>1</v>
      </c>
      <c r="F885" s="145">
        <v>1.85</v>
      </c>
      <c r="G885" s="146" t="s">
        <v>1561</v>
      </c>
      <c r="H885" s="145" t="s">
        <v>1153</v>
      </c>
      <c r="J885" s="150" t="str">
        <f t="shared" si="15"/>
        <v>Fenerbahce  vs  Konyaspor</v>
      </c>
    </row>
    <row r="886" spans="1:10">
      <c r="A886" s="162">
        <v>43512</v>
      </c>
      <c r="B886" s="151" t="s">
        <v>2604</v>
      </c>
      <c r="C886" s="144" t="s">
        <v>2605</v>
      </c>
      <c r="D886" s="143" t="s">
        <v>2219</v>
      </c>
      <c r="E886" s="145">
        <v>1</v>
      </c>
      <c r="F886" s="145">
        <v>1.84</v>
      </c>
      <c r="G886" s="146" t="s">
        <v>1562</v>
      </c>
      <c r="H886" s="145" t="s">
        <v>1154</v>
      </c>
      <c r="J886" s="150" t="str">
        <f t="shared" si="15"/>
        <v>Slovacko  vs  Karvina</v>
      </c>
    </row>
    <row r="887" spans="1:10">
      <c r="A887" s="162">
        <v>43512</v>
      </c>
      <c r="B887" s="151" t="s">
        <v>1601</v>
      </c>
      <c r="C887" s="144" t="s">
        <v>1434</v>
      </c>
      <c r="D887" s="143" t="s">
        <v>1242</v>
      </c>
      <c r="E887" s="145">
        <v>1</v>
      </c>
      <c r="F887" s="145">
        <v>1.8</v>
      </c>
      <c r="G887" s="146" t="s">
        <v>1562</v>
      </c>
      <c r="H887" s="145" t="s">
        <v>1154</v>
      </c>
      <c r="J887" s="150" t="str">
        <f t="shared" si="15"/>
        <v>Vitoria Guimaraes  vs  Portimonense</v>
      </c>
    </row>
    <row r="888" spans="1:10">
      <c r="A888" s="162">
        <v>43512</v>
      </c>
      <c r="B888" s="151" t="s">
        <v>2601</v>
      </c>
      <c r="C888" s="144" t="s">
        <v>2602</v>
      </c>
      <c r="D888" s="143" t="s">
        <v>2571</v>
      </c>
      <c r="E888" s="145">
        <v>1</v>
      </c>
      <c r="F888" s="145">
        <v>1.78</v>
      </c>
      <c r="G888" s="146" t="s">
        <v>1523</v>
      </c>
      <c r="H888" s="145" t="s">
        <v>1154</v>
      </c>
      <c r="J888" s="150" t="str">
        <f t="shared" si="15"/>
        <v>Botev Plovdiv  vs  Slavia Sofia</v>
      </c>
    </row>
    <row r="889" spans="1:10">
      <c r="A889" s="162">
        <v>43512</v>
      </c>
      <c r="B889" s="151" t="s">
        <v>2611</v>
      </c>
      <c r="C889" s="144" t="s">
        <v>2612</v>
      </c>
      <c r="D889" s="143" t="s">
        <v>1846</v>
      </c>
      <c r="E889" s="145">
        <v>1</v>
      </c>
      <c r="F889" s="145">
        <v>1.74</v>
      </c>
      <c r="G889" s="146" t="s">
        <v>1560</v>
      </c>
      <c r="H889" s="145" t="s">
        <v>1154</v>
      </c>
      <c r="J889" s="150" t="str">
        <f t="shared" si="15"/>
        <v>VfL Wolfsburg  vs  Mainz 05</v>
      </c>
    </row>
    <row r="890" spans="1:10">
      <c r="A890" s="162">
        <v>43512</v>
      </c>
      <c r="B890" s="151" t="s">
        <v>2165</v>
      </c>
      <c r="C890" s="144" t="s">
        <v>2613</v>
      </c>
      <c r="D890" s="143" t="s">
        <v>1693</v>
      </c>
      <c r="E890" s="145">
        <v>1</v>
      </c>
      <c r="F890" s="145">
        <v>1.7</v>
      </c>
      <c r="G890" s="146" t="s">
        <v>1511</v>
      </c>
      <c r="H890" s="145" t="s">
        <v>1153</v>
      </c>
      <c r="J890" s="150" t="str">
        <f t="shared" si="15"/>
        <v>St. Pauli  vs  Erzgebirge Aue</v>
      </c>
    </row>
    <row r="891" spans="1:10">
      <c r="A891" s="162">
        <v>43512</v>
      </c>
      <c r="B891" s="151" t="s">
        <v>2621</v>
      </c>
      <c r="C891" s="144" t="s">
        <v>2088</v>
      </c>
      <c r="D891" s="143" t="s">
        <v>1848</v>
      </c>
      <c r="E891" s="145">
        <v>1</v>
      </c>
      <c r="F891" s="145">
        <v>1.65</v>
      </c>
      <c r="G891" s="146" t="s">
        <v>2127</v>
      </c>
      <c r="H891" s="145" t="s">
        <v>1154</v>
      </c>
      <c r="J891" s="150" t="str">
        <f t="shared" si="15"/>
        <v>Heracles Almelo  vs  Fortuna Sittard</v>
      </c>
    </row>
    <row r="892" spans="1:10">
      <c r="A892" s="162">
        <v>43512</v>
      </c>
      <c r="B892" s="151" t="s">
        <v>1358</v>
      </c>
      <c r="C892" s="144" t="s">
        <v>1370</v>
      </c>
      <c r="D892" s="143" t="s">
        <v>1257</v>
      </c>
      <c r="E892" s="145">
        <v>1</v>
      </c>
      <c r="F892" s="145">
        <v>1.6</v>
      </c>
      <c r="G892" s="146" t="s">
        <v>1731</v>
      </c>
      <c r="H892" s="145" t="s">
        <v>1154</v>
      </c>
      <c r="J892" s="150" t="str">
        <f t="shared" si="15"/>
        <v>Perth Glory  vs  Brisbane Roar</v>
      </c>
    </row>
    <row r="893" spans="1:10">
      <c r="A893" s="162">
        <v>43512</v>
      </c>
      <c r="B893" s="151" t="s">
        <v>1335</v>
      </c>
      <c r="C893" s="144" t="s">
        <v>2097</v>
      </c>
      <c r="D893" s="143" t="s">
        <v>1266</v>
      </c>
      <c r="E893" s="145">
        <v>1</v>
      </c>
      <c r="F893" s="145">
        <v>1.56</v>
      </c>
      <c r="G893" s="146" t="s">
        <v>1795</v>
      </c>
      <c r="H893" s="145" t="s">
        <v>1154</v>
      </c>
      <c r="J893" s="150" t="str">
        <f t="shared" si="15"/>
        <v>Famalicao  vs  Academico Viseu</v>
      </c>
    </row>
    <row r="894" spans="1:10">
      <c r="A894" s="162">
        <v>43512</v>
      </c>
      <c r="B894" s="151" t="s">
        <v>2606</v>
      </c>
      <c r="C894" s="144" t="s">
        <v>2607</v>
      </c>
      <c r="D894" s="143" t="s">
        <v>2594</v>
      </c>
      <c r="E894" s="145">
        <v>1</v>
      </c>
      <c r="F894" s="145">
        <v>1.52</v>
      </c>
      <c r="G894" s="146" t="s">
        <v>1522</v>
      </c>
      <c r="H894" s="145" t="s">
        <v>1154</v>
      </c>
      <c r="J894" s="150" t="str">
        <f t="shared" si="15"/>
        <v>FC Nordsjaelland  vs  Hobro</v>
      </c>
    </row>
    <row r="895" spans="1:10">
      <c r="A895" s="162">
        <v>43512</v>
      </c>
      <c r="B895" s="151" t="s">
        <v>2014</v>
      </c>
      <c r="C895" s="144" t="s">
        <v>1884</v>
      </c>
      <c r="D895" s="143" t="s">
        <v>1849</v>
      </c>
      <c r="E895" s="145">
        <v>1</v>
      </c>
      <c r="F895" s="145">
        <v>1.47</v>
      </c>
      <c r="G895" s="146" t="s">
        <v>1510</v>
      </c>
      <c r="H895" s="145" t="s">
        <v>1153</v>
      </c>
      <c r="J895" s="150" t="str">
        <f t="shared" si="15"/>
        <v>Servette  vs  FC Wil</v>
      </c>
    </row>
    <row r="896" spans="1:10">
      <c r="A896" s="162">
        <v>43512</v>
      </c>
      <c r="B896" s="151" t="s">
        <v>2148</v>
      </c>
      <c r="C896" s="144" t="s">
        <v>1941</v>
      </c>
      <c r="D896" s="143" t="s">
        <v>1261</v>
      </c>
      <c r="E896" s="145">
        <v>1</v>
      </c>
      <c r="F896" s="145">
        <v>1.46</v>
      </c>
      <c r="G896" s="146" t="s">
        <v>1562</v>
      </c>
      <c r="H896" s="145" t="s">
        <v>1154</v>
      </c>
      <c r="J896" s="150" t="str">
        <f t="shared" si="15"/>
        <v>Olympique de Marseille  vs  Amiens SC</v>
      </c>
    </row>
    <row r="897" spans="1:10">
      <c r="A897" s="162">
        <v>43512</v>
      </c>
      <c r="B897" s="151" t="s">
        <v>2010</v>
      </c>
      <c r="C897" s="144" t="s">
        <v>2109</v>
      </c>
      <c r="D897" s="143" t="s">
        <v>1849</v>
      </c>
      <c r="E897" s="145">
        <v>1</v>
      </c>
      <c r="F897" s="145">
        <v>1.45</v>
      </c>
      <c r="G897" s="146" t="s">
        <v>1523</v>
      </c>
      <c r="H897" s="145" t="s">
        <v>1154</v>
      </c>
      <c r="J897" s="150" t="str">
        <f t="shared" si="15"/>
        <v>Lausanne Sport  vs  Rapperswil-Jona</v>
      </c>
    </row>
    <row r="898" spans="1:10">
      <c r="A898" s="162">
        <v>43512</v>
      </c>
      <c r="B898" s="151" t="s">
        <v>2597</v>
      </c>
      <c r="C898" s="144" t="s">
        <v>2598</v>
      </c>
      <c r="D898" s="143" t="s">
        <v>2570</v>
      </c>
      <c r="E898" s="145">
        <v>1</v>
      </c>
      <c r="F898" s="145">
        <v>1.43</v>
      </c>
      <c r="G898" s="146" t="s">
        <v>2127</v>
      </c>
      <c r="H898" s="145" t="s">
        <v>1154</v>
      </c>
      <c r="J898" s="150" t="str">
        <f t="shared" si="15"/>
        <v>LASK Linz  vs  St. Polten</v>
      </c>
    </row>
    <row r="899" spans="1:10">
      <c r="A899" s="162">
        <v>43512</v>
      </c>
      <c r="B899" s="151" t="s">
        <v>1942</v>
      </c>
      <c r="C899" s="144" t="s">
        <v>2610</v>
      </c>
      <c r="D899" s="143" t="s">
        <v>1846</v>
      </c>
      <c r="E899" s="145">
        <v>1</v>
      </c>
      <c r="F899" s="145">
        <v>1.33</v>
      </c>
      <c r="G899" s="146" t="s">
        <v>1560</v>
      </c>
      <c r="H899" s="145" t="s">
        <v>1154</v>
      </c>
      <c r="J899" s="150" t="str">
        <f t="shared" si="15"/>
        <v>Hoffenheim  vs  Hannover 96</v>
      </c>
    </row>
    <row r="900" spans="1:10">
      <c r="A900" s="162">
        <v>43512</v>
      </c>
      <c r="B900" s="151" t="s">
        <v>1480</v>
      </c>
      <c r="C900" s="144" t="s">
        <v>2617</v>
      </c>
      <c r="D900" s="143" t="s">
        <v>1264</v>
      </c>
      <c r="E900" s="145">
        <v>1</v>
      </c>
      <c r="F900" s="145">
        <v>1.3</v>
      </c>
      <c r="G900" s="146" t="s">
        <v>1560</v>
      </c>
      <c r="H900" s="145" t="s">
        <v>1154</v>
      </c>
      <c r="J900" s="150" t="str">
        <f t="shared" si="15"/>
        <v>Maccabi Tel-Aviv  vs  Ironi Kiryat Shmona</v>
      </c>
    </row>
    <row r="901" spans="1:10">
      <c r="A901" s="162">
        <v>43512</v>
      </c>
      <c r="B901" s="151" t="s">
        <v>2626</v>
      </c>
      <c r="C901" s="144" t="s">
        <v>2627</v>
      </c>
      <c r="D901" s="143" t="s">
        <v>2595</v>
      </c>
      <c r="E901" s="145">
        <v>1</v>
      </c>
      <c r="F901" s="145">
        <v>1.28</v>
      </c>
      <c r="G901" s="146" t="s">
        <v>1510</v>
      </c>
      <c r="H901" s="145" t="s">
        <v>1153</v>
      </c>
      <c r="J901" s="150" t="str">
        <f t="shared" si="15"/>
        <v>Ostersunds FK  vs  Halmstad</v>
      </c>
    </row>
    <row r="902" spans="1:10">
      <c r="A902" s="162">
        <v>43512</v>
      </c>
      <c r="B902" s="151" t="s">
        <v>2624</v>
      </c>
      <c r="C902" s="144" t="s">
        <v>2625</v>
      </c>
      <c r="D902" s="143" t="s">
        <v>2595</v>
      </c>
      <c r="E902" s="145">
        <v>1</v>
      </c>
      <c r="F902" s="145">
        <v>1.26</v>
      </c>
      <c r="G902" s="146" t="s">
        <v>1799</v>
      </c>
      <c r="H902" s="145" t="s">
        <v>1154</v>
      </c>
      <c r="J902" s="150" t="str">
        <f t="shared" si="15"/>
        <v>BK Hacken Goteborg  vs  Brage</v>
      </c>
    </row>
    <row r="903" spans="1:10">
      <c r="A903" s="162">
        <v>43512</v>
      </c>
      <c r="B903" s="151" t="s">
        <v>1995</v>
      </c>
      <c r="C903" s="144" t="s">
        <v>1994</v>
      </c>
      <c r="D903" s="143" t="s">
        <v>1848</v>
      </c>
      <c r="E903" s="145">
        <v>1</v>
      </c>
      <c r="F903" s="145">
        <v>1.25</v>
      </c>
      <c r="G903" s="146" t="s">
        <v>1560</v>
      </c>
      <c r="H903" s="145" t="s">
        <v>1154</v>
      </c>
      <c r="J903" s="150" t="str">
        <f t="shared" si="15"/>
        <v>AZ Alkmaar  vs  VVV Venlo</v>
      </c>
    </row>
    <row r="904" spans="1:10">
      <c r="A904" s="162">
        <v>43512</v>
      </c>
      <c r="B904" s="151" t="s">
        <v>1348</v>
      </c>
      <c r="C904" s="144" t="s">
        <v>1381</v>
      </c>
      <c r="D904" s="143" t="s">
        <v>1242</v>
      </c>
      <c r="E904" s="145">
        <v>1</v>
      </c>
      <c r="F904" s="145">
        <v>1.17</v>
      </c>
      <c r="G904" s="146" t="s">
        <v>1562</v>
      </c>
      <c r="H904" s="145" t="s">
        <v>1154</v>
      </c>
      <c r="J904" s="150" t="str">
        <f t="shared" ref="J904:J967" si="16">CONCATENATE(B904," vs ",C904)</f>
        <v>FC Porto  vs  Vitoria Setubal</v>
      </c>
    </row>
    <row r="905" spans="1:10">
      <c r="A905" s="162">
        <v>43512</v>
      </c>
      <c r="B905" s="151" t="s">
        <v>1772</v>
      </c>
      <c r="C905" s="144" t="s">
        <v>1503</v>
      </c>
      <c r="D905" s="143" t="s">
        <v>1265</v>
      </c>
      <c r="E905" s="145">
        <v>1</v>
      </c>
      <c r="F905" s="145">
        <v>1.17</v>
      </c>
      <c r="G905" s="146" t="s">
        <v>1523</v>
      </c>
      <c r="H905" s="145" t="s">
        <v>1154</v>
      </c>
      <c r="J905" s="150" t="str">
        <f t="shared" si="16"/>
        <v>Barcelona CF  vs  Real Valladolid</v>
      </c>
    </row>
    <row r="906" spans="1:10">
      <c r="A906" s="162">
        <v>43512</v>
      </c>
      <c r="B906" s="151" t="s">
        <v>2622</v>
      </c>
      <c r="C906" s="144" t="s">
        <v>2623</v>
      </c>
      <c r="D906" s="143" t="s">
        <v>2595</v>
      </c>
      <c r="E906" s="145">
        <v>1</v>
      </c>
      <c r="F906" s="145">
        <v>1.1299999999999999</v>
      </c>
      <c r="G906" s="146" t="s">
        <v>1523</v>
      </c>
      <c r="H906" s="145" t="s">
        <v>1154</v>
      </c>
      <c r="J906" s="150" t="str">
        <f t="shared" si="16"/>
        <v>AIK Solna  vs  Jonkopings Sodra</v>
      </c>
    </row>
    <row r="907" spans="1:10">
      <c r="A907" s="162">
        <v>43513</v>
      </c>
      <c r="B907" s="151" t="s">
        <v>2657</v>
      </c>
      <c r="C907" s="144" t="s">
        <v>2517</v>
      </c>
      <c r="D907" s="143" t="s">
        <v>1261</v>
      </c>
      <c r="E907" s="145">
        <v>1</v>
      </c>
      <c r="F907" s="145">
        <v>6.1</v>
      </c>
      <c r="G907" s="146" t="s">
        <v>1506</v>
      </c>
      <c r="H907" s="145" t="s">
        <v>1153</v>
      </c>
      <c r="J907" s="150" t="str">
        <f t="shared" si="16"/>
        <v>AS Saint-Etienne  vs  Paris Saint-Germain</v>
      </c>
    </row>
    <row r="908" spans="1:10">
      <c r="A908" s="162">
        <v>43513</v>
      </c>
      <c r="B908" s="151" t="s">
        <v>2638</v>
      </c>
      <c r="C908" s="144" t="s">
        <v>2045</v>
      </c>
      <c r="D908" s="143" t="s">
        <v>1845</v>
      </c>
      <c r="E908" s="145">
        <v>1</v>
      </c>
      <c r="F908" s="145">
        <v>2.4700000000000002</v>
      </c>
      <c r="G908" s="146" t="s">
        <v>1506</v>
      </c>
      <c r="H908" s="145" t="s">
        <v>1153</v>
      </c>
      <c r="J908" s="150" t="str">
        <f t="shared" si="16"/>
        <v>Antwerp  vs  RSC Anderlecht</v>
      </c>
    </row>
    <row r="909" spans="1:10">
      <c r="A909" s="162">
        <v>43513</v>
      </c>
      <c r="B909" s="151" t="s">
        <v>2690</v>
      </c>
      <c r="C909" s="144" t="s">
        <v>2691</v>
      </c>
      <c r="D909" s="143" t="s">
        <v>1850</v>
      </c>
      <c r="E909" s="145">
        <v>1</v>
      </c>
      <c r="F909" s="145">
        <v>2.37</v>
      </c>
      <c r="G909" s="146" t="s">
        <v>1669</v>
      </c>
      <c r="H909" s="145" t="s">
        <v>1154</v>
      </c>
      <c r="J909" s="150" t="str">
        <f t="shared" si="16"/>
        <v>BB Erzurumspor  vs  Sivasspor</v>
      </c>
    </row>
    <row r="910" spans="1:10">
      <c r="A910" s="162">
        <v>43513</v>
      </c>
      <c r="B910" s="151" t="s">
        <v>2666</v>
      </c>
      <c r="C910" s="144" t="s">
        <v>1988</v>
      </c>
      <c r="D910" s="143" t="s">
        <v>1847</v>
      </c>
      <c r="E910" s="145">
        <v>1</v>
      </c>
      <c r="F910" s="145">
        <v>2.35</v>
      </c>
      <c r="G910" s="146" t="s">
        <v>1562</v>
      </c>
      <c r="H910" s="145" t="s">
        <v>1154</v>
      </c>
      <c r="J910" s="150" t="str">
        <f t="shared" si="16"/>
        <v>Cosenza  vs  Cremonese</v>
      </c>
    </row>
    <row r="911" spans="1:10">
      <c r="A911" s="162">
        <v>43513</v>
      </c>
      <c r="B911" s="151" t="s">
        <v>2658</v>
      </c>
      <c r="C911" s="144" t="s">
        <v>2659</v>
      </c>
      <c r="D911" s="143" t="s">
        <v>1846</v>
      </c>
      <c r="E911" s="145">
        <v>1</v>
      </c>
      <c r="F911" s="145">
        <v>2.2999999999999998</v>
      </c>
      <c r="G911" s="146" t="s">
        <v>1561</v>
      </c>
      <c r="H911" s="145" t="s">
        <v>1153</v>
      </c>
      <c r="J911" s="150" t="str">
        <f t="shared" si="16"/>
        <v>Eintracht Frankfurt  vs  Borussia Moenchengladbach</v>
      </c>
    </row>
    <row r="912" spans="1:10">
      <c r="A912" s="162">
        <v>43513</v>
      </c>
      <c r="B912" s="151" t="s">
        <v>2688</v>
      </c>
      <c r="C912" s="144" t="s">
        <v>2009</v>
      </c>
      <c r="D912" s="143" t="s">
        <v>1899</v>
      </c>
      <c r="E912" s="145">
        <v>1</v>
      </c>
      <c r="F912" s="145">
        <v>2.27</v>
      </c>
      <c r="G912" s="146" t="s">
        <v>1506</v>
      </c>
      <c r="H912" s="145" t="s">
        <v>1153</v>
      </c>
      <c r="J912" s="150" t="str">
        <f t="shared" si="16"/>
        <v>Grasshopper Zurich  vs  Neuchatel Xamax</v>
      </c>
    </row>
    <row r="913" spans="1:10">
      <c r="A913" s="162">
        <v>43513</v>
      </c>
      <c r="B913" s="151" t="s">
        <v>2668</v>
      </c>
      <c r="C913" s="144" t="s">
        <v>1996</v>
      </c>
      <c r="D913" s="143" t="s">
        <v>1848</v>
      </c>
      <c r="E913" s="145">
        <v>1</v>
      </c>
      <c r="F913" s="145">
        <v>2.1800000000000002</v>
      </c>
      <c r="G913" s="146" t="s">
        <v>1522</v>
      </c>
      <c r="H913" s="145" t="s">
        <v>1154</v>
      </c>
      <c r="J913" s="150" t="str">
        <f t="shared" si="16"/>
        <v>Excelsior Rotterdam  vs  FC Emmen</v>
      </c>
    </row>
    <row r="914" spans="1:10">
      <c r="A914" s="162">
        <v>43513</v>
      </c>
      <c r="B914" s="151" t="s">
        <v>1392</v>
      </c>
      <c r="C914" s="144" t="s">
        <v>1461</v>
      </c>
      <c r="D914" s="143" t="s">
        <v>1242</v>
      </c>
      <c r="E914" s="145">
        <v>1</v>
      </c>
      <c r="F914" s="145">
        <v>2.08</v>
      </c>
      <c r="G914" s="146" t="s">
        <v>1561</v>
      </c>
      <c r="H914" s="145" t="s">
        <v>1153</v>
      </c>
      <c r="J914" s="150" t="str">
        <f t="shared" si="16"/>
        <v>Chaves  vs  Boavista</v>
      </c>
    </row>
    <row r="915" spans="1:10">
      <c r="A915" s="162">
        <v>43513</v>
      </c>
      <c r="B915" s="151" t="s">
        <v>1906</v>
      </c>
      <c r="C915" s="144" t="s">
        <v>1857</v>
      </c>
      <c r="D915" s="143" t="s">
        <v>1736</v>
      </c>
      <c r="E915" s="145">
        <v>1</v>
      </c>
      <c r="F915" s="145">
        <v>2.0699999999999998</v>
      </c>
      <c r="G915" s="146" t="s">
        <v>1509</v>
      </c>
      <c r="H915" s="145" t="s">
        <v>1153</v>
      </c>
      <c r="J915" s="150" t="str">
        <f t="shared" si="16"/>
        <v>Rosario Central  vs  Tigre</v>
      </c>
    </row>
    <row r="916" spans="1:10">
      <c r="A916" s="162">
        <v>43513</v>
      </c>
      <c r="B916" s="151" t="s">
        <v>2647</v>
      </c>
      <c r="C916" s="144" t="s">
        <v>2648</v>
      </c>
      <c r="D916" s="143" t="s">
        <v>2220</v>
      </c>
      <c r="E916" s="145">
        <v>1</v>
      </c>
      <c r="F916" s="145">
        <v>2.02</v>
      </c>
      <c r="G916" s="146" t="s">
        <v>1564</v>
      </c>
      <c r="H916" s="145" t="s">
        <v>1564</v>
      </c>
      <c r="J916" s="150" t="str">
        <f t="shared" si="16"/>
        <v>AC Horsens  vs  Vendsyssel</v>
      </c>
    </row>
    <row r="917" spans="1:10">
      <c r="A917" s="162">
        <v>43513</v>
      </c>
      <c r="B917" s="151" t="s">
        <v>1329</v>
      </c>
      <c r="C917" s="144" t="s">
        <v>1940</v>
      </c>
      <c r="D917" s="143" t="s">
        <v>1261</v>
      </c>
      <c r="E917" s="145">
        <v>1</v>
      </c>
      <c r="F917" s="145">
        <v>1.88</v>
      </c>
      <c r="G917" s="146" t="s">
        <v>1522</v>
      </c>
      <c r="H917" s="145" t="s">
        <v>1154</v>
      </c>
      <c r="J917" s="150" t="str">
        <f t="shared" si="16"/>
        <v>Girondins de Bordeaux  vs  Toulouse</v>
      </c>
    </row>
    <row r="918" spans="1:10">
      <c r="A918" s="162">
        <v>43513</v>
      </c>
      <c r="B918" s="151" t="s">
        <v>1346</v>
      </c>
      <c r="C918" s="144" t="s">
        <v>2656</v>
      </c>
      <c r="D918" s="143" t="s">
        <v>1261</v>
      </c>
      <c r="E918" s="145">
        <v>1</v>
      </c>
      <c r="F918" s="145">
        <v>1.87</v>
      </c>
      <c r="G918" s="146" t="s">
        <v>1510</v>
      </c>
      <c r="H918" s="145" t="s">
        <v>1153</v>
      </c>
      <c r="J918" s="150" t="str">
        <f t="shared" si="16"/>
        <v>Lille OSC  vs  Montpellier HSC</v>
      </c>
    </row>
    <row r="919" spans="1:10">
      <c r="A919" s="162">
        <v>43513</v>
      </c>
      <c r="B919" s="151" t="s">
        <v>2669</v>
      </c>
      <c r="C919" s="144" t="s">
        <v>1880</v>
      </c>
      <c r="D919" s="143" t="s">
        <v>1242</v>
      </c>
      <c r="E919" s="145">
        <v>1</v>
      </c>
      <c r="F919" s="145">
        <v>1.87</v>
      </c>
      <c r="G919" s="146" t="s">
        <v>1562</v>
      </c>
      <c r="H919" s="145" t="s">
        <v>1154</v>
      </c>
      <c r="J919" s="150" t="str">
        <f t="shared" si="16"/>
        <v>Moreirense  vs  Tondela</v>
      </c>
    </row>
    <row r="920" spans="1:10">
      <c r="A920" s="162">
        <v>43513</v>
      </c>
      <c r="B920" s="151" t="s">
        <v>2020</v>
      </c>
      <c r="C920" s="144" t="s">
        <v>2440</v>
      </c>
      <c r="D920" s="143" t="s">
        <v>1850</v>
      </c>
      <c r="E920" s="145">
        <v>1</v>
      </c>
      <c r="F920" s="145">
        <v>1.86</v>
      </c>
      <c r="G920" s="146" t="s">
        <v>1509</v>
      </c>
      <c r="H920" s="145" t="s">
        <v>1153</v>
      </c>
      <c r="J920" s="150" t="str">
        <f t="shared" si="16"/>
        <v>Trabzonspor  vs  Alanyaspor</v>
      </c>
    </row>
    <row r="921" spans="1:10">
      <c r="A921" s="162">
        <v>43513</v>
      </c>
      <c r="B921" s="151" t="s">
        <v>1876</v>
      </c>
      <c r="C921" s="144" t="s">
        <v>2078</v>
      </c>
      <c r="D921" s="143" t="s">
        <v>1847</v>
      </c>
      <c r="E921" s="145">
        <v>1</v>
      </c>
      <c r="F921" s="145">
        <v>1.84</v>
      </c>
      <c r="G921" s="146" t="s">
        <v>1795</v>
      </c>
      <c r="H921" s="145" t="s">
        <v>1154</v>
      </c>
      <c r="J921" s="150" t="str">
        <f t="shared" si="16"/>
        <v>Lecce  vs  Livorno</v>
      </c>
    </row>
    <row r="922" spans="1:10">
      <c r="A922" s="162">
        <v>43513</v>
      </c>
      <c r="B922" s="151" t="s">
        <v>1774</v>
      </c>
      <c r="C922" s="144" t="s">
        <v>2100</v>
      </c>
      <c r="D922" s="143" t="s">
        <v>1265</v>
      </c>
      <c r="E922" s="145">
        <v>1</v>
      </c>
      <c r="F922" s="145">
        <v>1.83</v>
      </c>
      <c r="G922" s="146" t="s">
        <v>1561</v>
      </c>
      <c r="H922" s="145" t="s">
        <v>1153</v>
      </c>
      <c r="J922" s="150" t="str">
        <f t="shared" si="16"/>
        <v>Real Betis Balompie  vs  Deportivo Alaves</v>
      </c>
    </row>
    <row r="923" spans="1:10">
      <c r="A923" s="162">
        <v>43513</v>
      </c>
      <c r="B923" s="151" t="s">
        <v>1863</v>
      </c>
      <c r="C923" s="144" t="s">
        <v>1914</v>
      </c>
      <c r="D923" s="143" t="s">
        <v>1845</v>
      </c>
      <c r="E923" s="145">
        <v>1</v>
      </c>
      <c r="F923" s="145">
        <v>1.82</v>
      </c>
      <c r="G923" s="146" t="s">
        <v>1560</v>
      </c>
      <c r="H923" s="145" t="s">
        <v>1154</v>
      </c>
      <c r="J923" s="150" t="str">
        <f t="shared" si="16"/>
        <v>Royal Excel Mouscron  vs  Cercle Brugge</v>
      </c>
    </row>
    <row r="924" spans="1:10">
      <c r="A924" s="162">
        <v>43513</v>
      </c>
      <c r="B924" s="151" t="s">
        <v>1314</v>
      </c>
      <c r="C924" s="144" t="s">
        <v>2674</v>
      </c>
      <c r="D924" s="143" t="s">
        <v>1266</v>
      </c>
      <c r="E924" s="145">
        <v>1</v>
      </c>
      <c r="F924" s="145">
        <v>1.78</v>
      </c>
      <c r="G924" s="146" t="s">
        <v>1561</v>
      </c>
      <c r="H924" s="145" t="s">
        <v>1153</v>
      </c>
      <c r="J924" s="150" t="str">
        <f t="shared" si="16"/>
        <v>FC Porto II  vs  UD Oliveirense</v>
      </c>
    </row>
    <row r="925" spans="1:10">
      <c r="A925" s="162">
        <v>43513</v>
      </c>
      <c r="B925" s="151" t="s">
        <v>1290</v>
      </c>
      <c r="C925" s="144" t="s">
        <v>1466</v>
      </c>
      <c r="D925" s="143" t="s">
        <v>1266</v>
      </c>
      <c r="E925" s="145">
        <v>1</v>
      </c>
      <c r="F925" s="145">
        <v>1.74</v>
      </c>
      <c r="G925" s="146" t="s">
        <v>1523</v>
      </c>
      <c r="H925" s="145" t="s">
        <v>1154</v>
      </c>
      <c r="J925" s="150" t="str">
        <f t="shared" si="16"/>
        <v>Academica de Coimbra  vs  Farense</v>
      </c>
    </row>
    <row r="926" spans="1:10">
      <c r="A926" s="162">
        <v>43513</v>
      </c>
      <c r="B926" s="151" t="s">
        <v>2458</v>
      </c>
      <c r="C926" s="144" t="s">
        <v>1775</v>
      </c>
      <c r="D926" s="143" t="s">
        <v>1265</v>
      </c>
      <c r="E926" s="145">
        <v>1</v>
      </c>
      <c r="F926" s="145">
        <v>1.74</v>
      </c>
      <c r="G926" s="146" t="s">
        <v>1510</v>
      </c>
      <c r="H926" s="145" t="s">
        <v>1153</v>
      </c>
      <c r="J926" s="150" t="str">
        <f t="shared" si="16"/>
        <v>Valencia CF  vs  RCD Espanyol</v>
      </c>
    </row>
    <row r="927" spans="1:10">
      <c r="A927" s="162">
        <v>43513</v>
      </c>
      <c r="B927" s="151" t="s">
        <v>2060</v>
      </c>
      <c r="C927" s="144" t="s">
        <v>1958</v>
      </c>
      <c r="D927" s="143" t="s">
        <v>1693</v>
      </c>
      <c r="E927" s="145">
        <v>1</v>
      </c>
      <c r="F927" s="145">
        <v>1.63</v>
      </c>
      <c r="G927" s="146" t="s">
        <v>1513</v>
      </c>
      <c r="H927" s="145" t="s">
        <v>1153</v>
      </c>
      <c r="J927" s="150" t="str">
        <f t="shared" si="16"/>
        <v>Holstein Kiel  vs  Greuther Furth</v>
      </c>
    </row>
    <row r="928" spans="1:10">
      <c r="A928" s="162">
        <v>43513</v>
      </c>
      <c r="B928" s="151" t="s">
        <v>2660</v>
      </c>
      <c r="C928" s="144" t="s">
        <v>1943</v>
      </c>
      <c r="D928" s="143" t="s">
        <v>1846</v>
      </c>
      <c r="E928" s="145">
        <v>1</v>
      </c>
      <c r="F928" s="145">
        <v>1.53</v>
      </c>
      <c r="G928" s="146" t="s">
        <v>1562</v>
      </c>
      <c r="H928" s="145" t="s">
        <v>1154</v>
      </c>
      <c r="J928" s="150" t="str">
        <f t="shared" si="16"/>
        <v>Bayer 04 Leverkusen  vs  Fortuna Dusseldorf</v>
      </c>
    </row>
    <row r="929" spans="1:10">
      <c r="A929" s="162">
        <v>43513</v>
      </c>
      <c r="B929" s="151" t="s">
        <v>2541</v>
      </c>
      <c r="C929" s="144" t="s">
        <v>2637</v>
      </c>
      <c r="D929" s="143" t="s">
        <v>2570</v>
      </c>
      <c r="E929" s="145">
        <v>1</v>
      </c>
      <c r="F929" s="145">
        <v>1.5</v>
      </c>
      <c r="G929" s="146" t="s">
        <v>2708</v>
      </c>
      <c r="H929" s="145" t="s">
        <v>1154</v>
      </c>
      <c r="J929" s="150" t="str">
        <f t="shared" si="16"/>
        <v>Rapid Vienna  vs  Hartberg</v>
      </c>
    </row>
    <row r="930" spans="1:10">
      <c r="A930" s="162">
        <v>43513</v>
      </c>
      <c r="B930" s="151" t="s">
        <v>2356</v>
      </c>
      <c r="C930" s="144" t="s">
        <v>2687</v>
      </c>
      <c r="D930" s="143" t="s">
        <v>1899</v>
      </c>
      <c r="E930" s="145">
        <v>1</v>
      </c>
      <c r="F930" s="145">
        <v>1.48</v>
      </c>
      <c r="G930" s="146" t="s">
        <v>1523</v>
      </c>
      <c r="H930" s="145" t="s">
        <v>1154</v>
      </c>
      <c r="J930" s="150" t="str">
        <f t="shared" si="16"/>
        <v>FC Basel  vs  FC Sion</v>
      </c>
    </row>
    <row r="931" spans="1:10">
      <c r="A931" s="162">
        <v>43513</v>
      </c>
      <c r="B931" s="151" t="s">
        <v>2008</v>
      </c>
      <c r="C931" s="144" t="s">
        <v>2689</v>
      </c>
      <c r="D931" s="143" t="s">
        <v>1899</v>
      </c>
      <c r="E931" s="145">
        <v>1</v>
      </c>
      <c r="F931" s="145">
        <v>1.47</v>
      </c>
      <c r="G931" s="146" t="s">
        <v>1562</v>
      </c>
      <c r="H931" s="145" t="s">
        <v>1154</v>
      </c>
      <c r="J931" s="150" t="str">
        <f t="shared" si="16"/>
        <v>Young Boys Bern  vs  FC Zurich</v>
      </c>
    </row>
    <row r="932" spans="1:10">
      <c r="A932" s="162">
        <v>43513</v>
      </c>
      <c r="B932" s="151" t="s">
        <v>1977</v>
      </c>
      <c r="C932" s="144" t="s">
        <v>2665</v>
      </c>
      <c r="D932" s="143" t="s">
        <v>1898</v>
      </c>
      <c r="E932" s="145">
        <v>1</v>
      </c>
      <c r="F932" s="145">
        <v>1.45</v>
      </c>
      <c r="G932" s="146" t="s">
        <v>1510</v>
      </c>
      <c r="H932" s="145" t="s">
        <v>1153</v>
      </c>
      <c r="J932" s="150" t="str">
        <f t="shared" si="16"/>
        <v>SSC Napoli  vs  Torino</v>
      </c>
    </row>
    <row r="933" spans="1:10">
      <c r="A933" s="162">
        <v>43513</v>
      </c>
      <c r="B933" s="151" t="s">
        <v>2048</v>
      </c>
      <c r="C933" s="144" t="s">
        <v>2373</v>
      </c>
      <c r="D933" s="143" t="s">
        <v>1737</v>
      </c>
      <c r="E933" s="145">
        <v>1</v>
      </c>
      <c r="F933" s="145">
        <v>1.44</v>
      </c>
      <c r="G933" s="146" t="s">
        <v>1523</v>
      </c>
      <c r="H933" s="145" t="s">
        <v>1154</v>
      </c>
      <c r="J933" s="150" t="str">
        <f t="shared" si="16"/>
        <v>NK Osijek  vs  Istra 1961</v>
      </c>
    </row>
    <row r="934" spans="1:10">
      <c r="A934" s="162">
        <v>43513</v>
      </c>
      <c r="B934" s="151" t="s">
        <v>1883</v>
      </c>
      <c r="C934" s="144" t="s">
        <v>2013</v>
      </c>
      <c r="D934" s="143" t="s">
        <v>1849</v>
      </c>
      <c r="E934" s="145">
        <v>1</v>
      </c>
      <c r="F934" s="145">
        <v>1.44</v>
      </c>
      <c r="G934" s="146" t="s">
        <v>1523</v>
      </c>
      <c r="H934" s="145" t="s">
        <v>1154</v>
      </c>
      <c r="J934" s="150" t="str">
        <f t="shared" si="16"/>
        <v>Aarau  vs  Chiasso</v>
      </c>
    </row>
    <row r="935" spans="1:10">
      <c r="A935" s="162">
        <v>43513</v>
      </c>
      <c r="B935" s="151" t="s">
        <v>2174</v>
      </c>
      <c r="C935" s="144" t="s">
        <v>1430</v>
      </c>
      <c r="D935" s="143" t="s">
        <v>1264</v>
      </c>
      <c r="E935" s="145">
        <v>1</v>
      </c>
      <c r="F935" s="145">
        <v>1.42</v>
      </c>
      <c r="G935" s="146" t="s">
        <v>1798</v>
      </c>
      <c r="H935" s="145" t="s">
        <v>1154</v>
      </c>
      <c r="J935" s="150" t="str">
        <f t="shared" si="16"/>
        <v>Maccabi Haifa  vs  Hapoel Hadera</v>
      </c>
    </row>
    <row r="936" spans="1:10">
      <c r="A936" s="162">
        <v>43513</v>
      </c>
      <c r="B936" s="151" t="s">
        <v>375</v>
      </c>
      <c r="C936" s="144" t="s">
        <v>2643</v>
      </c>
      <c r="D936" s="143" t="s">
        <v>2571</v>
      </c>
      <c r="E936" s="145">
        <v>1</v>
      </c>
      <c r="F936" s="145">
        <v>1.4</v>
      </c>
      <c r="G936" s="146" t="s">
        <v>1561</v>
      </c>
      <c r="H936" s="145" t="s">
        <v>1153</v>
      </c>
      <c r="J936" s="150" t="str">
        <f t="shared" si="16"/>
        <v>Levski Sofia vs  Lokomotiv Plovdiv</v>
      </c>
    </row>
    <row r="937" spans="1:10">
      <c r="A937" s="162">
        <v>43513</v>
      </c>
      <c r="B937" s="151" t="s">
        <v>2645</v>
      </c>
      <c r="C937" s="144" t="s">
        <v>2646</v>
      </c>
      <c r="D937" s="143" t="s">
        <v>2219</v>
      </c>
      <c r="E937" s="145">
        <v>1</v>
      </c>
      <c r="F937" s="145">
        <v>1.34</v>
      </c>
      <c r="G937" s="146" t="s">
        <v>1513</v>
      </c>
      <c r="H937" s="145" t="s">
        <v>1153</v>
      </c>
      <c r="J937" s="150" t="str">
        <f t="shared" si="16"/>
        <v>Baumit Jablonec  vs  Opava</v>
      </c>
    </row>
    <row r="938" spans="1:10">
      <c r="A938" s="162">
        <v>43513</v>
      </c>
      <c r="B938" s="151" t="s">
        <v>1917</v>
      </c>
      <c r="C938" s="144" t="s">
        <v>2644</v>
      </c>
      <c r="D938" s="143" t="s">
        <v>1737</v>
      </c>
      <c r="E938" s="145">
        <v>1</v>
      </c>
      <c r="F938" s="145">
        <v>1.28</v>
      </c>
      <c r="G938" s="146" t="s">
        <v>1560</v>
      </c>
      <c r="H938" s="145" t="s">
        <v>1154</v>
      </c>
      <c r="J938" s="150" t="str">
        <f t="shared" si="16"/>
        <v>Dinamo Zagreb  vs  Slaven Koprivnica</v>
      </c>
    </row>
    <row r="939" spans="1:10">
      <c r="A939" s="162">
        <v>43513</v>
      </c>
      <c r="B939" s="151" t="s">
        <v>1341</v>
      </c>
      <c r="C939" s="144" t="s">
        <v>2101</v>
      </c>
      <c r="D939" s="143" t="s">
        <v>1265</v>
      </c>
      <c r="E939" s="145">
        <v>1</v>
      </c>
      <c r="F939" s="145">
        <v>1.18</v>
      </c>
      <c r="G939" s="146" t="s">
        <v>1511</v>
      </c>
      <c r="H939" s="145" t="s">
        <v>1153</v>
      </c>
      <c r="J939" s="150" t="str">
        <f t="shared" si="16"/>
        <v>Real Madrid  vs  Girona</v>
      </c>
    </row>
    <row r="940" spans="1:10">
      <c r="A940" s="162">
        <v>43513</v>
      </c>
      <c r="B940" s="151" t="s">
        <v>2679</v>
      </c>
      <c r="C940" s="144" t="s">
        <v>2680</v>
      </c>
      <c r="D940" s="143" t="s">
        <v>2595</v>
      </c>
      <c r="E940" s="145">
        <v>1</v>
      </c>
      <c r="F940" s="145">
        <v>1.1399999999999999</v>
      </c>
      <c r="G940" s="146" t="s">
        <v>1522</v>
      </c>
      <c r="H940" s="145" t="s">
        <v>1154</v>
      </c>
      <c r="J940" s="150" t="str">
        <f t="shared" si="16"/>
        <v>Djurgarden  vs  Frej</v>
      </c>
    </row>
    <row r="941" spans="1:10">
      <c r="A941" s="162">
        <v>43513</v>
      </c>
      <c r="B941" s="151" t="s">
        <v>2677</v>
      </c>
      <c r="C941" s="144" t="s">
        <v>2678</v>
      </c>
      <c r="D941" s="143" t="s">
        <v>2595</v>
      </c>
      <c r="E941" s="145">
        <v>1</v>
      </c>
      <c r="F941" s="145">
        <v>1.1299999999999999</v>
      </c>
      <c r="G941" s="146" t="s">
        <v>1795</v>
      </c>
      <c r="H941" s="145" t="s">
        <v>1154</v>
      </c>
      <c r="J941" s="150" t="str">
        <f t="shared" si="16"/>
        <v>Malmo FF  vs  Degerfors</v>
      </c>
    </row>
    <row r="942" spans="1:10">
      <c r="A942" s="162">
        <v>43513</v>
      </c>
      <c r="B942" s="151" t="s">
        <v>2685</v>
      </c>
      <c r="C942" s="144" t="s">
        <v>2686</v>
      </c>
      <c r="D942" s="143" t="s">
        <v>2595</v>
      </c>
      <c r="E942" s="145">
        <v>1</v>
      </c>
      <c r="F942" s="145">
        <v>1.0900000000000001</v>
      </c>
      <c r="G942" s="146" t="s">
        <v>1798</v>
      </c>
      <c r="H942" s="145" t="s">
        <v>1154</v>
      </c>
      <c r="J942" s="150" t="str">
        <f t="shared" si="16"/>
        <v>IFK Norrkoping  vs  IFK Varnamo</v>
      </c>
    </row>
    <row r="943" spans="1:10">
      <c r="A943" s="162">
        <v>43513</v>
      </c>
      <c r="B943" s="151" t="s">
        <v>1993</v>
      </c>
      <c r="C943" s="144" t="s">
        <v>1879</v>
      </c>
      <c r="D943" s="143" t="s">
        <v>1848</v>
      </c>
      <c r="E943" s="145">
        <v>1</v>
      </c>
      <c r="F943" s="145">
        <v>1.05</v>
      </c>
      <c r="G943" s="146" t="s">
        <v>2126</v>
      </c>
      <c r="H943" s="145" t="s">
        <v>1154</v>
      </c>
      <c r="J943" s="150" t="str">
        <f t="shared" si="16"/>
        <v>AFC Ajax Amsterdam  vs  NAC Breda</v>
      </c>
    </row>
    <row r="944" spans="1:10">
      <c r="A944" s="162">
        <v>43514</v>
      </c>
      <c r="B944" s="156" t="s">
        <v>2077</v>
      </c>
      <c r="C944" s="144" t="s">
        <v>2447</v>
      </c>
      <c r="D944" s="73" t="s">
        <v>1847</v>
      </c>
      <c r="E944" s="145">
        <v>1</v>
      </c>
      <c r="F944" s="145">
        <v>2.35</v>
      </c>
      <c r="G944" s="146" t="s">
        <v>1509</v>
      </c>
      <c r="H944" s="145" t="s">
        <v>1153</v>
      </c>
      <c r="J944" s="150" t="str">
        <f t="shared" si="16"/>
        <v>Crotone  vs  Pescara</v>
      </c>
    </row>
    <row r="945" spans="1:10">
      <c r="A945" s="162">
        <v>43514</v>
      </c>
      <c r="B945" s="156" t="s">
        <v>2711</v>
      </c>
      <c r="C945" s="144" t="s">
        <v>2712</v>
      </c>
      <c r="D945" s="73" t="s">
        <v>2220</v>
      </c>
      <c r="E945" s="145">
        <v>1</v>
      </c>
      <c r="F945" s="145">
        <v>1.45</v>
      </c>
      <c r="G945" s="146" t="s">
        <v>1522</v>
      </c>
      <c r="H945" s="145" t="s">
        <v>1154</v>
      </c>
      <c r="J945" s="150" t="str">
        <f t="shared" si="16"/>
        <v>FC Midtjylland  vs  Aalborg BK</v>
      </c>
    </row>
    <row r="946" spans="1:10">
      <c r="A946" s="162">
        <v>43514</v>
      </c>
      <c r="B946" s="156" t="s">
        <v>2036</v>
      </c>
      <c r="C946" s="144" t="s">
        <v>2035</v>
      </c>
      <c r="D946" s="73" t="s">
        <v>1736</v>
      </c>
      <c r="E946" s="145">
        <v>1</v>
      </c>
      <c r="F946" s="145">
        <v>1.38</v>
      </c>
      <c r="G946" s="146" t="s">
        <v>1560</v>
      </c>
      <c r="H946" s="145" t="s">
        <v>1154</v>
      </c>
      <c r="J946" s="150" t="str">
        <f t="shared" si="16"/>
        <v>Racing Club Avellaneda  vs  Godoy Cruz de Mendoza</v>
      </c>
    </row>
    <row r="947" spans="1:10">
      <c r="A947" s="162">
        <v>43514</v>
      </c>
      <c r="B947" s="156" t="s">
        <v>2716</v>
      </c>
      <c r="C947" s="144" t="s">
        <v>2717</v>
      </c>
      <c r="D947" s="73" t="s">
        <v>2595</v>
      </c>
      <c r="E947" s="145">
        <v>1</v>
      </c>
      <c r="F947" s="145">
        <v>1.18</v>
      </c>
      <c r="G947" s="146" t="s">
        <v>1560</v>
      </c>
      <c r="H947" s="145" t="s">
        <v>1154</v>
      </c>
      <c r="J947" s="150" t="str">
        <f t="shared" si="16"/>
        <v>Hammarby  vs  Varberg</v>
      </c>
    </row>
    <row r="948" spans="1:10">
      <c r="A948" s="162">
        <v>43515</v>
      </c>
      <c r="B948" s="156" t="s">
        <v>1754</v>
      </c>
      <c r="C948" s="144" t="s">
        <v>2720</v>
      </c>
      <c r="D948" s="73" t="s">
        <v>2515</v>
      </c>
      <c r="E948" s="145">
        <v>1</v>
      </c>
      <c r="F948" s="145">
        <v>2.17</v>
      </c>
      <c r="G948" s="146" t="s">
        <v>1510</v>
      </c>
      <c r="H948" s="145" t="s">
        <v>1153</v>
      </c>
      <c r="J948" s="150" t="str">
        <f t="shared" si="16"/>
        <v>Liverpool  vs  Bayern Munich</v>
      </c>
    </row>
    <row r="949" spans="1:10">
      <c r="A949" s="162">
        <v>43515</v>
      </c>
      <c r="B949" s="156" t="s">
        <v>2729</v>
      </c>
      <c r="C949" s="144" t="s">
        <v>2730</v>
      </c>
      <c r="D949" s="73" t="s">
        <v>1692</v>
      </c>
      <c r="E949" s="145">
        <v>1</v>
      </c>
      <c r="F949" s="145">
        <v>1.88</v>
      </c>
      <c r="G949" s="146" t="s">
        <v>1559</v>
      </c>
      <c r="H949" s="145" t="s">
        <v>1153</v>
      </c>
      <c r="J949" s="150" t="str">
        <f t="shared" si="16"/>
        <v>HJK  vs  FC Honka Espoo</v>
      </c>
    </row>
    <row r="950" spans="1:10">
      <c r="A950" s="162">
        <v>43515</v>
      </c>
      <c r="B950" s="156" t="s">
        <v>2721</v>
      </c>
      <c r="C950" s="144" t="s">
        <v>2722</v>
      </c>
      <c r="D950" s="73" t="s">
        <v>2136</v>
      </c>
      <c r="E950" s="145">
        <v>1</v>
      </c>
      <c r="F950" s="145">
        <v>1.55</v>
      </c>
      <c r="G950" s="146" t="s">
        <v>1561</v>
      </c>
      <c r="H950" s="145" t="s">
        <v>1153</v>
      </c>
      <c r="J950" s="150" t="str">
        <f t="shared" si="16"/>
        <v>Chapecoense  vs  Union La Calera</v>
      </c>
    </row>
    <row r="951" spans="1:10">
      <c r="A951" s="162">
        <v>43515</v>
      </c>
      <c r="B951" s="156" t="s">
        <v>2725</v>
      </c>
      <c r="C951" s="144" t="s">
        <v>2726</v>
      </c>
      <c r="D951" s="73" t="s">
        <v>2571</v>
      </c>
      <c r="E951" s="145">
        <v>1</v>
      </c>
      <c r="F951" s="145">
        <v>1.38</v>
      </c>
      <c r="G951" s="146" t="s">
        <v>1561</v>
      </c>
      <c r="H951" s="145" t="s">
        <v>1153</v>
      </c>
      <c r="J951" s="150" t="str">
        <f t="shared" si="16"/>
        <v>Ludogorets Razgrad  vs  Botev Plovdiv</v>
      </c>
    </row>
    <row r="952" spans="1:10">
      <c r="A952" s="162">
        <v>43515</v>
      </c>
      <c r="B952" s="156" t="s">
        <v>2727</v>
      </c>
      <c r="C952" s="144" t="s">
        <v>2728</v>
      </c>
      <c r="D952" s="73" t="s">
        <v>2571</v>
      </c>
      <c r="E952" s="145">
        <v>1</v>
      </c>
      <c r="F952" s="145">
        <v>1.28</v>
      </c>
      <c r="G952" s="146" t="s">
        <v>1522</v>
      </c>
      <c r="H952" s="145" t="s">
        <v>1154</v>
      </c>
      <c r="J952" s="150" t="str">
        <f t="shared" si="16"/>
        <v>CSKA Sofia  vs  Botev Vratsa</v>
      </c>
    </row>
    <row r="953" spans="1:10">
      <c r="A953" s="162">
        <v>43516</v>
      </c>
      <c r="B953" s="156" t="s">
        <v>1470</v>
      </c>
      <c r="C953" s="144" t="s">
        <v>2732</v>
      </c>
      <c r="D953" s="73" t="s">
        <v>2516</v>
      </c>
      <c r="E953" s="145">
        <v>1</v>
      </c>
      <c r="F953" s="145">
        <v>1.74</v>
      </c>
      <c r="G953" s="146" t="s">
        <v>1562</v>
      </c>
      <c r="H953" s="145" t="s">
        <v>1154</v>
      </c>
      <c r="J953" s="150" t="str">
        <f t="shared" si="16"/>
        <v>Sevilla CF  vs  SS Lazio</v>
      </c>
    </row>
    <row r="954" spans="1:10">
      <c r="A954" s="162">
        <v>43516</v>
      </c>
      <c r="B954" s="156" t="s">
        <v>2733</v>
      </c>
      <c r="C954" s="144" t="s">
        <v>2734</v>
      </c>
      <c r="D954" s="73" t="s">
        <v>2136</v>
      </c>
      <c r="E954" s="145">
        <v>1</v>
      </c>
      <c r="F954" s="145">
        <v>1.57</v>
      </c>
      <c r="G954" s="146" t="s">
        <v>1508</v>
      </c>
      <c r="H954" s="145" t="s">
        <v>1153</v>
      </c>
      <c r="J954" s="150" t="str">
        <f t="shared" si="16"/>
        <v>Defensa y Justicia  vs  Botafogo</v>
      </c>
    </row>
    <row r="955" spans="1:10">
      <c r="A955" s="162">
        <v>43516</v>
      </c>
      <c r="B955" s="156" t="s">
        <v>2034</v>
      </c>
      <c r="C955" s="144" t="s">
        <v>2170</v>
      </c>
      <c r="D955" s="73" t="s">
        <v>1736</v>
      </c>
      <c r="E955" s="145">
        <v>1</v>
      </c>
      <c r="F955" s="145">
        <v>1.48</v>
      </c>
      <c r="G955" s="146" t="s">
        <v>1511</v>
      </c>
      <c r="H955" s="145" t="s">
        <v>1153</v>
      </c>
      <c r="J955" s="150" t="str">
        <f t="shared" si="16"/>
        <v>Boca Juniors  vs  Atletico Tucuman</v>
      </c>
    </row>
    <row r="956" spans="1:10">
      <c r="A956" s="162">
        <v>43516</v>
      </c>
      <c r="B956" s="156" t="s">
        <v>2737</v>
      </c>
      <c r="C956" s="144" t="s">
        <v>2738</v>
      </c>
      <c r="D956" s="73" t="s">
        <v>2571</v>
      </c>
      <c r="E956" s="145">
        <v>1</v>
      </c>
      <c r="F956" s="145">
        <v>1.48</v>
      </c>
      <c r="G956" s="146" t="s">
        <v>1509</v>
      </c>
      <c r="H956" s="145" t="s">
        <v>1153</v>
      </c>
      <c r="J956" s="150" t="str">
        <f t="shared" si="16"/>
        <v>Lokomotiv Plovdiv  vs  Septemvri Sofia</v>
      </c>
    </row>
    <row r="957" spans="1:10">
      <c r="A957" s="162">
        <v>43516</v>
      </c>
      <c r="B957" s="156" t="s">
        <v>2108</v>
      </c>
      <c r="C957" s="144" t="s">
        <v>2109</v>
      </c>
      <c r="D957" s="73" t="s">
        <v>1849</v>
      </c>
      <c r="E957" s="145">
        <v>1</v>
      </c>
      <c r="F957" s="145">
        <v>1.48</v>
      </c>
      <c r="G957" s="146" t="s">
        <v>1562</v>
      </c>
      <c r="H957" s="145" t="s">
        <v>1154</v>
      </c>
      <c r="J957" s="150" t="str">
        <f t="shared" si="16"/>
        <v>Winterthur  vs  Rapperswil-Jona</v>
      </c>
    </row>
    <row r="958" spans="1:10">
      <c r="A958" s="162">
        <v>43516</v>
      </c>
      <c r="B958" s="156" t="s">
        <v>2735</v>
      </c>
      <c r="C958" s="144" t="s">
        <v>2736</v>
      </c>
      <c r="D958" s="73" t="s">
        <v>2571</v>
      </c>
      <c r="E958" s="145">
        <v>1</v>
      </c>
      <c r="F958" s="145">
        <v>1.3</v>
      </c>
      <c r="G958" s="146" t="s">
        <v>1523</v>
      </c>
      <c r="H958" s="145" t="s">
        <v>1154</v>
      </c>
      <c r="J958" s="150" t="str">
        <f t="shared" si="16"/>
        <v>Dunav 2010  vs  Vereya</v>
      </c>
    </row>
    <row r="959" spans="1:10">
      <c r="A959" s="162">
        <v>43517</v>
      </c>
      <c r="B959" s="151" t="s">
        <v>2755</v>
      </c>
      <c r="C959" s="144" t="s">
        <v>2756</v>
      </c>
      <c r="D959" s="143" t="s">
        <v>2136</v>
      </c>
      <c r="E959" s="145">
        <v>1</v>
      </c>
      <c r="F959" s="145">
        <v>4.25</v>
      </c>
      <c r="G959" s="146" t="s">
        <v>1510</v>
      </c>
      <c r="H959" s="145" t="s">
        <v>1153</v>
      </c>
      <c r="J959" s="150" t="str">
        <f t="shared" si="16"/>
        <v>Liverpool Montevideo  vs  Bahia</v>
      </c>
    </row>
    <row r="960" spans="1:10">
      <c r="A960" s="162">
        <v>43517</v>
      </c>
      <c r="B960" s="151" t="s">
        <v>2752</v>
      </c>
      <c r="C960" s="144" t="s">
        <v>2753</v>
      </c>
      <c r="D960" s="143" t="s">
        <v>2516</v>
      </c>
      <c r="E960" s="145">
        <v>1</v>
      </c>
      <c r="F960" s="145">
        <v>2.2400000000000002</v>
      </c>
      <c r="G960" s="146" t="s">
        <v>1523</v>
      </c>
      <c r="H960" s="145" t="s">
        <v>1154</v>
      </c>
      <c r="J960" s="150" t="str">
        <f t="shared" si="16"/>
        <v>Dinamo Kiev  vs  Olympiakos Piraeus</v>
      </c>
    </row>
    <row r="961" spans="1:10">
      <c r="A961" s="162">
        <v>43517</v>
      </c>
      <c r="B961" s="151" t="s">
        <v>2745</v>
      </c>
      <c r="C961" s="144" t="s">
        <v>2746</v>
      </c>
      <c r="D961" s="143" t="s">
        <v>2516</v>
      </c>
      <c r="E961" s="145">
        <v>1</v>
      </c>
      <c r="F961" s="145">
        <v>1.9</v>
      </c>
      <c r="G961" s="146" t="s">
        <v>1798</v>
      </c>
      <c r="H961" s="145" t="s">
        <v>1154</v>
      </c>
      <c r="J961" s="150" t="str">
        <f t="shared" si="16"/>
        <v>Zenit St. Petersburg  vs  Fenerbahce</v>
      </c>
    </row>
    <row r="962" spans="1:10">
      <c r="A962" s="162">
        <v>43517</v>
      </c>
      <c r="B962" s="151" t="s">
        <v>2759</v>
      </c>
      <c r="C962" s="144" t="s">
        <v>2760</v>
      </c>
      <c r="D962" s="143" t="s">
        <v>2571</v>
      </c>
      <c r="E962" s="145">
        <v>1</v>
      </c>
      <c r="F962" s="145">
        <v>1.88</v>
      </c>
      <c r="G962" s="146" t="s">
        <v>1523</v>
      </c>
      <c r="H962" s="145" t="s">
        <v>1154</v>
      </c>
      <c r="J962" s="150" t="str">
        <f t="shared" si="16"/>
        <v>Beroe  vs  Etar</v>
      </c>
    </row>
    <row r="963" spans="1:10">
      <c r="A963" s="162">
        <v>43517</v>
      </c>
      <c r="B963" s="151" t="s">
        <v>1917</v>
      </c>
      <c r="C963" s="144" t="s">
        <v>2741</v>
      </c>
      <c r="D963" s="143" t="s">
        <v>2516</v>
      </c>
      <c r="E963" s="145">
        <v>1</v>
      </c>
      <c r="F963" s="145">
        <v>1.65</v>
      </c>
      <c r="G963" s="146" t="s">
        <v>1560</v>
      </c>
      <c r="H963" s="145" t="s">
        <v>1154</v>
      </c>
      <c r="J963" s="150" t="str">
        <f t="shared" si="16"/>
        <v>Dinamo Zagreb  vs  Viktoria Plzen</v>
      </c>
    </row>
    <row r="964" spans="1:10">
      <c r="A964" s="162">
        <v>43517</v>
      </c>
      <c r="B964" s="151" t="s">
        <v>2458</v>
      </c>
      <c r="C964" s="144" t="s">
        <v>2744</v>
      </c>
      <c r="D964" s="143" t="s">
        <v>2516</v>
      </c>
      <c r="E964" s="145">
        <v>1</v>
      </c>
      <c r="F964" s="145">
        <v>1.62</v>
      </c>
      <c r="G964" s="146" t="s">
        <v>1523</v>
      </c>
      <c r="H964" s="145" t="s">
        <v>1154</v>
      </c>
      <c r="J964" s="150" t="str">
        <f t="shared" si="16"/>
        <v>Valencia CF  vs  Celtic</v>
      </c>
    </row>
    <row r="965" spans="1:10">
      <c r="A965" s="162">
        <v>43517</v>
      </c>
      <c r="B965" s="151" t="s">
        <v>1774</v>
      </c>
      <c r="C965" s="144" t="s">
        <v>2751</v>
      </c>
      <c r="D965" s="143" t="s">
        <v>2516</v>
      </c>
      <c r="E965" s="145">
        <v>1</v>
      </c>
      <c r="F965" s="145">
        <v>1.6</v>
      </c>
      <c r="G965" s="146" t="s">
        <v>1591</v>
      </c>
      <c r="H965" s="145" t="s">
        <v>1153</v>
      </c>
      <c r="J965" s="150" t="str">
        <f t="shared" si="16"/>
        <v>Real Betis Balompie  vs  Stade Rennais</v>
      </c>
    </row>
    <row r="966" spans="1:10">
      <c r="A966" s="162">
        <v>43517</v>
      </c>
      <c r="B966" s="151" t="s">
        <v>1852</v>
      </c>
      <c r="C966" s="144" t="s">
        <v>2742</v>
      </c>
      <c r="D966" s="143" t="s">
        <v>2516</v>
      </c>
      <c r="E966" s="145">
        <v>1</v>
      </c>
      <c r="F966" s="145">
        <v>1.5</v>
      </c>
      <c r="G966" s="146" t="s">
        <v>1731</v>
      </c>
      <c r="H966" s="145" t="s">
        <v>1154</v>
      </c>
      <c r="J966" s="150" t="str">
        <f t="shared" si="16"/>
        <v>Salzburg  vs  Club Brugge</v>
      </c>
    </row>
    <row r="967" spans="1:10">
      <c r="A967" s="162">
        <v>43517</v>
      </c>
      <c r="B967" s="151" t="s">
        <v>1334</v>
      </c>
      <c r="C967" s="144" t="s">
        <v>2754</v>
      </c>
      <c r="D967" s="143" t="s">
        <v>2516</v>
      </c>
      <c r="E967" s="145">
        <v>1</v>
      </c>
      <c r="F967" s="145">
        <v>1.48</v>
      </c>
      <c r="G967" s="146" t="s">
        <v>1510</v>
      </c>
      <c r="H967" s="145" t="s">
        <v>1153</v>
      </c>
      <c r="J967" s="150" t="str">
        <f t="shared" si="16"/>
        <v>SL Benfica  vs  Galatasaray</v>
      </c>
    </row>
    <row r="968" spans="1:10">
      <c r="A968" s="162">
        <v>43517</v>
      </c>
      <c r="B968" s="151" t="s">
        <v>2660</v>
      </c>
      <c r="C968" s="144" t="s">
        <v>2749</v>
      </c>
      <c r="D968" s="143" t="s">
        <v>2516</v>
      </c>
      <c r="E968" s="145">
        <v>1</v>
      </c>
      <c r="F968" s="145">
        <v>1.43</v>
      </c>
      <c r="G968" s="146" t="s">
        <v>1561</v>
      </c>
      <c r="H968" s="145" t="s">
        <v>1153</v>
      </c>
      <c r="J968" s="150" t="str">
        <f t="shared" ref="J968:J1031" si="17">CONCATENATE(B968," vs ",C968)</f>
        <v>Bayer 04 Leverkusen  vs  FK Krasnodar</v>
      </c>
    </row>
    <row r="969" spans="1:10">
      <c r="A969" s="162">
        <v>43517</v>
      </c>
      <c r="B969" s="151" t="s">
        <v>2757</v>
      </c>
      <c r="C969" s="144" t="s">
        <v>2758</v>
      </c>
      <c r="D969" s="143" t="s">
        <v>2136</v>
      </c>
      <c r="E969" s="145">
        <v>1</v>
      </c>
      <c r="F969" s="145">
        <v>1.43</v>
      </c>
      <c r="G969" s="146" t="s">
        <v>1509</v>
      </c>
      <c r="H969" s="145" t="s">
        <v>1153</v>
      </c>
      <c r="J969" s="150" t="str">
        <f t="shared" si="17"/>
        <v>Once Caldas Manizales  vs  Deportivo Santani</v>
      </c>
    </row>
    <row r="970" spans="1:10">
      <c r="A970" s="162">
        <v>43517</v>
      </c>
      <c r="B970" s="151" t="s">
        <v>1273</v>
      </c>
      <c r="C970" s="144" t="s">
        <v>2750</v>
      </c>
      <c r="D970" s="143" t="s">
        <v>2516</v>
      </c>
      <c r="E970" s="145">
        <v>1</v>
      </c>
      <c r="F970" s="145">
        <v>1.25</v>
      </c>
      <c r="G970" s="146" t="s">
        <v>1560</v>
      </c>
      <c r="H970" s="145" t="s">
        <v>1154</v>
      </c>
      <c r="J970" s="150" t="str">
        <f t="shared" si="17"/>
        <v>Chelsea  vs  Malmo FF</v>
      </c>
    </row>
    <row r="971" spans="1:10">
      <c r="A971" s="162">
        <v>43517</v>
      </c>
      <c r="B971" s="151" t="s">
        <v>1977</v>
      </c>
      <c r="C971" s="144" t="s">
        <v>2689</v>
      </c>
      <c r="D971" s="143" t="s">
        <v>2516</v>
      </c>
      <c r="E971" s="145">
        <v>1</v>
      </c>
      <c r="F971" s="145">
        <v>1.19</v>
      </c>
      <c r="G971" s="146" t="s">
        <v>1562</v>
      </c>
      <c r="H971" s="145" t="s">
        <v>1154</v>
      </c>
      <c r="J971" s="150" t="str">
        <f t="shared" si="17"/>
        <v>SSC Napoli  vs  FC Zurich</v>
      </c>
    </row>
    <row r="972" spans="1:10">
      <c r="A972" s="162">
        <v>43517</v>
      </c>
      <c r="B972" s="151" t="s">
        <v>1269</v>
      </c>
      <c r="C972" s="144" t="s">
        <v>2747</v>
      </c>
      <c r="D972" s="143" t="s">
        <v>2516</v>
      </c>
      <c r="E972" s="145">
        <v>1</v>
      </c>
      <c r="F972" s="145">
        <v>1.1299999999999999</v>
      </c>
      <c r="G972" s="146" t="s">
        <v>1560</v>
      </c>
      <c r="H972" s="145" t="s">
        <v>1154</v>
      </c>
      <c r="J972" s="150" t="str">
        <f t="shared" si="17"/>
        <v>Arsenal  vs  BATE Borisov</v>
      </c>
    </row>
    <row r="973" spans="1:10">
      <c r="A973" s="162">
        <v>43518</v>
      </c>
      <c r="B973" s="151" t="s">
        <v>2439</v>
      </c>
      <c r="C973" s="144" t="s">
        <v>2780</v>
      </c>
      <c r="D973" s="143" t="s">
        <v>1850</v>
      </c>
      <c r="E973" s="145">
        <v>1</v>
      </c>
      <c r="F973" s="145">
        <v>2.37</v>
      </c>
      <c r="G973" s="146" t="s">
        <v>1591</v>
      </c>
      <c r="H973" s="145" t="s">
        <v>1153</v>
      </c>
      <c r="J973" s="150" t="str">
        <f t="shared" si="17"/>
        <v>Goztepe  vs  Trabzonspor</v>
      </c>
    </row>
    <row r="974" spans="1:10">
      <c r="A974" s="162">
        <v>43518</v>
      </c>
      <c r="B974" s="151" t="s">
        <v>2769</v>
      </c>
      <c r="C974" s="144" t="s">
        <v>1370</v>
      </c>
      <c r="D974" s="143" t="s">
        <v>1257</v>
      </c>
      <c r="E974" s="145">
        <v>1</v>
      </c>
      <c r="F974" s="145">
        <v>2.35</v>
      </c>
      <c r="G974" s="146" t="s">
        <v>2500</v>
      </c>
      <c r="H974" s="145" t="s">
        <v>1153</v>
      </c>
      <c r="J974" s="150" t="str">
        <f t="shared" si="17"/>
        <v>Central Coast Mariners  vs  Brisbane Roar</v>
      </c>
    </row>
    <row r="975" spans="1:10">
      <c r="A975" s="162">
        <v>43518</v>
      </c>
      <c r="B975" s="151" t="s">
        <v>2773</v>
      </c>
      <c r="C975" s="144" t="s">
        <v>2774</v>
      </c>
      <c r="D975" s="143" t="s">
        <v>1692</v>
      </c>
      <c r="E975" s="145">
        <v>1</v>
      </c>
      <c r="F975" s="145">
        <v>1.98</v>
      </c>
      <c r="G975" s="146" t="s">
        <v>1561</v>
      </c>
      <c r="H975" s="145" t="s">
        <v>1153</v>
      </c>
      <c r="J975" s="150" t="str">
        <f t="shared" si="17"/>
        <v>SJK  vs  KPV</v>
      </c>
    </row>
    <row r="976" spans="1:10">
      <c r="A976" s="162">
        <v>43518</v>
      </c>
      <c r="B976" s="151" t="s">
        <v>2244</v>
      </c>
      <c r="C976" s="144" t="s">
        <v>2335</v>
      </c>
      <c r="D976" s="143" t="s">
        <v>1736</v>
      </c>
      <c r="E976" s="145">
        <v>1</v>
      </c>
      <c r="F976" s="145">
        <v>1.96</v>
      </c>
      <c r="G976" s="146" t="s">
        <v>1522</v>
      </c>
      <c r="H976" s="145" t="s">
        <v>1154</v>
      </c>
      <c r="J976" s="150" t="str">
        <f t="shared" si="17"/>
        <v>Tigre  vs  Patronato</v>
      </c>
    </row>
    <row r="977" spans="1:10">
      <c r="A977" s="162">
        <v>43518</v>
      </c>
      <c r="B977" s="151" t="s">
        <v>2342</v>
      </c>
      <c r="C977" s="144" t="s">
        <v>2781</v>
      </c>
      <c r="D977" s="143" t="s">
        <v>1850</v>
      </c>
      <c r="E977" s="145">
        <v>1</v>
      </c>
      <c r="F977" s="145">
        <v>1.9</v>
      </c>
      <c r="G977" s="146" t="s">
        <v>1560</v>
      </c>
      <c r="H977" s="145" t="s">
        <v>1154</v>
      </c>
      <c r="J977" s="150" t="str">
        <f t="shared" si="17"/>
        <v>Rizespor  vs  Yeni Malatyaspor</v>
      </c>
    </row>
    <row r="978" spans="1:10">
      <c r="A978" s="162">
        <v>43518</v>
      </c>
      <c r="B978" s="151" t="s">
        <v>2415</v>
      </c>
      <c r="C978" s="144" t="s">
        <v>1986</v>
      </c>
      <c r="D978" s="143" t="s">
        <v>1847</v>
      </c>
      <c r="E978" s="145">
        <v>1</v>
      </c>
      <c r="F978" s="145">
        <v>1.84</v>
      </c>
      <c r="G978" s="146" t="s">
        <v>1523</v>
      </c>
      <c r="H978" s="145" t="s">
        <v>1154</v>
      </c>
      <c r="J978" s="150" t="str">
        <f t="shared" si="17"/>
        <v>Hellas Verona  vs  Salernitana</v>
      </c>
    </row>
    <row r="979" spans="1:10">
      <c r="A979" s="162">
        <v>43518</v>
      </c>
      <c r="B979" s="151" t="s">
        <v>1275</v>
      </c>
      <c r="C979" s="144" t="s">
        <v>1368</v>
      </c>
      <c r="D979" s="143" t="s">
        <v>1267</v>
      </c>
      <c r="E979" s="145">
        <v>1</v>
      </c>
      <c r="F979" s="145">
        <v>1.8</v>
      </c>
      <c r="G979" s="146" t="s">
        <v>1798</v>
      </c>
      <c r="H979" s="145" t="s">
        <v>1154</v>
      </c>
      <c r="J979" s="150" t="str">
        <f t="shared" si="17"/>
        <v>West Ham United  vs  Fulham</v>
      </c>
    </row>
    <row r="980" spans="1:10">
      <c r="A980" s="162">
        <v>43518</v>
      </c>
      <c r="B980" s="151" t="s">
        <v>1291</v>
      </c>
      <c r="C980" s="144" t="s">
        <v>2326</v>
      </c>
      <c r="D980" s="143" t="s">
        <v>1265</v>
      </c>
      <c r="E980" s="145">
        <v>1</v>
      </c>
      <c r="F980" s="145">
        <v>1.75</v>
      </c>
      <c r="G980" s="146" t="s">
        <v>1561</v>
      </c>
      <c r="H980" s="145" t="s">
        <v>1153</v>
      </c>
      <c r="J980" s="150" t="str">
        <f t="shared" si="17"/>
        <v>RCD Espanyol  vs  Huesca</v>
      </c>
    </row>
    <row r="981" spans="1:10">
      <c r="A981" s="162">
        <v>43518</v>
      </c>
      <c r="B981" s="151" t="s">
        <v>1802</v>
      </c>
      <c r="C981" s="144" t="s">
        <v>2776</v>
      </c>
      <c r="D981" s="143" t="s">
        <v>1693</v>
      </c>
      <c r="E981" s="145">
        <v>1</v>
      </c>
      <c r="F981" s="145">
        <v>1.7</v>
      </c>
      <c r="G981" s="146" t="s">
        <v>1561</v>
      </c>
      <c r="H981" s="145" t="s">
        <v>1153</v>
      </c>
      <c r="J981" s="150" t="str">
        <f t="shared" si="17"/>
        <v>Union Berlin  vs  Arminia Bielefeld</v>
      </c>
    </row>
    <row r="982" spans="1:10">
      <c r="A982" s="162">
        <v>43518</v>
      </c>
      <c r="B982" s="151" t="s">
        <v>2597</v>
      </c>
      <c r="C982" s="144" t="s">
        <v>2770</v>
      </c>
      <c r="D982" s="143" t="s">
        <v>2766</v>
      </c>
      <c r="E982" s="145">
        <v>1</v>
      </c>
      <c r="F982" s="145">
        <v>1.6</v>
      </c>
      <c r="G982" s="146" t="s">
        <v>1562</v>
      </c>
      <c r="H982" s="145" t="s">
        <v>1154</v>
      </c>
      <c r="J982" s="150" t="str">
        <f t="shared" si="17"/>
        <v>LASK Linz  vs  Austria Vienna</v>
      </c>
    </row>
    <row r="983" spans="1:10">
      <c r="A983" s="162">
        <v>43518</v>
      </c>
      <c r="B983" s="151" t="s">
        <v>2465</v>
      </c>
      <c r="C983" s="144" t="s">
        <v>2449</v>
      </c>
      <c r="D983" s="143" t="s">
        <v>1846</v>
      </c>
      <c r="E983" s="145">
        <v>1</v>
      </c>
      <c r="F983" s="145">
        <v>1.57</v>
      </c>
      <c r="G983" s="146" t="s">
        <v>1561</v>
      </c>
      <c r="H983" s="145" t="s">
        <v>1153</v>
      </c>
      <c r="J983" s="150" t="str">
        <f t="shared" si="17"/>
        <v>Werder Bremen  vs  VfB Stuttgart</v>
      </c>
    </row>
    <row r="984" spans="1:10">
      <c r="A984" s="162">
        <v>43518</v>
      </c>
      <c r="B984" s="151" t="s">
        <v>2359</v>
      </c>
      <c r="C984" s="144" t="s">
        <v>2771</v>
      </c>
      <c r="D984" s="143" t="s">
        <v>2219</v>
      </c>
      <c r="E984" s="145">
        <v>1</v>
      </c>
      <c r="F984" s="145">
        <v>1.48</v>
      </c>
      <c r="G984" s="146" t="s">
        <v>1562</v>
      </c>
      <c r="H984" s="145" t="s">
        <v>1154</v>
      </c>
      <c r="J984" s="150" t="str">
        <f t="shared" si="17"/>
        <v>Slovan Liberec  vs  Dukla Prague</v>
      </c>
    </row>
    <row r="985" spans="1:10">
      <c r="A985" s="162">
        <v>43518</v>
      </c>
      <c r="B985" s="151" t="s">
        <v>2480</v>
      </c>
      <c r="C985" s="144" t="s">
        <v>2218</v>
      </c>
      <c r="D985" s="143" t="s">
        <v>1898</v>
      </c>
      <c r="E985" s="145">
        <v>1</v>
      </c>
      <c r="F985" s="145">
        <v>1.43</v>
      </c>
      <c r="G985" s="146" t="s">
        <v>1560</v>
      </c>
      <c r="H985" s="145" t="s">
        <v>1154</v>
      </c>
      <c r="J985" s="150" t="str">
        <f t="shared" si="17"/>
        <v>AC Milan  vs  Empoli</v>
      </c>
    </row>
    <row r="986" spans="1:10">
      <c r="A986" s="162">
        <v>43518</v>
      </c>
      <c r="B986" s="151" t="s">
        <v>1279</v>
      </c>
      <c r="C986" s="144" t="s">
        <v>1394</v>
      </c>
      <c r="D986" s="143" t="s">
        <v>1242</v>
      </c>
      <c r="E986" s="145">
        <v>1</v>
      </c>
      <c r="F986" s="145">
        <v>1.3</v>
      </c>
      <c r="G986" s="146" t="s">
        <v>1509</v>
      </c>
      <c r="H986" s="145" t="s">
        <v>1153</v>
      </c>
      <c r="J986" s="150" t="str">
        <f t="shared" si="17"/>
        <v>Sporting Braga  vs  Belenenses</v>
      </c>
    </row>
    <row r="987" spans="1:10">
      <c r="A987" s="162">
        <v>43519</v>
      </c>
      <c r="B987" s="151" t="s">
        <v>2809</v>
      </c>
      <c r="C987" s="144" t="s">
        <v>2810</v>
      </c>
      <c r="D987" s="143" t="s">
        <v>2571</v>
      </c>
      <c r="E987" s="145">
        <v>1</v>
      </c>
      <c r="F987" s="145">
        <v>6.1</v>
      </c>
      <c r="G987" s="159" t="s">
        <v>1523</v>
      </c>
      <c r="H987" s="23" t="s">
        <v>1154</v>
      </c>
      <c r="J987" s="150" t="str">
        <f t="shared" si="17"/>
        <v>Cherno More Varna  vs  Ludogorets Razgrad</v>
      </c>
    </row>
    <row r="988" spans="1:10">
      <c r="A988" s="162">
        <v>43519</v>
      </c>
      <c r="B988" s="151" t="s">
        <v>1929</v>
      </c>
      <c r="C988" s="144" t="s">
        <v>2821</v>
      </c>
      <c r="D988" s="143" t="s">
        <v>1692</v>
      </c>
      <c r="E988" s="145">
        <v>1</v>
      </c>
      <c r="F988" s="145">
        <v>4.5999999999999996</v>
      </c>
      <c r="G988" s="159" t="s">
        <v>1565</v>
      </c>
      <c r="H988" s="23" t="s">
        <v>1153</v>
      </c>
      <c r="J988" s="150" t="str">
        <f t="shared" si="17"/>
        <v>FC Lahti  vs  HJK</v>
      </c>
    </row>
    <row r="989" spans="1:10">
      <c r="A989" s="162">
        <v>43519</v>
      </c>
      <c r="B989" s="151" t="s">
        <v>2797</v>
      </c>
      <c r="C989" s="144" t="s">
        <v>1494</v>
      </c>
      <c r="D989" s="143" t="s">
        <v>1257</v>
      </c>
      <c r="E989" s="145">
        <v>1</v>
      </c>
      <c r="F989" s="145">
        <v>3.85</v>
      </c>
      <c r="G989" s="159" t="s">
        <v>1506</v>
      </c>
      <c r="H989" s="23" t="s">
        <v>1153</v>
      </c>
      <c r="J989" s="150" t="str">
        <f t="shared" si="17"/>
        <v>Wellington Phoenix  vs  Sydney FC</v>
      </c>
    </row>
    <row r="990" spans="1:10">
      <c r="A990" s="162">
        <v>43519</v>
      </c>
      <c r="B990" s="151" t="s">
        <v>1745</v>
      </c>
      <c r="C990" s="144" t="s">
        <v>2236</v>
      </c>
      <c r="D990" s="143" t="s">
        <v>1736</v>
      </c>
      <c r="E990" s="145">
        <v>1</v>
      </c>
      <c r="F990" s="145">
        <v>3.55</v>
      </c>
      <c r="G990" s="159" t="s">
        <v>1509</v>
      </c>
      <c r="H990" s="23" t="s">
        <v>1153</v>
      </c>
      <c r="J990" s="150" t="str">
        <f t="shared" si="17"/>
        <v>Godoy Cruz de Mendoza  vs  Velez Sarsfield</v>
      </c>
    </row>
    <row r="991" spans="1:10">
      <c r="A991" s="162">
        <v>43519</v>
      </c>
      <c r="B991" s="151" t="s">
        <v>2229</v>
      </c>
      <c r="C991" s="144" t="s">
        <v>2367</v>
      </c>
      <c r="D991" s="143" t="s">
        <v>1846</v>
      </c>
      <c r="E991" s="145">
        <v>1</v>
      </c>
      <c r="F991" s="145">
        <v>2.8</v>
      </c>
      <c r="G991" s="159" t="s">
        <v>1560</v>
      </c>
      <c r="H991" s="23" t="s">
        <v>1154</v>
      </c>
      <c r="J991" s="150" t="str">
        <f t="shared" si="17"/>
        <v>Mainz 05  vs  Schalke 04</v>
      </c>
    </row>
    <row r="992" spans="1:10">
      <c r="A992" s="162">
        <v>43519</v>
      </c>
      <c r="B992" s="151" t="s">
        <v>2840</v>
      </c>
      <c r="C992" s="144" t="s">
        <v>1990</v>
      </c>
      <c r="D992" s="143" t="s">
        <v>1848</v>
      </c>
      <c r="E992" s="145">
        <v>1</v>
      </c>
      <c r="F992" s="145">
        <v>2.8</v>
      </c>
      <c r="G992" s="159" t="s">
        <v>2134</v>
      </c>
      <c r="H992" s="23" t="s">
        <v>1153</v>
      </c>
      <c r="J992" s="150" t="str">
        <f t="shared" si="17"/>
        <v>Fortuna Sittuard  vs  Heerenveen</v>
      </c>
    </row>
    <row r="993" spans="1:10">
      <c r="A993" s="162">
        <v>43519</v>
      </c>
      <c r="B993" s="151" t="s">
        <v>1303</v>
      </c>
      <c r="C993" s="144" t="s">
        <v>1869</v>
      </c>
      <c r="D993" s="143" t="s">
        <v>1261</v>
      </c>
      <c r="E993" s="145">
        <v>1</v>
      </c>
      <c r="F993" s="145">
        <v>2.68</v>
      </c>
      <c r="G993" s="159" t="s">
        <v>1523</v>
      </c>
      <c r="H993" s="23" t="s">
        <v>1154</v>
      </c>
      <c r="J993" s="150" t="str">
        <f t="shared" si="17"/>
        <v>Amiens SC  vs  OGC Nice</v>
      </c>
    </row>
    <row r="994" spans="1:10">
      <c r="A994" s="162">
        <v>43519</v>
      </c>
      <c r="B994" s="151" t="s">
        <v>2235</v>
      </c>
      <c r="C994" s="144" t="s">
        <v>2332</v>
      </c>
      <c r="D994" s="143" t="s">
        <v>1736</v>
      </c>
      <c r="E994" s="145">
        <v>1</v>
      </c>
      <c r="F994" s="145">
        <v>2.6</v>
      </c>
      <c r="G994" s="159" t="s">
        <v>1591</v>
      </c>
      <c r="H994" s="23" t="s">
        <v>1153</v>
      </c>
      <c r="J994" s="150" t="str">
        <f t="shared" si="17"/>
        <v>Atletico Huracan  vs  Union de Santa Fe</v>
      </c>
    </row>
    <row r="995" spans="1:10">
      <c r="A995" s="162">
        <v>43519</v>
      </c>
      <c r="B995" s="151" t="s">
        <v>1670</v>
      </c>
      <c r="C995" s="144" t="s">
        <v>1489</v>
      </c>
      <c r="D995" s="143" t="s">
        <v>1261</v>
      </c>
      <c r="E995" s="145">
        <v>1</v>
      </c>
      <c r="F995" s="145">
        <v>2.54</v>
      </c>
      <c r="G995" s="159" t="s">
        <v>1523</v>
      </c>
      <c r="H995" s="23" t="s">
        <v>1154</v>
      </c>
      <c r="J995" s="150" t="str">
        <f t="shared" si="17"/>
        <v>En Avant Guingamp  vs  Angers SCO</v>
      </c>
    </row>
    <row r="996" spans="1:10">
      <c r="A996" s="162">
        <v>43519</v>
      </c>
      <c r="B996" s="151" t="s">
        <v>2825</v>
      </c>
      <c r="C996" s="144" t="s">
        <v>2826</v>
      </c>
      <c r="D996" s="143" t="s">
        <v>1692</v>
      </c>
      <c r="E996" s="145">
        <v>1</v>
      </c>
      <c r="F996" s="145">
        <v>2.5299999999999998</v>
      </c>
      <c r="G996" s="159" t="s">
        <v>1508</v>
      </c>
      <c r="H996" s="23" t="s">
        <v>1153</v>
      </c>
      <c r="J996" s="150" t="str">
        <f t="shared" si="17"/>
        <v>Jaro Pietarsaari  vs  Haka Valkeakoski</v>
      </c>
    </row>
    <row r="997" spans="1:10">
      <c r="A997" s="162">
        <v>43519</v>
      </c>
      <c r="B997" s="151" t="s">
        <v>2165</v>
      </c>
      <c r="C997" s="144" t="s">
        <v>1723</v>
      </c>
      <c r="D997" s="143" t="s">
        <v>1693</v>
      </c>
      <c r="E997" s="145">
        <v>1</v>
      </c>
      <c r="F997" s="145">
        <v>2.4</v>
      </c>
      <c r="G997" s="159" t="s">
        <v>1523</v>
      </c>
      <c r="H997" s="23" t="s">
        <v>1154</v>
      </c>
      <c r="J997" s="150" t="str">
        <f t="shared" si="17"/>
        <v>St. Pauli  vs  Ingolstadt</v>
      </c>
    </row>
    <row r="998" spans="1:10">
      <c r="A998" s="162">
        <v>43519</v>
      </c>
      <c r="B998" s="151" t="s">
        <v>2508</v>
      </c>
      <c r="C998" s="144" t="s">
        <v>2330</v>
      </c>
      <c r="D998" s="143" t="s">
        <v>1265</v>
      </c>
      <c r="E998" s="145">
        <v>1</v>
      </c>
      <c r="F998" s="145">
        <v>2.2999999999999998</v>
      </c>
      <c r="G998" s="159" t="s">
        <v>1510</v>
      </c>
      <c r="H998" s="23" t="s">
        <v>1153</v>
      </c>
      <c r="J998" s="150" t="str">
        <f t="shared" si="17"/>
        <v>Deportivo Alaves  vs  Celta de Vigo</v>
      </c>
    </row>
    <row r="999" spans="1:10">
      <c r="A999" s="162">
        <v>43519</v>
      </c>
      <c r="B999" s="151" t="s">
        <v>2327</v>
      </c>
      <c r="C999" s="144" t="s">
        <v>2487</v>
      </c>
      <c r="D999" s="143" t="s">
        <v>2219</v>
      </c>
      <c r="E999" s="145">
        <v>1</v>
      </c>
      <c r="F999" s="145">
        <v>2.25</v>
      </c>
      <c r="G999" s="159" t="s">
        <v>1509</v>
      </c>
      <c r="H999" s="23" t="s">
        <v>1153</v>
      </c>
      <c r="J999" s="150" t="str">
        <f t="shared" si="17"/>
        <v>Zlin  vs  Bohemians 1905</v>
      </c>
    </row>
    <row r="1000" spans="1:10">
      <c r="A1000" s="162">
        <v>43519</v>
      </c>
      <c r="B1000" s="151" t="s">
        <v>2311</v>
      </c>
      <c r="C1000" s="144" t="s">
        <v>2466</v>
      </c>
      <c r="D1000" s="143" t="s">
        <v>1846</v>
      </c>
      <c r="E1000" s="145">
        <v>1</v>
      </c>
      <c r="F1000" s="145">
        <v>2.1800000000000002</v>
      </c>
      <c r="G1000" s="159" t="s">
        <v>1732</v>
      </c>
      <c r="H1000" s="23" t="s">
        <v>1154</v>
      </c>
      <c r="J1000" s="150" t="str">
        <f t="shared" si="17"/>
        <v>SC Freiburg  vs  Augsburg</v>
      </c>
    </row>
    <row r="1001" spans="1:10">
      <c r="A1001" s="162">
        <v>43519</v>
      </c>
      <c r="B1001" s="151" t="s">
        <v>2319</v>
      </c>
      <c r="C1001" s="144" t="s">
        <v>2835</v>
      </c>
      <c r="D1001" s="143" t="s">
        <v>1847</v>
      </c>
      <c r="E1001" s="145">
        <v>1</v>
      </c>
      <c r="F1001" s="145">
        <v>2.1800000000000002</v>
      </c>
      <c r="G1001" s="159" t="s">
        <v>1507</v>
      </c>
      <c r="H1001" s="23" t="s">
        <v>1154</v>
      </c>
      <c r="J1001" s="150" t="str">
        <f t="shared" si="17"/>
        <v>Cittadella  vs  Lecce</v>
      </c>
    </row>
    <row r="1002" spans="1:10">
      <c r="A1002" s="162">
        <v>43519</v>
      </c>
      <c r="B1002" s="151" t="s">
        <v>2846</v>
      </c>
      <c r="C1002" s="144" t="s">
        <v>2469</v>
      </c>
      <c r="D1002" s="143" t="s">
        <v>1265</v>
      </c>
      <c r="E1002" s="145">
        <v>1</v>
      </c>
      <c r="F1002" s="145">
        <v>2.1</v>
      </c>
      <c r="G1002" s="159" t="s">
        <v>1523</v>
      </c>
      <c r="H1002" s="23" t="s">
        <v>1154</v>
      </c>
      <c r="J1002" s="150" t="str">
        <f t="shared" si="17"/>
        <v>Athletic Club  vs  Eibar</v>
      </c>
    </row>
    <row r="1003" spans="1:10">
      <c r="A1003" s="162">
        <v>43519</v>
      </c>
      <c r="B1003" s="151" t="s">
        <v>2805</v>
      </c>
      <c r="C1003" s="144" t="s">
        <v>2806</v>
      </c>
      <c r="D1003" s="143" t="s">
        <v>1845</v>
      </c>
      <c r="E1003" s="145">
        <v>1</v>
      </c>
      <c r="F1003" s="145">
        <v>2.0699999999999998</v>
      </c>
      <c r="G1003" s="159" t="s">
        <v>1513</v>
      </c>
      <c r="H1003" s="23" t="s">
        <v>1153</v>
      </c>
      <c r="J1003" s="150" t="str">
        <f t="shared" si="17"/>
        <v>Cercle Brugge  vs  KV Oostende</v>
      </c>
    </row>
    <row r="1004" spans="1:10">
      <c r="A1004" s="162">
        <v>43519</v>
      </c>
      <c r="B1004" s="151" t="s">
        <v>1280</v>
      </c>
      <c r="C1004" s="144" t="s">
        <v>2843</v>
      </c>
      <c r="D1004" s="143" t="s">
        <v>1242</v>
      </c>
      <c r="E1004" s="145">
        <v>1</v>
      </c>
      <c r="F1004" s="145">
        <v>2.06</v>
      </c>
      <c r="G1004" s="159" t="s">
        <v>1561</v>
      </c>
      <c r="H1004" s="23" t="s">
        <v>1153</v>
      </c>
      <c r="J1004" s="150" t="str">
        <f t="shared" si="17"/>
        <v>Portimonense  vs  Desportivo Aves</v>
      </c>
    </row>
    <row r="1005" spans="1:10">
      <c r="A1005" s="162">
        <v>43519</v>
      </c>
      <c r="B1005" s="151" t="s">
        <v>1362</v>
      </c>
      <c r="C1005" s="144" t="s">
        <v>1464</v>
      </c>
      <c r="D1005" s="143" t="s">
        <v>1266</v>
      </c>
      <c r="E1005" s="145">
        <v>1</v>
      </c>
      <c r="F1005" s="145">
        <v>2.04</v>
      </c>
      <c r="G1005" s="159" t="s">
        <v>1510</v>
      </c>
      <c r="H1005" s="23" t="s">
        <v>1153</v>
      </c>
      <c r="J1005" s="150" t="str">
        <f t="shared" si="17"/>
        <v>Penafiel  vs  Sporting Covilha</v>
      </c>
    </row>
    <row r="1006" spans="1:10">
      <c r="A1006" s="162">
        <v>43519</v>
      </c>
      <c r="B1006" s="151" t="s">
        <v>2833</v>
      </c>
      <c r="C1006" s="144" t="s">
        <v>1877</v>
      </c>
      <c r="D1006" s="143" t="s">
        <v>1847</v>
      </c>
      <c r="E1006" s="145">
        <v>1</v>
      </c>
      <c r="F1006" s="145">
        <v>1.95</v>
      </c>
      <c r="G1006" s="159" t="s">
        <v>1506</v>
      </c>
      <c r="H1006" s="23" t="s">
        <v>1153</v>
      </c>
      <c r="J1006" s="150" t="str">
        <f t="shared" si="17"/>
        <v>Cremonese  vs  Ascoli</v>
      </c>
    </row>
    <row r="1007" spans="1:10">
      <c r="A1007" s="162">
        <v>43519</v>
      </c>
      <c r="B1007" s="151" t="s">
        <v>2304</v>
      </c>
      <c r="C1007" s="144" t="s">
        <v>2445</v>
      </c>
      <c r="D1007" s="143" t="s">
        <v>1847</v>
      </c>
      <c r="E1007" s="145">
        <v>1</v>
      </c>
      <c r="F1007" s="145">
        <v>1.88</v>
      </c>
      <c r="G1007" s="159" t="s">
        <v>1506</v>
      </c>
      <c r="H1007" s="23" t="s">
        <v>1153</v>
      </c>
      <c r="J1007" s="150" t="str">
        <f t="shared" si="17"/>
        <v>Perugia  vs  Cosenza</v>
      </c>
    </row>
    <row r="1008" spans="1:10">
      <c r="A1008" s="162">
        <v>43519</v>
      </c>
      <c r="B1008" s="151" t="s">
        <v>2361</v>
      </c>
      <c r="C1008" s="144" t="s">
        <v>2834</v>
      </c>
      <c r="D1008" s="143" t="s">
        <v>1847</v>
      </c>
      <c r="E1008" s="145">
        <v>1</v>
      </c>
      <c r="F1008" s="145">
        <v>1.88</v>
      </c>
      <c r="G1008" s="159" t="s">
        <v>1562</v>
      </c>
      <c r="H1008" s="23" t="s">
        <v>1153</v>
      </c>
      <c r="J1008" s="150" t="str">
        <f t="shared" si="17"/>
        <v>Brescia  vs  Crotone</v>
      </c>
    </row>
    <row r="1009" spans="1:10">
      <c r="A1009" s="162">
        <v>43519</v>
      </c>
      <c r="B1009" s="151" t="s">
        <v>1298</v>
      </c>
      <c r="C1009" s="144" t="s">
        <v>1417</v>
      </c>
      <c r="D1009" s="143" t="s">
        <v>1267</v>
      </c>
      <c r="E1009" s="145">
        <v>1</v>
      </c>
      <c r="F1009" s="145">
        <v>1.87</v>
      </c>
      <c r="H1009" s="23" t="s">
        <v>1154</v>
      </c>
      <c r="J1009" s="150" t="str">
        <f t="shared" si="17"/>
        <v>Newcastle United  vs  Huddersfield Town</v>
      </c>
    </row>
    <row r="1010" spans="1:10">
      <c r="A1010" s="162">
        <v>43519</v>
      </c>
      <c r="B1010" s="151" t="s">
        <v>2270</v>
      </c>
      <c r="C1010" s="144" t="s">
        <v>1949</v>
      </c>
      <c r="D1010" s="143" t="s">
        <v>1846</v>
      </c>
      <c r="E1010" s="145">
        <v>1</v>
      </c>
      <c r="F1010" s="145">
        <v>1.8</v>
      </c>
      <c r="G1010" s="159" t="s">
        <v>1508</v>
      </c>
      <c r="H1010" s="23" t="s">
        <v>1153</v>
      </c>
      <c r="J1010" s="150" t="str">
        <f t="shared" si="17"/>
        <v>Borussia Moenchengladbach  vs  VfL Wolfsburg</v>
      </c>
    </row>
    <row r="1011" spans="1:10">
      <c r="A1011" s="162">
        <v>43519</v>
      </c>
      <c r="B1011" s="151" t="s">
        <v>2858</v>
      </c>
      <c r="C1011" s="144" t="s">
        <v>2859</v>
      </c>
      <c r="D1011" s="143" t="s">
        <v>1850</v>
      </c>
      <c r="E1011" s="145">
        <v>1</v>
      </c>
      <c r="F1011" s="145">
        <v>1.77</v>
      </c>
      <c r="G1011" s="159" t="s">
        <v>1560</v>
      </c>
      <c r="H1011" s="23" t="s">
        <v>1154</v>
      </c>
      <c r="J1011" s="150" t="str">
        <f t="shared" si="17"/>
        <v>Alanyaspor  vs  Kasimpasa</v>
      </c>
    </row>
    <row r="1012" spans="1:10">
      <c r="A1012" s="162">
        <v>43519</v>
      </c>
      <c r="B1012" s="151" t="s">
        <v>2288</v>
      </c>
      <c r="C1012" s="144" t="s">
        <v>2829</v>
      </c>
      <c r="D1012" s="143" t="s">
        <v>1897</v>
      </c>
      <c r="E1012" s="145">
        <v>1</v>
      </c>
      <c r="F1012" s="145">
        <v>1.76</v>
      </c>
      <c r="G1012" s="159" t="s">
        <v>1513</v>
      </c>
      <c r="H1012" s="23" t="s">
        <v>1153</v>
      </c>
      <c r="J1012" s="150" t="str">
        <f t="shared" si="17"/>
        <v>Mezokovesd-Zsory  vs  Varda SE</v>
      </c>
    </row>
    <row r="1013" spans="1:10">
      <c r="A1013" s="162">
        <v>43519</v>
      </c>
      <c r="B1013" s="151" t="s">
        <v>2448</v>
      </c>
      <c r="C1013" s="144" t="s">
        <v>2612</v>
      </c>
      <c r="D1013" s="143" t="s">
        <v>1846</v>
      </c>
      <c r="E1013" s="145">
        <v>1</v>
      </c>
      <c r="F1013" s="145">
        <v>1.74</v>
      </c>
      <c r="G1013" s="159" t="s">
        <v>1564</v>
      </c>
      <c r="H1013" s="23" t="s">
        <v>1564</v>
      </c>
      <c r="J1013" s="150" t="str">
        <f t="shared" si="17"/>
        <v>Fortuna Dusseldorf  vs  Mainz 05</v>
      </c>
    </row>
    <row r="1014" spans="1:10">
      <c r="A1014" s="162">
        <v>43519</v>
      </c>
      <c r="B1014" s="151" t="s">
        <v>1749</v>
      </c>
      <c r="C1014" s="144" t="s">
        <v>1866</v>
      </c>
      <c r="D1014" s="143" t="s">
        <v>1737</v>
      </c>
      <c r="E1014" s="145">
        <v>1</v>
      </c>
      <c r="F1014" s="145">
        <v>1.68</v>
      </c>
      <c r="G1014" s="159" t="s">
        <v>1506</v>
      </c>
      <c r="H1014" s="23" t="s">
        <v>1153</v>
      </c>
      <c r="J1014" s="150" t="str">
        <f t="shared" si="17"/>
        <v>Slaven Koprivnica  vs  Inter Zapresic</v>
      </c>
    </row>
    <row r="1015" spans="1:10">
      <c r="A1015" s="162">
        <v>43519</v>
      </c>
      <c r="B1015" s="151" t="s">
        <v>2430</v>
      </c>
      <c r="C1015" s="144" t="s">
        <v>2333</v>
      </c>
      <c r="D1015" s="143" t="s">
        <v>1264</v>
      </c>
      <c r="E1015" s="145">
        <v>1</v>
      </c>
      <c r="F1015" s="145">
        <v>1.68</v>
      </c>
      <c r="G1015" s="159" t="s">
        <v>1562</v>
      </c>
      <c r="H1015" s="23" t="s">
        <v>1153</v>
      </c>
      <c r="J1015" s="150" t="str">
        <f t="shared" si="17"/>
        <v>Beitar Jerusalem  vs  Hapoel Ra’anana</v>
      </c>
    </row>
    <row r="1016" spans="1:10">
      <c r="A1016" s="162">
        <v>43519</v>
      </c>
      <c r="B1016" s="151" t="s">
        <v>1335</v>
      </c>
      <c r="C1016" s="144" t="s">
        <v>2844</v>
      </c>
      <c r="D1016" s="143" t="s">
        <v>1266</v>
      </c>
      <c r="E1016" s="145">
        <v>1</v>
      </c>
      <c r="F1016" s="145">
        <v>1.68</v>
      </c>
      <c r="G1016" s="159" t="s">
        <v>1522</v>
      </c>
      <c r="H1016" s="23" t="s">
        <v>1154</v>
      </c>
      <c r="J1016" s="150" t="str">
        <f t="shared" si="17"/>
        <v>Famalicao  vs  Mafra</v>
      </c>
    </row>
    <row r="1017" spans="1:10">
      <c r="A1017" s="162">
        <v>43519</v>
      </c>
      <c r="B1017" s="151" t="s">
        <v>2512</v>
      </c>
      <c r="C1017" s="144" t="s">
        <v>2343</v>
      </c>
      <c r="D1017" s="143" t="s">
        <v>1850</v>
      </c>
      <c r="E1017" s="145">
        <v>1</v>
      </c>
      <c r="F1017" s="145">
        <v>1.57</v>
      </c>
      <c r="G1017" s="159" t="s">
        <v>1511</v>
      </c>
      <c r="H1017" s="23" t="s">
        <v>1153</v>
      </c>
      <c r="J1017" s="150" t="str">
        <f t="shared" si="17"/>
        <v>Sivasspor  vs  Antalyaspor</v>
      </c>
    </row>
    <row r="1018" spans="1:10">
      <c r="A1018" s="162">
        <v>43519</v>
      </c>
      <c r="B1018" s="151" t="s">
        <v>2302</v>
      </c>
      <c r="C1018" s="144" t="s">
        <v>2830</v>
      </c>
      <c r="D1018" s="143" t="s">
        <v>1897</v>
      </c>
      <c r="E1018" s="145">
        <v>1</v>
      </c>
      <c r="F1018" s="145">
        <v>1.55</v>
      </c>
      <c r="G1018" s="159" t="s">
        <v>2126</v>
      </c>
      <c r="H1018" s="23" t="s">
        <v>1154</v>
      </c>
      <c r="J1018" s="150" t="str">
        <f t="shared" si="17"/>
        <v>Ujpest  vs  Disogyori VTK</v>
      </c>
    </row>
    <row r="1019" spans="1:10">
      <c r="A1019" s="162">
        <v>43519</v>
      </c>
      <c r="B1019" s="151" t="s">
        <v>2363</v>
      </c>
      <c r="C1019" s="144" t="s">
        <v>2353</v>
      </c>
      <c r="D1019" s="143" t="s">
        <v>1850</v>
      </c>
      <c r="E1019" s="145">
        <v>1</v>
      </c>
      <c r="F1019" s="145">
        <v>1.52</v>
      </c>
      <c r="G1019" s="159" t="s">
        <v>1510</v>
      </c>
      <c r="H1019" s="23" t="s">
        <v>1153</v>
      </c>
      <c r="J1019" s="150" t="str">
        <f t="shared" si="17"/>
        <v>Istanbul BB  vs  Bursaspor</v>
      </c>
    </row>
    <row r="1020" spans="1:10">
      <c r="A1020" s="162">
        <v>43519</v>
      </c>
      <c r="B1020" s="151" t="s">
        <v>2237</v>
      </c>
      <c r="C1020" s="144" t="s">
        <v>2360</v>
      </c>
      <c r="D1020" s="143" t="s">
        <v>2219</v>
      </c>
      <c r="E1020" s="145">
        <v>1</v>
      </c>
      <c r="F1020" s="145">
        <v>1.5</v>
      </c>
      <c r="G1020" s="159" t="s">
        <v>1562</v>
      </c>
      <c r="H1020" s="23" t="s">
        <v>1154</v>
      </c>
      <c r="J1020" s="150" t="str">
        <f t="shared" si="17"/>
        <v>Sigma Olomouc  vs  Marila Pribram</v>
      </c>
    </row>
    <row r="1021" spans="1:10">
      <c r="A1021" s="162">
        <v>43519</v>
      </c>
      <c r="B1021" s="151" t="s">
        <v>2221</v>
      </c>
      <c r="C1021" s="144" t="s">
        <v>1761</v>
      </c>
      <c r="D1021" s="143" t="s">
        <v>1693</v>
      </c>
      <c r="E1021" s="145">
        <v>1</v>
      </c>
      <c r="F1021" s="145">
        <v>1.45</v>
      </c>
      <c r="G1021" s="159" t="s">
        <v>1798</v>
      </c>
      <c r="H1021" s="23" t="s">
        <v>1154</v>
      </c>
      <c r="J1021" s="150" t="str">
        <f t="shared" si="17"/>
        <v>Koln  vs  SV Sandhausen</v>
      </c>
    </row>
    <row r="1022" spans="1:10">
      <c r="A1022" s="162">
        <v>43519</v>
      </c>
      <c r="B1022" s="151" t="s">
        <v>2388</v>
      </c>
      <c r="C1022" s="144" t="s">
        <v>2457</v>
      </c>
      <c r="D1022" s="143" t="s">
        <v>1848</v>
      </c>
      <c r="E1022" s="145">
        <v>1</v>
      </c>
      <c r="F1022" s="145">
        <v>1.37</v>
      </c>
      <c r="G1022" s="159" t="s">
        <v>1510</v>
      </c>
      <c r="H1022" s="23" t="s">
        <v>1153</v>
      </c>
      <c r="J1022" s="150" t="str">
        <f t="shared" si="17"/>
        <v>FC Utrecht  vs  Excelsior Rotterdam</v>
      </c>
    </row>
    <row r="1023" spans="1:10">
      <c r="A1023" s="162">
        <v>43519</v>
      </c>
      <c r="B1023" s="151" t="s">
        <v>2452</v>
      </c>
      <c r="C1023" s="144" t="s">
        <v>2051</v>
      </c>
      <c r="D1023" s="143" t="s">
        <v>1737</v>
      </c>
      <c r="E1023" s="145">
        <v>1</v>
      </c>
      <c r="F1023" s="145">
        <v>1.34</v>
      </c>
      <c r="G1023" s="159" t="s">
        <v>1510</v>
      </c>
      <c r="H1023" s="23" t="s">
        <v>1153</v>
      </c>
      <c r="J1023" s="150" t="str">
        <f t="shared" si="17"/>
        <v>Hajduk Split  vs  Gorica</v>
      </c>
    </row>
    <row r="1024" spans="1:10">
      <c r="A1024" s="162">
        <v>43519</v>
      </c>
      <c r="B1024" s="151" t="s">
        <v>1968</v>
      </c>
      <c r="C1024" s="144" t="s">
        <v>1962</v>
      </c>
      <c r="D1024" s="143" t="s">
        <v>1897</v>
      </c>
      <c r="E1024" s="145">
        <v>1</v>
      </c>
      <c r="F1024" s="145">
        <v>1.3</v>
      </c>
      <c r="G1024" s="159" t="s">
        <v>1731</v>
      </c>
      <c r="H1024" s="23" t="s">
        <v>1154</v>
      </c>
      <c r="J1024" s="150" t="str">
        <f t="shared" si="17"/>
        <v>Ferencvaros  vs  Puskas FC</v>
      </c>
    </row>
    <row r="1025" spans="1:10">
      <c r="A1025" s="162">
        <v>43519</v>
      </c>
      <c r="B1025" s="151" t="s">
        <v>1961</v>
      </c>
      <c r="C1025" s="144" t="s">
        <v>2340</v>
      </c>
      <c r="D1025" s="143" t="s">
        <v>1897</v>
      </c>
      <c r="E1025" s="145">
        <v>1</v>
      </c>
      <c r="F1025" s="145">
        <v>1.3</v>
      </c>
      <c r="G1025" s="159" t="s">
        <v>1523</v>
      </c>
      <c r="H1025" s="23" t="s">
        <v>1154</v>
      </c>
      <c r="J1025" s="150" t="str">
        <f t="shared" si="17"/>
        <v>Vidi  vs  Szombathelyi Haladas</v>
      </c>
    </row>
    <row r="1026" spans="1:10">
      <c r="A1026" s="162">
        <v>43519</v>
      </c>
      <c r="B1026" s="151" t="s">
        <v>1360</v>
      </c>
      <c r="C1026" s="144" t="s">
        <v>2451</v>
      </c>
      <c r="D1026" s="143" t="s">
        <v>1261</v>
      </c>
      <c r="E1026" s="145">
        <v>1</v>
      </c>
      <c r="F1026" s="145">
        <v>1.24</v>
      </c>
      <c r="G1026" s="159" t="s">
        <v>1560</v>
      </c>
      <c r="H1026" s="23" t="s">
        <v>1154</v>
      </c>
      <c r="J1026" s="150" t="str">
        <f t="shared" si="17"/>
        <v>Paris Saint-Germain  vs  Nimes Olympique</v>
      </c>
    </row>
    <row r="1027" spans="1:10">
      <c r="A1027" s="162">
        <v>43519</v>
      </c>
      <c r="B1027" s="151" t="s">
        <v>1480</v>
      </c>
      <c r="C1027" s="144" t="s">
        <v>2160</v>
      </c>
      <c r="D1027" s="143" t="s">
        <v>1264</v>
      </c>
      <c r="E1027" s="145">
        <v>1</v>
      </c>
      <c r="F1027" s="145">
        <v>1.21</v>
      </c>
      <c r="G1027" s="159" t="s">
        <v>1562</v>
      </c>
      <c r="H1027" s="23" t="s">
        <v>1154</v>
      </c>
      <c r="J1027" s="150" t="str">
        <f t="shared" si="17"/>
        <v>Maccabi Tel-Aviv  vs  Maccabi Petah Tikva</v>
      </c>
    </row>
    <row r="1028" spans="1:10">
      <c r="A1028" s="162">
        <v>43519</v>
      </c>
      <c r="B1028" s="151" t="s">
        <v>2851</v>
      </c>
      <c r="C1028" s="144" t="s">
        <v>2680</v>
      </c>
      <c r="D1028" s="143" t="s">
        <v>2595</v>
      </c>
      <c r="E1028" s="145">
        <v>1</v>
      </c>
      <c r="F1028" s="145">
        <v>1.21</v>
      </c>
      <c r="G1028" s="159" t="s">
        <v>1561</v>
      </c>
      <c r="H1028" s="23" t="s">
        <v>1153</v>
      </c>
      <c r="J1028" s="150" t="str">
        <f t="shared" si="17"/>
        <v>Elfsborg Boras  vs  Frej</v>
      </c>
    </row>
    <row r="1029" spans="1:10">
      <c r="A1029" s="162">
        <v>43519</v>
      </c>
      <c r="B1029" s="151" t="s">
        <v>2601</v>
      </c>
      <c r="C1029" s="144" t="s">
        <v>2736</v>
      </c>
      <c r="D1029" s="143" t="s">
        <v>2571</v>
      </c>
      <c r="E1029" s="145">
        <v>1</v>
      </c>
      <c r="F1029" s="145">
        <v>1.08</v>
      </c>
      <c r="G1029" s="159" t="s">
        <v>1731</v>
      </c>
      <c r="H1029" s="23" t="s">
        <v>1154</v>
      </c>
      <c r="J1029" s="150" t="str">
        <f t="shared" si="17"/>
        <v>Botev Plovdiv  vs  Vereya</v>
      </c>
    </row>
    <row r="1030" spans="1:10">
      <c r="A1030" s="162">
        <v>43520</v>
      </c>
      <c r="B1030" s="151" t="s">
        <v>2225</v>
      </c>
      <c r="C1030" s="144" t="s">
        <v>2442</v>
      </c>
      <c r="D1030" s="143" t="s">
        <v>1898</v>
      </c>
      <c r="E1030" s="145">
        <v>1</v>
      </c>
      <c r="F1030" s="145">
        <v>3.4</v>
      </c>
      <c r="G1030" s="159" t="s">
        <v>1510</v>
      </c>
      <c r="H1030" s="23" t="s">
        <v>1153</v>
      </c>
      <c r="J1030" s="150" t="str">
        <f t="shared" si="17"/>
        <v>Chievo Verona  vs  Genoa</v>
      </c>
    </row>
    <row r="1031" spans="1:10">
      <c r="A1031" s="162">
        <v>43520</v>
      </c>
      <c r="B1031" s="151" t="s">
        <v>1295</v>
      </c>
      <c r="C1031" s="144" t="s">
        <v>2910</v>
      </c>
      <c r="D1031" s="143" t="s">
        <v>1267</v>
      </c>
      <c r="E1031" s="145">
        <v>1</v>
      </c>
      <c r="F1031" s="145">
        <v>3.15</v>
      </c>
      <c r="G1031" s="159" t="s">
        <v>1510</v>
      </c>
      <c r="H1031" s="23" t="s">
        <v>1153</v>
      </c>
      <c r="J1031" s="150" t="str">
        <f t="shared" si="17"/>
        <v>Manchester United  vs  Liverpool</v>
      </c>
    </row>
    <row r="1032" spans="1:10">
      <c r="A1032" s="162">
        <v>43520</v>
      </c>
      <c r="B1032" s="151" t="s">
        <v>1766</v>
      </c>
      <c r="C1032" s="144" t="s">
        <v>2920</v>
      </c>
      <c r="D1032" s="143" t="s">
        <v>1898</v>
      </c>
      <c r="E1032" s="145">
        <v>1</v>
      </c>
      <c r="F1032" s="145">
        <v>2.92</v>
      </c>
      <c r="G1032" s="159" t="s">
        <v>1512</v>
      </c>
      <c r="H1032" s="23" t="s">
        <v>1153</v>
      </c>
      <c r="J1032" s="150" t="str">
        <f t="shared" ref="J1032:J1095" si="18">CONCATENATE(B1032," vs ",C1032)</f>
        <v>ACF Fiorentina  vs  Internazionale</v>
      </c>
    </row>
    <row r="1033" spans="1:10">
      <c r="A1033" s="162">
        <v>43520</v>
      </c>
      <c r="B1033" s="151" t="s">
        <v>375</v>
      </c>
      <c r="C1033" s="144" t="s">
        <v>2901</v>
      </c>
      <c r="D1033" s="143" t="s">
        <v>2571</v>
      </c>
      <c r="E1033" s="145">
        <v>1</v>
      </c>
      <c r="F1033" s="145">
        <v>2.44</v>
      </c>
      <c r="G1033" s="159" t="s">
        <v>1523</v>
      </c>
      <c r="H1033" s="23" t="s">
        <v>1154</v>
      </c>
      <c r="J1033" s="150" t="str">
        <f t="shared" si="18"/>
        <v>Levski Sofia vs  CSKA Sofia</v>
      </c>
    </row>
    <row r="1034" spans="1:10">
      <c r="A1034" s="162">
        <v>43520</v>
      </c>
      <c r="B1034" s="151" t="s">
        <v>2898</v>
      </c>
      <c r="C1034" s="144" t="s">
        <v>2598</v>
      </c>
      <c r="D1034" s="143" t="s">
        <v>2766</v>
      </c>
      <c r="E1034" s="145">
        <v>1</v>
      </c>
      <c r="F1034" s="145">
        <v>2.42</v>
      </c>
      <c r="G1034" s="159" t="s">
        <v>1561</v>
      </c>
      <c r="H1034" s="23" t="s">
        <v>1153</v>
      </c>
      <c r="J1034" s="150" t="str">
        <f t="shared" si="18"/>
        <v>Hartberg  vs  St. Polten</v>
      </c>
    </row>
    <row r="1035" spans="1:10">
      <c r="A1035" s="162">
        <v>43520</v>
      </c>
      <c r="B1035" s="151" t="s">
        <v>2921</v>
      </c>
      <c r="C1035" s="144" t="s">
        <v>2922</v>
      </c>
      <c r="D1035" s="143" t="s">
        <v>2892</v>
      </c>
      <c r="E1035" s="145">
        <v>1</v>
      </c>
      <c r="F1035" s="145">
        <v>2.2999999999999998</v>
      </c>
      <c r="G1035" s="159" t="s">
        <v>1562</v>
      </c>
      <c r="H1035" s="23" t="s">
        <v>1154</v>
      </c>
      <c r="J1035" s="150" t="str">
        <f t="shared" si="18"/>
        <v>Suduva Marijampole  vs  Zalgiris Vilnius</v>
      </c>
    </row>
    <row r="1036" spans="1:10">
      <c r="A1036" s="162">
        <v>43520</v>
      </c>
      <c r="B1036" s="151" t="s">
        <v>2419</v>
      </c>
      <c r="C1036" s="144" t="s">
        <v>1719</v>
      </c>
      <c r="D1036" s="143" t="s">
        <v>1693</v>
      </c>
      <c r="E1036" s="145">
        <v>1</v>
      </c>
      <c r="F1036" s="145">
        <v>2.2200000000000002</v>
      </c>
      <c r="G1036" s="159" t="s">
        <v>1510</v>
      </c>
      <c r="H1036" s="23" t="s">
        <v>1153</v>
      </c>
      <c r="J1036" s="150" t="str">
        <f t="shared" si="18"/>
        <v>Erzgebirge Aue  vs  MSV Duisburg</v>
      </c>
    </row>
    <row r="1037" spans="1:10">
      <c r="A1037" s="162">
        <v>43520</v>
      </c>
      <c r="B1037" s="151" t="s">
        <v>2354</v>
      </c>
      <c r="C1037" s="144" t="s">
        <v>1864</v>
      </c>
      <c r="D1037" s="143" t="s">
        <v>1845</v>
      </c>
      <c r="E1037" s="145">
        <v>1</v>
      </c>
      <c r="F1037" s="145">
        <v>2.1800000000000002</v>
      </c>
      <c r="G1037" s="159" t="s">
        <v>1798</v>
      </c>
      <c r="H1037" s="23" t="s">
        <v>1154</v>
      </c>
      <c r="J1037" s="150" t="str">
        <f t="shared" si="18"/>
        <v>Sint-Truiden  vs  Sporting Charleroi</v>
      </c>
    </row>
    <row r="1038" spans="1:10">
      <c r="A1038" s="162">
        <v>43520</v>
      </c>
      <c r="B1038" s="151" t="s">
        <v>1288</v>
      </c>
      <c r="C1038" s="144" t="s">
        <v>1757</v>
      </c>
      <c r="D1038" s="143" t="s">
        <v>1261</v>
      </c>
      <c r="E1038" s="145">
        <v>1</v>
      </c>
      <c r="F1038" s="145">
        <v>2.14</v>
      </c>
      <c r="G1038" s="159" t="s">
        <v>1523</v>
      </c>
      <c r="H1038" s="23" t="s">
        <v>1154</v>
      </c>
      <c r="J1038" s="150" t="str">
        <f t="shared" si="18"/>
        <v>Nantes Atlantique  vs  Girondins de Bordeaux</v>
      </c>
    </row>
    <row r="1039" spans="1:10">
      <c r="A1039" s="162">
        <v>43520</v>
      </c>
      <c r="B1039" s="151" t="s">
        <v>2417</v>
      </c>
      <c r="C1039" s="144" t="s">
        <v>2017</v>
      </c>
      <c r="D1039" s="143" t="s">
        <v>1850</v>
      </c>
      <c r="E1039" s="145">
        <v>1</v>
      </c>
      <c r="F1039" s="145">
        <v>2.13</v>
      </c>
      <c r="G1039" s="159" t="s">
        <v>1506</v>
      </c>
      <c r="H1039" s="23" t="s">
        <v>1153</v>
      </c>
      <c r="J1039" s="150" t="str">
        <f t="shared" si="18"/>
        <v>Konyaspor  vs  Kayserispor</v>
      </c>
    </row>
    <row r="1040" spans="1:10">
      <c r="A1040" s="162">
        <v>43520</v>
      </c>
      <c r="B1040" s="151" t="s">
        <v>2928</v>
      </c>
      <c r="C1040" s="144" t="s">
        <v>1730</v>
      </c>
      <c r="D1040" s="143" t="s">
        <v>1266</v>
      </c>
      <c r="E1040" s="145">
        <v>1</v>
      </c>
      <c r="F1040" s="145">
        <v>2.1</v>
      </c>
      <c r="G1040" s="159" t="s">
        <v>1731</v>
      </c>
      <c r="H1040" s="23" t="s">
        <v>1154</v>
      </c>
      <c r="J1040" s="150" t="str">
        <f t="shared" si="18"/>
        <v>Academico Viseu  vs  Sporting Braga II</v>
      </c>
    </row>
    <row r="1041" spans="1:10">
      <c r="A1041" s="162">
        <v>43520</v>
      </c>
      <c r="B1041" s="151" t="s">
        <v>2348</v>
      </c>
      <c r="C1041" s="144" t="s">
        <v>2427</v>
      </c>
      <c r="D1041" s="143" t="s">
        <v>1899</v>
      </c>
      <c r="E1041" s="145">
        <v>1</v>
      </c>
      <c r="F1041" s="145">
        <v>2.06</v>
      </c>
      <c r="G1041" s="159" t="s">
        <v>1561</v>
      </c>
      <c r="H1041" s="23" t="s">
        <v>1153</v>
      </c>
      <c r="J1041" s="150" t="str">
        <f t="shared" si="18"/>
        <v>FC Zurich  vs  Luzern</v>
      </c>
    </row>
    <row r="1042" spans="1:10">
      <c r="A1042" s="162">
        <v>43520</v>
      </c>
      <c r="B1042" s="151" t="s">
        <v>1282</v>
      </c>
      <c r="C1042" s="144" t="s">
        <v>2329</v>
      </c>
      <c r="D1042" s="143" t="s">
        <v>1266</v>
      </c>
      <c r="E1042" s="145">
        <v>1</v>
      </c>
      <c r="F1042" s="145">
        <v>2</v>
      </c>
      <c r="G1042" s="159" t="s">
        <v>1523</v>
      </c>
      <c r="H1042" s="23" t="s">
        <v>1154</v>
      </c>
      <c r="J1042" s="150" t="str">
        <f t="shared" si="18"/>
        <v>Estoril  vs  Academica de Coimbra</v>
      </c>
    </row>
    <row r="1043" spans="1:10">
      <c r="A1043" s="162">
        <v>43520</v>
      </c>
      <c r="B1043" s="151" t="s">
        <v>2396</v>
      </c>
      <c r="C1043" s="144" t="s">
        <v>2485</v>
      </c>
      <c r="D1043" s="143" t="s">
        <v>1898</v>
      </c>
      <c r="E1043" s="145">
        <v>1</v>
      </c>
      <c r="F1043" s="145">
        <v>1.98</v>
      </c>
      <c r="G1043" s="159" t="s">
        <v>1561</v>
      </c>
      <c r="H1043" s="23" t="s">
        <v>1153</v>
      </c>
      <c r="J1043" s="150" t="str">
        <f t="shared" si="18"/>
        <v>Sassuolo  vs  SPAL</v>
      </c>
    </row>
    <row r="1044" spans="1:10">
      <c r="A1044" s="162">
        <v>43520</v>
      </c>
      <c r="B1044" s="151" t="s">
        <v>2065</v>
      </c>
      <c r="C1044" s="144" t="s">
        <v>2358</v>
      </c>
      <c r="D1044" s="143" t="s">
        <v>1264</v>
      </c>
      <c r="E1044" s="145">
        <v>1</v>
      </c>
      <c r="F1044" s="145">
        <v>1.93</v>
      </c>
      <c r="G1044" s="159" t="s">
        <v>1510</v>
      </c>
      <c r="H1044" s="23" t="s">
        <v>1153</v>
      </c>
      <c r="J1044" s="150" t="str">
        <f t="shared" si="18"/>
        <v>Ironi Kiryat Shmona  vs  MS Ashdod</v>
      </c>
    </row>
    <row r="1045" spans="1:10">
      <c r="A1045" s="162">
        <v>43520</v>
      </c>
      <c r="B1045" s="151" t="s">
        <v>2908</v>
      </c>
      <c r="C1045" s="144" t="s">
        <v>2909</v>
      </c>
      <c r="D1045" s="143" t="s">
        <v>2220</v>
      </c>
      <c r="E1045" s="145">
        <v>1</v>
      </c>
      <c r="F1045" s="145">
        <v>1.9</v>
      </c>
      <c r="G1045" s="159" t="s">
        <v>1522</v>
      </c>
      <c r="H1045" s="23" t="s">
        <v>1154</v>
      </c>
      <c r="J1045" s="150" t="str">
        <f t="shared" si="18"/>
        <v>Brondby  vs  Randers</v>
      </c>
    </row>
    <row r="1046" spans="1:10">
      <c r="A1046" s="162">
        <v>43520</v>
      </c>
      <c r="B1046" s="151" t="s">
        <v>2894</v>
      </c>
      <c r="C1046" s="144" t="s">
        <v>2895</v>
      </c>
      <c r="D1046" s="143" t="s">
        <v>1736</v>
      </c>
      <c r="E1046" s="145">
        <v>1</v>
      </c>
      <c r="F1046" s="145">
        <v>1.87</v>
      </c>
      <c r="G1046" s="159" t="s">
        <v>1564</v>
      </c>
      <c r="H1046" s="23" t="s">
        <v>1564</v>
      </c>
      <c r="J1046" s="150" t="str">
        <f t="shared" si="18"/>
        <v>Atletico Tucuman  vs  Argentinos Juniors</v>
      </c>
    </row>
    <row r="1047" spans="1:10">
      <c r="A1047" s="162">
        <v>43520</v>
      </c>
      <c r="B1047" s="151" t="s">
        <v>2155</v>
      </c>
      <c r="C1047" s="144" t="s">
        <v>2915</v>
      </c>
      <c r="D1047" s="143" t="s">
        <v>1846</v>
      </c>
      <c r="E1047" s="145">
        <v>1</v>
      </c>
      <c r="F1047" s="145">
        <v>1.8</v>
      </c>
      <c r="G1047" s="159" t="s">
        <v>1795</v>
      </c>
      <c r="H1047" s="23" t="s">
        <v>1154</v>
      </c>
      <c r="J1047" s="150" t="str">
        <f t="shared" si="18"/>
        <v>Bv09 Borussia Dortmund  vs  Bayer 04 Leverkusen</v>
      </c>
    </row>
    <row r="1048" spans="1:10">
      <c r="A1048" s="162">
        <v>43520</v>
      </c>
      <c r="B1048" s="151" t="s">
        <v>2334</v>
      </c>
      <c r="C1048" s="144" t="s">
        <v>2281</v>
      </c>
      <c r="D1048" s="143" t="s">
        <v>1736</v>
      </c>
      <c r="E1048" s="145">
        <v>1</v>
      </c>
      <c r="F1048" s="145">
        <v>1.72</v>
      </c>
      <c r="G1048" s="159" t="s">
        <v>1564</v>
      </c>
      <c r="H1048" s="23" t="s">
        <v>1564</v>
      </c>
      <c r="J1048" s="150" t="str">
        <f t="shared" si="18"/>
        <v>Estudiantes de la Plata  vs  Talleres de Cordoba</v>
      </c>
    </row>
    <row r="1049" spans="1:10">
      <c r="A1049" s="162">
        <v>43520</v>
      </c>
      <c r="B1049" s="151" t="s">
        <v>2398</v>
      </c>
      <c r="C1049" s="144" t="s">
        <v>2349</v>
      </c>
      <c r="D1049" s="143" t="s">
        <v>1899</v>
      </c>
      <c r="E1049" s="145">
        <v>1</v>
      </c>
      <c r="F1049" s="145">
        <v>1.66</v>
      </c>
      <c r="G1049" s="159" t="s">
        <v>1561</v>
      </c>
      <c r="H1049" s="23" t="s">
        <v>1153</v>
      </c>
      <c r="J1049" s="150" t="str">
        <f t="shared" si="18"/>
        <v>Thun  vs  Grasshopper Zurich</v>
      </c>
    </row>
    <row r="1050" spans="1:10">
      <c r="A1050" s="162">
        <v>43520</v>
      </c>
      <c r="B1050" s="151" t="s">
        <v>1917</v>
      </c>
      <c r="C1050" s="144" t="s">
        <v>2905</v>
      </c>
      <c r="D1050" s="143" t="s">
        <v>1737</v>
      </c>
      <c r="E1050" s="145">
        <v>1</v>
      </c>
      <c r="F1050" s="145">
        <v>1.63</v>
      </c>
      <c r="G1050" s="159" t="s">
        <v>1560</v>
      </c>
      <c r="H1050" s="23" t="s">
        <v>1154</v>
      </c>
      <c r="J1050" s="150" t="str">
        <f t="shared" si="18"/>
        <v>Dinamo Zagreb  vs  NK Osijek</v>
      </c>
    </row>
    <row r="1051" spans="1:10">
      <c r="A1051" s="162">
        <v>43520</v>
      </c>
      <c r="B1051" s="151" t="s">
        <v>2294</v>
      </c>
      <c r="C1051" s="144" t="s">
        <v>2556</v>
      </c>
      <c r="D1051" s="143" t="s">
        <v>1265</v>
      </c>
      <c r="E1051" s="145">
        <v>1</v>
      </c>
      <c r="F1051" s="145">
        <v>1.55</v>
      </c>
      <c r="G1051" s="159" t="s">
        <v>1562</v>
      </c>
      <c r="H1051" s="23" t="s">
        <v>1154</v>
      </c>
      <c r="J1051" s="150" t="str">
        <f t="shared" si="18"/>
        <v>Atletico Madrid  vs  Villarreal CF</v>
      </c>
    </row>
    <row r="1052" spans="1:10">
      <c r="A1052" s="162">
        <v>43520</v>
      </c>
      <c r="B1052" s="151" t="s">
        <v>2087</v>
      </c>
      <c r="C1052" s="144" t="s">
        <v>2924</v>
      </c>
      <c r="D1052" s="143" t="s">
        <v>1848</v>
      </c>
      <c r="E1052" s="145">
        <v>1</v>
      </c>
      <c r="F1052" s="145">
        <v>1.54</v>
      </c>
      <c r="G1052" s="159" t="s">
        <v>1561</v>
      </c>
      <c r="H1052" s="23" t="s">
        <v>1153</v>
      </c>
      <c r="J1052" s="150" t="str">
        <f t="shared" si="18"/>
        <v>PSV Eindhoven  vs  Feyenoord Rotterdam</v>
      </c>
    </row>
    <row r="1053" spans="1:10">
      <c r="A1053" s="162">
        <v>43520</v>
      </c>
      <c r="B1053" s="151" t="s">
        <v>2486</v>
      </c>
      <c r="C1053" s="144" t="s">
        <v>2906</v>
      </c>
      <c r="D1053" s="143" t="s">
        <v>2219</v>
      </c>
      <c r="E1053" s="145">
        <v>1</v>
      </c>
      <c r="F1053" s="145">
        <v>1.52</v>
      </c>
      <c r="G1053" s="159" t="s">
        <v>1795</v>
      </c>
      <c r="H1053" s="23" t="s">
        <v>1154</v>
      </c>
      <c r="J1053" s="150" t="str">
        <f t="shared" si="18"/>
        <v>Sparta Prague  vs  Banik Ostrava</v>
      </c>
    </row>
    <row r="1054" spans="1:10">
      <c r="A1054" s="162">
        <v>43520</v>
      </c>
      <c r="B1054" s="151" t="s">
        <v>1269</v>
      </c>
      <c r="C1054" s="144" t="s">
        <v>1372</v>
      </c>
      <c r="D1054" s="143" t="s">
        <v>1267</v>
      </c>
      <c r="E1054" s="145">
        <v>1</v>
      </c>
      <c r="F1054" s="145">
        <v>1.52</v>
      </c>
      <c r="G1054" s="159" t="s">
        <v>1562</v>
      </c>
      <c r="H1054" s="23" t="s">
        <v>1154</v>
      </c>
      <c r="J1054" s="150" t="str">
        <f t="shared" si="18"/>
        <v>Arsenal  vs  Southampton</v>
      </c>
    </row>
    <row r="1055" spans="1:10">
      <c r="A1055" s="162">
        <v>43520</v>
      </c>
      <c r="B1055" s="151" t="s">
        <v>1771</v>
      </c>
      <c r="C1055" s="144" t="s">
        <v>1402</v>
      </c>
      <c r="D1055" s="143" t="s">
        <v>1266</v>
      </c>
      <c r="E1055" s="145">
        <v>1</v>
      </c>
      <c r="F1055" s="145">
        <v>1.46</v>
      </c>
      <c r="G1055" s="159" t="s">
        <v>1511</v>
      </c>
      <c r="H1055" s="23" t="s">
        <v>1153</v>
      </c>
      <c r="J1055" s="150" t="str">
        <f t="shared" si="18"/>
        <v>SL Benfica II  vs  Cova Piedade</v>
      </c>
    </row>
    <row r="1056" spans="1:10">
      <c r="A1056" s="162">
        <v>43520</v>
      </c>
      <c r="B1056" s="151" t="s">
        <v>2390</v>
      </c>
      <c r="C1056" s="144" t="s">
        <v>2513</v>
      </c>
      <c r="D1056" s="143" t="s">
        <v>1850</v>
      </c>
      <c r="E1056" s="145">
        <v>1</v>
      </c>
      <c r="F1056" s="145">
        <v>1.36</v>
      </c>
      <c r="G1056" s="159" t="s">
        <v>1523</v>
      </c>
      <c r="H1056" s="23" t="s">
        <v>1154</v>
      </c>
      <c r="J1056" s="150" t="str">
        <f t="shared" si="18"/>
        <v>Galatasaray  vs  Akhisarspor</v>
      </c>
    </row>
    <row r="1057" spans="1:10">
      <c r="A1057" s="162">
        <v>43520</v>
      </c>
      <c r="B1057" s="151" t="s">
        <v>2759</v>
      </c>
      <c r="C1057" s="144" t="s">
        <v>2903</v>
      </c>
      <c r="D1057" s="143" t="s">
        <v>2571</v>
      </c>
      <c r="E1057" s="145">
        <v>1</v>
      </c>
      <c r="F1057" s="145">
        <v>1.32</v>
      </c>
      <c r="G1057" s="159" t="s">
        <v>1523</v>
      </c>
      <c r="H1057" s="23" t="s">
        <v>1154</v>
      </c>
      <c r="J1057" s="150" t="str">
        <f t="shared" si="18"/>
        <v>Beroe  vs  Dunav 2010</v>
      </c>
    </row>
    <row r="1058" spans="1:10">
      <c r="A1058" s="162">
        <v>43520</v>
      </c>
      <c r="B1058" s="151" t="s">
        <v>2413</v>
      </c>
      <c r="C1058" s="144" t="s">
        <v>2893</v>
      </c>
      <c r="D1058" s="143" t="s">
        <v>1736</v>
      </c>
      <c r="E1058" s="145">
        <v>1</v>
      </c>
      <c r="F1058" s="145">
        <v>1.28</v>
      </c>
      <c r="G1058" s="159" t="s">
        <v>1523</v>
      </c>
      <c r="H1058" s="23" t="s">
        <v>1154</v>
      </c>
      <c r="J1058" s="150" t="str">
        <f t="shared" si="18"/>
        <v>River Plate  vs  San Martin Tucuman</v>
      </c>
    </row>
    <row r="1059" spans="1:10">
      <c r="A1059" s="162">
        <v>43521</v>
      </c>
      <c r="B1059" s="151" t="s">
        <v>1363</v>
      </c>
      <c r="C1059" s="144" t="s">
        <v>2973</v>
      </c>
      <c r="D1059" s="143" t="s">
        <v>1265</v>
      </c>
      <c r="E1059" s="145">
        <v>1</v>
      </c>
      <c r="F1059" s="145">
        <v>2.42</v>
      </c>
      <c r="G1059" s="159" t="s">
        <v>1510</v>
      </c>
      <c r="H1059" s="23" t="s">
        <v>1153</v>
      </c>
      <c r="J1059" s="150" t="str">
        <f t="shared" si="18"/>
        <v xml:space="preserve">Girona  vs  Real Sociedad </v>
      </c>
    </row>
    <row r="1060" spans="1:10">
      <c r="A1060" s="162">
        <v>43521</v>
      </c>
      <c r="B1060" s="151" t="s">
        <v>2958</v>
      </c>
      <c r="C1060" s="144" t="s">
        <v>2965</v>
      </c>
      <c r="D1060" s="143" t="s">
        <v>2571</v>
      </c>
      <c r="E1060" s="145">
        <v>1</v>
      </c>
      <c r="F1060" s="145">
        <v>2.08</v>
      </c>
      <c r="G1060" s="159" t="s">
        <v>1510</v>
      </c>
      <c r="H1060" s="23" t="s">
        <v>1153</v>
      </c>
      <c r="J1060" s="150" t="str">
        <f t="shared" si="18"/>
        <v xml:space="preserve">Septemvri Sofia  vs  Vitosha Bistritsa </v>
      </c>
    </row>
    <row r="1061" spans="1:10">
      <c r="A1061" s="162">
        <v>43521</v>
      </c>
      <c r="B1061" s="156" t="s">
        <v>2204</v>
      </c>
      <c r="C1061" s="144" t="s">
        <v>2969</v>
      </c>
      <c r="D1061" s="73" t="s">
        <v>1846</v>
      </c>
      <c r="E1061" s="145">
        <v>1</v>
      </c>
      <c r="F1061" s="145">
        <v>1.82</v>
      </c>
      <c r="G1061" s="159" t="s">
        <v>1561</v>
      </c>
      <c r="H1061" s="23" t="s">
        <v>1153</v>
      </c>
      <c r="J1061" s="150" t="str">
        <f t="shared" si="18"/>
        <v xml:space="preserve">RB Leipzig  vs  Hoffenheim </v>
      </c>
    </row>
    <row r="1062" spans="1:10">
      <c r="A1062" s="162">
        <v>43521</v>
      </c>
      <c r="B1062" s="156" t="s">
        <v>2352</v>
      </c>
      <c r="C1062" s="144" t="s">
        <v>2976</v>
      </c>
      <c r="D1062" s="73" t="s">
        <v>1850</v>
      </c>
      <c r="E1062" s="145">
        <v>1</v>
      </c>
      <c r="F1062" s="145">
        <v>1.82</v>
      </c>
      <c r="G1062" s="159" t="s">
        <v>1512</v>
      </c>
      <c r="H1062" s="23" t="s">
        <v>1153</v>
      </c>
      <c r="J1062" s="150" t="str">
        <f t="shared" si="18"/>
        <v xml:space="preserve">Besiktas JK  vs  Fenerbahce </v>
      </c>
    </row>
    <row r="1063" spans="1:10">
      <c r="A1063" s="162">
        <v>43521</v>
      </c>
      <c r="B1063" s="156" t="s">
        <v>2962</v>
      </c>
      <c r="C1063" s="144" t="s">
        <v>2975</v>
      </c>
      <c r="D1063" s="73" t="s">
        <v>2595</v>
      </c>
      <c r="E1063" s="145">
        <v>1</v>
      </c>
      <c r="F1063" s="145">
        <v>1.8</v>
      </c>
      <c r="G1063" s="159" t="s">
        <v>1510</v>
      </c>
      <c r="H1063" s="23" t="s">
        <v>1153</v>
      </c>
      <c r="J1063" s="150" t="str">
        <f t="shared" si="18"/>
        <v xml:space="preserve">IFK Goteborg  vs  GAIS Goteborg </v>
      </c>
    </row>
    <row r="1064" spans="1:10">
      <c r="A1064" s="162">
        <v>43521</v>
      </c>
      <c r="B1064" s="156" t="s">
        <v>2423</v>
      </c>
      <c r="C1064" s="144" t="s">
        <v>2964</v>
      </c>
      <c r="D1064" s="73" t="s">
        <v>1736</v>
      </c>
      <c r="E1064" s="145">
        <v>1</v>
      </c>
      <c r="F1064" s="145">
        <v>1.7</v>
      </c>
      <c r="G1064" s="159" t="s">
        <v>1560</v>
      </c>
      <c r="H1064" s="23" t="s">
        <v>1154</v>
      </c>
      <c r="J1064" s="150" t="str">
        <f t="shared" si="18"/>
        <v xml:space="preserve">Newell’s Old Boys  vs  San Martin de San Juan </v>
      </c>
    </row>
    <row r="1065" spans="1:10">
      <c r="A1065" s="162">
        <v>43521</v>
      </c>
      <c r="B1065" s="156" t="s">
        <v>2370</v>
      </c>
      <c r="C1065" s="144" t="s">
        <v>2967</v>
      </c>
      <c r="D1065" s="73" t="s">
        <v>2219</v>
      </c>
      <c r="E1065" s="145">
        <v>1</v>
      </c>
      <c r="F1065" s="145">
        <v>1.25</v>
      </c>
      <c r="G1065" s="159" t="s">
        <v>1731</v>
      </c>
      <c r="H1065" s="23" t="s">
        <v>1154</v>
      </c>
      <c r="J1065" s="150" t="str">
        <f t="shared" si="18"/>
        <v xml:space="preserve">Slavia Prague  vs  Slovacko </v>
      </c>
    </row>
    <row r="1066" spans="1:10">
      <c r="A1066" s="162">
        <v>43521</v>
      </c>
      <c r="B1066" s="156" t="s">
        <v>2461</v>
      </c>
      <c r="C1066" s="144" t="s">
        <v>2968</v>
      </c>
      <c r="D1066" s="73" t="s">
        <v>2220</v>
      </c>
      <c r="E1066" s="145">
        <v>1</v>
      </c>
      <c r="F1066" s="145">
        <v>1.17</v>
      </c>
      <c r="G1066" s="159" t="s">
        <v>1564</v>
      </c>
      <c r="H1066" s="23" t="s">
        <v>1564</v>
      </c>
      <c r="J1066" s="150" t="str">
        <f t="shared" si="18"/>
        <v xml:space="preserve">FC Copenhagen  vs  Vendsyssel </v>
      </c>
    </row>
    <row r="1067" spans="1:10">
      <c r="A1067" s="162">
        <v>43521</v>
      </c>
      <c r="B1067" s="156" t="s">
        <v>1334</v>
      </c>
      <c r="C1067" s="144" t="s">
        <v>2972</v>
      </c>
      <c r="D1067" s="73" t="s">
        <v>1242</v>
      </c>
      <c r="E1067" s="145">
        <v>1</v>
      </c>
      <c r="F1067" s="145">
        <v>1.1299999999999999</v>
      </c>
      <c r="G1067" s="159" t="s">
        <v>1731</v>
      </c>
      <c r="H1067" s="23" t="s">
        <v>1154</v>
      </c>
      <c r="J1067" s="150" t="str">
        <f t="shared" si="18"/>
        <v xml:space="preserve">SL Benfica  vs  Chaves </v>
      </c>
    </row>
    <row r="1068" spans="1:10">
      <c r="A1068" s="162">
        <v>43522</v>
      </c>
      <c r="B1068" s="151" t="s">
        <v>2233</v>
      </c>
      <c r="C1068" s="144" t="s">
        <v>1988</v>
      </c>
      <c r="D1068" s="143" t="s">
        <v>1847</v>
      </c>
      <c r="E1068" s="145">
        <v>1</v>
      </c>
      <c r="F1068" s="145">
        <v>2.38</v>
      </c>
      <c r="G1068" s="159" t="s">
        <v>1562</v>
      </c>
      <c r="H1068" s="23" t="s">
        <v>1154</v>
      </c>
      <c r="J1068" s="150" t="str">
        <f t="shared" si="18"/>
        <v>Salernitana  vs  Cremonese</v>
      </c>
    </row>
    <row r="1069" spans="1:10">
      <c r="A1069" s="162">
        <v>43522</v>
      </c>
      <c r="B1069" s="151" t="s">
        <v>1876</v>
      </c>
      <c r="C1069" s="144" t="s">
        <v>1984</v>
      </c>
      <c r="D1069" s="143" t="s">
        <v>1847</v>
      </c>
      <c r="E1069" s="145">
        <v>1</v>
      </c>
      <c r="F1069" s="145">
        <v>2.1800000000000002</v>
      </c>
      <c r="G1069" s="159" t="s">
        <v>1522</v>
      </c>
      <c r="H1069" s="23" t="s">
        <v>1154</v>
      </c>
      <c r="J1069" s="150" t="str">
        <f t="shared" si="18"/>
        <v>Lecce  vs  Hellas Verona</v>
      </c>
    </row>
    <row r="1070" spans="1:10">
      <c r="A1070" s="162">
        <v>43522</v>
      </c>
      <c r="B1070" s="156" t="s">
        <v>2816</v>
      </c>
      <c r="C1070" s="144" t="s">
        <v>2197</v>
      </c>
      <c r="D1070" s="73" t="s">
        <v>1267</v>
      </c>
      <c r="E1070" s="145">
        <v>1</v>
      </c>
      <c r="F1070" s="145">
        <v>1.95</v>
      </c>
      <c r="G1070" s="159" t="s">
        <v>1522</v>
      </c>
      <c r="H1070" s="23" t="s">
        <v>1154</v>
      </c>
      <c r="J1070" s="150" t="str">
        <f t="shared" si="18"/>
        <v>Leicester City  vs  Brighton &amp; Hove Albion</v>
      </c>
    </row>
    <row r="1071" spans="1:10">
      <c r="A1071" s="162">
        <v>43522</v>
      </c>
      <c r="B1071" s="156" t="s">
        <v>2536</v>
      </c>
      <c r="C1071" s="144" t="s">
        <v>2532</v>
      </c>
      <c r="D1071" s="73" t="s">
        <v>1690</v>
      </c>
      <c r="E1071" s="145">
        <v>1</v>
      </c>
      <c r="F1071" s="145">
        <v>1.88</v>
      </c>
      <c r="G1071" s="159" t="s">
        <v>1522</v>
      </c>
      <c r="H1071" s="23" t="s">
        <v>1154</v>
      </c>
      <c r="J1071" s="150" t="str">
        <f t="shared" si="18"/>
        <v>Caracas  vs  Melgar FBC</v>
      </c>
    </row>
    <row r="1072" spans="1:10">
      <c r="A1072" s="162">
        <v>43522</v>
      </c>
      <c r="B1072" s="156" t="s">
        <v>2079</v>
      </c>
      <c r="C1072" s="144" t="s">
        <v>2447</v>
      </c>
      <c r="D1072" s="73" t="s">
        <v>1847</v>
      </c>
      <c r="E1072" s="145">
        <v>1</v>
      </c>
      <c r="F1072" s="145">
        <v>1.88</v>
      </c>
      <c r="G1072" s="159" t="s">
        <v>1522</v>
      </c>
      <c r="H1072" s="23" t="s">
        <v>1154</v>
      </c>
      <c r="J1072" s="150" t="str">
        <f t="shared" si="18"/>
        <v>Benevento  vs  Pescara</v>
      </c>
    </row>
    <row r="1073" spans="1:10">
      <c r="A1073" s="162">
        <v>43522</v>
      </c>
      <c r="B1073" s="156" t="s">
        <v>2666</v>
      </c>
      <c r="C1073" s="144" t="s">
        <v>2362</v>
      </c>
      <c r="D1073" s="73" t="s">
        <v>1847</v>
      </c>
      <c r="E1073" s="145">
        <v>1</v>
      </c>
      <c r="F1073" s="145">
        <v>1.8</v>
      </c>
      <c r="G1073" s="159" t="s">
        <v>1523</v>
      </c>
      <c r="H1073" s="23" t="s">
        <v>1154</v>
      </c>
      <c r="J1073" s="150" t="str">
        <f t="shared" si="18"/>
        <v>Cosenza  vs  Carpi</v>
      </c>
    </row>
    <row r="1074" spans="1:10">
      <c r="A1074" s="162">
        <v>43522</v>
      </c>
      <c r="B1074" s="156" t="s">
        <v>1348</v>
      </c>
      <c r="C1074" s="144" t="s">
        <v>2990</v>
      </c>
      <c r="D1074" s="73" t="s">
        <v>2184</v>
      </c>
      <c r="E1074" s="145">
        <v>1</v>
      </c>
      <c r="F1074" s="145">
        <v>1.58</v>
      </c>
      <c r="G1074" s="159" t="s">
        <v>1560</v>
      </c>
      <c r="H1074" s="23" t="s">
        <v>1154</v>
      </c>
      <c r="J1074" s="150" t="str">
        <f t="shared" si="18"/>
        <v>FC Porto  vs  Sporting Braga</v>
      </c>
    </row>
    <row r="1075" spans="1:10">
      <c r="A1075" s="162">
        <v>43522</v>
      </c>
      <c r="B1075" s="156" t="s">
        <v>1456</v>
      </c>
      <c r="C1075" s="144" t="s">
        <v>2985</v>
      </c>
      <c r="D1075" s="73" t="s">
        <v>2138</v>
      </c>
      <c r="E1075" s="145">
        <v>1</v>
      </c>
      <c r="F1075" s="145">
        <v>1.52</v>
      </c>
      <c r="G1075" s="159" t="s">
        <v>1561</v>
      </c>
      <c r="H1075" s="23" t="s">
        <v>1153</v>
      </c>
      <c r="J1075" s="150" t="str">
        <f t="shared" si="18"/>
        <v>Bnei Yehuda Tel-Aviv  vs  Hapoel Afula</v>
      </c>
    </row>
    <row r="1076" spans="1:10">
      <c r="A1076" s="162">
        <v>43522</v>
      </c>
      <c r="B1076" s="156" t="s">
        <v>2981</v>
      </c>
      <c r="C1076" s="144" t="s">
        <v>2982</v>
      </c>
      <c r="D1076" s="73" t="s">
        <v>2136</v>
      </c>
      <c r="E1076" s="145">
        <v>1</v>
      </c>
      <c r="F1076" s="145">
        <v>1.4</v>
      </c>
      <c r="G1076" s="159" t="s">
        <v>1564</v>
      </c>
      <c r="H1076" s="23" t="s">
        <v>1564</v>
      </c>
      <c r="J1076" s="150" t="str">
        <f t="shared" si="18"/>
        <v>Fluminense  vs  Deportivo Anzoategui</v>
      </c>
    </row>
    <row r="1077" spans="1:10">
      <c r="A1077" s="162">
        <v>43522</v>
      </c>
      <c r="B1077" s="156" t="s">
        <v>2979</v>
      </c>
      <c r="C1077" s="144" t="s">
        <v>2980</v>
      </c>
      <c r="D1077" s="73" t="s">
        <v>2136</v>
      </c>
      <c r="E1077" s="145">
        <v>1</v>
      </c>
      <c r="F1077" s="145">
        <v>1.26</v>
      </c>
      <c r="G1077" s="159" t="s">
        <v>1561</v>
      </c>
      <c r="H1077" s="23" t="s">
        <v>1153</v>
      </c>
      <c r="J1077" s="150" t="str">
        <f t="shared" si="18"/>
        <v>Santos  vs  River Plate Montevideo</v>
      </c>
    </row>
    <row r="1078" spans="1:10">
      <c r="A1078" s="162">
        <v>43522</v>
      </c>
      <c r="B1078" s="156" t="s">
        <v>1480</v>
      </c>
      <c r="C1078" s="144" t="s">
        <v>2986</v>
      </c>
      <c r="D1078" s="73" t="s">
        <v>2138</v>
      </c>
      <c r="E1078" s="145">
        <v>1</v>
      </c>
      <c r="F1078" s="145">
        <v>1.17</v>
      </c>
      <c r="G1078" s="159" t="s">
        <v>1510</v>
      </c>
      <c r="H1078" s="23" t="s">
        <v>1153</v>
      </c>
      <c r="J1078" s="150" t="str">
        <f t="shared" si="18"/>
        <v>Maccabi Tel-Aviv  vs  Bnei Sakhnin</v>
      </c>
    </row>
    <row r="1079" spans="1:10">
      <c r="A1079" s="162">
        <v>43522</v>
      </c>
      <c r="B1079" s="156" t="s">
        <v>1360</v>
      </c>
      <c r="C1079" s="144" t="s">
        <v>2984</v>
      </c>
      <c r="D1079" s="73" t="s">
        <v>1263</v>
      </c>
      <c r="E1079" s="145">
        <v>1</v>
      </c>
      <c r="F1079" s="145">
        <v>1.1100000000000001</v>
      </c>
      <c r="G1079" s="159" t="s">
        <v>1560</v>
      </c>
      <c r="H1079" s="23" t="s">
        <v>1154</v>
      </c>
      <c r="J1079" s="150" t="str">
        <f t="shared" si="18"/>
        <v>Paris Saint-Germain  vs  Dijon FCO</v>
      </c>
    </row>
    <row r="1080" spans="1:10">
      <c r="A1080" s="162">
        <v>43523</v>
      </c>
      <c r="B1080" s="151" t="s">
        <v>2374</v>
      </c>
      <c r="C1080" s="144" t="s">
        <v>3008</v>
      </c>
      <c r="D1080" s="143" t="s">
        <v>2994</v>
      </c>
      <c r="E1080" s="145">
        <v>1</v>
      </c>
      <c r="F1080" s="145">
        <v>3.55</v>
      </c>
      <c r="G1080" s="159" t="s">
        <v>1508</v>
      </c>
      <c r="H1080" s="23" t="s">
        <v>1153</v>
      </c>
      <c r="J1080" s="150" t="str">
        <f t="shared" si="18"/>
        <v>Feyenoord Rotterdam  vs  AFC Ajax Amsterdam</v>
      </c>
    </row>
    <row r="1081" spans="1:10">
      <c r="A1081" s="162">
        <v>43523</v>
      </c>
      <c r="B1081" s="151" t="s">
        <v>2505</v>
      </c>
      <c r="C1081" s="144" t="s">
        <v>3007</v>
      </c>
      <c r="D1081" s="143" t="s">
        <v>1847</v>
      </c>
      <c r="E1081" s="145">
        <v>1</v>
      </c>
      <c r="F1081" s="145">
        <v>2.63</v>
      </c>
      <c r="G1081" s="159" t="s">
        <v>1559</v>
      </c>
      <c r="H1081" s="23" t="s">
        <v>1153</v>
      </c>
      <c r="J1081" s="150" t="str">
        <f t="shared" si="18"/>
        <v>Venezia  vs  Perugia</v>
      </c>
    </row>
    <row r="1082" spans="1:10">
      <c r="A1082" s="162">
        <v>43523</v>
      </c>
      <c r="B1082" s="151" t="s">
        <v>2996</v>
      </c>
      <c r="C1082" s="144" t="s">
        <v>2281</v>
      </c>
      <c r="D1082" s="143" t="s">
        <v>1690</v>
      </c>
      <c r="E1082" s="145">
        <v>1</v>
      </c>
      <c r="F1082" s="145">
        <v>2.62</v>
      </c>
      <c r="G1082" s="159" t="s">
        <v>1522</v>
      </c>
      <c r="H1082" s="23" t="s">
        <v>1154</v>
      </c>
      <c r="J1082" s="150" t="str">
        <f t="shared" si="18"/>
        <v>Palestino  vs  Talleres de Cordoba</v>
      </c>
    </row>
    <row r="1083" spans="1:10">
      <c r="A1083" s="162">
        <v>43523</v>
      </c>
      <c r="B1083" s="151" t="s">
        <v>2036</v>
      </c>
      <c r="C1083" s="144" t="s">
        <v>3000</v>
      </c>
      <c r="D1083" s="143" t="s">
        <v>2136</v>
      </c>
      <c r="E1083" s="145">
        <v>1</v>
      </c>
      <c r="F1083" s="145">
        <v>2.2200000000000002</v>
      </c>
      <c r="G1083" s="159" t="s">
        <v>1561</v>
      </c>
      <c r="H1083" s="23" t="s">
        <v>1153</v>
      </c>
      <c r="J1083" s="150" t="str">
        <f t="shared" si="18"/>
        <v>Racing Club Avellaneda  vs  Corinthians</v>
      </c>
    </row>
    <row r="1084" spans="1:10">
      <c r="A1084" s="162">
        <v>43523</v>
      </c>
      <c r="B1084" s="151" t="s">
        <v>2344</v>
      </c>
      <c r="C1084" s="144" t="s">
        <v>1368</v>
      </c>
      <c r="D1084" s="143" t="s">
        <v>1267</v>
      </c>
      <c r="E1084" s="145">
        <v>1</v>
      </c>
      <c r="F1084" s="145">
        <v>1.9</v>
      </c>
      <c r="G1084" s="159" t="s">
        <v>1562</v>
      </c>
      <c r="H1084" s="23" t="s">
        <v>1154</v>
      </c>
      <c r="J1084" s="150" t="str">
        <f t="shared" si="18"/>
        <v>Southampton  vs  Fulham</v>
      </c>
    </row>
    <row r="1085" spans="1:10">
      <c r="A1085" s="162">
        <v>43523</v>
      </c>
      <c r="B1085" s="151" t="s">
        <v>1987</v>
      </c>
      <c r="C1085" s="144" t="s">
        <v>2078</v>
      </c>
      <c r="D1085" s="143" t="s">
        <v>1847</v>
      </c>
      <c r="E1085" s="145">
        <v>1</v>
      </c>
      <c r="F1085" s="145">
        <v>1.84</v>
      </c>
      <c r="G1085" s="159" t="s">
        <v>1560</v>
      </c>
      <c r="H1085" s="23" t="s">
        <v>1154</v>
      </c>
      <c r="J1085" s="150" t="str">
        <f t="shared" si="18"/>
        <v>Spezia  vs  Livorno</v>
      </c>
    </row>
    <row r="1086" spans="1:10">
      <c r="A1086" s="162">
        <v>43523</v>
      </c>
      <c r="B1086" s="156" t="s">
        <v>2998</v>
      </c>
      <c r="C1086" s="144" t="s">
        <v>2999</v>
      </c>
      <c r="D1086" s="73" t="s">
        <v>2136</v>
      </c>
      <c r="E1086" s="145">
        <v>1</v>
      </c>
      <c r="F1086" s="145">
        <v>1.77</v>
      </c>
      <c r="G1086" s="159" t="s">
        <v>1522</v>
      </c>
      <c r="H1086" s="23" t="s">
        <v>1154</v>
      </c>
      <c r="J1086" s="150" t="str">
        <f t="shared" si="18"/>
        <v>Monagas SC  vs  Royal Pari</v>
      </c>
    </row>
    <row r="1087" spans="1:10">
      <c r="A1087" s="162">
        <v>43523</v>
      </c>
      <c r="B1087" s="156" t="s">
        <v>2649</v>
      </c>
      <c r="C1087" s="144" t="s">
        <v>3001</v>
      </c>
      <c r="D1087" s="73" t="s">
        <v>2993</v>
      </c>
      <c r="E1087" s="145">
        <v>1</v>
      </c>
      <c r="F1087" s="145">
        <v>1.77</v>
      </c>
      <c r="G1087" s="159" t="s">
        <v>1513</v>
      </c>
      <c r="H1087" s="23" t="s">
        <v>1153</v>
      </c>
      <c r="J1087" s="150" t="str">
        <f t="shared" si="18"/>
        <v>OB Odense  vs  Esbjerg</v>
      </c>
    </row>
    <row r="1088" spans="1:10">
      <c r="A1088" s="162">
        <v>43523</v>
      </c>
      <c r="B1088" s="156" t="s">
        <v>1327</v>
      </c>
      <c r="C1088" s="144" t="s">
        <v>3002</v>
      </c>
      <c r="D1088" s="73" t="s">
        <v>1263</v>
      </c>
      <c r="E1088" s="145">
        <v>1</v>
      </c>
      <c r="F1088" s="145">
        <v>1.5</v>
      </c>
      <c r="G1088" s="159" t="s">
        <v>1562</v>
      </c>
      <c r="H1088" s="23" t="s">
        <v>1154</v>
      </c>
      <c r="J1088" s="150" t="str">
        <f t="shared" si="18"/>
        <v>Stade Rennais  vs  Orleans</v>
      </c>
    </row>
    <row r="1089" spans="1:10">
      <c r="A1089" s="162">
        <v>43523</v>
      </c>
      <c r="B1089" s="156" t="s">
        <v>3004</v>
      </c>
      <c r="C1089" s="144" t="s">
        <v>3005</v>
      </c>
      <c r="D1089" s="73" t="s">
        <v>2138</v>
      </c>
      <c r="E1089" s="145">
        <v>1</v>
      </c>
      <c r="F1089" s="145">
        <v>1.45</v>
      </c>
      <c r="G1089" s="159" t="s">
        <v>1523</v>
      </c>
      <c r="H1089" s="23" t="s">
        <v>1154</v>
      </c>
      <c r="J1089" s="150" t="str">
        <f t="shared" si="18"/>
        <v>Hapoel Hadera  vs  Kafr Qasim</v>
      </c>
    </row>
    <row r="1090" spans="1:10">
      <c r="A1090" s="162">
        <v>43523</v>
      </c>
      <c r="B1090" s="156" t="s">
        <v>1269</v>
      </c>
      <c r="C1090" s="144" t="s">
        <v>2372</v>
      </c>
      <c r="D1090" s="73" t="s">
        <v>1267</v>
      </c>
      <c r="E1090" s="145">
        <v>1</v>
      </c>
      <c r="F1090" s="145">
        <v>1.43</v>
      </c>
      <c r="G1090" s="159" t="s">
        <v>1732</v>
      </c>
      <c r="H1090" s="23" t="s">
        <v>1154</v>
      </c>
      <c r="J1090" s="150" t="str">
        <f t="shared" si="18"/>
        <v>Arsenal  vs  Bournemouth</v>
      </c>
    </row>
    <row r="1091" spans="1:10">
      <c r="A1091" s="162">
        <v>43523</v>
      </c>
      <c r="B1091" s="156" t="s">
        <v>1353</v>
      </c>
      <c r="C1091" s="144" t="s">
        <v>3003</v>
      </c>
      <c r="D1091" s="73" t="s">
        <v>1263</v>
      </c>
      <c r="E1091" s="145">
        <v>1</v>
      </c>
      <c r="F1091" s="145">
        <v>1.28</v>
      </c>
      <c r="G1091" s="159" t="s">
        <v>1798</v>
      </c>
      <c r="H1091" s="23" t="s">
        <v>1154</v>
      </c>
      <c r="J1091" s="150" t="str">
        <f t="shared" si="18"/>
        <v>Olympique Lyonnais  vs  Stade Malherbe de Caen</v>
      </c>
    </row>
    <row r="1092" spans="1:10">
      <c r="A1092" s="162">
        <v>43523</v>
      </c>
      <c r="B1092" s="156" t="s">
        <v>2521</v>
      </c>
      <c r="C1092" s="144" t="s">
        <v>2997</v>
      </c>
      <c r="D1092" s="73" t="s">
        <v>1690</v>
      </c>
      <c r="E1092" s="145">
        <v>1</v>
      </c>
      <c r="F1092" s="145">
        <v>1.24</v>
      </c>
      <c r="G1092" s="159" t="s">
        <v>1510</v>
      </c>
      <c r="H1092" s="23" t="s">
        <v>1153</v>
      </c>
      <c r="J1092" s="150" t="str">
        <f t="shared" si="18"/>
        <v>Atletico Mineiro  vs  Defensor Sporting</v>
      </c>
    </row>
    <row r="1093" spans="1:10">
      <c r="A1093" s="162">
        <v>43523</v>
      </c>
      <c r="B1093" s="156" t="s">
        <v>1284</v>
      </c>
      <c r="C1093" s="144" t="s">
        <v>1712</v>
      </c>
      <c r="D1093" s="73" t="s">
        <v>1267</v>
      </c>
      <c r="E1093" s="145">
        <v>1</v>
      </c>
      <c r="F1093" s="145">
        <v>1.1599999999999999</v>
      </c>
      <c r="G1093" s="159" t="s">
        <v>1523</v>
      </c>
      <c r="H1093" s="23" t="s">
        <v>1154</v>
      </c>
      <c r="J1093" s="150" t="str">
        <f t="shared" si="18"/>
        <v>Manchester City  vs  West Ham United</v>
      </c>
    </row>
    <row r="1094" spans="1:10">
      <c r="A1094" s="162">
        <v>43524</v>
      </c>
      <c r="B1094" s="151" t="s">
        <v>3017</v>
      </c>
      <c r="C1094" s="144" t="s">
        <v>3018</v>
      </c>
      <c r="D1094" s="143" t="s">
        <v>2136</v>
      </c>
      <c r="E1094" s="145">
        <v>1</v>
      </c>
      <c r="F1094" s="145">
        <v>2.63</v>
      </c>
      <c r="G1094" s="159" t="s">
        <v>1508</v>
      </c>
      <c r="H1094" s="23" t="s">
        <v>1153</v>
      </c>
      <c r="J1094" s="150" t="str">
        <f t="shared" si="18"/>
        <v>Guabira  vs  Macara Ambato</v>
      </c>
    </row>
    <row r="1095" spans="1:10">
      <c r="A1095" s="162">
        <v>43524</v>
      </c>
      <c r="B1095" s="151" t="s">
        <v>3019</v>
      </c>
      <c r="C1095" s="144" t="s">
        <v>2774</v>
      </c>
      <c r="D1095" s="143" t="s">
        <v>1692</v>
      </c>
      <c r="E1095" s="145">
        <v>1</v>
      </c>
      <c r="F1095" s="145">
        <v>2.23</v>
      </c>
      <c r="G1095" s="159" t="s">
        <v>1509</v>
      </c>
      <c r="H1095" s="23" t="s">
        <v>1153</v>
      </c>
      <c r="J1095" s="150" t="str">
        <f t="shared" si="18"/>
        <v>RoPS  vs  KPV</v>
      </c>
    </row>
    <row r="1096" spans="1:10">
      <c r="A1096" s="162">
        <v>43524</v>
      </c>
      <c r="B1096" s="156" t="s">
        <v>2398</v>
      </c>
      <c r="C1096" s="144" t="s">
        <v>3021</v>
      </c>
      <c r="D1096" s="73" t="s">
        <v>2995</v>
      </c>
      <c r="E1096" s="145">
        <v>1</v>
      </c>
      <c r="F1096" s="145">
        <v>1.88</v>
      </c>
      <c r="G1096" s="159" t="s">
        <v>1795</v>
      </c>
      <c r="H1096" s="23" t="s">
        <v>1154</v>
      </c>
      <c r="J1096" s="150" t="str">
        <f t="shared" ref="J1096:J1154" si="19">CONCATENATE(B1096," vs ",C1096)</f>
        <v>Thun  vs  Lugano</v>
      </c>
    </row>
    <row r="1097" spans="1:10">
      <c r="A1097" s="162">
        <v>43524</v>
      </c>
      <c r="B1097" s="156" t="s">
        <v>2458</v>
      </c>
      <c r="C1097" s="144" t="s">
        <v>3020</v>
      </c>
      <c r="D1097" s="73" t="s">
        <v>1215</v>
      </c>
      <c r="E1097" s="145">
        <v>1</v>
      </c>
      <c r="F1097" s="145">
        <v>1.73</v>
      </c>
      <c r="G1097" s="159" t="s">
        <v>1523</v>
      </c>
      <c r="H1097" s="23" t="s">
        <v>1154</v>
      </c>
      <c r="J1097" s="150" t="str">
        <f t="shared" si="19"/>
        <v>Valencia CF  vs  Real Betis Balompie</v>
      </c>
    </row>
    <row r="1098" spans="1:10">
      <c r="A1098" s="162">
        <v>43524</v>
      </c>
      <c r="B1098" s="156" t="s">
        <v>2557</v>
      </c>
      <c r="C1098" s="144" t="s">
        <v>2144</v>
      </c>
      <c r="D1098" s="73" t="s">
        <v>1690</v>
      </c>
      <c r="E1098" s="145">
        <v>1</v>
      </c>
      <c r="F1098" s="145">
        <v>1.53</v>
      </c>
      <c r="G1098" s="159" t="s">
        <v>1523</v>
      </c>
      <c r="H1098" s="23" t="s">
        <v>1154</v>
      </c>
      <c r="J1098" s="150" t="str">
        <f t="shared" si="19"/>
        <v>Atletico Nacional de Medellin  vs  Libertad Asuncion</v>
      </c>
    </row>
    <row r="1099" spans="1:10">
      <c r="A1099" s="162">
        <v>43524</v>
      </c>
      <c r="B1099" s="156" t="s">
        <v>2348</v>
      </c>
      <c r="C1099" s="144" t="s">
        <v>2011</v>
      </c>
      <c r="D1099" s="73" t="s">
        <v>2995</v>
      </c>
      <c r="E1099" s="145">
        <v>1</v>
      </c>
      <c r="F1099" s="145">
        <v>1.22</v>
      </c>
      <c r="G1099" s="159" t="s">
        <v>1522</v>
      </c>
      <c r="H1099" s="23" t="s">
        <v>1154</v>
      </c>
      <c r="J1099" s="150" t="str">
        <f t="shared" si="19"/>
        <v>FC Zurich  vs  SC Kriens</v>
      </c>
    </row>
    <row r="1100" spans="1:10">
      <c r="A1100" s="162">
        <v>43525</v>
      </c>
      <c r="B1100" s="151" t="s">
        <v>2446</v>
      </c>
      <c r="C1100" s="144" t="s">
        <v>2445</v>
      </c>
      <c r="D1100" s="143" t="s">
        <v>1847</v>
      </c>
      <c r="E1100" s="145">
        <v>1</v>
      </c>
      <c r="F1100" s="145">
        <v>2.4</v>
      </c>
      <c r="G1100" s="159" t="s">
        <v>1523</v>
      </c>
      <c r="H1100" s="23" t="s">
        <v>1154</v>
      </c>
      <c r="J1100" s="150" t="str">
        <f t="shared" si="19"/>
        <v>Foggia  vs  Cosenza</v>
      </c>
    </row>
    <row r="1101" spans="1:10">
      <c r="A1101" s="162">
        <v>43525</v>
      </c>
      <c r="B1101" s="151" t="s">
        <v>1878</v>
      </c>
      <c r="C1101" s="144" t="s">
        <v>3031</v>
      </c>
      <c r="D1101" s="143" t="s">
        <v>1848</v>
      </c>
      <c r="E1101" s="145">
        <v>1</v>
      </c>
      <c r="F1101" s="145">
        <v>2.35</v>
      </c>
      <c r="G1101" s="159" t="s">
        <v>1561</v>
      </c>
      <c r="H1101" s="23" t="s">
        <v>1153</v>
      </c>
      <c r="J1101" s="150" t="str">
        <f t="shared" si="19"/>
        <v>De Graafschap  vs  ADO Den Haag</v>
      </c>
    </row>
    <row r="1102" spans="1:10">
      <c r="A1102" s="162">
        <v>43525</v>
      </c>
      <c r="B1102" s="151" t="s">
        <v>1602</v>
      </c>
      <c r="C1102" s="144" t="s">
        <v>2101</v>
      </c>
      <c r="D1102" s="143" t="s">
        <v>1265</v>
      </c>
      <c r="E1102" s="145">
        <v>1</v>
      </c>
      <c r="F1102" s="145">
        <v>2.2000000000000002</v>
      </c>
      <c r="G1102" s="159" t="s">
        <v>1509</v>
      </c>
      <c r="H1102" s="23" t="s">
        <v>1153</v>
      </c>
      <c r="J1102" s="150" t="str">
        <f t="shared" si="19"/>
        <v>Rayo Vallecano de Madrid  vs  Girona</v>
      </c>
    </row>
    <row r="1103" spans="1:10">
      <c r="A1103" s="162">
        <v>43525</v>
      </c>
      <c r="B1103" s="151" t="s">
        <v>1900</v>
      </c>
      <c r="C1103" s="144" t="s">
        <v>2895</v>
      </c>
      <c r="D1103" s="143" t="s">
        <v>1736</v>
      </c>
      <c r="E1103" s="145">
        <v>1</v>
      </c>
      <c r="F1103" s="145">
        <v>2.13</v>
      </c>
      <c r="G1103" s="159" t="s">
        <v>1559</v>
      </c>
      <c r="H1103" s="23" t="s">
        <v>1153</v>
      </c>
      <c r="J1103" s="150" t="str">
        <f t="shared" si="19"/>
        <v>San Lorenzo de Almagro  vs  Argentinos Juniors</v>
      </c>
    </row>
    <row r="1104" spans="1:10">
      <c r="A1104" s="162">
        <v>43525</v>
      </c>
      <c r="B1104" s="151" t="s">
        <v>1599</v>
      </c>
      <c r="C1104" s="144" t="s">
        <v>1461</v>
      </c>
      <c r="D1104" s="143" t="s">
        <v>1242</v>
      </c>
      <c r="E1104" s="145">
        <v>1</v>
      </c>
      <c r="F1104" s="145">
        <v>2.1</v>
      </c>
      <c r="G1104" s="159" t="s">
        <v>1562</v>
      </c>
      <c r="H1104" s="23" t="s">
        <v>1154</v>
      </c>
      <c r="J1104" s="150" t="str">
        <f t="shared" si="19"/>
        <v>Desportivo Aves  vs  Boavista</v>
      </c>
    </row>
    <row r="1105" spans="1:10">
      <c r="A1105" s="162">
        <v>43525</v>
      </c>
      <c r="B1105" s="156" t="s">
        <v>2409</v>
      </c>
      <c r="C1105" s="144" t="s">
        <v>2607</v>
      </c>
      <c r="D1105" s="73" t="s">
        <v>2220</v>
      </c>
      <c r="E1105" s="145">
        <v>1</v>
      </c>
      <c r="F1105" s="145">
        <v>1.66</v>
      </c>
      <c r="G1105" s="159" t="s">
        <v>1561</v>
      </c>
      <c r="H1105" s="23" t="s">
        <v>1153</v>
      </c>
      <c r="J1105" s="150" t="str">
        <f t="shared" si="19"/>
        <v>Aalborg BK  vs  Hobro</v>
      </c>
    </row>
    <row r="1106" spans="1:10">
      <c r="A1106" s="162">
        <v>43525</v>
      </c>
      <c r="B1106" s="156" t="s">
        <v>2044</v>
      </c>
      <c r="C1106" s="144" t="s">
        <v>2473</v>
      </c>
      <c r="D1106" s="73" t="s">
        <v>1845</v>
      </c>
      <c r="E1106" s="145">
        <v>1</v>
      </c>
      <c r="F1106" s="145">
        <v>1.62</v>
      </c>
      <c r="G1106" s="159" t="s">
        <v>1561</v>
      </c>
      <c r="H1106" s="23" t="s">
        <v>1153</v>
      </c>
      <c r="J1106" s="150" t="str">
        <f t="shared" si="19"/>
        <v>Standard de Liege  vs  Royal Excel Mouscron</v>
      </c>
    </row>
    <row r="1107" spans="1:10">
      <c r="A1107" s="162">
        <v>43525</v>
      </c>
      <c r="B1107" s="156" t="s">
        <v>3032</v>
      </c>
      <c r="C1107" s="144" t="s">
        <v>3033</v>
      </c>
      <c r="D1107" s="73" t="s">
        <v>3024</v>
      </c>
      <c r="E1107" s="145">
        <v>1</v>
      </c>
      <c r="F1107" s="145">
        <v>1.42</v>
      </c>
      <c r="G1107" s="159" t="s">
        <v>1506</v>
      </c>
      <c r="H1107" s="23" t="s">
        <v>1153</v>
      </c>
      <c r="J1107" s="150" t="str">
        <f t="shared" si="19"/>
        <v>FK Orenburg  vs  Anzhi Makhachkala</v>
      </c>
    </row>
    <row r="1108" spans="1:10">
      <c r="A1108" s="162">
        <v>43525</v>
      </c>
      <c r="B1108" s="156" t="s">
        <v>2050</v>
      </c>
      <c r="C1108" s="144" t="s">
        <v>2373</v>
      </c>
      <c r="D1108" s="73" t="s">
        <v>1737</v>
      </c>
      <c r="E1108" s="145">
        <v>1</v>
      </c>
      <c r="F1108" s="145">
        <v>1.3</v>
      </c>
      <c r="G1108" s="159" t="s">
        <v>1562</v>
      </c>
      <c r="H1108" s="23" t="s">
        <v>1154</v>
      </c>
      <c r="J1108" s="150" t="str">
        <f t="shared" si="19"/>
        <v>Rijeka  vs  Istra 1961</v>
      </c>
    </row>
    <row r="1109" spans="1:10">
      <c r="A1109" s="162">
        <v>43526</v>
      </c>
      <c r="B1109" s="151" t="s">
        <v>2688</v>
      </c>
      <c r="C1109" s="144" t="s">
        <v>2427</v>
      </c>
      <c r="D1109" s="143" t="s">
        <v>1899</v>
      </c>
      <c r="E1109" s="145">
        <v>1</v>
      </c>
      <c r="F1109" s="145">
        <v>2.98</v>
      </c>
      <c r="G1109" s="146" t="s">
        <v>1591</v>
      </c>
      <c r="H1109" s="145" t="s">
        <v>1153</v>
      </c>
      <c r="J1109" s="150" t="str">
        <f t="shared" si="19"/>
        <v>Grasshopper Zurich  vs  Luzern</v>
      </c>
    </row>
    <row r="1110" spans="1:10">
      <c r="A1110" s="162">
        <v>43526</v>
      </c>
      <c r="B1110" s="151" t="s">
        <v>2359</v>
      </c>
      <c r="C1110" s="144" t="s">
        <v>3057</v>
      </c>
      <c r="D1110" s="143" t="s">
        <v>2219</v>
      </c>
      <c r="E1110" s="145">
        <v>1</v>
      </c>
      <c r="F1110" s="145">
        <v>2.8</v>
      </c>
      <c r="G1110" s="146" t="s">
        <v>1506</v>
      </c>
      <c r="H1110" s="145" t="s">
        <v>1153</v>
      </c>
      <c r="J1110" s="150" t="str">
        <f t="shared" si="19"/>
        <v>Slovan Liberec  vs  Sparta Prague</v>
      </c>
    </row>
    <row r="1111" spans="1:10">
      <c r="A1111" s="162">
        <v>43526</v>
      </c>
      <c r="B1111" s="151" t="s">
        <v>2159</v>
      </c>
      <c r="C1111" s="144" t="s">
        <v>3067</v>
      </c>
      <c r="D1111" s="143" t="s">
        <v>1264</v>
      </c>
      <c r="E1111" s="145">
        <v>1</v>
      </c>
      <c r="F1111" s="145">
        <v>2.58</v>
      </c>
      <c r="G1111" s="146" t="s">
        <v>1798</v>
      </c>
      <c r="H1111" s="145" t="s">
        <v>1154</v>
      </c>
      <c r="J1111" s="150" t="str">
        <f t="shared" si="19"/>
        <v>Maccabi Netanya  vs  Beitar Jerusalem</v>
      </c>
    </row>
    <row r="1112" spans="1:10">
      <c r="A1112" s="162">
        <v>43526</v>
      </c>
      <c r="B1112" s="151" t="s">
        <v>1985</v>
      </c>
      <c r="C1112" s="144" t="s">
        <v>2834</v>
      </c>
      <c r="D1112" s="143" t="s">
        <v>1847</v>
      </c>
      <c r="E1112" s="145">
        <v>1</v>
      </c>
      <c r="F1112" s="145">
        <v>2.54</v>
      </c>
      <c r="G1112" s="146" t="s">
        <v>1510</v>
      </c>
      <c r="H1112" s="145" t="s">
        <v>1153</v>
      </c>
      <c r="J1112" s="150" t="str">
        <f t="shared" si="19"/>
        <v>Padova  vs  Crotone</v>
      </c>
    </row>
    <row r="1113" spans="1:10">
      <c r="A1113" s="162">
        <v>43526</v>
      </c>
      <c r="B1113" s="151" t="s">
        <v>2614</v>
      </c>
      <c r="C1113" s="144" t="s">
        <v>3087</v>
      </c>
      <c r="D1113" s="143" t="s">
        <v>1897</v>
      </c>
      <c r="E1113" s="145">
        <v>1</v>
      </c>
      <c r="F1113" s="145">
        <v>2.44</v>
      </c>
      <c r="G1113" s="146" t="s">
        <v>1562</v>
      </c>
      <c r="H1113" s="145" t="s">
        <v>1154</v>
      </c>
      <c r="J1113" s="150" t="str">
        <f t="shared" si="19"/>
        <v>Puskas FC  vs  DebrecenivsC</v>
      </c>
    </row>
    <row r="1114" spans="1:10">
      <c r="A1114" s="162">
        <v>43526</v>
      </c>
      <c r="B1114" s="151" t="s">
        <v>3058</v>
      </c>
      <c r="C1114" s="144" t="s">
        <v>3059</v>
      </c>
      <c r="D1114" s="143" t="s">
        <v>2220</v>
      </c>
      <c r="E1114" s="145">
        <v>1</v>
      </c>
      <c r="F1114" s="145">
        <v>2.3199999999999998</v>
      </c>
      <c r="G1114" s="146" t="s">
        <v>1523</v>
      </c>
      <c r="H1114" s="145" t="s">
        <v>1154</v>
      </c>
      <c r="J1114" s="150" t="str">
        <f t="shared" si="19"/>
        <v>Esbjerg  vs  AC Horsens</v>
      </c>
    </row>
    <row r="1115" spans="1:10">
      <c r="A1115" s="162">
        <v>43526</v>
      </c>
      <c r="B1115" s="151" t="s">
        <v>1762</v>
      </c>
      <c r="C1115" s="144" t="s">
        <v>2061</v>
      </c>
      <c r="D1115" s="143" t="s">
        <v>1693</v>
      </c>
      <c r="E1115" s="145">
        <v>1</v>
      </c>
      <c r="F1115" s="145">
        <v>2.2799999999999998</v>
      </c>
      <c r="G1115" s="146" t="s">
        <v>1511</v>
      </c>
      <c r="H1115" s="145" t="s">
        <v>1153</v>
      </c>
      <c r="J1115" s="150" t="str">
        <f t="shared" si="19"/>
        <v>Heidenheim  vs  Jahn Regensburg</v>
      </c>
    </row>
    <row r="1116" spans="1:10">
      <c r="A1116" s="162">
        <v>43526</v>
      </c>
      <c r="B1116" s="151" t="s">
        <v>1906</v>
      </c>
      <c r="C1116" s="144" t="s">
        <v>3040</v>
      </c>
      <c r="D1116" s="143" t="s">
        <v>1736</v>
      </c>
      <c r="E1116" s="145">
        <v>1</v>
      </c>
      <c r="F1116" s="145">
        <v>2.17</v>
      </c>
      <c r="G1116" s="146" t="s">
        <v>1510</v>
      </c>
      <c r="H1116" s="145" t="s">
        <v>1153</v>
      </c>
      <c r="J1116" s="150" t="str">
        <f t="shared" si="19"/>
        <v>Rosario Central  vs  Belgrano de Cordoba</v>
      </c>
    </row>
    <row r="1117" spans="1:10">
      <c r="A1117" s="162">
        <v>43526</v>
      </c>
      <c r="B1117" s="151" t="s">
        <v>1456</v>
      </c>
      <c r="C1117" s="144" t="s">
        <v>2617</v>
      </c>
      <c r="D1117" s="143" t="s">
        <v>1264</v>
      </c>
      <c r="E1117" s="145">
        <v>1</v>
      </c>
      <c r="F1117" s="145">
        <v>2.12</v>
      </c>
      <c r="G1117" s="146" t="s">
        <v>1506</v>
      </c>
      <c r="H1117" s="145" t="s">
        <v>1153</v>
      </c>
      <c r="J1117" s="150" t="str">
        <f t="shared" si="19"/>
        <v>Bnei Yehuda Tel-Aviv  vs  Ironi Kiryat Shmona</v>
      </c>
    </row>
    <row r="1118" spans="1:10">
      <c r="A1118" s="162">
        <v>43526</v>
      </c>
      <c r="B1118" s="151" t="s">
        <v>1336</v>
      </c>
      <c r="C1118" s="144" t="s">
        <v>2674</v>
      </c>
      <c r="D1118" s="143" t="s">
        <v>1266</v>
      </c>
      <c r="E1118" s="145">
        <v>1</v>
      </c>
      <c r="F1118" s="145">
        <v>2.1</v>
      </c>
      <c r="G1118" s="146" t="s">
        <v>1523</v>
      </c>
      <c r="H1118" s="145" t="s">
        <v>1154</v>
      </c>
      <c r="J1118" s="150" t="str">
        <f t="shared" si="19"/>
        <v>Sporting Braga II  vs  UD Oliveirense</v>
      </c>
    </row>
    <row r="1119" spans="1:10">
      <c r="A1119" s="162">
        <v>43526</v>
      </c>
      <c r="B1119" s="151" t="s">
        <v>1352</v>
      </c>
      <c r="C1119" s="144" t="s">
        <v>2053</v>
      </c>
      <c r="D1119" s="143" t="s">
        <v>1267</v>
      </c>
      <c r="E1119" s="145">
        <v>1</v>
      </c>
      <c r="F1119" s="145">
        <v>2.0699999999999998</v>
      </c>
      <c r="G1119" s="146" t="s">
        <v>1561</v>
      </c>
      <c r="H1119" s="145" t="s">
        <v>1153</v>
      </c>
      <c r="J1119" s="150" t="str">
        <f t="shared" si="19"/>
        <v>Tottenham Hotspur  vs  Arsenal</v>
      </c>
    </row>
    <row r="1120" spans="1:10">
      <c r="A1120" s="162">
        <v>43526</v>
      </c>
      <c r="B1120" s="151" t="s">
        <v>2062</v>
      </c>
      <c r="C1120" s="144" t="s">
        <v>2613</v>
      </c>
      <c r="D1120" s="143" t="s">
        <v>1693</v>
      </c>
      <c r="E1120" s="145">
        <v>1</v>
      </c>
      <c r="F1120" s="145">
        <v>2.02</v>
      </c>
      <c r="G1120" s="146" t="s">
        <v>1508</v>
      </c>
      <c r="H1120" s="145" t="s">
        <v>1153</v>
      </c>
      <c r="J1120" s="150" t="str">
        <f t="shared" si="19"/>
        <v>SV Sandhausen  vs  Erzgebirge Aue</v>
      </c>
    </row>
    <row r="1121" spans="1:10">
      <c r="A1121" s="162">
        <v>43526</v>
      </c>
      <c r="B1121" s="151" t="s">
        <v>2172</v>
      </c>
      <c r="C1121" s="144" t="s">
        <v>2691</v>
      </c>
      <c r="D1121" s="143" t="s">
        <v>1850</v>
      </c>
      <c r="E1121" s="145">
        <v>1</v>
      </c>
      <c r="F1121" s="145">
        <v>2.02</v>
      </c>
      <c r="G1121" s="146" t="s">
        <v>1795</v>
      </c>
      <c r="H1121" s="145" t="s">
        <v>1154</v>
      </c>
      <c r="J1121" s="150" t="str">
        <f t="shared" si="19"/>
        <v>Bursaspor  vs  Sivasspor</v>
      </c>
    </row>
    <row r="1122" spans="1:10">
      <c r="A1122" s="162">
        <v>43526</v>
      </c>
      <c r="B1122" s="151" t="s">
        <v>2176</v>
      </c>
      <c r="C1122" s="144" t="s">
        <v>2835</v>
      </c>
      <c r="D1122" s="143" t="s">
        <v>1847</v>
      </c>
      <c r="E1122" s="145">
        <v>1</v>
      </c>
      <c r="F1122" s="145">
        <v>2</v>
      </c>
      <c r="G1122" s="146" t="s">
        <v>1522</v>
      </c>
      <c r="H1122" s="145" t="s">
        <v>1154</v>
      </c>
      <c r="J1122" s="150" t="str">
        <f t="shared" si="19"/>
        <v>Palermo  vs  Lecce</v>
      </c>
    </row>
    <row r="1123" spans="1:10">
      <c r="A1123" s="162">
        <v>43526</v>
      </c>
      <c r="B1123" s="156" t="s">
        <v>2361</v>
      </c>
      <c r="C1123" s="144" t="s">
        <v>2619</v>
      </c>
      <c r="D1123" s="73" t="s">
        <v>1847</v>
      </c>
      <c r="E1123" s="145">
        <v>1</v>
      </c>
      <c r="F1123" s="145">
        <v>1.95</v>
      </c>
      <c r="G1123" s="146" t="s">
        <v>1506</v>
      </c>
      <c r="H1123" s="145" t="s">
        <v>1153</v>
      </c>
      <c r="J1123" s="150" t="str">
        <f t="shared" si="19"/>
        <v>Brescia  vs  Cittadella</v>
      </c>
    </row>
    <row r="1124" spans="1:10">
      <c r="A1124" s="162">
        <v>43526</v>
      </c>
      <c r="B1124" s="156" t="s">
        <v>3044</v>
      </c>
      <c r="C1124" s="144" t="s">
        <v>3045</v>
      </c>
      <c r="D1124" s="73" t="s">
        <v>2766</v>
      </c>
      <c r="E1124" s="145">
        <v>1</v>
      </c>
      <c r="F1124" s="145">
        <v>1.88</v>
      </c>
      <c r="G1124" s="146" t="s">
        <v>1506</v>
      </c>
      <c r="H1124" s="145" t="s">
        <v>1153</v>
      </c>
      <c r="J1124" s="150" t="str">
        <f t="shared" si="19"/>
        <v>SCR Altach  vs  Admira Wacker</v>
      </c>
    </row>
    <row r="1125" spans="1:10">
      <c r="A1125" s="162">
        <v>43526</v>
      </c>
      <c r="B1125" s="156" t="s">
        <v>1948</v>
      </c>
      <c r="C1125" s="144" t="s">
        <v>2612</v>
      </c>
      <c r="D1125" s="73" t="s">
        <v>1846</v>
      </c>
      <c r="E1125" s="145">
        <v>1</v>
      </c>
      <c r="F1125" s="145">
        <v>1.88</v>
      </c>
      <c r="G1125" s="146" t="s">
        <v>1522</v>
      </c>
      <c r="H1125" s="145" t="s">
        <v>1154</v>
      </c>
      <c r="J1125" s="150" t="str">
        <f t="shared" si="19"/>
        <v>Hertha Berlin  vs  Mainz 05</v>
      </c>
    </row>
    <row r="1126" spans="1:10">
      <c r="A1126" s="162">
        <v>43526</v>
      </c>
      <c r="B1126" s="156" t="s">
        <v>2669</v>
      </c>
      <c r="C1126" s="144" t="s">
        <v>1381</v>
      </c>
      <c r="D1126" s="73" t="s">
        <v>1242</v>
      </c>
      <c r="E1126" s="145">
        <v>1</v>
      </c>
      <c r="F1126" s="145">
        <v>1.87</v>
      </c>
      <c r="G1126" s="146" t="s">
        <v>1561</v>
      </c>
      <c r="H1126" s="145" t="s">
        <v>1153</v>
      </c>
      <c r="J1126" s="150" t="str">
        <f t="shared" si="19"/>
        <v>Moreirense  vs  Vitoria Setubal</v>
      </c>
    </row>
    <row r="1127" spans="1:10">
      <c r="A1127" s="162">
        <v>43526</v>
      </c>
      <c r="B1127" s="156" t="s">
        <v>1922</v>
      </c>
      <c r="C1127" s="144" t="s">
        <v>1417</v>
      </c>
      <c r="D1127" s="73" t="s">
        <v>1267</v>
      </c>
      <c r="E1127" s="145">
        <v>1</v>
      </c>
      <c r="F1127" s="145">
        <v>1.8</v>
      </c>
      <c r="G1127" s="146" t="s">
        <v>1523</v>
      </c>
      <c r="H1127" s="145" t="s">
        <v>1154</v>
      </c>
      <c r="J1127" s="150" t="str">
        <f t="shared" si="19"/>
        <v>Brighton &amp; Hove Albion  vs  Huddersfield Town</v>
      </c>
    </row>
    <row r="1128" spans="1:10">
      <c r="A1128" s="162">
        <v>43526</v>
      </c>
      <c r="B1128" s="156" t="s">
        <v>1291</v>
      </c>
      <c r="C1128" s="144" t="s">
        <v>1503</v>
      </c>
      <c r="D1128" s="73" t="s">
        <v>1265</v>
      </c>
      <c r="E1128" s="145">
        <v>1</v>
      </c>
      <c r="F1128" s="145">
        <v>1.8</v>
      </c>
      <c r="G1128" s="146" t="s">
        <v>1798</v>
      </c>
      <c r="H1128" s="145" t="s">
        <v>1154</v>
      </c>
      <c r="J1128" s="150" t="str">
        <f t="shared" si="19"/>
        <v>RCD Espanyol  vs  Real Valladolid</v>
      </c>
    </row>
    <row r="1129" spans="1:10">
      <c r="A1129" s="162">
        <v>43526</v>
      </c>
      <c r="B1129" s="156" t="s">
        <v>1938</v>
      </c>
      <c r="C1129" s="144" t="s">
        <v>1941</v>
      </c>
      <c r="D1129" s="73" t="s">
        <v>1261</v>
      </c>
      <c r="E1129" s="145">
        <v>1</v>
      </c>
      <c r="F1129" s="145">
        <v>1.78</v>
      </c>
      <c r="G1129" s="146" t="s">
        <v>1513</v>
      </c>
      <c r="H1129" s="145" t="s">
        <v>1153</v>
      </c>
      <c r="J1129" s="150" t="str">
        <f t="shared" si="19"/>
        <v>Stade de Reims  vs  Amiens SC</v>
      </c>
    </row>
    <row r="1130" spans="1:10">
      <c r="A1130" s="162">
        <v>43526</v>
      </c>
      <c r="B1130" s="156" t="s">
        <v>1747</v>
      </c>
      <c r="C1130" s="144" t="s">
        <v>2355</v>
      </c>
      <c r="D1130" s="73" t="s">
        <v>1845</v>
      </c>
      <c r="E1130" s="145">
        <v>1</v>
      </c>
      <c r="F1130" s="145">
        <v>1.73</v>
      </c>
      <c r="G1130" s="146" t="s">
        <v>1561</v>
      </c>
      <c r="H1130" s="145" t="s">
        <v>1153</v>
      </c>
      <c r="J1130" s="150" t="str">
        <f t="shared" si="19"/>
        <v>KV Oostende  vs  Waasland-Beveren</v>
      </c>
    </row>
    <row r="1131" spans="1:10">
      <c r="A1131" s="162">
        <v>43526</v>
      </c>
      <c r="B1131" s="156" t="s">
        <v>2285</v>
      </c>
      <c r="C1131" s="144" t="s">
        <v>2340</v>
      </c>
      <c r="D1131" s="73" t="s">
        <v>1897</v>
      </c>
      <c r="E1131" s="145">
        <v>1</v>
      </c>
      <c r="F1131" s="145">
        <v>1.65</v>
      </c>
      <c r="G1131" s="146" t="s">
        <v>1591</v>
      </c>
      <c r="H1131" s="145" t="s">
        <v>1153</v>
      </c>
      <c r="J1131" s="150" t="str">
        <f t="shared" si="19"/>
        <v>Budapest Honved  vs  Szombathelyi Haladas</v>
      </c>
    </row>
    <row r="1132" spans="1:10">
      <c r="A1132" s="162">
        <v>43526</v>
      </c>
      <c r="B1132" s="156" t="s">
        <v>3074</v>
      </c>
      <c r="C1132" s="144" t="s">
        <v>3075</v>
      </c>
      <c r="D1132" s="73" t="s">
        <v>3024</v>
      </c>
      <c r="E1132" s="145">
        <v>1</v>
      </c>
      <c r="F1132" s="145">
        <v>1.63</v>
      </c>
      <c r="G1132" s="146" t="s">
        <v>1513</v>
      </c>
      <c r="H1132" s="145" t="s">
        <v>1153</v>
      </c>
      <c r="J1132" s="150" t="str">
        <f t="shared" si="19"/>
        <v>Lokomotiv Moscow  vs  Krylya Sovetov Samara</v>
      </c>
    </row>
    <row r="1133" spans="1:10">
      <c r="A1133" s="162">
        <v>43526</v>
      </c>
      <c r="B1133" s="156" t="s">
        <v>2480</v>
      </c>
      <c r="C1133" s="144" t="s">
        <v>3070</v>
      </c>
      <c r="D1133" s="73" t="s">
        <v>1898</v>
      </c>
      <c r="E1133" s="145">
        <v>1</v>
      </c>
      <c r="F1133" s="145">
        <v>1.6</v>
      </c>
      <c r="G1133" s="146" t="s">
        <v>1523</v>
      </c>
      <c r="H1133" s="145" t="s">
        <v>1154</v>
      </c>
      <c r="J1133" s="150" t="str">
        <f t="shared" si="19"/>
        <v>AC Milan  vs  Sassuolo</v>
      </c>
    </row>
    <row r="1134" spans="1:10">
      <c r="A1134" s="162">
        <v>43526</v>
      </c>
      <c r="B1134" s="156" t="s">
        <v>2413</v>
      </c>
      <c r="C1134" s="144" t="s">
        <v>2596</v>
      </c>
      <c r="D1134" s="73" t="s">
        <v>1736</v>
      </c>
      <c r="E1134" s="145">
        <v>1</v>
      </c>
      <c r="F1134" s="145">
        <v>1.56</v>
      </c>
      <c r="G1134" s="146" t="s">
        <v>1669</v>
      </c>
      <c r="H1134" s="145" t="s">
        <v>1154</v>
      </c>
      <c r="J1134" s="150" t="str">
        <f t="shared" si="19"/>
        <v>River Plate  vs  Newell’s Old Boys</v>
      </c>
    </row>
    <row r="1135" spans="1:10">
      <c r="A1135" s="162">
        <v>43526</v>
      </c>
      <c r="B1135" s="156" t="s">
        <v>1375</v>
      </c>
      <c r="C1135" s="144" t="s">
        <v>1709</v>
      </c>
      <c r="D1135" s="73" t="s">
        <v>1267</v>
      </c>
      <c r="E1135" s="145">
        <v>1</v>
      </c>
      <c r="F1135" s="145">
        <v>1.56</v>
      </c>
      <c r="G1135" s="146" t="s">
        <v>1562</v>
      </c>
      <c r="H1135" s="145" t="s">
        <v>1154</v>
      </c>
      <c r="J1135" s="150" t="str">
        <f t="shared" si="19"/>
        <v>Wolverhampton Wanderers  vs  Cardiff City</v>
      </c>
    </row>
    <row r="1136" spans="1:10">
      <c r="A1136" s="162">
        <v>43526</v>
      </c>
      <c r="B1136" s="156" t="s">
        <v>1911</v>
      </c>
      <c r="C1136" s="144" t="s">
        <v>1914</v>
      </c>
      <c r="D1136" s="73" t="s">
        <v>1845</v>
      </c>
      <c r="E1136" s="145">
        <v>1</v>
      </c>
      <c r="F1136" s="145">
        <v>1.55</v>
      </c>
      <c r="G1136" s="146" t="s">
        <v>1522</v>
      </c>
      <c r="H1136" s="145" t="s">
        <v>1154</v>
      </c>
      <c r="J1136" s="150" t="str">
        <f t="shared" si="19"/>
        <v>Kortrijk  vs  Cercle Brugge</v>
      </c>
    </row>
    <row r="1137" spans="1:10">
      <c r="A1137" s="162">
        <v>43526</v>
      </c>
      <c r="B1137" s="156" t="s">
        <v>1295</v>
      </c>
      <c r="C1137" s="144" t="s">
        <v>1372</v>
      </c>
      <c r="D1137" s="73" t="s">
        <v>1267</v>
      </c>
      <c r="E1137" s="145">
        <v>1</v>
      </c>
      <c r="F1137" s="145">
        <v>1.48</v>
      </c>
      <c r="G1137" s="146" t="s">
        <v>1795</v>
      </c>
      <c r="H1137" s="145" t="s">
        <v>1154</v>
      </c>
      <c r="J1137" s="150" t="str">
        <f t="shared" si="19"/>
        <v>Manchester United  vs  Southampton</v>
      </c>
    </row>
    <row r="1138" spans="1:10">
      <c r="A1138" s="162">
        <v>43526</v>
      </c>
      <c r="B1138" s="156" t="s">
        <v>2174</v>
      </c>
      <c r="C1138" s="144" t="s">
        <v>2986</v>
      </c>
      <c r="D1138" s="73" t="s">
        <v>1264</v>
      </c>
      <c r="E1138" s="145">
        <v>1</v>
      </c>
      <c r="F1138" s="145">
        <v>1.48</v>
      </c>
      <c r="G1138" s="146" t="s">
        <v>1562</v>
      </c>
      <c r="H1138" s="145" t="s">
        <v>1154</v>
      </c>
      <c r="J1138" s="150" t="str">
        <f t="shared" si="19"/>
        <v>Maccabi Haifa  vs  Bnei Sakhnin</v>
      </c>
    </row>
    <row r="1139" spans="1:10">
      <c r="A1139" s="162">
        <v>43526</v>
      </c>
      <c r="B1139" s="156" t="s">
        <v>2660</v>
      </c>
      <c r="C1139" s="144" t="s">
        <v>3064</v>
      </c>
      <c r="D1139" s="73" t="s">
        <v>1846</v>
      </c>
      <c r="E1139" s="145">
        <v>1</v>
      </c>
      <c r="F1139" s="145">
        <v>1.46</v>
      </c>
      <c r="G1139" s="146" t="s">
        <v>1562</v>
      </c>
      <c r="H1139" s="145" t="s">
        <v>1154</v>
      </c>
      <c r="J1139" s="150" t="str">
        <f t="shared" si="19"/>
        <v>Bayer 04 Leverkusen  vs  SC Freiburg</v>
      </c>
    </row>
    <row r="1140" spans="1:10">
      <c r="A1140" s="162">
        <v>43526</v>
      </c>
      <c r="B1140" s="156" t="s">
        <v>1961</v>
      </c>
      <c r="C1140" s="144" t="s">
        <v>2829</v>
      </c>
      <c r="D1140" s="73" t="s">
        <v>1897</v>
      </c>
      <c r="E1140" s="145">
        <v>1</v>
      </c>
      <c r="F1140" s="145">
        <v>1.43</v>
      </c>
      <c r="G1140" s="146" t="s">
        <v>1522</v>
      </c>
      <c r="H1140" s="145" t="s">
        <v>1154</v>
      </c>
      <c r="J1140" s="150" t="str">
        <f t="shared" si="19"/>
        <v>Vidi  vs  Varda SE</v>
      </c>
    </row>
    <row r="1141" spans="1:10">
      <c r="A1141" s="162">
        <v>43526</v>
      </c>
      <c r="B1141" s="156" t="s">
        <v>1989</v>
      </c>
      <c r="C1141" s="144" t="s">
        <v>1879</v>
      </c>
      <c r="D1141" s="73" t="s">
        <v>1848</v>
      </c>
      <c r="E1141" s="145">
        <v>1</v>
      </c>
      <c r="F1141" s="145">
        <v>1.42</v>
      </c>
      <c r="G1141" s="146" t="s">
        <v>1507</v>
      </c>
      <c r="H1141" s="145" t="s">
        <v>1154</v>
      </c>
      <c r="J1141" s="150" t="str">
        <f t="shared" si="19"/>
        <v>Vitesse Arnhem  vs  NAC Breda</v>
      </c>
    </row>
    <row r="1142" spans="1:10">
      <c r="A1142" s="162">
        <v>43526</v>
      </c>
      <c r="B1142" s="156" t="s">
        <v>1283</v>
      </c>
      <c r="C1142" s="144" t="s">
        <v>1463</v>
      </c>
      <c r="D1142" s="73" t="s">
        <v>1266</v>
      </c>
      <c r="E1142" s="145">
        <v>1</v>
      </c>
      <c r="F1142" s="145">
        <v>1.4</v>
      </c>
      <c r="G1142" s="146" t="s">
        <v>1507</v>
      </c>
      <c r="H1142" s="145" t="s">
        <v>1154</v>
      </c>
      <c r="J1142" s="150" t="str">
        <f t="shared" si="19"/>
        <v>Pacos de Ferreira  vs  Vitoria Guimaraes II</v>
      </c>
    </row>
    <row r="1143" spans="1:10">
      <c r="A1143" s="162">
        <v>43526</v>
      </c>
      <c r="B1143" s="156" t="s">
        <v>2042</v>
      </c>
      <c r="C1143" s="144" t="s">
        <v>3048</v>
      </c>
      <c r="D1143" s="73" t="s">
        <v>1845</v>
      </c>
      <c r="E1143" s="145">
        <v>1</v>
      </c>
      <c r="F1143" s="145">
        <v>1.36</v>
      </c>
      <c r="G1143" s="146" t="s">
        <v>1506</v>
      </c>
      <c r="H1143" s="145" t="s">
        <v>1154</v>
      </c>
      <c r="J1143" s="150" t="str">
        <f t="shared" si="19"/>
        <v>Club Brugge  vs  Sint-Truiden</v>
      </c>
    </row>
    <row r="1144" spans="1:10">
      <c r="A1144" s="162">
        <v>43526</v>
      </c>
      <c r="B1144" s="156" t="s">
        <v>2008</v>
      </c>
      <c r="C1144" s="144" t="s">
        <v>3083</v>
      </c>
      <c r="D1144" s="73" t="s">
        <v>1899</v>
      </c>
      <c r="E1144" s="145">
        <v>1</v>
      </c>
      <c r="F1144" s="145">
        <v>1.36</v>
      </c>
      <c r="G1144" s="146" t="s">
        <v>1506</v>
      </c>
      <c r="H1144" s="145" t="s">
        <v>1154</v>
      </c>
      <c r="J1144" s="150" t="str">
        <f t="shared" si="19"/>
        <v>Young Boys Bern  vs  Sion</v>
      </c>
    </row>
    <row r="1145" spans="1:10">
      <c r="A1145" s="162">
        <v>43526</v>
      </c>
      <c r="B1145" s="156" t="s">
        <v>2685</v>
      </c>
      <c r="C1145" s="144" t="s">
        <v>3080</v>
      </c>
      <c r="D1145" s="73" t="s">
        <v>2595</v>
      </c>
      <c r="E1145" s="145">
        <v>1</v>
      </c>
      <c r="F1145" s="145">
        <v>1.32</v>
      </c>
      <c r="G1145" s="146" t="s">
        <v>1561</v>
      </c>
      <c r="H1145" s="145" t="s">
        <v>1153</v>
      </c>
      <c r="J1145" s="150" t="str">
        <f t="shared" si="19"/>
        <v>IFK Norrkoping  vs  AFC Eskilstuna</v>
      </c>
    </row>
    <row r="1146" spans="1:10">
      <c r="A1146" s="162">
        <v>43526</v>
      </c>
      <c r="B1146" s="156" t="s">
        <v>2727</v>
      </c>
      <c r="C1146" s="144" t="s">
        <v>2738</v>
      </c>
      <c r="D1146" s="73" t="s">
        <v>2571</v>
      </c>
      <c r="E1146" s="145">
        <v>1</v>
      </c>
      <c r="F1146" s="145">
        <v>1.3</v>
      </c>
      <c r="G1146" s="146" t="s">
        <v>1732</v>
      </c>
      <c r="H1146" s="145" t="s">
        <v>1154</v>
      </c>
      <c r="J1146" s="150" t="str">
        <f t="shared" si="19"/>
        <v>CSKA Sofia  vs  Septemvri Sofia</v>
      </c>
    </row>
    <row r="1147" spans="1:10">
      <c r="A1147" s="162">
        <v>43526</v>
      </c>
      <c r="B1147" s="156" t="s">
        <v>2622</v>
      </c>
      <c r="C1147" s="144" t="s">
        <v>3079</v>
      </c>
      <c r="D1147" s="73" t="s">
        <v>2595</v>
      </c>
      <c r="E1147" s="145">
        <v>1</v>
      </c>
      <c r="F1147" s="145">
        <v>1.3</v>
      </c>
      <c r="G1147" s="146" t="s">
        <v>1523</v>
      </c>
      <c r="H1147" s="145" t="s">
        <v>1154</v>
      </c>
      <c r="J1147" s="150" t="str">
        <f t="shared" si="19"/>
        <v>AIK Solna  vs  Orgryte</v>
      </c>
    </row>
    <row r="1148" spans="1:10">
      <c r="A1148" s="162">
        <v>43526</v>
      </c>
      <c r="B1148" s="156" t="s">
        <v>1852</v>
      </c>
      <c r="C1148" s="144" t="s">
        <v>3043</v>
      </c>
      <c r="D1148" s="73" t="s">
        <v>2766</v>
      </c>
      <c r="E1148" s="145">
        <v>1</v>
      </c>
      <c r="F1148" s="145">
        <v>1.28</v>
      </c>
      <c r="G1148" s="146" t="s">
        <v>1560</v>
      </c>
      <c r="H1148" s="145" t="s">
        <v>1154</v>
      </c>
      <c r="J1148" s="150" t="str">
        <f t="shared" si="19"/>
        <v>Salzburg  vs  Wolfsberger AC</v>
      </c>
    </row>
    <row r="1149" spans="1:10">
      <c r="A1149" s="162">
        <v>43526</v>
      </c>
      <c r="B1149" s="156" t="s">
        <v>2603</v>
      </c>
      <c r="C1149" s="144" t="s">
        <v>1918</v>
      </c>
      <c r="D1149" s="73" t="s">
        <v>1737</v>
      </c>
      <c r="E1149" s="145">
        <v>1</v>
      </c>
      <c r="F1149" s="145">
        <v>1.24</v>
      </c>
      <c r="G1149" s="146" t="s">
        <v>1798</v>
      </c>
      <c r="H1149" s="145" t="s">
        <v>1154</v>
      </c>
      <c r="J1149" s="150" t="str">
        <f t="shared" si="19"/>
        <v>Gorica  vs  Rudes</v>
      </c>
    </row>
    <row r="1150" spans="1:10">
      <c r="A1150" s="162">
        <v>43526</v>
      </c>
      <c r="B1150" s="156" t="s">
        <v>2624</v>
      </c>
      <c r="C1150" s="144" t="s">
        <v>3082</v>
      </c>
      <c r="D1150" s="73" t="s">
        <v>2595</v>
      </c>
      <c r="E1150" s="145">
        <v>1</v>
      </c>
      <c r="F1150" s="145">
        <v>1.24</v>
      </c>
      <c r="G1150" s="146" t="s">
        <v>1523</v>
      </c>
      <c r="H1150" s="145" t="s">
        <v>1154</v>
      </c>
      <c r="J1150" s="150" t="str">
        <f t="shared" si="19"/>
        <v>BK Hacken Goteborg  vs  Brommapojkarna</v>
      </c>
    </row>
    <row r="1151" spans="1:10">
      <c r="A1151" s="162">
        <v>43526</v>
      </c>
      <c r="B1151" s="156" t="s">
        <v>1968</v>
      </c>
      <c r="C1151" s="144" t="s">
        <v>2365</v>
      </c>
      <c r="D1151" s="73" t="s">
        <v>1897</v>
      </c>
      <c r="E1151" s="145">
        <v>1</v>
      </c>
      <c r="F1151" s="145">
        <v>1.22</v>
      </c>
      <c r="G1151" s="146" t="s">
        <v>3102</v>
      </c>
      <c r="H1151" s="145" t="s">
        <v>1154</v>
      </c>
      <c r="J1151" s="150" t="str">
        <f t="shared" si="19"/>
        <v>Ferencvaros  vs  Diosgyori VTK</v>
      </c>
    </row>
    <row r="1152" spans="1:10">
      <c r="A1152" s="162">
        <v>43526</v>
      </c>
      <c r="B1152" s="156" t="s">
        <v>2677</v>
      </c>
      <c r="C1152" s="144" t="s">
        <v>3081</v>
      </c>
      <c r="D1152" s="73" t="s">
        <v>2595</v>
      </c>
      <c r="E1152" s="145">
        <v>1</v>
      </c>
      <c r="F1152" s="145">
        <v>1.21</v>
      </c>
      <c r="G1152" s="146" t="s">
        <v>1562</v>
      </c>
      <c r="H1152" s="145" t="s">
        <v>1154</v>
      </c>
      <c r="J1152" s="150" t="str">
        <f t="shared" si="19"/>
        <v>Malmo FF  vs  Falkenberg</v>
      </c>
    </row>
    <row r="1153" spans="1:10">
      <c r="A1153" s="162">
        <v>43526</v>
      </c>
      <c r="B1153" s="156" t="s">
        <v>3061</v>
      </c>
      <c r="C1153" s="144" t="s">
        <v>3062</v>
      </c>
      <c r="D1153" s="73" t="s">
        <v>1692</v>
      </c>
      <c r="E1153" s="145">
        <v>1</v>
      </c>
      <c r="F1153" s="145">
        <v>1.19</v>
      </c>
      <c r="G1153" s="146" t="s">
        <v>1510</v>
      </c>
      <c r="H1153" s="145" t="s">
        <v>1153</v>
      </c>
      <c r="J1153" s="150" t="str">
        <f t="shared" si="19"/>
        <v>AC Oulu  vs  MyPa</v>
      </c>
    </row>
    <row r="1154" spans="1:10">
      <c r="A1154" s="162">
        <v>43526</v>
      </c>
      <c r="B1154" s="156" t="s">
        <v>2798</v>
      </c>
      <c r="C1154" s="144" t="s">
        <v>1443</v>
      </c>
      <c r="D1154" s="73" t="s">
        <v>1257</v>
      </c>
      <c r="E1154" s="145">
        <v>1</v>
      </c>
      <c r="F1154" s="145">
        <v>1</v>
      </c>
      <c r="G1154" s="145" t="s">
        <v>1506</v>
      </c>
      <c r="H1154" s="145" t="s">
        <v>1153</v>
      </c>
      <c r="J1154" s="150" t="str">
        <f t="shared" si="19"/>
        <v>Melbourne Victory  vs  Newcastle Jets</v>
      </c>
    </row>
  </sheetData>
  <autoFilter ref="A6:H1154">
    <sortState ref="A7:H1154">
      <sortCondition descending="1" ref="E6:E1066"/>
    </sortState>
  </autoFilter>
  <dataConsolidate/>
  <mergeCells count="1">
    <mergeCell ref="N1:O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59"/>
  <sheetViews>
    <sheetView topLeftCell="A4" zoomScale="80" zoomScaleNormal="80" workbookViewId="0">
      <selection activeCell="C9" sqref="C9"/>
    </sheetView>
  </sheetViews>
  <sheetFormatPr defaultRowHeight="15"/>
  <cols>
    <col min="1" max="1" width="27.140625" style="16" bestFit="1" customWidth="1"/>
    <col min="2" max="2" width="15.140625" style="16" bestFit="1" customWidth="1"/>
    <col min="3" max="3" width="2.7109375" style="16" bestFit="1" customWidth="1"/>
    <col min="4" max="4" width="16.7109375" style="16" bestFit="1" customWidth="1"/>
    <col min="5" max="5" width="5.140625" style="16" bestFit="1" customWidth="1"/>
    <col min="6" max="6" width="13" style="16" bestFit="1" customWidth="1"/>
    <col min="7" max="16384" width="9.140625" style="16"/>
  </cols>
  <sheetData>
    <row r="1" spans="1:10" ht="15" customHeight="1">
      <c r="A1" t="s">
        <v>1549</v>
      </c>
      <c r="B1" s="25"/>
      <c r="C1" s="25"/>
      <c r="D1" s="25"/>
      <c r="E1" s="25"/>
      <c r="F1" s="25"/>
      <c r="G1" s="25"/>
      <c r="H1" s="25"/>
      <c r="I1" s="25"/>
      <c r="J1" s="25"/>
    </row>
    <row r="2" spans="1:10">
      <c r="A2" s="25"/>
      <c r="B2" s="25"/>
      <c r="C2" s="25"/>
      <c r="D2" s="25"/>
      <c r="E2" s="25"/>
      <c r="F2" s="25"/>
      <c r="G2" s="25"/>
      <c r="H2" s="25"/>
      <c r="I2" s="25"/>
      <c r="J2" s="25"/>
    </row>
    <row r="3" spans="1:10">
      <c r="A3" s="26"/>
      <c r="B3" t="s">
        <v>1553</v>
      </c>
      <c r="C3"/>
      <c r="D3" t="s">
        <v>1544</v>
      </c>
      <c r="E3" t="s">
        <v>1554</v>
      </c>
      <c r="F3" t="s">
        <v>1026</v>
      </c>
      <c r="G3" s="26"/>
      <c r="H3" s="26"/>
      <c r="I3" s="26"/>
      <c r="J3" s="26"/>
    </row>
    <row r="4" spans="1:10">
      <c r="A4" t="s">
        <v>1550</v>
      </c>
      <c r="B4" s="25"/>
      <c r="C4" s="25"/>
      <c r="D4" s="25"/>
      <c r="E4" s="25"/>
      <c r="F4" s="25"/>
      <c r="G4" s="25"/>
      <c r="H4" s="25"/>
      <c r="I4" s="25"/>
      <c r="J4" s="25"/>
    </row>
    <row r="5" spans="1:10">
      <c r="A5" s="25"/>
      <c r="B5" s="25"/>
      <c r="C5" s="25"/>
      <c r="D5" s="25"/>
      <c r="E5" s="25"/>
      <c r="F5" s="25"/>
      <c r="G5" s="25"/>
      <c r="H5" s="25"/>
      <c r="I5" s="25"/>
      <c r="J5" s="25"/>
    </row>
    <row r="6" spans="1:10">
      <c r="A6" s="26"/>
      <c r="B6" t="s">
        <v>1553</v>
      </c>
      <c r="C6"/>
      <c r="D6" t="s">
        <v>1555</v>
      </c>
      <c r="E6" t="s">
        <v>1534</v>
      </c>
      <c r="F6" t="s">
        <v>1090</v>
      </c>
      <c r="G6" s="26"/>
      <c r="H6" s="26"/>
      <c r="I6" s="26"/>
      <c r="J6" s="26"/>
    </row>
    <row r="7" spans="1:10">
      <c r="A7" t="s">
        <v>1537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ht="15" customHeight="1">
      <c r="A9" s="26"/>
      <c r="B9" t="s">
        <v>1553</v>
      </c>
      <c r="C9" t="s">
        <v>1538</v>
      </c>
      <c r="D9" t="s">
        <v>1223</v>
      </c>
      <c r="E9" t="s">
        <v>1532</v>
      </c>
      <c r="F9" t="s">
        <v>1224</v>
      </c>
      <c r="G9" s="26"/>
      <c r="H9" s="26"/>
      <c r="I9" s="26"/>
      <c r="J9" s="26"/>
    </row>
    <row r="10" spans="1:10">
      <c r="A10" s="26"/>
      <c r="B10" t="s">
        <v>1553</v>
      </c>
      <c r="C10" t="s">
        <v>1538</v>
      </c>
      <c r="D10" t="s">
        <v>1556</v>
      </c>
      <c r="E10" t="s">
        <v>1527</v>
      </c>
      <c r="F10" t="s">
        <v>1108</v>
      </c>
      <c r="G10" s="26"/>
      <c r="H10" s="26"/>
      <c r="I10" s="26"/>
      <c r="J10" s="26"/>
    </row>
    <row r="11" spans="1:10">
      <c r="A11" s="26"/>
      <c r="B11" t="s">
        <v>1553</v>
      </c>
      <c r="C11" t="s">
        <v>1538</v>
      </c>
      <c r="D11" t="s">
        <v>1557</v>
      </c>
      <c r="E11" t="s">
        <v>1520</v>
      </c>
      <c r="F11" t="s">
        <v>1558</v>
      </c>
      <c r="G11" s="26"/>
      <c r="H11" s="26"/>
      <c r="I11" s="26"/>
      <c r="J11" s="26"/>
    </row>
    <row r="12" spans="1:10" ht="15" customHeight="1">
      <c r="A12" t="s">
        <v>1518</v>
      </c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t="s">
        <v>1553</v>
      </c>
      <c r="C14"/>
      <c r="D14" t="s">
        <v>1539</v>
      </c>
      <c r="E14" t="s">
        <v>1520</v>
      </c>
      <c r="F14" t="s">
        <v>1540</v>
      </c>
      <c r="G14" s="26"/>
      <c r="H14" s="26"/>
      <c r="I14" s="26"/>
      <c r="J14" s="26"/>
    </row>
    <row r="15" spans="1:10">
      <c r="A15" s="26"/>
      <c r="B15" t="s">
        <v>1553</v>
      </c>
      <c r="C15"/>
      <c r="D15" t="s">
        <v>312</v>
      </c>
      <c r="E15" t="s">
        <v>1521</v>
      </c>
      <c r="F15" t="s">
        <v>540</v>
      </c>
      <c r="G15" s="26"/>
      <c r="H15" s="26"/>
      <c r="I15" s="26"/>
      <c r="J15" s="26"/>
    </row>
    <row r="16" spans="1:10" ht="15" customHeight="1">
      <c r="A16" s="28" t="s">
        <v>1551</v>
      </c>
      <c r="B16" s="28"/>
      <c r="C16" s="28"/>
      <c r="D16" s="28"/>
      <c r="E16" s="28"/>
      <c r="F16" s="28"/>
      <c r="G16" s="28"/>
      <c r="H16" s="28"/>
      <c r="I16" s="28"/>
      <c r="J16" s="28"/>
    </row>
    <row r="17" spans="1:10" ht="15" customHeight="1">
      <c r="A17" s="28"/>
      <c r="B17" s="28"/>
      <c r="C17" s="28"/>
      <c r="D17" s="28"/>
      <c r="E17" s="28"/>
      <c r="F17" s="28"/>
      <c r="G17" s="28"/>
      <c r="H17" s="28"/>
      <c r="I17" s="28"/>
      <c r="J17" s="28"/>
    </row>
    <row r="18" spans="1:10">
      <c r="A18" s="26"/>
      <c r="B18" t="s">
        <v>1553</v>
      </c>
      <c r="C18"/>
      <c r="D18" t="s">
        <v>479</v>
      </c>
      <c r="E18" t="s">
        <v>1528</v>
      </c>
      <c r="F18" t="s">
        <v>737</v>
      </c>
      <c r="G18" s="26"/>
      <c r="H18" s="26"/>
      <c r="I18" s="26"/>
      <c r="J18" s="26"/>
    </row>
    <row r="19" spans="1:10">
      <c r="A19" s="26"/>
      <c r="B19" t="s">
        <v>1553</v>
      </c>
      <c r="C19"/>
      <c r="D19" t="s">
        <v>1548</v>
      </c>
      <c r="E19" t="s">
        <v>1515</v>
      </c>
      <c r="F19" t="s">
        <v>1221</v>
      </c>
      <c r="G19" s="26"/>
      <c r="H19" s="26"/>
      <c r="I19" s="26"/>
      <c r="J19" s="26"/>
    </row>
    <row r="20" spans="1:10" ht="15" customHeight="1">
      <c r="A20" s="26"/>
      <c r="B20" t="s">
        <v>1553</v>
      </c>
      <c r="C20"/>
      <c r="D20" t="s">
        <v>662</v>
      </c>
      <c r="E20" t="s">
        <v>1519</v>
      </c>
      <c r="F20" t="s">
        <v>1220</v>
      </c>
      <c r="G20" s="26"/>
      <c r="H20" s="26"/>
      <c r="I20" s="26"/>
      <c r="J20" s="26"/>
    </row>
    <row r="21" spans="1:10">
      <c r="A21" t="s">
        <v>1552</v>
      </c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5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t="s">
        <v>1553</v>
      </c>
      <c r="C23"/>
      <c r="D23" t="s">
        <v>400</v>
      </c>
      <c r="E23" t="s">
        <v>1528</v>
      </c>
      <c r="F23" t="s">
        <v>1546</v>
      </c>
      <c r="G23" s="26"/>
      <c r="H23" s="26"/>
      <c r="I23" s="26"/>
      <c r="J23" s="26"/>
    </row>
    <row r="24" spans="1:10">
      <c r="A24" s="26"/>
      <c r="B24" t="s">
        <v>1553</v>
      </c>
      <c r="C24"/>
      <c r="D24" t="s">
        <v>664</v>
      </c>
      <c r="E24" t="s">
        <v>1517</v>
      </c>
      <c r="F24" t="s">
        <v>399</v>
      </c>
      <c r="G24" s="26"/>
      <c r="H24" s="26"/>
      <c r="I24" s="26"/>
      <c r="J24" s="26"/>
    </row>
    <row r="25" spans="1:10">
      <c r="A25" s="26"/>
      <c r="B25" t="s">
        <v>1553</v>
      </c>
      <c r="C25"/>
      <c r="D25" t="s">
        <v>708</v>
      </c>
      <c r="E25" t="s">
        <v>1519</v>
      </c>
      <c r="F25" t="s">
        <v>378</v>
      </c>
      <c r="G25" s="26"/>
      <c r="H25" s="26"/>
      <c r="I25" s="26"/>
      <c r="J25" s="26"/>
    </row>
    <row r="26" spans="1:10">
      <c r="A26" s="26"/>
      <c r="B26" t="s">
        <v>1553</v>
      </c>
      <c r="C26"/>
      <c r="D26" t="s">
        <v>91</v>
      </c>
      <c r="E26" t="s">
        <v>1541</v>
      </c>
      <c r="F26" t="s">
        <v>1219</v>
      </c>
      <c r="G26" s="26"/>
      <c r="H26" s="26"/>
      <c r="I26" s="26"/>
      <c r="J26" s="26"/>
    </row>
    <row r="27" spans="1:10">
      <c r="A27" t="s">
        <v>1543</v>
      </c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5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t="s">
        <v>1553</v>
      </c>
      <c r="C29"/>
      <c r="D29" t="s">
        <v>20</v>
      </c>
      <c r="E29" t="s">
        <v>1520</v>
      </c>
      <c r="F29" t="s">
        <v>581</v>
      </c>
      <c r="G29" s="26"/>
      <c r="H29" s="26"/>
      <c r="I29" s="26"/>
      <c r="J29" s="26"/>
    </row>
    <row r="30" spans="1:10">
      <c r="A30" s="26"/>
      <c r="B30"/>
      <c r="C30"/>
      <c r="D30"/>
      <c r="E30"/>
      <c r="F30"/>
      <c r="G30" s="26"/>
      <c r="H30" s="26"/>
      <c r="I30" s="26"/>
      <c r="J30" s="26"/>
    </row>
    <row r="31" spans="1:10" ht="1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</row>
    <row r="32" spans="1:10" ht="15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</row>
    <row r="33" spans="1:10">
      <c r="A33" s="26"/>
      <c r="B33"/>
      <c r="C33"/>
      <c r="D33"/>
      <c r="E33"/>
      <c r="F33"/>
      <c r="G33" s="26"/>
      <c r="H33" s="26"/>
      <c r="I33" s="26"/>
      <c r="J33" s="26"/>
    </row>
    <row r="34" spans="1:10">
      <c r="A34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5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/>
      <c r="C36"/>
      <c r="D36"/>
      <c r="E36"/>
      <c r="F36"/>
      <c r="G36" s="26"/>
      <c r="H36" s="26"/>
      <c r="I36" s="26"/>
      <c r="J36" s="26"/>
    </row>
    <row r="37" spans="1:10">
      <c r="A37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5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/>
      <c r="C39"/>
      <c r="D39"/>
      <c r="E39"/>
      <c r="F39"/>
      <c r="G39" s="26"/>
      <c r="H39" s="26"/>
      <c r="I39" s="26"/>
      <c r="J39" s="26"/>
    </row>
    <row r="40" spans="1:10">
      <c r="A40" s="26"/>
      <c r="B40"/>
      <c r="C40"/>
      <c r="D40"/>
      <c r="E40"/>
      <c r="F40"/>
      <c r="G40" s="26"/>
      <c r="H40" s="26"/>
      <c r="I40" s="26"/>
      <c r="J40" s="26"/>
    </row>
    <row r="41" spans="1:10">
      <c r="A41" s="26"/>
      <c r="B41"/>
      <c r="C41"/>
      <c r="D41"/>
      <c r="E41"/>
      <c r="F41"/>
      <c r="G41" s="26"/>
      <c r="H41" s="26"/>
      <c r="I41" s="26"/>
      <c r="J41" s="26"/>
    </row>
    <row r="42" spans="1:10">
      <c r="A42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5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/>
      <c r="C44"/>
      <c r="D44"/>
      <c r="E44"/>
      <c r="F44"/>
      <c r="G44" s="26"/>
      <c r="H44" s="26"/>
      <c r="I44" s="26"/>
      <c r="J44" s="26"/>
    </row>
    <row r="45" spans="1:10">
      <c r="A45" s="26"/>
      <c r="B45"/>
      <c r="C45"/>
      <c r="D45"/>
      <c r="E45"/>
      <c r="F45"/>
      <c r="G45" s="26"/>
      <c r="H45" s="26"/>
      <c r="I45" s="26"/>
      <c r="J45" s="26"/>
    </row>
    <row r="46" spans="1:10">
      <c r="A4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5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/>
      <c r="C48"/>
      <c r="D48"/>
      <c r="E48"/>
      <c r="F48"/>
      <c r="G48" s="26"/>
      <c r="H48" s="26"/>
      <c r="I48" s="26"/>
      <c r="J48" s="26"/>
    </row>
    <row r="49" spans="1:10">
      <c r="A49" s="26"/>
      <c r="B49"/>
      <c r="C49"/>
      <c r="D49"/>
      <c r="E49"/>
      <c r="F49"/>
      <c r="G49" s="26"/>
      <c r="H49" s="26"/>
      <c r="I49" s="26"/>
      <c r="J49" s="26"/>
    </row>
    <row r="50" spans="1:10">
      <c r="A50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5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/>
      <c r="C52"/>
      <c r="D52"/>
      <c r="E52"/>
      <c r="F52"/>
      <c r="G52" s="26"/>
      <c r="H52" s="26"/>
      <c r="I52" s="26"/>
      <c r="J52" s="26"/>
    </row>
    <row r="53" spans="1:10">
      <c r="A53" s="26"/>
      <c r="B53"/>
      <c r="C53"/>
      <c r="D53"/>
      <c r="E53"/>
      <c r="F53"/>
      <c r="G53" s="26"/>
      <c r="H53" s="26"/>
      <c r="I53" s="26"/>
      <c r="J53" s="26"/>
    </row>
    <row r="54" spans="1:10">
      <c r="A54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5"/>
      <c r="B55" s="25"/>
      <c r="C55" s="25"/>
      <c r="D55" s="25"/>
      <c r="E55" s="25"/>
      <c r="F55" s="25"/>
      <c r="G55" s="25"/>
      <c r="H55" s="25"/>
      <c r="I55" s="25"/>
      <c r="J55" s="25"/>
    </row>
    <row r="56" spans="1:10" ht="15" customHeight="1">
      <c r="A56" s="26"/>
      <c r="B56"/>
      <c r="C56"/>
      <c r="D56"/>
      <c r="E56"/>
      <c r="F56"/>
      <c r="G56" s="26"/>
      <c r="H56" s="26"/>
      <c r="I56" s="26"/>
      <c r="J56" s="26"/>
    </row>
    <row r="57" spans="1:10" ht="15" customHeight="1">
      <c r="A57" s="26"/>
      <c r="B57"/>
      <c r="C57"/>
      <c r="D57"/>
      <c r="E57"/>
      <c r="F57"/>
      <c r="G57" s="26"/>
      <c r="H57" s="26"/>
      <c r="I57" s="26"/>
      <c r="J57" s="26"/>
    </row>
    <row r="58" spans="1:10">
      <c r="A58" s="26"/>
      <c r="B58"/>
      <c r="C58"/>
      <c r="D58"/>
      <c r="E58"/>
      <c r="F58"/>
      <c r="G58" s="26"/>
      <c r="H58" s="26"/>
      <c r="I58" s="26"/>
      <c r="J58" s="26"/>
    </row>
    <row r="59" spans="1:10">
      <c r="A59" s="26"/>
      <c r="B59"/>
      <c r="C59"/>
      <c r="D59"/>
      <c r="E59"/>
      <c r="F59"/>
      <c r="G59" s="26"/>
      <c r="H59" s="26"/>
      <c r="I59" s="26"/>
      <c r="J59" s="26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50"/>
  <sheetViews>
    <sheetView tabSelected="1" topLeftCell="AB1" zoomScale="80" zoomScaleNormal="80" workbookViewId="0">
      <pane ySplit="2" topLeftCell="A3" activePane="bottomLeft" state="frozen"/>
      <selection pane="bottomLeft" activeCell="AC1" sqref="AC1"/>
    </sheetView>
  </sheetViews>
  <sheetFormatPr defaultColWidth="20.5703125" defaultRowHeight="15" outlineLevelCol="1"/>
  <cols>
    <col min="1" max="1" width="4.42578125" style="37" customWidth="1"/>
    <col min="2" max="2" width="9.7109375" style="39" customWidth="1"/>
    <col min="3" max="3" width="10.42578125" style="37" hidden="1" customWidth="1" outlineLevel="1"/>
    <col min="4" max="4" width="10.7109375" style="38" hidden="1" customWidth="1" outlineLevel="1"/>
    <col min="5" max="5" width="9.28515625" style="38" hidden="1" customWidth="1" outlineLevel="1"/>
    <col min="6" max="6" width="10.42578125" style="38" customWidth="1" collapsed="1"/>
    <col min="7" max="7" width="4.7109375" style="38" customWidth="1"/>
    <col min="8" max="8" width="10.42578125" style="39" customWidth="1"/>
    <col min="9" max="9" width="3.140625" style="37" customWidth="1"/>
    <col min="10" max="10" width="21.28515625" style="37" customWidth="1"/>
    <col min="11" max="11" width="35.5703125" style="37" customWidth="1"/>
    <col min="12" max="12" width="4" style="37" customWidth="1"/>
    <col min="13" max="13" width="8.5703125" style="69" customWidth="1"/>
    <col min="14" max="14" width="7.28515625" style="37" customWidth="1"/>
    <col min="15" max="15" width="12.28515625" style="39" customWidth="1"/>
    <col min="16" max="16" width="8" style="39" customWidth="1"/>
    <col min="17" max="17" width="10.42578125" style="39" customWidth="1"/>
    <col min="18" max="19" width="11.140625" style="39" customWidth="1"/>
    <col min="20" max="20" width="12" style="39" customWidth="1"/>
    <col min="21" max="21" width="10.42578125" style="39" customWidth="1"/>
    <col min="22" max="22" width="11.42578125" style="39" customWidth="1"/>
    <col min="23" max="23" width="30.28515625" style="39" customWidth="1"/>
    <col min="24" max="24" width="4.140625" style="37" customWidth="1"/>
    <col min="25" max="25" width="232.140625" style="39" customWidth="1"/>
    <col min="26" max="26" width="15.140625" style="39" customWidth="1"/>
    <col min="27" max="27" width="220.7109375" style="39" customWidth="1"/>
    <col min="28" max="28" width="12.42578125" style="39" customWidth="1"/>
    <col min="29" max="29" width="221.140625" style="39" customWidth="1"/>
    <col min="30" max="16384" width="20.5703125" style="39"/>
  </cols>
  <sheetData>
    <row r="1" spans="1:29" ht="24" customHeight="1"/>
    <row r="2" spans="1:29" s="37" customFormat="1" ht="15.75" thickBot="1">
      <c r="A2" s="40" t="s">
        <v>1604</v>
      </c>
      <c r="B2" s="42" t="s">
        <v>1610</v>
      </c>
      <c r="C2" s="40" t="s">
        <v>1609</v>
      </c>
      <c r="D2" s="41" t="s">
        <v>1605</v>
      </c>
      <c r="E2" s="41" t="s">
        <v>1606</v>
      </c>
      <c r="F2" s="41" t="s">
        <v>1607</v>
      </c>
      <c r="G2" s="41" t="s">
        <v>2792</v>
      </c>
      <c r="H2" s="40" t="s">
        <v>1676</v>
      </c>
      <c r="I2" s="42"/>
      <c r="J2" s="42" t="s">
        <v>1611</v>
      </c>
      <c r="K2" s="42" t="s">
        <v>1612</v>
      </c>
      <c r="L2" s="42"/>
      <c r="M2" s="70" t="s">
        <v>1613</v>
      </c>
      <c r="N2" s="42" t="s">
        <v>1614</v>
      </c>
      <c r="O2" s="42" t="s">
        <v>1615</v>
      </c>
      <c r="P2" s="42" t="s">
        <v>1616</v>
      </c>
      <c r="Q2" s="42" t="s">
        <v>1617</v>
      </c>
      <c r="R2" s="42" t="s">
        <v>1678</v>
      </c>
      <c r="S2" s="42" t="s">
        <v>1677</v>
      </c>
      <c r="T2" s="42" t="s">
        <v>1618</v>
      </c>
      <c r="U2" s="42" t="s">
        <v>1619</v>
      </c>
      <c r="V2" s="40" t="s">
        <v>1608</v>
      </c>
      <c r="W2" s="42" t="s">
        <v>1620</v>
      </c>
      <c r="X2" s="43"/>
      <c r="Y2" s="44" t="s">
        <v>1621</v>
      </c>
      <c r="Z2" s="44" t="s">
        <v>1622</v>
      </c>
      <c r="AA2" s="44" t="s">
        <v>1623</v>
      </c>
      <c r="AB2" s="40"/>
      <c r="AC2" s="44" t="s">
        <v>1624</v>
      </c>
    </row>
    <row r="3" spans="1:29">
      <c r="A3" s="113">
        <v>1</v>
      </c>
      <c r="B3" s="114">
        <v>43490</v>
      </c>
      <c r="C3" s="115">
        <v>523</v>
      </c>
      <c r="D3" s="115">
        <v>0</v>
      </c>
      <c r="E3" s="115"/>
      <c r="F3" s="115">
        <f>+C3+D3-E3</f>
        <v>523</v>
      </c>
      <c r="G3" s="115"/>
      <c r="H3" s="116">
        <f>F3*$AB$3</f>
        <v>281.95748299319729</v>
      </c>
      <c r="I3" s="117" t="s">
        <v>1625</v>
      </c>
      <c r="J3" s="118" t="s">
        <v>1634</v>
      </c>
      <c r="K3" s="119" t="s">
        <v>1673</v>
      </c>
      <c r="L3" s="119">
        <v>2</v>
      </c>
      <c r="M3" s="120">
        <v>200</v>
      </c>
      <c r="N3" s="121">
        <v>2.73</v>
      </c>
      <c r="O3" s="121" t="s">
        <v>1627</v>
      </c>
      <c r="P3" s="122" t="s">
        <v>1628</v>
      </c>
      <c r="Q3" s="123">
        <f t="shared" ref="Q3:Q13" si="0">IF(P3="Win",(M3*N3)-M3,IF(P3="Refund",0,IF(P3="Loss",-M3)))</f>
        <v>346</v>
      </c>
      <c r="R3" s="123">
        <f>M3</f>
        <v>200</v>
      </c>
      <c r="S3" s="123">
        <f>+Q3</f>
        <v>346</v>
      </c>
      <c r="T3" s="123">
        <f>Q3</f>
        <v>346</v>
      </c>
      <c r="U3" s="124">
        <f>T3/$F$3</f>
        <v>0.66156787762906311</v>
      </c>
      <c r="V3" s="123">
        <f>+F3+T3</f>
        <v>869</v>
      </c>
      <c r="W3" s="125"/>
      <c r="X3" s="37">
        <v>1</v>
      </c>
      <c r="Y3" s="48" t="s">
        <v>1629</v>
      </c>
      <c r="Z3" s="105" t="s">
        <v>1630</v>
      </c>
      <c r="AA3" s="108" t="s">
        <v>1631</v>
      </c>
      <c r="AB3" s="67">
        <f>+'TFT-Archive'!P6</f>
        <v>0.53911564625850339</v>
      </c>
      <c r="AC3" s="56" t="s">
        <v>1782</v>
      </c>
    </row>
    <row r="4" spans="1:29" s="58" customFormat="1">
      <c r="A4" s="126">
        <v>2</v>
      </c>
      <c r="B4" s="53">
        <v>43490</v>
      </c>
      <c r="C4" s="52">
        <f>+V3</f>
        <v>869</v>
      </c>
      <c r="D4" s="52"/>
      <c r="E4" s="52"/>
      <c r="F4" s="52">
        <f t="shared" ref="F4:F13" si="1">+C4+D4-E4</f>
        <v>869</v>
      </c>
      <c r="G4" s="52"/>
      <c r="H4" s="72">
        <f>IF(B4=B3,H3-M3,F4*$AB$3)</f>
        <v>81.957482993197289</v>
      </c>
      <c r="I4" s="53" t="s">
        <v>1625</v>
      </c>
      <c r="J4" s="51" t="s">
        <v>1634</v>
      </c>
      <c r="K4" s="68" t="s">
        <v>1673</v>
      </c>
      <c r="L4" s="51">
        <v>1</v>
      </c>
      <c r="M4" s="71">
        <v>200</v>
      </c>
      <c r="N4" s="54">
        <v>2.3199999999999998</v>
      </c>
      <c r="O4" s="54" t="s">
        <v>1627</v>
      </c>
      <c r="P4" s="55" t="s">
        <v>1632</v>
      </c>
      <c r="Q4" s="52">
        <f t="shared" si="0"/>
        <v>-200</v>
      </c>
      <c r="R4" s="52">
        <f t="shared" ref="R4:R13" si="2">IF(B4=B3,M4+R3,M4)</f>
        <v>400</v>
      </c>
      <c r="S4" s="52">
        <f t="shared" ref="S4:S13" si="3">IF(B4=B3,+Q4+S3,Q4)</f>
        <v>146</v>
      </c>
      <c r="T4" s="52">
        <f t="shared" ref="T4:T13" si="4">IF(MONTH(B4)=MONTH(B3),T3+Q4,Q4)</f>
        <v>146</v>
      </c>
      <c r="U4" s="57">
        <f t="shared" ref="U4:U13" si="5">T4/F4</f>
        <v>0.16800920598388952</v>
      </c>
      <c r="V4" s="52">
        <f>+F4+Q4</f>
        <v>669</v>
      </c>
      <c r="W4" s="127"/>
      <c r="X4" s="51">
        <v>2</v>
      </c>
      <c r="Y4" s="186" t="s">
        <v>2787</v>
      </c>
      <c r="Z4" s="49" t="s">
        <v>1630</v>
      </c>
      <c r="AA4" s="50" t="s">
        <v>1633</v>
      </c>
      <c r="AB4" s="67">
        <f>+COUNTIF($P$24:$P$203,"Win")/COUNT($A$24:$A$203)</f>
        <v>0.35555555555555557</v>
      </c>
      <c r="AC4" s="56" t="s">
        <v>2256</v>
      </c>
    </row>
    <row r="5" spans="1:29">
      <c r="A5" s="126">
        <v>3</v>
      </c>
      <c r="B5" s="128">
        <v>43491</v>
      </c>
      <c r="C5" s="52">
        <f t="shared" ref="C5:C68" si="6">+V4</f>
        <v>669</v>
      </c>
      <c r="D5" s="52"/>
      <c r="E5" s="52"/>
      <c r="F5" s="77">
        <f t="shared" si="1"/>
        <v>669</v>
      </c>
      <c r="G5" s="77"/>
      <c r="H5" s="72">
        <f t="shared" ref="H5:H68" si="7">IF(B5=B4,H4-M4,F5*$AB$3)</f>
        <v>360.66836734693879</v>
      </c>
      <c r="I5" s="51" t="s">
        <v>1625</v>
      </c>
      <c r="J5" s="51" t="s">
        <v>1257</v>
      </c>
      <c r="K5" s="51" t="s">
        <v>1674</v>
      </c>
      <c r="L5" s="51" t="s">
        <v>1626</v>
      </c>
      <c r="M5" s="129">
        <v>50</v>
      </c>
      <c r="N5" s="51">
        <v>1.58</v>
      </c>
      <c r="O5" s="54" t="s">
        <v>1627</v>
      </c>
      <c r="P5" s="55" t="s">
        <v>1632</v>
      </c>
      <c r="Q5" s="52">
        <f t="shared" si="0"/>
        <v>-50</v>
      </c>
      <c r="R5" s="52">
        <f t="shared" si="2"/>
        <v>50</v>
      </c>
      <c r="S5" s="52">
        <f t="shared" si="3"/>
        <v>-50</v>
      </c>
      <c r="T5" s="52">
        <f t="shared" si="4"/>
        <v>96</v>
      </c>
      <c r="U5" s="57">
        <f t="shared" si="5"/>
        <v>0.14349775784753363</v>
      </c>
      <c r="V5" s="52">
        <f t="shared" ref="V5:V68" si="8">+F5+Q5</f>
        <v>619</v>
      </c>
      <c r="W5" s="130"/>
      <c r="X5" s="37">
        <v>3</v>
      </c>
      <c r="Y5" s="56" t="s">
        <v>1896</v>
      </c>
      <c r="Z5" s="49" t="s">
        <v>1815</v>
      </c>
      <c r="AA5" s="50" t="s">
        <v>1816</v>
      </c>
    </row>
    <row r="6" spans="1:29">
      <c r="A6" s="126">
        <v>4</v>
      </c>
      <c r="B6" s="53">
        <v>43491</v>
      </c>
      <c r="C6" s="52">
        <f t="shared" si="6"/>
        <v>619</v>
      </c>
      <c r="D6" s="52"/>
      <c r="E6" s="52"/>
      <c r="F6" s="52">
        <f t="shared" si="1"/>
        <v>619</v>
      </c>
      <c r="G6" s="52"/>
      <c r="H6" s="72">
        <f t="shared" si="7"/>
        <v>310.66836734693879</v>
      </c>
      <c r="I6" s="51" t="s">
        <v>1625</v>
      </c>
      <c r="J6" s="51" t="s">
        <v>1634</v>
      </c>
      <c r="K6" s="51" t="s">
        <v>1675</v>
      </c>
      <c r="L6" s="51">
        <v>1</v>
      </c>
      <c r="M6" s="129">
        <v>50</v>
      </c>
      <c r="N6" s="51">
        <v>1.77</v>
      </c>
      <c r="O6" s="54" t="s">
        <v>1627</v>
      </c>
      <c r="P6" s="55" t="s">
        <v>1632</v>
      </c>
      <c r="Q6" s="52">
        <f t="shared" si="0"/>
        <v>-50</v>
      </c>
      <c r="R6" s="52">
        <f t="shared" si="2"/>
        <v>100</v>
      </c>
      <c r="S6" s="52">
        <f t="shared" si="3"/>
        <v>-100</v>
      </c>
      <c r="T6" s="52">
        <f t="shared" si="4"/>
        <v>46</v>
      </c>
      <c r="U6" s="57">
        <f t="shared" si="5"/>
        <v>7.4313408723747976E-2</v>
      </c>
      <c r="V6" s="52">
        <f t="shared" si="8"/>
        <v>569</v>
      </c>
      <c r="W6" s="130"/>
      <c r="X6" s="37">
        <v>4</v>
      </c>
      <c r="Y6" s="39" t="s">
        <v>1793</v>
      </c>
      <c r="Z6" s="49" t="s">
        <v>1815</v>
      </c>
      <c r="AA6" s="50" t="s">
        <v>1817</v>
      </c>
    </row>
    <row r="7" spans="1:29">
      <c r="A7" s="126">
        <v>5</v>
      </c>
      <c r="B7" s="128">
        <v>43492</v>
      </c>
      <c r="C7" s="52">
        <f t="shared" si="6"/>
        <v>569</v>
      </c>
      <c r="D7" s="52"/>
      <c r="E7" s="52"/>
      <c r="F7" s="77">
        <f t="shared" si="1"/>
        <v>569</v>
      </c>
      <c r="G7" s="77"/>
      <c r="H7" s="72">
        <f t="shared" si="7"/>
        <v>306.75680272108843</v>
      </c>
      <c r="I7" s="51" t="s">
        <v>1625</v>
      </c>
      <c r="J7" s="51" t="s">
        <v>1257</v>
      </c>
      <c r="K7" s="51" t="s">
        <v>1679</v>
      </c>
      <c r="L7" s="51">
        <v>1</v>
      </c>
      <c r="M7" s="129">
        <v>50</v>
      </c>
      <c r="N7" s="54">
        <v>1.4</v>
      </c>
      <c r="O7" s="54" t="s">
        <v>1627</v>
      </c>
      <c r="P7" s="55" t="s">
        <v>1628</v>
      </c>
      <c r="Q7" s="52">
        <f t="shared" si="0"/>
        <v>20</v>
      </c>
      <c r="R7" s="52">
        <f t="shared" si="2"/>
        <v>50</v>
      </c>
      <c r="S7" s="52">
        <f t="shared" si="3"/>
        <v>20</v>
      </c>
      <c r="T7" s="52">
        <f t="shared" si="4"/>
        <v>66</v>
      </c>
      <c r="U7" s="57">
        <f t="shared" si="5"/>
        <v>0.11599297012302284</v>
      </c>
      <c r="V7" s="52">
        <f t="shared" si="8"/>
        <v>589</v>
      </c>
      <c r="W7" s="130"/>
      <c r="X7" s="37">
        <v>5</v>
      </c>
      <c r="Y7" s="39" t="s">
        <v>1806</v>
      </c>
      <c r="Z7" s="49" t="s">
        <v>1815</v>
      </c>
      <c r="AA7" s="50" t="s">
        <v>1844</v>
      </c>
    </row>
    <row r="8" spans="1:29">
      <c r="A8" s="126">
        <v>6</v>
      </c>
      <c r="B8" s="53">
        <v>43492</v>
      </c>
      <c r="C8" s="52">
        <f t="shared" si="6"/>
        <v>589</v>
      </c>
      <c r="D8" s="52"/>
      <c r="E8" s="52"/>
      <c r="F8" s="52">
        <f t="shared" si="1"/>
        <v>589</v>
      </c>
      <c r="G8" s="52"/>
      <c r="H8" s="72">
        <f t="shared" si="7"/>
        <v>256.75680272108843</v>
      </c>
      <c r="I8" s="51" t="s">
        <v>1625</v>
      </c>
      <c r="J8" s="51" t="s">
        <v>1634</v>
      </c>
      <c r="K8" s="51" t="s">
        <v>1680</v>
      </c>
      <c r="L8" s="51">
        <v>2</v>
      </c>
      <c r="M8" s="129">
        <v>50</v>
      </c>
      <c r="N8" s="54">
        <v>2.4500000000000002</v>
      </c>
      <c r="O8" s="54" t="s">
        <v>1627</v>
      </c>
      <c r="P8" s="55" t="s">
        <v>1632</v>
      </c>
      <c r="Q8" s="52">
        <f t="shared" si="0"/>
        <v>-50</v>
      </c>
      <c r="R8" s="52">
        <f t="shared" si="2"/>
        <v>100</v>
      </c>
      <c r="S8" s="52">
        <f t="shared" si="3"/>
        <v>-30</v>
      </c>
      <c r="T8" s="52">
        <f t="shared" si="4"/>
        <v>16</v>
      </c>
      <c r="U8" s="57">
        <f t="shared" si="5"/>
        <v>2.7164685908319185E-2</v>
      </c>
      <c r="V8" s="52">
        <f t="shared" si="8"/>
        <v>539</v>
      </c>
      <c r="W8" s="130"/>
      <c r="X8" s="37">
        <v>6</v>
      </c>
      <c r="Y8" s="39" t="s">
        <v>2784</v>
      </c>
      <c r="Z8" s="59" t="s">
        <v>1815</v>
      </c>
      <c r="AA8" s="60" t="s">
        <v>1818</v>
      </c>
    </row>
    <row r="9" spans="1:29">
      <c r="A9" s="126">
        <v>7</v>
      </c>
      <c r="B9" s="128">
        <v>43493</v>
      </c>
      <c r="C9" s="52">
        <f t="shared" si="6"/>
        <v>539</v>
      </c>
      <c r="D9" s="52"/>
      <c r="E9" s="52"/>
      <c r="F9" s="77">
        <f t="shared" si="1"/>
        <v>539</v>
      </c>
      <c r="G9" s="77"/>
      <c r="H9" s="72">
        <f t="shared" si="7"/>
        <v>290.58333333333331</v>
      </c>
      <c r="I9" s="51" t="s">
        <v>1625</v>
      </c>
      <c r="J9" s="51" t="s">
        <v>1537</v>
      </c>
      <c r="K9" s="51" t="s">
        <v>1681</v>
      </c>
      <c r="L9" s="51">
        <v>1</v>
      </c>
      <c r="M9" s="129">
        <v>50</v>
      </c>
      <c r="N9" s="51">
        <v>2.2599999999999998</v>
      </c>
      <c r="O9" s="54" t="s">
        <v>1627</v>
      </c>
      <c r="P9" s="55" t="s">
        <v>1632</v>
      </c>
      <c r="Q9" s="52">
        <f t="shared" si="0"/>
        <v>-50</v>
      </c>
      <c r="R9" s="52">
        <f t="shared" si="2"/>
        <v>50</v>
      </c>
      <c r="S9" s="52">
        <f t="shared" si="3"/>
        <v>-50</v>
      </c>
      <c r="T9" s="52">
        <f t="shared" si="4"/>
        <v>-34</v>
      </c>
      <c r="U9" s="57">
        <f t="shared" si="5"/>
        <v>-6.3079777365491654E-2</v>
      </c>
      <c r="V9" s="52">
        <f t="shared" si="8"/>
        <v>489</v>
      </c>
      <c r="W9" s="130"/>
      <c r="X9" s="37">
        <v>7</v>
      </c>
      <c r="Y9" s="195" t="s">
        <v>2956</v>
      </c>
      <c r="Z9" s="105" t="s">
        <v>1819</v>
      </c>
      <c r="AA9" s="108" t="s">
        <v>1820</v>
      </c>
    </row>
    <row r="10" spans="1:29">
      <c r="A10" s="126">
        <v>8</v>
      </c>
      <c r="B10" s="53">
        <v>43493</v>
      </c>
      <c r="C10" s="52">
        <f t="shared" si="6"/>
        <v>489</v>
      </c>
      <c r="D10" s="52"/>
      <c r="E10" s="52"/>
      <c r="F10" s="52">
        <f t="shared" si="1"/>
        <v>489</v>
      </c>
      <c r="G10" s="52"/>
      <c r="H10" s="72">
        <f t="shared" si="7"/>
        <v>240.58333333333331</v>
      </c>
      <c r="I10" s="51" t="s">
        <v>1625</v>
      </c>
      <c r="J10" s="51" t="s">
        <v>1682</v>
      </c>
      <c r="K10" s="51" t="s">
        <v>1683</v>
      </c>
      <c r="L10" s="51">
        <v>1</v>
      </c>
      <c r="M10" s="129">
        <v>50</v>
      </c>
      <c r="N10" s="51">
        <v>2.33</v>
      </c>
      <c r="O10" s="54" t="s">
        <v>1627</v>
      </c>
      <c r="P10" s="51" t="s">
        <v>1632</v>
      </c>
      <c r="Q10" s="52">
        <f t="shared" si="0"/>
        <v>-50</v>
      </c>
      <c r="R10" s="52">
        <f t="shared" si="2"/>
        <v>100</v>
      </c>
      <c r="S10" s="52">
        <f t="shared" si="3"/>
        <v>-100</v>
      </c>
      <c r="T10" s="52">
        <f t="shared" si="4"/>
        <v>-84</v>
      </c>
      <c r="U10" s="57">
        <f t="shared" si="5"/>
        <v>-0.17177914110429449</v>
      </c>
      <c r="V10" s="52">
        <f t="shared" si="8"/>
        <v>439</v>
      </c>
      <c r="W10" s="130" t="s">
        <v>1734</v>
      </c>
      <c r="Y10" s="39" t="s">
        <v>2793</v>
      </c>
      <c r="Z10" s="49" t="s">
        <v>1819</v>
      </c>
      <c r="AA10" s="50" t="s">
        <v>1821</v>
      </c>
    </row>
    <row r="11" spans="1:29">
      <c r="A11" s="126">
        <v>9</v>
      </c>
      <c r="B11" s="53">
        <v>43493</v>
      </c>
      <c r="C11" s="52">
        <f t="shared" si="6"/>
        <v>439</v>
      </c>
      <c r="D11" s="52"/>
      <c r="E11" s="52"/>
      <c r="F11" s="52">
        <f t="shared" si="1"/>
        <v>439</v>
      </c>
      <c r="G11" s="52"/>
      <c r="H11" s="72">
        <f t="shared" si="7"/>
        <v>190.58333333333331</v>
      </c>
      <c r="I11" s="51" t="s">
        <v>1625</v>
      </c>
      <c r="J11" s="51" t="s">
        <v>1684</v>
      </c>
      <c r="K11" s="51" t="s">
        <v>1685</v>
      </c>
      <c r="L11" s="51">
        <v>1</v>
      </c>
      <c r="M11" s="129">
        <v>50</v>
      </c>
      <c r="N11" s="51">
        <v>3.05</v>
      </c>
      <c r="O11" s="54" t="s">
        <v>1627</v>
      </c>
      <c r="P11" s="55" t="s">
        <v>1632</v>
      </c>
      <c r="Q11" s="52">
        <f t="shared" si="0"/>
        <v>-50</v>
      </c>
      <c r="R11" s="52">
        <f t="shared" si="2"/>
        <v>150</v>
      </c>
      <c r="S11" s="52">
        <f t="shared" si="3"/>
        <v>-150</v>
      </c>
      <c r="T11" s="52">
        <f t="shared" si="4"/>
        <v>-134</v>
      </c>
      <c r="U11" s="57">
        <f t="shared" si="5"/>
        <v>-0.30523917995444189</v>
      </c>
      <c r="V11" s="52">
        <f t="shared" si="8"/>
        <v>389</v>
      </c>
      <c r="W11" s="130"/>
      <c r="Y11" s="39" t="s">
        <v>2786</v>
      </c>
      <c r="Z11" s="49" t="s">
        <v>1819</v>
      </c>
      <c r="AA11" s="50" t="s">
        <v>1817</v>
      </c>
    </row>
    <row r="12" spans="1:29">
      <c r="A12" s="126">
        <v>10</v>
      </c>
      <c r="B12" s="53">
        <v>43493</v>
      </c>
      <c r="C12" s="52">
        <f t="shared" si="6"/>
        <v>389</v>
      </c>
      <c r="D12" s="52"/>
      <c r="E12" s="52"/>
      <c r="F12" s="52">
        <f t="shared" si="1"/>
        <v>389</v>
      </c>
      <c r="G12" s="52"/>
      <c r="H12" s="72">
        <f t="shared" si="7"/>
        <v>140.58333333333331</v>
      </c>
      <c r="I12" s="51" t="s">
        <v>1625</v>
      </c>
      <c r="J12" s="51" t="s">
        <v>1686</v>
      </c>
      <c r="K12" s="51" t="s">
        <v>1687</v>
      </c>
      <c r="L12" s="51">
        <v>1</v>
      </c>
      <c r="M12" s="129">
        <v>50</v>
      </c>
      <c r="N12" s="54">
        <v>2.33</v>
      </c>
      <c r="O12" s="54" t="s">
        <v>1627</v>
      </c>
      <c r="P12" s="55" t="s">
        <v>1628</v>
      </c>
      <c r="Q12" s="52">
        <f t="shared" si="0"/>
        <v>66.5</v>
      </c>
      <c r="R12" s="52">
        <f t="shared" si="2"/>
        <v>200</v>
      </c>
      <c r="S12" s="52">
        <f t="shared" si="3"/>
        <v>-83.5</v>
      </c>
      <c r="T12" s="52">
        <f t="shared" si="4"/>
        <v>-67.5</v>
      </c>
      <c r="U12" s="57">
        <f t="shared" si="5"/>
        <v>-0.17352185089974292</v>
      </c>
      <c r="V12" s="52">
        <f t="shared" si="8"/>
        <v>455.5</v>
      </c>
      <c r="W12" s="130"/>
      <c r="Y12" s="39" t="s">
        <v>2785</v>
      </c>
      <c r="Z12" s="49" t="s">
        <v>1819</v>
      </c>
      <c r="AA12" s="50" t="s">
        <v>1822</v>
      </c>
    </row>
    <row r="13" spans="1:29">
      <c r="A13" s="126">
        <v>11</v>
      </c>
      <c r="B13" s="53">
        <v>43493</v>
      </c>
      <c r="C13" s="52">
        <f t="shared" si="6"/>
        <v>455.5</v>
      </c>
      <c r="D13" s="52"/>
      <c r="E13" s="52"/>
      <c r="F13" s="52">
        <f t="shared" si="1"/>
        <v>455.5</v>
      </c>
      <c r="G13" s="52"/>
      <c r="H13" s="72">
        <f t="shared" si="7"/>
        <v>90.583333333333314</v>
      </c>
      <c r="I13" s="51" t="s">
        <v>1625</v>
      </c>
      <c r="J13" s="51" t="s">
        <v>1689</v>
      </c>
      <c r="K13" s="51" t="s">
        <v>1688</v>
      </c>
      <c r="L13" s="51">
        <v>1</v>
      </c>
      <c r="M13" s="129">
        <v>50</v>
      </c>
      <c r="N13" s="51">
        <v>2.88</v>
      </c>
      <c r="O13" s="54" t="s">
        <v>1627</v>
      </c>
      <c r="P13" s="55" t="s">
        <v>1632</v>
      </c>
      <c r="Q13" s="52">
        <f t="shared" si="0"/>
        <v>-50</v>
      </c>
      <c r="R13" s="52">
        <f t="shared" si="2"/>
        <v>250</v>
      </c>
      <c r="S13" s="52">
        <f t="shared" si="3"/>
        <v>-133.5</v>
      </c>
      <c r="T13" s="52">
        <f t="shared" si="4"/>
        <v>-117.5</v>
      </c>
      <c r="U13" s="57">
        <f t="shared" si="5"/>
        <v>-0.25795828759604827</v>
      </c>
      <c r="V13" s="52">
        <f t="shared" si="8"/>
        <v>405.5</v>
      </c>
      <c r="W13" s="130"/>
      <c r="X13" s="37">
        <v>8</v>
      </c>
      <c r="Y13" s="105" t="s">
        <v>1807</v>
      </c>
      <c r="Z13" s="110" t="s">
        <v>1823</v>
      </c>
      <c r="AA13" s="109" t="s">
        <v>1820</v>
      </c>
    </row>
    <row r="14" spans="1:29">
      <c r="A14" s="126">
        <v>12</v>
      </c>
      <c r="B14" s="128">
        <v>43494</v>
      </c>
      <c r="C14" s="52">
        <f t="shared" si="6"/>
        <v>405.5</v>
      </c>
      <c r="D14" s="52"/>
      <c r="E14" s="52"/>
      <c r="F14" s="77">
        <f t="shared" ref="F14:F25" si="9">+C14+D14-E14</f>
        <v>405.5</v>
      </c>
      <c r="G14" s="77"/>
      <c r="H14" s="72">
        <f t="shared" si="7"/>
        <v>218.61139455782313</v>
      </c>
      <c r="I14" s="51" t="s">
        <v>1625</v>
      </c>
      <c r="J14" s="51" t="s">
        <v>1694</v>
      </c>
      <c r="K14" s="51" t="s">
        <v>1695</v>
      </c>
      <c r="L14" s="51">
        <v>1</v>
      </c>
      <c r="M14" s="129">
        <v>50</v>
      </c>
      <c r="N14" s="51">
        <v>3.9</v>
      </c>
      <c r="O14" s="54" t="s">
        <v>1627</v>
      </c>
      <c r="P14" s="55" t="s">
        <v>1632</v>
      </c>
      <c r="Q14" s="52">
        <f t="shared" ref="Q14:Q25" si="10">IF(P14="Win",(M14*N14)-M14,IF(P14="Refund",0,IF(P14="Loss",-M14)))</f>
        <v>-50</v>
      </c>
      <c r="R14" s="52">
        <f t="shared" ref="R14:R25" si="11">IF(B14=B13,M14+R13,M14)</f>
        <v>50</v>
      </c>
      <c r="S14" s="52">
        <f t="shared" ref="S14:S25" si="12">IF(B14=B13,+Q14+S13,Q14)</f>
        <v>-50</v>
      </c>
      <c r="T14" s="52">
        <f t="shared" ref="T14:T25" si="13">IF(MONTH(B14)=MONTH(B13),T13+Q14,Q14)</f>
        <v>-167.5</v>
      </c>
      <c r="U14" s="57">
        <f t="shared" ref="U14:U25" si="14">T14/F14</f>
        <v>-0.41307028360049319</v>
      </c>
      <c r="V14" s="52">
        <f t="shared" si="8"/>
        <v>355.5</v>
      </c>
      <c r="W14" s="130"/>
      <c r="X14" s="37">
        <v>9</v>
      </c>
      <c r="Y14" s="39" t="s">
        <v>2955</v>
      </c>
      <c r="Z14" s="49" t="s">
        <v>1823</v>
      </c>
      <c r="AA14" s="50" t="s">
        <v>1824</v>
      </c>
    </row>
    <row r="15" spans="1:29">
      <c r="A15" s="126">
        <v>13</v>
      </c>
      <c r="B15" s="53">
        <v>43494</v>
      </c>
      <c r="C15" s="52">
        <f t="shared" si="6"/>
        <v>355.5</v>
      </c>
      <c r="D15" s="52"/>
      <c r="E15" s="52"/>
      <c r="F15" s="52">
        <f t="shared" si="9"/>
        <v>355.5</v>
      </c>
      <c r="G15" s="52"/>
      <c r="H15" s="72">
        <f t="shared" si="7"/>
        <v>168.61139455782313</v>
      </c>
      <c r="I15" s="51" t="s">
        <v>1625</v>
      </c>
      <c r="J15" s="51" t="s">
        <v>1696</v>
      </c>
      <c r="K15" s="51" t="s">
        <v>1697</v>
      </c>
      <c r="L15" s="51">
        <v>1</v>
      </c>
      <c r="M15" s="129">
        <v>50</v>
      </c>
      <c r="N15" s="51">
        <v>2.8</v>
      </c>
      <c r="O15" s="54" t="s">
        <v>1627</v>
      </c>
      <c r="P15" s="55" t="s">
        <v>1632</v>
      </c>
      <c r="Q15" s="52">
        <f t="shared" si="10"/>
        <v>-50</v>
      </c>
      <c r="R15" s="52">
        <f t="shared" si="11"/>
        <v>100</v>
      </c>
      <c r="S15" s="52">
        <f t="shared" si="12"/>
        <v>-100</v>
      </c>
      <c r="T15" s="52">
        <f t="shared" si="13"/>
        <v>-217.5</v>
      </c>
      <c r="U15" s="57">
        <f t="shared" si="14"/>
        <v>-0.61181434599156115</v>
      </c>
      <c r="V15" s="52">
        <f t="shared" si="8"/>
        <v>305.5</v>
      </c>
      <c r="W15" s="130"/>
      <c r="X15" s="37">
        <v>10</v>
      </c>
      <c r="Y15" s="39" t="s">
        <v>2788</v>
      </c>
      <c r="Z15" s="49" t="s">
        <v>1825</v>
      </c>
      <c r="AA15" s="50" t="s">
        <v>1826</v>
      </c>
    </row>
    <row r="16" spans="1:29">
      <c r="A16" s="126">
        <v>14</v>
      </c>
      <c r="B16" s="53">
        <v>43494</v>
      </c>
      <c r="C16" s="52">
        <f t="shared" si="6"/>
        <v>305.5</v>
      </c>
      <c r="D16" s="52"/>
      <c r="E16" s="52"/>
      <c r="F16" s="52">
        <f t="shared" si="9"/>
        <v>305.5</v>
      </c>
      <c r="G16" s="52"/>
      <c r="H16" s="72">
        <f t="shared" si="7"/>
        <v>118.61139455782313</v>
      </c>
      <c r="I16" s="51" t="s">
        <v>1625</v>
      </c>
      <c r="J16" s="51" t="s">
        <v>1698</v>
      </c>
      <c r="K16" s="51" t="s">
        <v>1699</v>
      </c>
      <c r="L16" s="51">
        <v>1</v>
      </c>
      <c r="M16" s="129">
        <v>50</v>
      </c>
      <c r="N16" s="51">
        <v>2.87</v>
      </c>
      <c r="O16" s="54" t="s">
        <v>1627</v>
      </c>
      <c r="P16" s="55" t="s">
        <v>1632</v>
      </c>
      <c r="Q16" s="52">
        <f t="shared" si="10"/>
        <v>-50</v>
      </c>
      <c r="R16" s="52">
        <f t="shared" si="11"/>
        <v>150</v>
      </c>
      <c r="S16" s="52">
        <f t="shared" si="12"/>
        <v>-150</v>
      </c>
      <c r="T16" s="52">
        <f t="shared" si="13"/>
        <v>-267.5</v>
      </c>
      <c r="U16" s="57">
        <f t="shared" si="14"/>
        <v>-0.87561374795417346</v>
      </c>
      <c r="V16" s="52">
        <f t="shared" si="8"/>
        <v>255.5</v>
      </c>
      <c r="W16" s="130"/>
      <c r="Y16" s="39" t="s">
        <v>2789</v>
      </c>
      <c r="Z16" s="49" t="s">
        <v>1825</v>
      </c>
      <c r="AA16" s="50" t="s">
        <v>1827</v>
      </c>
    </row>
    <row r="17" spans="1:27">
      <c r="A17" s="126">
        <v>15</v>
      </c>
      <c r="B17" s="53">
        <v>43494</v>
      </c>
      <c r="C17" s="52">
        <f t="shared" si="6"/>
        <v>255.5</v>
      </c>
      <c r="D17" s="52"/>
      <c r="E17" s="52"/>
      <c r="F17" s="52">
        <f t="shared" si="9"/>
        <v>255.5</v>
      </c>
      <c r="G17" s="52"/>
      <c r="H17" s="72">
        <f t="shared" si="7"/>
        <v>68.611394557823132</v>
      </c>
      <c r="I17" s="51" t="s">
        <v>1625</v>
      </c>
      <c r="J17" s="51" t="s">
        <v>1698</v>
      </c>
      <c r="K17" s="51" t="s">
        <v>1700</v>
      </c>
      <c r="L17" s="51">
        <v>1</v>
      </c>
      <c r="M17" s="129">
        <v>50</v>
      </c>
      <c r="N17" s="51">
        <v>2.76</v>
      </c>
      <c r="O17" s="54" t="s">
        <v>1627</v>
      </c>
      <c r="P17" s="55" t="s">
        <v>1628</v>
      </c>
      <c r="Q17" s="52">
        <f t="shared" si="10"/>
        <v>88</v>
      </c>
      <c r="R17" s="52">
        <f t="shared" si="11"/>
        <v>200</v>
      </c>
      <c r="S17" s="52">
        <f t="shared" si="12"/>
        <v>-62</v>
      </c>
      <c r="T17" s="52">
        <f t="shared" si="13"/>
        <v>-179.5</v>
      </c>
      <c r="U17" s="57">
        <f t="shared" si="14"/>
        <v>-0.70254403131115462</v>
      </c>
      <c r="V17" s="52">
        <f t="shared" si="8"/>
        <v>343.5</v>
      </c>
      <c r="W17" s="130"/>
      <c r="Y17" s="39" t="s">
        <v>2790</v>
      </c>
      <c r="Z17" s="49" t="s">
        <v>1825</v>
      </c>
      <c r="AA17" s="50" t="s">
        <v>1828</v>
      </c>
    </row>
    <row r="18" spans="1:27">
      <c r="A18" s="126">
        <v>16</v>
      </c>
      <c r="B18" s="53">
        <v>43494</v>
      </c>
      <c r="C18" s="52">
        <f t="shared" si="6"/>
        <v>343.5</v>
      </c>
      <c r="D18" s="52"/>
      <c r="E18" s="52"/>
      <c r="F18" s="52">
        <f t="shared" si="9"/>
        <v>343.5</v>
      </c>
      <c r="G18" s="52"/>
      <c r="H18" s="72">
        <f t="shared" si="7"/>
        <v>18.611394557823132</v>
      </c>
      <c r="I18" s="51" t="s">
        <v>1625</v>
      </c>
      <c r="J18" s="51" t="s">
        <v>1689</v>
      </c>
      <c r="K18" s="51" t="s">
        <v>1701</v>
      </c>
      <c r="L18" s="51">
        <v>1</v>
      </c>
      <c r="M18" s="129">
        <v>50</v>
      </c>
      <c r="N18" s="51">
        <v>2.35</v>
      </c>
      <c r="O18" s="54" t="s">
        <v>1627</v>
      </c>
      <c r="P18" s="55" t="s">
        <v>1628</v>
      </c>
      <c r="Q18" s="52">
        <f t="shared" si="10"/>
        <v>67.5</v>
      </c>
      <c r="R18" s="52">
        <f t="shared" si="11"/>
        <v>250</v>
      </c>
      <c r="S18" s="52">
        <f t="shared" si="12"/>
        <v>5.5</v>
      </c>
      <c r="T18" s="52">
        <f t="shared" si="13"/>
        <v>-112</v>
      </c>
      <c r="U18" s="57">
        <f t="shared" si="14"/>
        <v>-0.32605531295487628</v>
      </c>
      <c r="V18" s="52">
        <f t="shared" si="8"/>
        <v>411</v>
      </c>
      <c r="W18" s="130"/>
      <c r="Y18" s="39" t="s">
        <v>2791</v>
      </c>
      <c r="Z18" s="59" t="s">
        <v>1825</v>
      </c>
      <c r="AA18" s="60" t="s">
        <v>1817</v>
      </c>
    </row>
    <row r="19" spans="1:27">
      <c r="A19" s="126">
        <v>17</v>
      </c>
      <c r="B19" s="128">
        <v>43495</v>
      </c>
      <c r="C19" s="52">
        <f t="shared" si="6"/>
        <v>411</v>
      </c>
      <c r="D19" s="77"/>
      <c r="E19" s="77"/>
      <c r="F19" s="77">
        <f t="shared" si="9"/>
        <v>411</v>
      </c>
      <c r="G19" s="77"/>
      <c r="H19" s="72">
        <f t="shared" si="7"/>
        <v>221.57653061224488</v>
      </c>
      <c r="I19" s="51" t="s">
        <v>1625</v>
      </c>
      <c r="J19" s="51" t="s">
        <v>1736</v>
      </c>
      <c r="K19" s="51" t="s">
        <v>1776</v>
      </c>
      <c r="L19" s="51">
        <v>1</v>
      </c>
      <c r="M19" s="129">
        <v>50</v>
      </c>
      <c r="N19" s="54">
        <v>3.7</v>
      </c>
      <c r="O19" s="54" t="s">
        <v>1627</v>
      </c>
      <c r="P19" s="55" t="s">
        <v>1632</v>
      </c>
      <c r="Q19" s="52">
        <f t="shared" si="10"/>
        <v>-50</v>
      </c>
      <c r="R19" s="52">
        <f t="shared" si="11"/>
        <v>50</v>
      </c>
      <c r="S19" s="52">
        <f t="shared" si="12"/>
        <v>-50</v>
      </c>
      <c r="T19" s="52">
        <f t="shared" si="13"/>
        <v>-162</v>
      </c>
      <c r="U19" s="57">
        <f t="shared" si="14"/>
        <v>-0.39416058394160586</v>
      </c>
      <c r="V19" s="52">
        <f t="shared" si="8"/>
        <v>361</v>
      </c>
      <c r="W19" s="130"/>
      <c r="Z19" s="49" t="s">
        <v>1829</v>
      </c>
      <c r="AA19" s="50" t="s">
        <v>1830</v>
      </c>
    </row>
    <row r="20" spans="1:27">
      <c r="A20" s="126">
        <v>18</v>
      </c>
      <c r="B20" s="53">
        <v>43495</v>
      </c>
      <c r="C20" s="52">
        <f t="shared" si="6"/>
        <v>361</v>
      </c>
      <c r="D20" s="52"/>
      <c r="E20" s="52"/>
      <c r="F20" s="52">
        <f t="shared" si="9"/>
        <v>361</v>
      </c>
      <c r="G20" s="52"/>
      <c r="H20" s="72">
        <f t="shared" si="7"/>
        <v>171.57653061224488</v>
      </c>
      <c r="I20" s="51" t="s">
        <v>1625</v>
      </c>
      <c r="J20" s="51" t="s">
        <v>1668</v>
      </c>
      <c r="K20" s="51" t="s">
        <v>1777</v>
      </c>
      <c r="L20" s="51">
        <v>1</v>
      </c>
      <c r="M20" s="129">
        <v>50</v>
      </c>
      <c r="N20" s="51">
        <v>2.58</v>
      </c>
      <c r="O20" s="54" t="s">
        <v>1627</v>
      </c>
      <c r="P20" s="55" t="s">
        <v>1628</v>
      </c>
      <c r="Q20" s="52">
        <f t="shared" si="10"/>
        <v>79</v>
      </c>
      <c r="R20" s="52">
        <f t="shared" si="11"/>
        <v>100</v>
      </c>
      <c r="S20" s="52">
        <f t="shared" si="12"/>
        <v>29</v>
      </c>
      <c r="T20" s="52">
        <f t="shared" si="13"/>
        <v>-83</v>
      </c>
      <c r="U20" s="57">
        <f t="shared" si="14"/>
        <v>-0.22991689750692521</v>
      </c>
      <c r="V20" s="52">
        <f t="shared" si="8"/>
        <v>440</v>
      </c>
      <c r="W20" s="130"/>
      <c r="Z20" s="49" t="s">
        <v>1829</v>
      </c>
      <c r="AA20" s="50" t="s">
        <v>1831</v>
      </c>
    </row>
    <row r="21" spans="1:27">
      <c r="A21" s="126">
        <v>19</v>
      </c>
      <c r="B21" s="53">
        <v>43495</v>
      </c>
      <c r="C21" s="52">
        <f t="shared" si="6"/>
        <v>440</v>
      </c>
      <c r="D21" s="52"/>
      <c r="E21" s="52"/>
      <c r="F21" s="52">
        <f t="shared" si="9"/>
        <v>440</v>
      </c>
      <c r="G21" s="52"/>
      <c r="H21" s="72">
        <f t="shared" si="7"/>
        <v>121.57653061224488</v>
      </c>
      <c r="I21" s="51" t="s">
        <v>1625</v>
      </c>
      <c r="J21" s="51" t="s">
        <v>1259</v>
      </c>
      <c r="K21" s="51" t="s">
        <v>1778</v>
      </c>
      <c r="L21" s="51">
        <v>1</v>
      </c>
      <c r="M21" s="129">
        <v>50</v>
      </c>
      <c r="N21" s="51">
        <v>2.33</v>
      </c>
      <c r="O21" s="54" t="s">
        <v>1627</v>
      </c>
      <c r="P21" s="55" t="s">
        <v>1628</v>
      </c>
      <c r="Q21" s="52">
        <f t="shared" si="10"/>
        <v>66.5</v>
      </c>
      <c r="R21" s="52">
        <f t="shared" si="11"/>
        <v>150</v>
      </c>
      <c r="S21" s="52">
        <f t="shared" si="12"/>
        <v>95.5</v>
      </c>
      <c r="T21" s="52">
        <f t="shared" si="13"/>
        <v>-16.5</v>
      </c>
      <c r="U21" s="57">
        <f t="shared" si="14"/>
        <v>-3.7499999999999999E-2</v>
      </c>
      <c r="V21" s="52">
        <f t="shared" si="8"/>
        <v>506.5</v>
      </c>
      <c r="W21" s="130"/>
      <c r="Z21" s="49" t="s">
        <v>1829</v>
      </c>
      <c r="AA21" s="50" t="s">
        <v>1832</v>
      </c>
    </row>
    <row r="22" spans="1:27">
      <c r="A22" s="126">
        <v>20</v>
      </c>
      <c r="B22" s="53">
        <v>43495</v>
      </c>
      <c r="C22" s="52">
        <f t="shared" si="6"/>
        <v>506.5</v>
      </c>
      <c r="D22" s="52"/>
      <c r="E22" s="52"/>
      <c r="F22" s="52">
        <f t="shared" si="9"/>
        <v>506.5</v>
      </c>
      <c r="G22" s="52"/>
      <c r="H22" s="72">
        <f t="shared" si="7"/>
        <v>71.576530612244881</v>
      </c>
      <c r="I22" s="51" t="s">
        <v>1779</v>
      </c>
      <c r="J22" s="51" t="s">
        <v>1259</v>
      </c>
      <c r="K22" s="51" t="s">
        <v>1778</v>
      </c>
      <c r="L22" s="51">
        <v>1</v>
      </c>
      <c r="M22" s="129">
        <v>50</v>
      </c>
      <c r="N22" s="51">
        <v>2.33</v>
      </c>
      <c r="O22" s="54" t="s">
        <v>1627</v>
      </c>
      <c r="P22" s="55" t="s">
        <v>1628</v>
      </c>
      <c r="Q22" s="52">
        <f t="shared" si="10"/>
        <v>66.5</v>
      </c>
      <c r="R22" s="52">
        <f t="shared" si="11"/>
        <v>200</v>
      </c>
      <c r="S22" s="52">
        <f t="shared" si="12"/>
        <v>162</v>
      </c>
      <c r="T22" s="52">
        <f t="shared" si="13"/>
        <v>50</v>
      </c>
      <c r="U22" s="57">
        <f t="shared" si="14"/>
        <v>9.8716683119447188E-2</v>
      </c>
      <c r="V22" s="52">
        <f t="shared" si="8"/>
        <v>573</v>
      </c>
      <c r="W22" s="130" t="s">
        <v>1784</v>
      </c>
      <c r="Z22" s="105" t="s">
        <v>1829</v>
      </c>
      <c r="AA22" s="108" t="s">
        <v>1833</v>
      </c>
    </row>
    <row r="23" spans="1:27" ht="15.75" thickBot="1">
      <c r="A23" s="131">
        <v>21</v>
      </c>
      <c r="B23" s="132">
        <v>43495</v>
      </c>
      <c r="C23" s="133">
        <f t="shared" si="6"/>
        <v>573</v>
      </c>
      <c r="D23" s="133"/>
      <c r="E23" s="133"/>
      <c r="F23" s="133">
        <f t="shared" si="9"/>
        <v>573</v>
      </c>
      <c r="G23" s="133"/>
      <c r="H23" s="134">
        <f t="shared" si="7"/>
        <v>21.576530612244881</v>
      </c>
      <c r="I23" s="135" t="s">
        <v>1625</v>
      </c>
      <c r="J23" s="135" t="s">
        <v>1780</v>
      </c>
      <c r="K23" s="135" t="s">
        <v>1781</v>
      </c>
      <c r="L23" s="135">
        <v>1</v>
      </c>
      <c r="M23" s="136">
        <v>50</v>
      </c>
      <c r="N23" s="135">
        <v>6.01</v>
      </c>
      <c r="O23" s="137" t="s">
        <v>1627</v>
      </c>
      <c r="P23" s="138" t="s">
        <v>1628</v>
      </c>
      <c r="Q23" s="133">
        <f t="shared" si="10"/>
        <v>250.5</v>
      </c>
      <c r="R23" s="133">
        <f t="shared" si="11"/>
        <v>250</v>
      </c>
      <c r="S23" s="133">
        <f t="shared" si="12"/>
        <v>412.5</v>
      </c>
      <c r="T23" s="133">
        <f t="shared" si="13"/>
        <v>300.5</v>
      </c>
      <c r="U23" s="139">
        <f t="shared" si="14"/>
        <v>0.5244328097731239</v>
      </c>
      <c r="V23" s="133">
        <f t="shared" si="8"/>
        <v>823.5</v>
      </c>
      <c r="W23" s="140"/>
      <c r="Z23" s="105" t="s">
        <v>1829</v>
      </c>
      <c r="AA23" s="108" t="s">
        <v>1834</v>
      </c>
    </row>
    <row r="24" spans="1:27">
      <c r="A24" s="113">
        <v>22</v>
      </c>
      <c r="B24" s="114">
        <v>43497</v>
      </c>
      <c r="C24" s="123">
        <f t="shared" si="6"/>
        <v>823.5</v>
      </c>
      <c r="D24" s="115"/>
      <c r="E24" s="115"/>
      <c r="F24" s="115">
        <f t="shared" si="9"/>
        <v>823.5</v>
      </c>
      <c r="G24" s="115"/>
      <c r="H24" s="116">
        <f t="shared" si="7"/>
        <v>443.96173469387753</v>
      </c>
      <c r="I24" s="118" t="s">
        <v>1625</v>
      </c>
      <c r="J24" s="118" t="s">
        <v>1845</v>
      </c>
      <c r="K24" s="118" t="s">
        <v>1887</v>
      </c>
      <c r="L24" s="118">
        <v>1</v>
      </c>
      <c r="M24" s="170">
        <v>50</v>
      </c>
      <c r="N24" s="118">
        <v>2.68</v>
      </c>
      <c r="O24" s="121" t="s">
        <v>1627</v>
      </c>
      <c r="P24" s="122" t="s">
        <v>1628</v>
      </c>
      <c r="Q24" s="123">
        <f t="shared" si="10"/>
        <v>84</v>
      </c>
      <c r="R24" s="123">
        <f t="shared" si="11"/>
        <v>50</v>
      </c>
      <c r="S24" s="123">
        <f t="shared" si="12"/>
        <v>84</v>
      </c>
      <c r="T24" s="123">
        <f t="shared" si="13"/>
        <v>84</v>
      </c>
      <c r="U24" s="124">
        <f t="shared" si="14"/>
        <v>0.10200364298724955</v>
      </c>
      <c r="V24" s="123">
        <f t="shared" si="8"/>
        <v>907.5</v>
      </c>
      <c r="W24" s="171"/>
      <c r="Z24" s="59" t="s">
        <v>1835</v>
      </c>
      <c r="AA24" s="60" t="s">
        <v>1836</v>
      </c>
    </row>
    <row r="25" spans="1:27">
      <c r="A25" s="126">
        <v>23</v>
      </c>
      <c r="B25" s="53">
        <v>43497</v>
      </c>
      <c r="C25" s="52">
        <f t="shared" si="6"/>
        <v>907.5</v>
      </c>
      <c r="D25" s="52"/>
      <c r="E25" s="52"/>
      <c r="F25" s="52">
        <f t="shared" si="9"/>
        <v>907.5</v>
      </c>
      <c r="G25" s="52"/>
      <c r="H25" s="72">
        <f t="shared" si="7"/>
        <v>393.96173469387753</v>
      </c>
      <c r="I25" s="51" t="s">
        <v>1625</v>
      </c>
      <c r="J25" s="51" t="s">
        <v>1693</v>
      </c>
      <c r="K25" s="51" t="s">
        <v>1888</v>
      </c>
      <c r="L25" s="51">
        <v>1</v>
      </c>
      <c r="M25" s="129">
        <v>50</v>
      </c>
      <c r="N25" s="51">
        <v>2.52</v>
      </c>
      <c r="O25" s="54" t="s">
        <v>1627</v>
      </c>
      <c r="P25" s="55" t="s">
        <v>1628</v>
      </c>
      <c r="Q25" s="52">
        <f t="shared" si="10"/>
        <v>76</v>
      </c>
      <c r="R25" s="52">
        <f t="shared" si="11"/>
        <v>100</v>
      </c>
      <c r="S25" s="52">
        <f t="shared" si="12"/>
        <v>160</v>
      </c>
      <c r="T25" s="52">
        <f t="shared" si="13"/>
        <v>160</v>
      </c>
      <c r="U25" s="57">
        <f t="shared" si="14"/>
        <v>0.17630853994490359</v>
      </c>
      <c r="V25" s="52">
        <f t="shared" si="8"/>
        <v>983.5</v>
      </c>
      <c r="W25" s="130"/>
      <c r="Z25" s="49" t="s">
        <v>1835</v>
      </c>
      <c r="AA25" s="50" t="s">
        <v>1837</v>
      </c>
    </row>
    <row r="26" spans="1:27">
      <c r="A26" s="126">
        <v>24</v>
      </c>
      <c r="B26" s="53">
        <v>43497</v>
      </c>
      <c r="C26" s="52">
        <f t="shared" si="6"/>
        <v>983.5</v>
      </c>
      <c r="D26" s="52"/>
      <c r="E26" s="52"/>
      <c r="F26" s="52">
        <f t="shared" ref="F26:F35" si="15">+C26+D26-E26</f>
        <v>983.5</v>
      </c>
      <c r="G26" s="52"/>
      <c r="H26" s="72">
        <f t="shared" si="7"/>
        <v>343.96173469387753</v>
      </c>
      <c r="I26" s="51" t="s">
        <v>1625</v>
      </c>
      <c r="J26" s="51" t="s">
        <v>1848</v>
      </c>
      <c r="K26" s="51" t="s">
        <v>1889</v>
      </c>
      <c r="L26" s="51">
        <v>1</v>
      </c>
      <c r="M26" s="129">
        <v>50</v>
      </c>
      <c r="N26" s="51">
        <v>2.35</v>
      </c>
      <c r="O26" s="54" t="s">
        <v>1627</v>
      </c>
      <c r="P26" s="55" t="s">
        <v>1628</v>
      </c>
      <c r="Q26" s="52">
        <f t="shared" ref="Q26:Q35" si="16">IF(P26="Win",(M26*N26)-M26,IF(P26="Refund",0,IF(P26="Loss",-M26)))</f>
        <v>67.5</v>
      </c>
      <c r="R26" s="52">
        <f t="shared" ref="R26:R35" si="17">IF(B26=B25,M26+R25,M26)</f>
        <v>150</v>
      </c>
      <c r="S26" s="52">
        <f t="shared" ref="S26:S35" si="18">IF(B26=B25,+Q26+S25,Q26)</f>
        <v>227.5</v>
      </c>
      <c r="T26" s="52">
        <f t="shared" ref="T26:T35" si="19">IF(MONTH(B26)=MONTH(B25),T25+Q26,Q26)</f>
        <v>227.5</v>
      </c>
      <c r="U26" s="57">
        <f t="shared" ref="U26:U35" si="20">T26/F26</f>
        <v>0.23131672597864769</v>
      </c>
      <c r="V26" s="52">
        <f t="shared" si="8"/>
        <v>1051</v>
      </c>
      <c r="W26" s="130"/>
      <c r="Z26" s="49" t="s">
        <v>1838</v>
      </c>
      <c r="AA26" s="50" t="s">
        <v>1839</v>
      </c>
    </row>
    <row r="27" spans="1:27">
      <c r="A27" s="126">
        <v>25</v>
      </c>
      <c r="B27" s="53">
        <v>43497</v>
      </c>
      <c r="C27" s="52">
        <f t="shared" si="6"/>
        <v>1051</v>
      </c>
      <c r="D27" s="52"/>
      <c r="E27" s="52"/>
      <c r="F27" s="52">
        <f t="shared" si="15"/>
        <v>1051</v>
      </c>
      <c r="G27" s="52"/>
      <c r="H27" s="72">
        <f t="shared" si="7"/>
        <v>293.96173469387753</v>
      </c>
      <c r="I27" s="51" t="s">
        <v>1625</v>
      </c>
      <c r="J27" s="51" t="s">
        <v>1693</v>
      </c>
      <c r="K27" s="51" t="s">
        <v>1890</v>
      </c>
      <c r="L27" s="51">
        <v>1</v>
      </c>
      <c r="M27" s="129">
        <v>50</v>
      </c>
      <c r="N27" s="51">
        <v>2.0699999999999998</v>
      </c>
      <c r="O27" s="54" t="s">
        <v>1627</v>
      </c>
      <c r="P27" s="55" t="s">
        <v>1632</v>
      </c>
      <c r="Q27" s="52">
        <f t="shared" si="16"/>
        <v>-50</v>
      </c>
      <c r="R27" s="52">
        <f t="shared" si="17"/>
        <v>200</v>
      </c>
      <c r="S27" s="52">
        <f t="shared" si="18"/>
        <v>177.5</v>
      </c>
      <c r="T27" s="52">
        <f t="shared" si="19"/>
        <v>177.5</v>
      </c>
      <c r="U27" s="57">
        <f t="shared" si="20"/>
        <v>0.16888677450047573</v>
      </c>
      <c r="V27" s="52">
        <f t="shared" si="8"/>
        <v>1001</v>
      </c>
      <c r="W27" s="130"/>
      <c r="Z27" s="49" t="s">
        <v>1838</v>
      </c>
      <c r="AA27" s="50" t="s">
        <v>1840</v>
      </c>
    </row>
    <row r="28" spans="1:27">
      <c r="A28" s="126">
        <v>26</v>
      </c>
      <c r="B28" s="53">
        <v>43497</v>
      </c>
      <c r="C28" s="52">
        <f t="shared" si="6"/>
        <v>1001</v>
      </c>
      <c r="D28" s="52"/>
      <c r="E28" s="52"/>
      <c r="F28" s="52">
        <f t="shared" si="15"/>
        <v>1001</v>
      </c>
      <c r="G28" s="52"/>
      <c r="H28" s="72">
        <f t="shared" si="7"/>
        <v>243.96173469387753</v>
      </c>
      <c r="I28" s="51" t="s">
        <v>1625</v>
      </c>
      <c r="J28" s="51" t="s">
        <v>1736</v>
      </c>
      <c r="K28" s="51" t="s">
        <v>1891</v>
      </c>
      <c r="L28" s="51">
        <v>1</v>
      </c>
      <c r="M28" s="129">
        <v>50</v>
      </c>
      <c r="N28" s="51">
        <v>2.3199999999999998</v>
      </c>
      <c r="O28" s="54" t="s">
        <v>1627</v>
      </c>
      <c r="P28" s="55" t="s">
        <v>1628</v>
      </c>
      <c r="Q28" s="52">
        <f t="shared" si="16"/>
        <v>65.999999999999986</v>
      </c>
      <c r="R28" s="52">
        <f t="shared" si="17"/>
        <v>250</v>
      </c>
      <c r="S28" s="52">
        <f t="shared" si="18"/>
        <v>243.5</v>
      </c>
      <c r="T28" s="52">
        <f t="shared" si="19"/>
        <v>243.5</v>
      </c>
      <c r="U28" s="57">
        <f t="shared" si="20"/>
        <v>0.24325674325674326</v>
      </c>
      <c r="V28" s="52">
        <f t="shared" si="8"/>
        <v>1067</v>
      </c>
      <c r="W28" s="130" t="s">
        <v>1895</v>
      </c>
      <c r="Z28" s="49" t="s">
        <v>1841</v>
      </c>
      <c r="AA28" s="50" t="s">
        <v>1842</v>
      </c>
    </row>
    <row r="29" spans="1:27">
      <c r="A29" s="126">
        <v>27</v>
      </c>
      <c r="B29" s="53">
        <v>43497</v>
      </c>
      <c r="C29" s="52">
        <f t="shared" si="6"/>
        <v>1067</v>
      </c>
      <c r="D29" s="52"/>
      <c r="E29" s="52"/>
      <c r="F29" s="52">
        <f t="shared" si="15"/>
        <v>1067</v>
      </c>
      <c r="G29" s="52"/>
      <c r="H29" s="72">
        <f t="shared" si="7"/>
        <v>193.96173469387753</v>
      </c>
      <c r="I29" s="51" t="s">
        <v>1625</v>
      </c>
      <c r="J29" s="51" t="s">
        <v>1166</v>
      </c>
      <c r="K29" s="51" t="s">
        <v>1893</v>
      </c>
      <c r="L29" s="51">
        <v>1</v>
      </c>
      <c r="M29" s="129">
        <v>50</v>
      </c>
      <c r="N29" s="54">
        <v>2.2000000000000002</v>
      </c>
      <c r="O29" s="54" t="s">
        <v>1627</v>
      </c>
      <c r="P29" s="55" t="s">
        <v>1632</v>
      </c>
      <c r="Q29" s="52">
        <f t="shared" si="16"/>
        <v>-50</v>
      </c>
      <c r="R29" s="52">
        <f t="shared" si="17"/>
        <v>300</v>
      </c>
      <c r="S29" s="77">
        <f t="shared" si="18"/>
        <v>193.5</v>
      </c>
      <c r="T29" s="52">
        <f t="shared" si="19"/>
        <v>193.5</v>
      </c>
      <c r="U29" s="57">
        <f t="shared" si="20"/>
        <v>0.18134957825679476</v>
      </c>
      <c r="V29" s="52">
        <f t="shared" si="8"/>
        <v>1017</v>
      </c>
      <c r="W29" s="130" t="s">
        <v>1894</v>
      </c>
      <c r="Z29" s="49" t="s">
        <v>1841</v>
      </c>
      <c r="AA29" s="50" t="s">
        <v>1843</v>
      </c>
    </row>
    <row r="30" spans="1:27">
      <c r="A30" s="126">
        <v>28</v>
      </c>
      <c r="B30" s="128">
        <v>43498</v>
      </c>
      <c r="C30" s="52">
        <f t="shared" si="6"/>
        <v>1017</v>
      </c>
      <c r="D30" s="77"/>
      <c r="E30" s="77"/>
      <c r="F30" s="77">
        <f t="shared" si="15"/>
        <v>1017</v>
      </c>
      <c r="G30" s="77"/>
      <c r="H30" s="72">
        <f t="shared" si="7"/>
        <v>548.28061224489795</v>
      </c>
      <c r="I30" s="51" t="s">
        <v>1625</v>
      </c>
      <c r="J30" s="51" t="s">
        <v>1692</v>
      </c>
      <c r="K30" s="51" t="s">
        <v>2025</v>
      </c>
      <c r="L30" s="51">
        <v>1</v>
      </c>
      <c r="M30" s="129">
        <v>50</v>
      </c>
      <c r="N30" s="51">
        <v>3.9</v>
      </c>
      <c r="O30" s="54" t="s">
        <v>1627</v>
      </c>
      <c r="P30" s="55" t="s">
        <v>1628</v>
      </c>
      <c r="Q30" s="52">
        <f t="shared" si="16"/>
        <v>145</v>
      </c>
      <c r="R30" s="52">
        <f t="shared" si="17"/>
        <v>50</v>
      </c>
      <c r="S30" s="52">
        <f t="shared" si="18"/>
        <v>145</v>
      </c>
      <c r="T30" s="52">
        <f t="shared" si="19"/>
        <v>338.5</v>
      </c>
      <c r="U30" s="57">
        <f t="shared" si="20"/>
        <v>0.33284169124877089</v>
      </c>
      <c r="V30" s="52">
        <f t="shared" si="8"/>
        <v>1162</v>
      </c>
      <c r="W30" s="130"/>
    </row>
    <row r="31" spans="1:27">
      <c r="A31" s="126">
        <v>29</v>
      </c>
      <c r="B31" s="53">
        <v>43498</v>
      </c>
      <c r="C31" s="52">
        <f t="shared" si="6"/>
        <v>1162</v>
      </c>
      <c r="D31" s="52"/>
      <c r="E31" s="52"/>
      <c r="F31" s="52">
        <f t="shared" si="15"/>
        <v>1162</v>
      </c>
      <c r="G31" s="52"/>
      <c r="H31" s="72">
        <f t="shared" si="7"/>
        <v>498.28061224489795</v>
      </c>
      <c r="I31" s="51" t="s">
        <v>1625</v>
      </c>
      <c r="J31" s="51" t="s">
        <v>1692</v>
      </c>
      <c r="K31" s="51" t="s">
        <v>2026</v>
      </c>
      <c r="L31" s="51">
        <v>1</v>
      </c>
      <c r="M31" s="129">
        <v>50</v>
      </c>
      <c r="N31" s="51">
        <v>3.4</v>
      </c>
      <c r="O31" s="54" t="s">
        <v>1627</v>
      </c>
      <c r="P31" s="55" t="s">
        <v>1632</v>
      </c>
      <c r="Q31" s="52">
        <f t="shared" si="16"/>
        <v>-50</v>
      </c>
      <c r="R31" s="52">
        <f t="shared" si="17"/>
        <v>100</v>
      </c>
      <c r="S31" s="52">
        <f t="shared" si="18"/>
        <v>95</v>
      </c>
      <c r="T31" s="52">
        <f t="shared" si="19"/>
        <v>288.5</v>
      </c>
      <c r="U31" s="57">
        <f t="shared" si="20"/>
        <v>0.24827882960413081</v>
      </c>
      <c r="V31" s="52">
        <f t="shared" si="8"/>
        <v>1112</v>
      </c>
      <c r="W31" s="130"/>
    </row>
    <row r="32" spans="1:27">
      <c r="A32" s="126">
        <v>30</v>
      </c>
      <c r="B32" s="53">
        <v>43498</v>
      </c>
      <c r="C32" s="52">
        <f t="shared" si="6"/>
        <v>1112</v>
      </c>
      <c r="D32" s="52"/>
      <c r="E32" s="52"/>
      <c r="F32" s="52">
        <f t="shared" si="15"/>
        <v>1112</v>
      </c>
      <c r="G32" s="52"/>
      <c r="H32" s="72">
        <f t="shared" si="7"/>
        <v>448.28061224489795</v>
      </c>
      <c r="I32" s="51" t="s">
        <v>1625</v>
      </c>
      <c r="J32" s="51" t="s">
        <v>1847</v>
      </c>
      <c r="K32" s="51" t="s">
        <v>2027</v>
      </c>
      <c r="L32" s="51">
        <v>1</v>
      </c>
      <c r="M32" s="129">
        <v>50</v>
      </c>
      <c r="N32" s="51">
        <v>3.35</v>
      </c>
      <c r="O32" s="54" t="s">
        <v>1627</v>
      </c>
      <c r="P32" s="55" t="s">
        <v>1632</v>
      </c>
      <c r="Q32" s="52">
        <f t="shared" si="16"/>
        <v>-50</v>
      </c>
      <c r="R32" s="52">
        <f t="shared" si="17"/>
        <v>150</v>
      </c>
      <c r="S32" s="52">
        <f t="shared" si="18"/>
        <v>45</v>
      </c>
      <c r="T32" s="52">
        <f t="shared" si="19"/>
        <v>238.5</v>
      </c>
      <c r="U32" s="57">
        <f t="shared" si="20"/>
        <v>0.21447841726618705</v>
      </c>
      <c r="V32" s="52">
        <f t="shared" si="8"/>
        <v>1062</v>
      </c>
      <c r="W32" s="130"/>
    </row>
    <row r="33" spans="1:23">
      <c r="A33" s="126">
        <v>31</v>
      </c>
      <c r="B33" s="53">
        <v>43498</v>
      </c>
      <c r="C33" s="52">
        <f t="shared" si="6"/>
        <v>1062</v>
      </c>
      <c r="D33" s="52"/>
      <c r="E33" s="52"/>
      <c r="F33" s="52">
        <f t="shared" si="15"/>
        <v>1062</v>
      </c>
      <c r="G33" s="52"/>
      <c r="H33" s="72">
        <f t="shared" si="7"/>
        <v>398.28061224489795</v>
      </c>
      <c r="I33" s="51" t="s">
        <v>1625</v>
      </c>
      <c r="J33" s="51" t="s">
        <v>1736</v>
      </c>
      <c r="K33" s="51" t="s">
        <v>2028</v>
      </c>
      <c r="L33" s="51">
        <v>1</v>
      </c>
      <c r="M33" s="129">
        <v>50</v>
      </c>
      <c r="N33" s="51">
        <v>3.05</v>
      </c>
      <c r="O33" s="54" t="s">
        <v>1627</v>
      </c>
      <c r="P33" s="55" t="s">
        <v>1632</v>
      </c>
      <c r="Q33" s="52">
        <f t="shared" si="16"/>
        <v>-50</v>
      </c>
      <c r="R33" s="52">
        <f t="shared" si="17"/>
        <v>200</v>
      </c>
      <c r="S33" s="52">
        <f t="shared" si="18"/>
        <v>-5</v>
      </c>
      <c r="T33" s="52">
        <f t="shared" si="19"/>
        <v>188.5</v>
      </c>
      <c r="U33" s="57">
        <f t="shared" si="20"/>
        <v>0.17749529190207156</v>
      </c>
      <c r="V33" s="52">
        <f t="shared" si="8"/>
        <v>1012</v>
      </c>
      <c r="W33" s="130"/>
    </row>
    <row r="34" spans="1:23">
      <c r="A34" s="126">
        <v>32</v>
      </c>
      <c r="B34" s="53">
        <v>43498</v>
      </c>
      <c r="C34" s="52">
        <f t="shared" si="6"/>
        <v>1012</v>
      </c>
      <c r="D34" s="52"/>
      <c r="E34" s="52"/>
      <c r="F34" s="52">
        <f t="shared" si="15"/>
        <v>1012</v>
      </c>
      <c r="G34" s="52"/>
      <c r="H34" s="72">
        <f t="shared" si="7"/>
        <v>348.28061224489795</v>
      </c>
      <c r="I34" s="51" t="s">
        <v>1625</v>
      </c>
      <c r="J34" s="51" t="s">
        <v>1848</v>
      </c>
      <c r="K34" s="51" t="s">
        <v>2029</v>
      </c>
      <c r="L34" s="51">
        <v>1</v>
      </c>
      <c r="M34" s="129">
        <v>50</v>
      </c>
      <c r="N34" s="51">
        <v>2.67</v>
      </c>
      <c r="O34" s="54" t="s">
        <v>1627</v>
      </c>
      <c r="P34" s="55" t="s">
        <v>1632</v>
      </c>
      <c r="Q34" s="52">
        <f t="shared" si="16"/>
        <v>-50</v>
      </c>
      <c r="R34" s="52">
        <f t="shared" si="17"/>
        <v>250</v>
      </c>
      <c r="S34" s="52">
        <f t="shared" si="18"/>
        <v>-55</v>
      </c>
      <c r="T34" s="52">
        <f t="shared" si="19"/>
        <v>138.5</v>
      </c>
      <c r="U34" s="57">
        <f t="shared" si="20"/>
        <v>0.13685770750988141</v>
      </c>
      <c r="V34" s="52">
        <f t="shared" si="8"/>
        <v>962</v>
      </c>
      <c r="W34" s="130"/>
    </row>
    <row r="35" spans="1:23">
      <c r="A35" s="126">
        <v>33</v>
      </c>
      <c r="B35" s="53">
        <v>43498</v>
      </c>
      <c r="C35" s="52">
        <f t="shared" si="6"/>
        <v>962</v>
      </c>
      <c r="D35" s="52"/>
      <c r="E35" s="52"/>
      <c r="F35" s="52">
        <f t="shared" si="15"/>
        <v>962</v>
      </c>
      <c r="G35" s="52"/>
      <c r="H35" s="72">
        <f t="shared" si="7"/>
        <v>298.28061224489795</v>
      </c>
      <c r="I35" s="51" t="s">
        <v>1625</v>
      </c>
      <c r="J35" s="51" t="s">
        <v>1267</v>
      </c>
      <c r="K35" s="51" t="s">
        <v>2030</v>
      </c>
      <c r="L35" s="51">
        <v>1</v>
      </c>
      <c r="M35" s="129">
        <v>50</v>
      </c>
      <c r="N35" s="51">
        <v>2.54</v>
      </c>
      <c r="O35" s="54" t="s">
        <v>1627</v>
      </c>
      <c r="P35" s="55" t="s">
        <v>1632</v>
      </c>
      <c r="Q35" s="52">
        <f t="shared" si="16"/>
        <v>-50</v>
      </c>
      <c r="R35" s="52">
        <f t="shared" si="17"/>
        <v>300</v>
      </c>
      <c r="S35" s="52">
        <f t="shared" si="18"/>
        <v>-105</v>
      </c>
      <c r="T35" s="52">
        <f t="shared" si="19"/>
        <v>88.5</v>
      </c>
      <c r="U35" s="57">
        <f t="shared" si="20"/>
        <v>9.1995841995842001E-2</v>
      </c>
      <c r="V35" s="52">
        <f t="shared" si="8"/>
        <v>912</v>
      </c>
      <c r="W35" s="130"/>
    </row>
    <row r="36" spans="1:23">
      <c r="A36" s="126">
        <v>34</v>
      </c>
      <c r="B36" s="53">
        <v>43498</v>
      </c>
      <c r="C36" s="52">
        <f t="shared" si="6"/>
        <v>912</v>
      </c>
      <c r="D36" s="52"/>
      <c r="E36" s="52"/>
      <c r="F36" s="52">
        <f t="shared" ref="F36:F51" si="21">+C36+D36-E36</f>
        <v>912</v>
      </c>
      <c r="G36" s="52"/>
      <c r="H36" s="72">
        <f t="shared" si="7"/>
        <v>248.28061224489795</v>
      </c>
      <c r="I36" s="51" t="s">
        <v>1625</v>
      </c>
      <c r="J36" s="51" t="s">
        <v>1265</v>
      </c>
      <c r="K36" s="51" t="s">
        <v>2031</v>
      </c>
      <c r="L36" s="51">
        <v>1</v>
      </c>
      <c r="M36" s="129">
        <v>50</v>
      </c>
      <c r="N36" s="51">
        <v>2.5</v>
      </c>
      <c r="O36" s="54" t="s">
        <v>1627</v>
      </c>
      <c r="P36" s="55" t="s">
        <v>1632</v>
      </c>
      <c r="Q36" s="52">
        <f t="shared" ref="Q36:Q50" si="22">IF(P36="Win",(M36*N36)-M36,IF(P36="Refund",0,IF(P36="Loss",-M36)))</f>
        <v>-50</v>
      </c>
      <c r="R36" s="52">
        <f t="shared" ref="R36:R51" si="23">IF(B36=B35,M36+R35,M36)</f>
        <v>350</v>
      </c>
      <c r="S36" s="52">
        <f t="shared" ref="S36:S51" si="24">IF(B36=B35,+Q36+S35,Q36)</f>
        <v>-155</v>
      </c>
      <c r="T36" s="52">
        <f t="shared" ref="T36:T51" si="25">IF(MONTH(B36)=MONTH(B35),T35+Q36,Q36)</f>
        <v>38.5</v>
      </c>
      <c r="U36" s="57">
        <f t="shared" ref="U36:U51" si="26">T36/F36</f>
        <v>4.2214912280701754E-2</v>
      </c>
      <c r="V36" s="52">
        <f t="shared" si="8"/>
        <v>862</v>
      </c>
      <c r="W36" s="130"/>
    </row>
    <row r="37" spans="1:23">
      <c r="A37" s="126">
        <v>35</v>
      </c>
      <c r="B37" s="53">
        <v>43498</v>
      </c>
      <c r="C37" s="52">
        <f t="shared" si="6"/>
        <v>862</v>
      </c>
      <c r="D37" s="52"/>
      <c r="E37" s="52"/>
      <c r="F37" s="52">
        <f t="shared" si="21"/>
        <v>862</v>
      </c>
      <c r="G37" s="52"/>
      <c r="H37" s="72">
        <f t="shared" si="7"/>
        <v>198.28061224489795</v>
      </c>
      <c r="I37" s="51" t="s">
        <v>1625</v>
      </c>
      <c r="J37" s="51" t="s">
        <v>1266</v>
      </c>
      <c r="K37" s="51" t="s">
        <v>2032</v>
      </c>
      <c r="L37" s="51">
        <v>1</v>
      </c>
      <c r="M37" s="129">
        <v>50</v>
      </c>
      <c r="N37" s="51">
        <v>2.4</v>
      </c>
      <c r="O37" s="54" t="s">
        <v>1627</v>
      </c>
      <c r="P37" s="55" t="s">
        <v>1632</v>
      </c>
      <c r="Q37" s="52">
        <f t="shared" si="22"/>
        <v>-50</v>
      </c>
      <c r="R37" s="52">
        <f t="shared" si="23"/>
        <v>400</v>
      </c>
      <c r="S37" s="52">
        <f t="shared" si="24"/>
        <v>-205</v>
      </c>
      <c r="T37" s="52">
        <f t="shared" si="25"/>
        <v>-11.5</v>
      </c>
      <c r="U37" s="57">
        <f t="shared" si="26"/>
        <v>-1.334106728538283E-2</v>
      </c>
      <c r="V37" s="52">
        <f t="shared" si="8"/>
        <v>812</v>
      </c>
      <c r="W37" s="130"/>
    </row>
    <row r="38" spans="1:23">
      <c r="A38" s="126">
        <v>36</v>
      </c>
      <c r="B38" s="53">
        <v>43498</v>
      </c>
      <c r="C38" s="52">
        <f t="shared" si="6"/>
        <v>812</v>
      </c>
      <c r="D38" s="52"/>
      <c r="E38" s="52"/>
      <c r="F38" s="52">
        <f t="shared" si="21"/>
        <v>812</v>
      </c>
      <c r="G38" s="52"/>
      <c r="H38" s="72">
        <f t="shared" si="7"/>
        <v>148.28061224489795</v>
      </c>
      <c r="I38" s="51" t="s">
        <v>1625</v>
      </c>
      <c r="J38" s="51" t="s">
        <v>1846</v>
      </c>
      <c r="K38" s="51" t="s">
        <v>2033</v>
      </c>
      <c r="L38" s="51">
        <v>1</v>
      </c>
      <c r="M38" s="129">
        <v>50</v>
      </c>
      <c r="N38" s="51">
        <v>2.2999999999999998</v>
      </c>
      <c r="O38" s="54" t="s">
        <v>1627</v>
      </c>
      <c r="P38" s="55" t="s">
        <v>1632</v>
      </c>
      <c r="Q38" s="52">
        <f t="shared" si="22"/>
        <v>-50</v>
      </c>
      <c r="R38" s="52">
        <f t="shared" si="23"/>
        <v>450</v>
      </c>
      <c r="S38" s="77">
        <f t="shared" si="24"/>
        <v>-255</v>
      </c>
      <c r="T38" s="52">
        <f t="shared" si="25"/>
        <v>-61.5</v>
      </c>
      <c r="U38" s="57">
        <f t="shared" si="26"/>
        <v>-7.573891625615764E-2</v>
      </c>
      <c r="V38" s="52">
        <f t="shared" si="8"/>
        <v>762</v>
      </c>
      <c r="W38" s="130"/>
    </row>
    <row r="39" spans="1:23">
      <c r="A39" s="126">
        <v>37</v>
      </c>
      <c r="B39" s="128">
        <v>43468</v>
      </c>
      <c r="C39" s="52">
        <f t="shared" si="6"/>
        <v>762</v>
      </c>
      <c r="D39" s="77"/>
      <c r="E39" s="77"/>
      <c r="F39" s="77">
        <f t="shared" si="21"/>
        <v>762</v>
      </c>
      <c r="G39" s="77"/>
      <c r="H39" s="72">
        <f t="shared" si="7"/>
        <v>410.80612244897958</v>
      </c>
      <c r="I39" s="51" t="s">
        <v>1625</v>
      </c>
      <c r="J39" s="51" t="s">
        <v>1265</v>
      </c>
      <c r="K39" s="51" t="s">
        <v>2116</v>
      </c>
      <c r="L39" s="51">
        <v>1</v>
      </c>
      <c r="M39" s="129">
        <v>50</v>
      </c>
      <c r="N39" s="51">
        <v>3</v>
      </c>
      <c r="O39" s="54" t="s">
        <v>1627</v>
      </c>
      <c r="P39" s="55" t="s">
        <v>1628</v>
      </c>
      <c r="Q39" s="52">
        <f t="shared" si="22"/>
        <v>100</v>
      </c>
      <c r="R39" s="52">
        <f t="shared" si="23"/>
        <v>50</v>
      </c>
      <c r="S39" s="52">
        <f t="shared" si="24"/>
        <v>100</v>
      </c>
      <c r="T39" s="52">
        <f t="shared" si="25"/>
        <v>100</v>
      </c>
      <c r="U39" s="57">
        <f t="shared" si="26"/>
        <v>0.13123359580052493</v>
      </c>
      <c r="V39" s="52">
        <f t="shared" si="8"/>
        <v>862</v>
      </c>
      <c r="W39" s="172" t="s">
        <v>2128</v>
      </c>
    </row>
    <row r="40" spans="1:23">
      <c r="A40" s="126">
        <v>38</v>
      </c>
      <c r="B40" s="53">
        <v>43468</v>
      </c>
      <c r="C40" s="52">
        <f t="shared" si="6"/>
        <v>862</v>
      </c>
      <c r="D40" s="52"/>
      <c r="E40" s="52">
        <v>150</v>
      </c>
      <c r="F40" s="52">
        <f t="shared" si="21"/>
        <v>712</v>
      </c>
      <c r="G40" s="52"/>
      <c r="H40" s="72">
        <f t="shared" si="7"/>
        <v>360.80612244897958</v>
      </c>
      <c r="I40" s="51" t="s">
        <v>1625</v>
      </c>
      <c r="J40" s="51" t="s">
        <v>1242</v>
      </c>
      <c r="K40" s="51" t="s">
        <v>2117</v>
      </c>
      <c r="L40" s="51">
        <v>1</v>
      </c>
      <c r="M40" s="129">
        <v>50</v>
      </c>
      <c r="N40" s="51">
        <v>3.15</v>
      </c>
      <c r="O40" s="54" t="s">
        <v>1627</v>
      </c>
      <c r="P40" s="55" t="s">
        <v>1632</v>
      </c>
      <c r="Q40" s="52">
        <f t="shared" si="22"/>
        <v>-50</v>
      </c>
      <c r="R40" s="52">
        <f t="shared" si="23"/>
        <v>100</v>
      </c>
      <c r="S40" s="52">
        <f t="shared" si="24"/>
        <v>50</v>
      </c>
      <c r="T40" s="52">
        <f t="shared" si="25"/>
        <v>50</v>
      </c>
      <c r="U40" s="57">
        <f t="shared" si="26"/>
        <v>7.02247191011236E-2</v>
      </c>
      <c r="V40" s="52">
        <f t="shared" si="8"/>
        <v>662</v>
      </c>
      <c r="W40" s="130"/>
    </row>
    <row r="41" spans="1:23">
      <c r="A41" s="126">
        <v>39</v>
      </c>
      <c r="B41" s="53">
        <v>43468</v>
      </c>
      <c r="C41" s="52">
        <f t="shared" si="6"/>
        <v>662</v>
      </c>
      <c r="D41" s="52"/>
      <c r="E41" s="52"/>
      <c r="F41" s="52">
        <f t="shared" si="21"/>
        <v>662</v>
      </c>
      <c r="G41" s="52"/>
      <c r="H41" s="72">
        <f t="shared" si="7"/>
        <v>310.80612244897958</v>
      </c>
      <c r="I41" s="51" t="s">
        <v>1625</v>
      </c>
      <c r="J41" s="51" t="s">
        <v>1847</v>
      </c>
      <c r="K41" s="51" t="s">
        <v>2118</v>
      </c>
      <c r="L41" s="51">
        <v>1</v>
      </c>
      <c r="M41" s="129">
        <v>50</v>
      </c>
      <c r="N41" s="51">
        <v>2.48</v>
      </c>
      <c r="O41" s="54" t="s">
        <v>1627</v>
      </c>
      <c r="P41" s="55" t="s">
        <v>1632</v>
      </c>
      <c r="Q41" s="52">
        <f t="shared" si="22"/>
        <v>-50</v>
      </c>
      <c r="R41" s="52">
        <f t="shared" si="23"/>
        <v>150</v>
      </c>
      <c r="S41" s="52">
        <f t="shared" si="24"/>
        <v>0</v>
      </c>
      <c r="T41" s="52">
        <f t="shared" si="25"/>
        <v>0</v>
      </c>
      <c r="U41" s="57">
        <f t="shared" si="26"/>
        <v>0</v>
      </c>
      <c r="V41" s="52">
        <f t="shared" si="8"/>
        <v>612</v>
      </c>
      <c r="W41" s="130"/>
    </row>
    <row r="42" spans="1:23">
      <c r="A42" s="126">
        <v>40</v>
      </c>
      <c r="B42" s="53">
        <v>43468</v>
      </c>
      <c r="C42" s="52">
        <f t="shared" si="6"/>
        <v>612</v>
      </c>
      <c r="D42" s="52"/>
      <c r="E42" s="52"/>
      <c r="F42" s="52">
        <f t="shared" si="21"/>
        <v>612</v>
      </c>
      <c r="G42" s="52"/>
      <c r="H42" s="72">
        <f t="shared" si="7"/>
        <v>260.80612244897958</v>
      </c>
      <c r="I42" s="51" t="s">
        <v>1625</v>
      </c>
      <c r="J42" s="51" t="s">
        <v>1242</v>
      </c>
      <c r="K42" s="51" t="s">
        <v>2119</v>
      </c>
      <c r="L42" s="51">
        <v>1</v>
      </c>
      <c r="M42" s="129">
        <v>50</v>
      </c>
      <c r="N42" s="51">
        <v>2.33</v>
      </c>
      <c r="O42" s="54" t="s">
        <v>1627</v>
      </c>
      <c r="P42" s="55" t="s">
        <v>1632</v>
      </c>
      <c r="Q42" s="52">
        <f t="shared" si="22"/>
        <v>-50</v>
      </c>
      <c r="R42" s="52">
        <f t="shared" si="23"/>
        <v>200</v>
      </c>
      <c r="S42" s="52">
        <f t="shared" si="24"/>
        <v>-50</v>
      </c>
      <c r="T42" s="52">
        <f t="shared" si="25"/>
        <v>-50</v>
      </c>
      <c r="U42" s="57">
        <f t="shared" si="26"/>
        <v>-8.1699346405228759E-2</v>
      </c>
      <c r="V42" s="52">
        <f t="shared" si="8"/>
        <v>562</v>
      </c>
      <c r="W42" s="130"/>
    </row>
    <row r="43" spans="1:23">
      <c r="A43" s="126">
        <v>41</v>
      </c>
      <c r="B43" s="53">
        <v>43468</v>
      </c>
      <c r="C43" s="52">
        <f t="shared" si="6"/>
        <v>562</v>
      </c>
      <c r="D43" s="52"/>
      <c r="E43" s="52"/>
      <c r="F43" s="52">
        <f t="shared" si="21"/>
        <v>562</v>
      </c>
      <c r="G43" s="52"/>
      <c r="H43" s="72">
        <f t="shared" si="7"/>
        <v>210.80612244897958</v>
      </c>
      <c r="I43" s="51" t="s">
        <v>1625</v>
      </c>
      <c r="J43" s="51" t="s">
        <v>1693</v>
      </c>
      <c r="K43" s="51" t="s">
        <v>2120</v>
      </c>
      <c r="L43" s="51">
        <v>1</v>
      </c>
      <c r="M43" s="129">
        <v>50</v>
      </c>
      <c r="N43" s="51">
        <v>2.1</v>
      </c>
      <c r="O43" s="54" t="s">
        <v>1627</v>
      </c>
      <c r="P43" s="55" t="s">
        <v>1628</v>
      </c>
      <c r="Q43" s="52">
        <f t="shared" si="22"/>
        <v>55</v>
      </c>
      <c r="R43" s="52">
        <f t="shared" si="23"/>
        <v>250</v>
      </c>
      <c r="S43" s="52">
        <f t="shared" si="24"/>
        <v>5</v>
      </c>
      <c r="T43" s="52">
        <f t="shared" si="25"/>
        <v>5</v>
      </c>
      <c r="U43" s="57">
        <f t="shared" si="26"/>
        <v>8.8967971530249119E-3</v>
      </c>
      <c r="V43" s="52">
        <f t="shared" si="8"/>
        <v>617</v>
      </c>
      <c r="W43" s="130"/>
    </row>
    <row r="44" spans="1:23">
      <c r="A44" s="126">
        <v>42</v>
      </c>
      <c r="B44" s="53">
        <v>43468</v>
      </c>
      <c r="C44" s="52">
        <f t="shared" si="6"/>
        <v>617</v>
      </c>
      <c r="D44" s="52"/>
      <c r="E44" s="52"/>
      <c r="F44" s="52">
        <f t="shared" si="21"/>
        <v>617</v>
      </c>
      <c r="G44" s="52"/>
      <c r="H44" s="72">
        <f t="shared" si="7"/>
        <v>160.80612244897958</v>
      </c>
      <c r="I44" s="51" t="s">
        <v>1625</v>
      </c>
      <c r="J44" s="51" t="s">
        <v>1266</v>
      </c>
      <c r="K44" s="51" t="s">
        <v>2121</v>
      </c>
      <c r="L44" s="51">
        <v>1</v>
      </c>
      <c r="M44" s="129">
        <v>50</v>
      </c>
      <c r="N44" s="51">
        <v>2.1</v>
      </c>
      <c r="O44" s="54" t="s">
        <v>1627</v>
      </c>
      <c r="P44" s="55" t="s">
        <v>1628</v>
      </c>
      <c r="Q44" s="52">
        <f t="shared" si="22"/>
        <v>55</v>
      </c>
      <c r="R44" s="52">
        <f t="shared" si="23"/>
        <v>300</v>
      </c>
      <c r="S44" s="52">
        <f t="shared" si="24"/>
        <v>60</v>
      </c>
      <c r="T44" s="52">
        <f t="shared" si="25"/>
        <v>60</v>
      </c>
      <c r="U44" s="57">
        <f t="shared" si="26"/>
        <v>9.7244732576985418E-2</v>
      </c>
      <c r="V44" s="52">
        <f t="shared" si="8"/>
        <v>672</v>
      </c>
      <c r="W44" s="130"/>
    </row>
    <row r="45" spans="1:23">
      <c r="A45" s="126">
        <v>43</v>
      </c>
      <c r="B45" s="53">
        <v>43468</v>
      </c>
      <c r="C45" s="52">
        <f t="shared" si="6"/>
        <v>672</v>
      </c>
      <c r="D45" s="52"/>
      <c r="E45" s="52"/>
      <c r="F45" s="52">
        <f t="shared" si="21"/>
        <v>672</v>
      </c>
      <c r="G45" s="52"/>
      <c r="H45" s="72">
        <f t="shared" si="7"/>
        <v>110.80612244897958</v>
      </c>
      <c r="I45" s="51" t="s">
        <v>1625</v>
      </c>
      <c r="J45" s="51" t="s">
        <v>1845</v>
      </c>
      <c r="K45" s="51" t="s">
        <v>2122</v>
      </c>
      <c r="L45" s="51">
        <v>1</v>
      </c>
      <c r="M45" s="129">
        <v>50</v>
      </c>
      <c r="N45" s="51">
        <v>2.06</v>
      </c>
      <c r="O45" s="54" t="s">
        <v>1627</v>
      </c>
      <c r="P45" s="55" t="s">
        <v>1628</v>
      </c>
      <c r="Q45" s="52">
        <f t="shared" si="22"/>
        <v>53</v>
      </c>
      <c r="R45" s="52">
        <f t="shared" si="23"/>
        <v>350</v>
      </c>
      <c r="S45" s="52">
        <f t="shared" si="24"/>
        <v>113</v>
      </c>
      <c r="T45" s="52">
        <f t="shared" si="25"/>
        <v>113</v>
      </c>
      <c r="U45" s="57">
        <f t="shared" si="26"/>
        <v>0.16815476190476192</v>
      </c>
      <c r="V45" s="52">
        <f t="shared" si="8"/>
        <v>725</v>
      </c>
      <c r="W45" s="130"/>
    </row>
    <row r="46" spans="1:23">
      <c r="A46" s="126">
        <v>44</v>
      </c>
      <c r="B46" s="53">
        <v>43468</v>
      </c>
      <c r="C46" s="52">
        <f t="shared" si="6"/>
        <v>725</v>
      </c>
      <c r="D46" s="52"/>
      <c r="E46" s="52"/>
      <c r="F46" s="52">
        <f t="shared" si="21"/>
        <v>725</v>
      </c>
      <c r="G46" s="52"/>
      <c r="H46" s="72">
        <f t="shared" si="7"/>
        <v>60.806122448979579</v>
      </c>
      <c r="I46" s="51" t="s">
        <v>1625</v>
      </c>
      <c r="J46" s="51" t="s">
        <v>1847</v>
      </c>
      <c r="K46" s="51" t="s">
        <v>2123</v>
      </c>
      <c r="L46" s="51">
        <v>1</v>
      </c>
      <c r="M46" s="129">
        <v>50</v>
      </c>
      <c r="N46" s="51">
        <v>1.88</v>
      </c>
      <c r="O46" s="54" t="s">
        <v>1627</v>
      </c>
      <c r="P46" s="55" t="s">
        <v>1632</v>
      </c>
      <c r="Q46" s="52">
        <f t="shared" si="22"/>
        <v>-50</v>
      </c>
      <c r="R46" s="52">
        <f t="shared" si="23"/>
        <v>400</v>
      </c>
      <c r="S46" s="77">
        <f t="shared" si="24"/>
        <v>63</v>
      </c>
      <c r="T46" s="52">
        <f t="shared" si="25"/>
        <v>63</v>
      </c>
      <c r="U46" s="57">
        <f t="shared" si="26"/>
        <v>8.6896551724137933E-2</v>
      </c>
      <c r="V46" s="52">
        <f t="shared" si="8"/>
        <v>675</v>
      </c>
      <c r="W46" s="130"/>
    </row>
    <row r="47" spans="1:23">
      <c r="A47" s="126">
        <v>45</v>
      </c>
      <c r="B47" s="128">
        <v>43500</v>
      </c>
      <c r="C47" s="52">
        <f t="shared" si="6"/>
        <v>675</v>
      </c>
      <c r="D47" s="77"/>
      <c r="E47" s="77"/>
      <c r="F47" s="77">
        <f t="shared" si="21"/>
        <v>675</v>
      </c>
      <c r="G47" s="77"/>
      <c r="H47" s="72">
        <f t="shared" si="7"/>
        <v>363.90306122448976</v>
      </c>
      <c r="I47" s="51" t="s">
        <v>1625</v>
      </c>
      <c r="J47" s="51" t="s">
        <v>1736</v>
      </c>
      <c r="K47" s="51" t="s">
        <v>2129</v>
      </c>
      <c r="L47" s="51">
        <v>1</v>
      </c>
      <c r="M47" s="129">
        <v>50</v>
      </c>
      <c r="N47" s="51">
        <v>3</v>
      </c>
      <c r="O47" s="54" t="s">
        <v>1627</v>
      </c>
      <c r="P47" s="55" t="s">
        <v>1628</v>
      </c>
      <c r="Q47" s="52">
        <f t="shared" si="22"/>
        <v>100</v>
      </c>
      <c r="R47" s="52">
        <f t="shared" si="23"/>
        <v>50</v>
      </c>
      <c r="S47" s="52">
        <f t="shared" si="24"/>
        <v>100</v>
      </c>
      <c r="T47" s="52">
        <f t="shared" si="25"/>
        <v>100</v>
      </c>
      <c r="U47" s="57">
        <f t="shared" si="26"/>
        <v>0.14814814814814814</v>
      </c>
      <c r="V47" s="52">
        <f t="shared" si="8"/>
        <v>775</v>
      </c>
      <c r="W47" s="173">
        <f>+V47-775</f>
        <v>0</v>
      </c>
    </row>
    <row r="48" spans="1:23">
      <c r="A48" s="126">
        <v>46</v>
      </c>
      <c r="B48" s="53">
        <v>43500</v>
      </c>
      <c r="C48" s="52">
        <f t="shared" si="6"/>
        <v>775</v>
      </c>
      <c r="D48" s="52"/>
      <c r="E48" s="52"/>
      <c r="F48" s="52">
        <f t="shared" si="21"/>
        <v>775</v>
      </c>
      <c r="G48" s="52"/>
      <c r="H48" s="72">
        <f t="shared" si="7"/>
        <v>313.90306122448976</v>
      </c>
      <c r="I48" s="51" t="s">
        <v>1625</v>
      </c>
      <c r="J48" s="51" t="s">
        <v>1265</v>
      </c>
      <c r="K48" s="51" t="s">
        <v>2130</v>
      </c>
      <c r="L48" s="51">
        <v>1</v>
      </c>
      <c r="M48" s="129">
        <v>50</v>
      </c>
      <c r="N48" s="51">
        <v>2.35</v>
      </c>
      <c r="O48" s="54" t="s">
        <v>1627</v>
      </c>
      <c r="P48" s="55" t="s">
        <v>1632</v>
      </c>
      <c r="Q48" s="52">
        <f t="shared" si="22"/>
        <v>-50</v>
      </c>
      <c r="R48" s="52">
        <f t="shared" si="23"/>
        <v>100</v>
      </c>
      <c r="S48" s="52">
        <f t="shared" si="24"/>
        <v>50</v>
      </c>
      <c r="T48" s="52">
        <f t="shared" si="25"/>
        <v>50</v>
      </c>
      <c r="U48" s="57">
        <f t="shared" si="26"/>
        <v>6.4516129032258063E-2</v>
      </c>
      <c r="V48" s="52">
        <f t="shared" si="8"/>
        <v>725</v>
      </c>
      <c r="W48" s="130"/>
    </row>
    <row r="49" spans="1:23">
      <c r="A49" s="126">
        <v>47</v>
      </c>
      <c r="B49" s="53">
        <v>43500</v>
      </c>
      <c r="C49" s="52">
        <f t="shared" si="6"/>
        <v>725</v>
      </c>
      <c r="D49" s="52"/>
      <c r="E49" s="52"/>
      <c r="F49" s="52">
        <f t="shared" si="21"/>
        <v>725</v>
      </c>
      <c r="G49" s="52"/>
      <c r="H49" s="72">
        <f t="shared" si="7"/>
        <v>263.90306122448976</v>
      </c>
      <c r="I49" s="51" t="s">
        <v>1625</v>
      </c>
      <c r="J49" s="51" t="s">
        <v>1850</v>
      </c>
      <c r="K49" s="51" t="s">
        <v>2131</v>
      </c>
      <c r="L49" s="51">
        <v>1</v>
      </c>
      <c r="M49" s="129">
        <v>50</v>
      </c>
      <c r="N49" s="51">
        <v>2.3199999999999998</v>
      </c>
      <c r="O49" s="54" t="s">
        <v>1627</v>
      </c>
      <c r="P49" s="55" t="s">
        <v>1632</v>
      </c>
      <c r="Q49" s="52">
        <f t="shared" si="22"/>
        <v>-50</v>
      </c>
      <c r="R49" s="52">
        <f t="shared" si="23"/>
        <v>150</v>
      </c>
      <c r="S49" s="52">
        <f t="shared" si="24"/>
        <v>0</v>
      </c>
      <c r="T49" s="52">
        <f t="shared" si="25"/>
        <v>0</v>
      </c>
      <c r="U49" s="57">
        <f t="shared" si="26"/>
        <v>0</v>
      </c>
      <c r="V49" s="52">
        <f t="shared" si="8"/>
        <v>675</v>
      </c>
      <c r="W49" s="130"/>
    </row>
    <row r="50" spans="1:23">
      <c r="A50" s="126">
        <v>48</v>
      </c>
      <c r="B50" s="53">
        <v>43500</v>
      </c>
      <c r="C50" s="52">
        <f t="shared" si="6"/>
        <v>675</v>
      </c>
      <c r="D50" s="52"/>
      <c r="E50" s="52"/>
      <c r="F50" s="52">
        <f t="shared" si="21"/>
        <v>675</v>
      </c>
      <c r="G50" s="52"/>
      <c r="H50" s="72">
        <f t="shared" si="7"/>
        <v>213.90306122448976</v>
      </c>
      <c r="I50" s="51" t="s">
        <v>1625</v>
      </c>
      <c r="J50" s="51" t="s">
        <v>1264</v>
      </c>
      <c r="K50" s="51" t="s">
        <v>2132</v>
      </c>
      <c r="L50" s="51">
        <v>1</v>
      </c>
      <c r="M50" s="129">
        <v>50</v>
      </c>
      <c r="N50" s="51">
        <v>1.97</v>
      </c>
      <c r="O50" s="54" t="s">
        <v>1627</v>
      </c>
      <c r="P50" s="55" t="s">
        <v>1628</v>
      </c>
      <c r="Q50" s="52">
        <f t="shared" si="22"/>
        <v>48.5</v>
      </c>
      <c r="R50" s="52">
        <f t="shared" si="23"/>
        <v>200</v>
      </c>
      <c r="S50" s="77">
        <f t="shared" si="24"/>
        <v>48.5</v>
      </c>
      <c r="T50" s="52">
        <f t="shared" si="25"/>
        <v>48.5</v>
      </c>
      <c r="U50" s="57">
        <f t="shared" si="26"/>
        <v>7.1851851851851847E-2</v>
      </c>
      <c r="V50" s="52">
        <f t="shared" si="8"/>
        <v>723.5</v>
      </c>
      <c r="W50" s="130"/>
    </row>
    <row r="51" spans="1:23">
      <c r="A51" s="126">
        <v>49</v>
      </c>
      <c r="B51" s="128">
        <v>43501</v>
      </c>
      <c r="C51" s="52">
        <f t="shared" si="6"/>
        <v>723.5</v>
      </c>
      <c r="D51" s="77"/>
      <c r="E51" s="77"/>
      <c r="F51" s="77">
        <f t="shared" si="21"/>
        <v>723.5</v>
      </c>
      <c r="G51" s="77"/>
      <c r="H51" s="72">
        <f>IF(B51=B50,H50-M50,F51*$AB$3)</f>
        <v>390.05017006802723</v>
      </c>
      <c r="I51" s="51" t="s">
        <v>1625</v>
      </c>
      <c r="J51" s="51" t="s">
        <v>2137</v>
      </c>
      <c r="K51" s="51" t="s">
        <v>2162</v>
      </c>
      <c r="L51" s="51">
        <v>1</v>
      </c>
      <c r="M51" s="129">
        <v>50</v>
      </c>
      <c r="N51" s="51">
        <v>2.0699999999999998</v>
      </c>
      <c r="O51" s="54" t="s">
        <v>1627</v>
      </c>
      <c r="P51" s="55" t="s">
        <v>1628</v>
      </c>
      <c r="Q51" s="52">
        <f>42.23-50</f>
        <v>-7.7700000000000031</v>
      </c>
      <c r="R51" s="52">
        <f t="shared" si="23"/>
        <v>50</v>
      </c>
      <c r="S51" s="52">
        <f t="shared" si="24"/>
        <v>-7.7700000000000031</v>
      </c>
      <c r="T51" s="52">
        <f t="shared" si="25"/>
        <v>40.729999999999997</v>
      </c>
      <c r="U51" s="57">
        <f t="shared" si="26"/>
        <v>5.6295784381478919E-2</v>
      </c>
      <c r="V51" s="52">
        <f t="shared" si="8"/>
        <v>715.73</v>
      </c>
      <c r="W51" s="130" t="s">
        <v>2183</v>
      </c>
    </row>
    <row r="52" spans="1:23">
      <c r="A52" s="126">
        <v>50</v>
      </c>
      <c r="B52" s="53">
        <v>43501</v>
      </c>
      <c r="C52" s="52">
        <f t="shared" si="6"/>
        <v>715.73</v>
      </c>
      <c r="D52" s="52"/>
      <c r="E52" s="52"/>
      <c r="F52" s="52">
        <f t="shared" ref="F52:F70" si="27">+C52+D52-E52</f>
        <v>715.73</v>
      </c>
      <c r="G52" s="52"/>
      <c r="H52" s="72">
        <f t="shared" si="7"/>
        <v>340.05017006802723</v>
      </c>
      <c r="I52" s="51" t="s">
        <v>1625</v>
      </c>
      <c r="J52" s="51" t="s">
        <v>2138</v>
      </c>
      <c r="K52" s="51" t="s">
        <v>2163</v>
      </c>
      <c r="L52" s="51">
        <v>1</v>
      </c>
      <c r="M52" s="129">
        <v>50</v>
      </c>
      <c r="N52" s="51">
        <v>2.0299999999999998</v>
      </c>
      <c r="O52" s="54" t="s">
        <v>1627</v>
      </c>
      <c r="P52" s="55" t="s">
        <v>1628</v>
      </c>
      <c r="Q52" s="52">
        <f t="shared" ref="Q52:Q70" si="28">IF(P52="Win",(M52*N52)-M52,IF(P52="Refund",0,IF(P52="Loss",-M52)))</f>
        <v>51.499999999999986</v>
      </c>
      <c r="R52" s="52">
        <f t="shared" ref="R52:R70" si="29">IF(B52=B51,M52+R51,M52)</f>
        <v>100</v>
      </c>
      <c r="S52" s="52">
        <f t="shared" ref="S52:S70" si="30">IF(B52=B51,+Q52+S51,Q52)</f>
        <v>43.729999999999983</v>
      </c>
      <c r="T52" s="52">
        <f t="shared" ref="T52:T70" si="31">IF(MONTH(B52)=MONTH(B51),T51+Q52,Q52)</f>
        <v>92.22999999999999</v>
      </c>
      <c r="U52" s="57">
        <f t="shared" ref="U52:U70" si="32">T52/F52</f>
        <v>0.12886144216394449</v>
      </c>
      <c r="V52" s="52">
        <f t="shared" si="8"/>
        <v>767.23</v>
      </c>
      <c r="W52" s="130"/>
    </row>
    <row r="53" spans="1:23">
      <c r="A53" s="126">
        <v>51</v>
      </c>
      <c r="B53" s="53">
        <v>43501</v>
      </c>
      <c r="C53" s="52">
        <f t="shared" si="6"/>
        <v>767.23</v>
      </c>
      <c r="D53" s="52"/>
      <c r="E53" s="52"/>
      <c r="F53" s="52">
        <f t="shared" si="27"/>
        <v>767.23</v>
      </c>
      <c r="G53" s="52"/>
      <c r="H53" s="72">
        <f t="shared" si="7"/>
        <v>290.05017006802723</v>
      </c>
      <c r="I53" s="51" t="s">
        <v>1625</v>
      </c>
      <c r="J53" s="51" t="s">
        <v>1263</v>
      </c>
      <c r="K53" s="51" t="s">
        <v>2164</v>
      </c>
      <c r="L53" s="51">
        <v>1</v>
      </c>
      <c r="M53" s="129">
        <v>50</v>
      </c>
      <c r="N53" s="51">
        <v>2.02</v>
      </c>
      <c r="O53" s="54" t="s">
        <v>1627</v>
      </c>
      <c r="P53" s="55" t="s">
        <v>1628</v>
      </c>
      <c r="Q53" s="52">
        <f t="shared" si="28"/>
        <v>51</v>
      </c>
      <c r="R53" s="52">
        <f t="shared" si="29"/>
        <v>150</v>
      </c>
      <c r="S53" s="77">
        <f t="shared" si="30"/>
        <v>94.72999999999999</v>
      </c>
      <c r="T53" s="52">
        <f t="shared" si="31"/>
        <v>143.22999999999999</v>
      </c>
      <c r="U53" s="57">
        <f t="shared" si="32"/>
        <v>0.18668456655761634</v>
      </c>
      <c r="V53" s="52">
        <f t="shared" si="8"/>
        <v>818.23</v>
      </c>
      <c r="W53" s="173"/>
    </row>
    <row r="54" spans="1:23">
      <c r="A54" s="126">
        <v>52</v>
      </c>
      <c r="B54" s="128">
        <v>43502</v>
      </c>
      <c r="C54" s="52">
        <f t="shared" si="6"/>
        <v>818.23</v>
      </c>
      <c r="D54" s="77"/>
      <c r="E54" s="77"/>
      <c r="F54" s="77">
        <f t="shared" si="27"/>
        <v>818.23</v>
      </c>
      <c r="G54" s="77"/>
      <c r="H54" s="72">
        <f t="shared" si="7"/>
        <v>441.12059523809523</v>
      </c>
      <c r="I54" s="51" t="s">
        <v>1625</v>
      </c>
      <c r="J54" s="51" t="s">
        <v>1262</v>
      </c>
      <c r="K54" s="51" t="s">
        <v>2257</v>
      </c>
      <c r="L54" s="51">
        <v>1</v>
      </c>
      <c r="M54" s="129">
        <v>50</v>
      </c>
      <c r="N54" s="51">
        <v>3.05</v>
      </c>
      <c r="O54" s="54" t="s">
        <v>1627</v>
      </c>
      <c r="P54" s="55" t="s">
        <v>1632</v>
      </c>
      <c r="Q54" s="52">
        <f t="shared" si="28"/>
        <v>-50</v>
      </c>
      <c r="R54" s="52">
        <f t="shared" si="29"/>
        <v>50</v>
      </c>
      <c r="S54" s="52">
        <f t="shared" si="30"/>
        <v>-50</v>
      </c>
      <c r="T54" s="52">
        <f t="shared" si="31"/>
        <v>93.22999999999999</v>
      </c>
      <c r="U54" s="57">
        <f t="shared" si="32"/>
        <v>0.11394106791488944</v>
      </c>
      <c r="V54" s="52">
        <f t="shared" si="8"/>
        <v>768.23</v>
      </c>
      <c r="W54" s="130"/>
    </row>
    <row r="55" spans="1:23">
      <c r="A55" s="126">
        <v>53</v>
      </c>
      <c r="B55" s="53">
        <v>43502</v>
      </c>
      <c r="C55" s="52">
        <f t="shared" si="6"/>
        <v>768.23</v>
      </c>
      <c r="D55" s="52"/>
      <c r="E55" s="52"/>
      <c r="F55" s="52">
        <f t="shared" si="27"/>
        <v>768.23</v>
      </c>
      <c r="G55" s="52"/>
      <c r="H55" s="72">
        <f t="shared" si="7"/>
        <v>391.12059523809523</v>
      </c>
      <c r="I55" s="51" t="s">
        <v>1625</v>
      </c>
      <c r="J55" s="51" t="s">
        <v>1690</v>
      </c>
      <c r="K55" s="51" t="s">
        <v>2258</v>
      </c>
      <c r="L55" s="51">
        <v>1</v>
      </c>
      <c r="M55" s="129">
        <v>50</v>
      </c>
      <c r="N55" s="51">
        <v>2.58</v>
      </c>
      <c r="O55" s="54" t="s">
        <v>1627</v>
      </c>
      <c r="P55" s="55" t="s">
        <v>1632</v>
      </c>
      <c r="Q55" s="52">
        <f t="shared" si="28"/>
        <v>-50</v>
      </c>
      <c r="R55" s="52">
        <f t="shared" si="29"/>
        <v>100</v>
      </c>
      <c r="S55" s="52">
        <f t="shared" si="30"/>
        <v>-100</v>
      </c>
      <c r="T55" s="52">
        <f t="shared" si="31"/>
        <v>43.22999999999999</v>
      </c>
      <c r="U55" s="57">
        <f t="shared" si="32"/>
        <v>5.6272210145399147E-2</v>
      </c>
      <c r="V55" s="52">
        <f t="shared" si="8"/>
        <v>718.23</v>
      </c>
      <c r="W55" s="130"/>
    </row>
    <row r="56" spans="1:23">
      <c r="A56" s="126">
        <v>54</v>
      </c>
      <c r="B56" s="53">
        <v>43502</v>
      </c>
      <c r="C56" s="52">
        <f t="shared" si="6"/>
        <v>718.23</v>
      </c>
      <c r="D56" s="52"/>
      <c r="E56" s="52"/>
      <c r="F56" s="52">
        <f t="shared" si="27"/>
        <v>718.23</v>
      </c>
      <c r="G56" s="52"/>
      <c r="H56" s="72">
        <f t="shared" si="7"/>
        <v>341.12059523809523</v>
      </c>
      <c r="I56" s="51" t="s">
        <v>1625</v>
      </c>
      <c r="J56" s="51" t="s">
        <v>1899</v>
      </c>
      <c r="K56" s="51" t="s">
        <v>2259</v>
      </c>
      <c r="L56" s="51">
        <v>1</v>
      </c>
      <c r="M56" s="129">
        <v>50</v>
      </c>
      <c r="N56" s="51">
        <v>2.46</v>
      </c>
      <c r="O56" s="54" t="s">
        <v>1627</v>
      </c>
      <c r="P56" s="55" t="s">
        <v>1632</v>
      </c>
      <c r="Q56" s="52">
        <f t="shared" si="28"/>
        <v>-50</v>
      </c>
      <c r="R56" s="52">
        <f t="shared" si="29"/>
        <v>150</v>
      </c>
      <c r="S56" s="52">
        <f t="shared" si="30"/>
        <v>-150</v>
      </c>
      <c r="T56" s="52">
        <f t="shared" si="31"/>
        <v>-6.7700000000000102</v>
      </c>
      <c r="U56" s="57">
        <f t="shared" si="32"/>
        <v>-9.4259499046266664E-3</v>
      </c>
      <c r="V56" s="52">
        <f t="shared" si="8"/>
        <v>668.23</v>
      </c>
      <c r="W56" s="130"/>
    </row>
    <row r="57" spans="1:23">
      <c r="A57" s="126">
        <v>55</v>
      </c>
      <c r="B57" s="53">
        <v>43502</v>
      </c>
      <c r="C57" s="52">
        <f t="shared" si="6"/>
        <v>668.23</v>
      </c>
      <c r="D57" s="52"/>
      <c r="E57" s="52"/>
      <c r="F57" s="52">
        <f t="shared" si="27"/>
        <v>668.23</v>
      </c>
      <c r="G57" s="52"/>
      <c r="H57" s="72">
        <f t="shared" si="7"/>
        <v>291.12059523809523</v>
      </c>
      <c r="I57" s="51" t="s">
        <v>1625</v>
      </c>
      <c r="J57" s="51" t="s">
        <v>2136</v>
      </c>
      <c r="K57" s="51" t="s">
        <v>2260</v>
      </c>
      <c r="L57" s="51">
        <v>1</v>
      </c>
      <c r="M57" s="129">
        <v>50</v>
      </c>
      <c r="N57" s="51">
        <v>2.33</v>
      </c>
      <c r="O57" s="54" t="s">
        <v>1627</v>
      </c>
      <c r="P57" s="55" t="s">
        <v>1628</v>
      </c>
      <c r="Q57" s="52">
        <f t="shared" si="28"/>
        <v>66.5</v>
      </c>
      <c r="R57" s="52">
        <f t="shared" si="29"/>
        <v>200</v>
      </c>
      <c r="S57" s="52">
        <f t="shared" si="30"/>
        <v>-83.5</v>
      </c>
      <c r="T57" s="52">
        <f t="shared" si="31"/>
        <v>59.72999999999999</v>
      </c>
      <c r="U57" s="57">
        <f t="shared" si="32"/>
        <v>8.938539125750114E-2</v>
      </c>
      <c r="V57" s="52">
        <f t="shared" si="8"/>
        <v>734.73</v>
      </c>
      <c r="W57" s="130"/>
    </row>
    <row r="58" spans="1:23">
      <c r="A58" s="126">
        <v>56</v>
      </c>
      <c r="B58" s="53">
        <v>43502</v>
      </c>
      <c r="C58" s="52">
        <f t="shared" si="6"/>
        <v>734.73</v>
      </c>
      <c r="D58" s="52"/>
      <c r="E58" s="52"/>
      <c r="F58" s="52">
        <f t="shared" si="27"/>
        <v>734.73</v>
      </c>
      <c r="G58" s="52"/>
      <c r="H58" s="72">
        <f t="shared" si="7"/>
        <v>241.12059523809523</v>
      </c>
      <c r="I58" s="51" t="s">
        <v>1625</v>
      </c>
      <c r="J58" s="51" t="s">
        <v>1266</v>
      </c>
      <c r="K58" s="51" t="s">
        <v>2261</v>
      </c>
      <c r="L58" s="51">
        <v>1</v>
      </c>
      <c r="M58" s="129">
        <v>50</v>
      </c>
      <c r="N58" s="51">
        <v>2.1</v>
      </c>
      <c r="O58" s="54" t="s">
        <v>1627</v>
      </c>
      <c r="P58" s="55" t="s">
        <v>1628</v>
      </c>
      <c r="Q58" s="52">
        <f t="shared" si="28"/>
        <v>55</v>
      </c>
      <c r="R58" s="52">
        <f t="shared" si="29"/>
        <v>250</v>
      </c>
      <c r="S58" s="77">
        <f t="shared" si="30"/>
        <v>-28.5</v>
      </c>
      <c r="T58" s="52">
        <f t="shared" si="31"/>
        <v>114.72999999999999</v>
      </c>
      <c r="U58" s="57">
        <f t="shared" si="32"/>
        <v>0.15615260027493091</v>
      </c>
      <c r="V58" s="52">
        <f t="shared" si="8"/>
        <v>789.73</v>
      </c>
      <c r="W58" s="173"/>
    </row>
    <row r="59" spans="1:23">
      <c r="A59" s="126">
        <v>57</v>
      </c>
      <c r="B59" s="128">
        <v>43504</v>
      </c>
      <c r="C59" s="77">
        <f t="shared" si="6"/>
        <v>789.73</v>
      </c>
      <c r="D59" s="77">
        <v>1534</v>
      </c>
      <c r="E59" s="77"/>
      <c r="F59" s="77">
        <f t="shared" si="27"/>
        <v>2323.73</v>
      </c>
      <c r="G59" s="77"/>
      <c r="H59" s="72">
        <f t="shared" si="7"/>
        <v>1252.759200680272</v>
      </c>
      <c r="I59" s="51" t="s">
        <v>1625</v>
      </c>
      <c r="J59" s="174" t="s">
        <v>1261</v>
      </c>
      <c r="K59" s="51" t="s">
        <v>2262</v>
      </c>
      <c r="L59" s="51">
        <v>1</v>
      </c>
      <c r="M59" s="129">
        <v>340</v>
      </c>
      <c r="N59" s="51">
        <v>3.85</v>
      </c>
      <c r="O59" s="54" t="s">
        <v>1627</v>
      </c>
      <c r="P59" s="55" t="s">
        <v>1632</v>
      </c>
      <c r="Q59" s="52">
        <f t="shared" si="28"/>
        <v>-340</v>
      </c>
      <c r="R59" s="52">
        <f t="shared" si="29"/>
        <v>340</v>
      </c>
      <c r="S59" s="52">
        <f t="shared" si="30"/>
        <v>-340</v>
      </c>
      <c r="T59" s="52">
        <f t="shared" si="31"/>
        <v>-225.27</v>
      </c>
      <c r="U59" s="57">
        <f t="shared" si="32"/>
        <v>-9.694327654245545E-2</v>
      </c>
      <c r="V59" s="52">
        <f t="shared" si="8"/>
        <v>1983.73</v>
      </c>
      <c r="W59" s="130"/>
    </row>
    <row r="60" spans="1:23">
      <c r="A60" s="126">
        <v>58</v>
      </c>
      <c r="B60" s="53">
        <v>43504</v>
      </c>
      <c r="C60" s="52">
        <f t="shared" si="6"/>
        <v>1983.73</v>
      </c>
      <c r="D60" s="52"/>
      <c r="E60" s="52"/>
      <c r="F60" s="52">
        <f t="shared" si="27"/>
        <v>1983.73</v>
      </c>
      <c r="G60" s="52"/>
      <c r="H60" s="72">
        <f t="shared" si="7"/>
        <v>912.75920068027199</v>
      </c>
      <c r="I60" s="51" t="s">
        <v>1625</v>
      </c>
      <c r="J60" s="51" t="s">
        <v>1847</v>
      </c>
      <c r="K60" s="51" t="s">
        <v>2263</v>
      </c>
      <c r="L60" s="51">
        <v>1</v>
      </c>
      <c r="M60" s="129">
        <v>340</v>
      </c>
      <c r="N60" s="51">
        <v>3.2</v>
      </c>
      <c r="O60" s="54" t="s">
        <v>1627</v>
      </c>
      <c r="P60" s="55" t="s">
        <v>1632</v>
      </c>
      <c r="Q60" s="52">
        <f t="shared" si="28"/>
        <v>-340</v>
      </c>
      <c r="R60" s="52">
        <f t="shared" si="29"/>
        <v>680</v>
      </c>
      <c r="S60" s="52">
        <f t="shared" si="30"/>
        <v>-680</v>
      </c>
      <c r="T60" s="52">
        <f t="shared" si="31"/>
        <v>-565.27</v>
      </c>
      <c r="U60" s="57">
        <f t="shared" si="32"/>
        <v>-0.28495309341493047</v>
      </c>
      <c r="V60" s="52">
        <f t="shared" si="8"/>
        <v>1643.73</v>
      </c>
      <c r="W60" s="130"/>
    </row>
    <row r="61" spans="1:23">
      <c r="A61" s="126">
        <v>59</v>
      </c>
      <c r="B61" s="53">
        <v>43504</v>
      </c>
      <c r="C61" s="52">
        <f t="shared" si="6"/>
        <v>1643.73</v>
      </c>
      <c r="D61" s="52"/>
      <c r="E61" s="52"/>
      <c r="F61" s="52">
        <f t="shared" si="27"/>
        <v>1643.73</v>
      </c>
      <c r="G61" s="52"/>
      <c r="H61" s="72">
        <f t="shared" si="7"/>
        <v>572.75920068027199</v>
      </c>
      <c r="I61" s="51" t="s">
        <v>1625</v>
      </c>
      <c r="J61" s="51" t="s">
        <v>1736</v>
      </c>
      <c r="K61" s="51" t="s">
        <v>2264</v>
      </c>
      <c r="L61" s="51">
        <v>1</v>
      </c>
      <c r="M61" s="129">
        <v>340</v>
      </c>
      <c r="N61" s="51">
        <v>3.15</v>
      </c>
      <c r="O61" s="54" t="s">
        <v>1627</v>
      </c>
      <c r="P61" s="55" t="s">
        <v>1632</v>
      </c>
      <c r="Q61" s="52">
        <f t="shared" si="28"/>
        <v>-340</v>
      </c>
      <c r="R61" s="52">
        <f t="shared" si="29"/>
        <v>1020</v>
      </c>
      <c r="S61" s="52">
        <f t="shared" si="30"/>
        <v>-1020</v>
      </c>
      <c r="T61" s="52">
        <f t="shared" si="31"/>
        <v>-905.27</v>
      </c>
      <c r="U61" s="57">
        <f t="shared" si="32"/>
        <v>-0.550741301795307</v>
      </c>
      <c r="V61" s="52">
        <f t="shared" si="8"/>
        <v>1303.73</v>
      </c>
      <c r="W61" s="130"/>
    </row>
    <row r="62" spans="1:23">
      <c r="A62" s="126">
        <v>60</v>
      </c>
      <c r="B62" s="53">
        <v>43504</v>
      </c>
      <c r="C62" s="52">
        <f t="shared" si="6"/>
        <v>1303.73</v>
      </c>
      <c r="D62" s="52"/>
      <c r="E62" s="52"/>
      <c r="F62" s="52">
        <f t="shared" si="27"/>
        <v>1303.73</v>
      </c>
      <c r="G62" s="52"/>
      <c r="H62" s="72">
        <f t="shared" si="7"/>
        <v>232.75920068027199</v>
      </c>
      <c r="I62" s="51" t="s">
        <v>1625</v>
      </c>
      <c r="J62" s="51" t="s">
        <v>1736</v>
      </c>
      <c r="K62" s="51" t="s">
        <v>2265</v>
      </c>
      <c r="L62" s="51">
        <v>1</v>
      </c>
      <c r="M62" s="129">
        <v>340</v>
      </c>
      <c r="N62" s="51">
        <v>2.2200000000000002</v>
      </c>
      <c r="O62" s="54" t="s">
        <v>1627</v>
      </c>
      <c r="P62" s="55" t="s">
        <v>1632</v>
      </c>
      <c r="Q62" s="52">
        <f t="shared" si="28"/>
        <v>-340</v>
      </c>
      <c r="R62" s="52">
        <f t="shared" si="29"/>
        <v>1360</v>
      </c>
      <c r="S62" s="77">
        <f t="shared" si="30"/>
        <v>-1360</v>
      </c>
      <c r="T62" s="52">
        <f t="shared" si="31"/>
        <v>-1245.27</v>
      </c>
      <c r="U62" s="57">
        <f t="shared" si="32"/>
        <v>-0.95515942718200852</v>
      </c>
      <c r="V62" s="52">
        <f t="shared" si="8"/>
        <v>963.73</v>
      </c>
      <c r="W62" s="130"/>
    </row>
    <row r="63" spans="1:23">
      <c r="A63" s="126">
        <v>61</v>
      </c>
      <c r="B63" s="128">
        <v>43505</v>
      </c>
      <c r="C63" s="77">
        <f t="shared" si="6"/>
        <v>963.73</v>
      </c>
      <c r="D63" s="77"/>
      <c r="E63" s="77"/>
      <c r="F63" s="77">
        <f t="shared" si="27"/>
        <v>963.73</v>
      </c>
      <c r="G63" s="77"/>
      <c r="H63" s="72">
        <f t="shared" si="7"/>
        <v>519.56192176870752</v>
      </c>
      <c r="I63" s="51" t="s">
        <v>1625</v>
      </c>
      <c r="J63" s="51" t="s">
        <v>1897</v>
      </c>
      <c r="K63" s="51" t="s">
        <v>2376</v>
      </c>
      <c r="L63" s="51">
        <v>1</v>
      </c>
      <c r="M63" s="129">
        <v>52</v>
      </c>
      <c r="N63" s="55">
        <v>5.5</v>
      </c>
      <c r="O63" s="54" t="s">
        <v>1627</v>
      </c>
      <c r="P63" s="55" t="s">
        <v>1628</v>
      </c>
      <c r="Q63" s="52">
        <f t="shared" si="28"/>
        <v>234</v>
      </c>
      <c r="R63" s="52">
        <f t="shared" si="29"/>
        <v>52</v>
      </c>
      <c r="S63" s="52">
        <f t="shared" si="30"/>
        <v>234</v>
      </c>
      <c r="T63" s="52">
        <f t="shared" si="31"/>
        <v>-1011.27</v>
      </c>
      <c r="U63" s="57">
        <f t="shared" si="32"/>
        <v>-1.0493291689581106</v>
      </c>
      <c r="V63" s="52">
        <f t="shared" si="8"/>
        <v>1197.73</v>
      </c>
      <c r="W63" s="130"/>
    </row>
    <row r="64" spans="1:23">
      <c r="A64" s="126">
        <v>62</v>
      </c>
      <c r="B64" s="53">
        <v>43505</v>
      </c>
      <c r="C64" s="52">
        <f t="shared" si="6"/>
        <v>1197.73</v>
      </c>
      <c r="D64" s="52"/>
      <c r="E64" s="52"/>
      <c r="F64" s="52">
        <f t="shared" si="27"/>
        <v>1197.73</v>
      </c>
      <c r="G64" s="52"/>
      <c r="H64" s="72">
        <f t="shared" si="7"/>
        <v>467.56192176870752</v>
      </c>
      <c r="I64" s="51" t="s">
        <v>1625</v>
      </c>
      <c r="J64" s="51" t="s">
        <v>1692</v>
      </c>
      <c r="K64" s="51" t="s">
        <v>2377</v>
      </c>
      <c r="L64" s="51">
        <v>1</v>
      </c>
      <c r="M64" s="129">
        <v>52</v>
      </c>
      <c r="N64" s="55">
        <v>2.77</v>
      </c>
      <c r="O64" s="54" t="s">
        <v>1627</v>
      </c>
      <c r="P64" s="55" t="s">
        <v>1632</v>
      </c>
      <c r="Q64" s="52">
        <f t="shared" si="28"/>
        <v>-52</v>
      </c>
      <c r="R64" s="52">
        <f t="shared" si="29"/>
        <v>104</v>
      </c>
      <c r="S64" s="52">
        <f t="shared" si="30"/>
        <v>182</v>
      </c>
      <c r="T64" s="52">
        <f t="shared" si="31"/>
        <v>-1063.27</v>
      </c>
      <c r="U64" s="57">
        <f t="shared" si="32"/>
        <v>-0.88773763703004849</v>
      </c>
      <c r="V64" s="52">
        <f t="shared" si="8"/>
        <v>1145.73</v>
      </c>
      <c r="W64" s="130"/>
    </row>
    <row r="65" spans="1:23">
      <c r="A65" s="126">
        <v>63</v>
      </c>
      <c r="B65" s="53">
        <v>43505</v>
      </c>
      <c r="C65" s="52">
        <f t="shared" si="6"/>
        <v>1145.73</v>
      </c>
      <c r="D65" s="52"/>
      <c r="E65" s="52"/>
      <c r="F65" s="52">
        <f t="shared" si="27"/>
        <v>1145.73</v>
      </c>
      <c r="G65" s="52"/>
      <c r="H65" s="72">
        <f t="shared" si="7"/>
        <v>415.56192176870752</v>
      </c>
      <c r="I65" s="51" t="s">
        <v>1625</v>
      </c>
      <c r="J65" s="51" t="s">
        <v>1846</v>
      </c>
      <c r="K65" s="51" t="s">
        <v>2378</v>
      </c>
      <c r="L65" s="51">
        <v>1</v>
      </c>
      <c r="M65" s="129">
        <v>52</v>
      </c>
      <c r="N65" s="55">
        <v>2.77</v>
      </c>
      <c r="O65" s="54" t="s">
        <v>1627</v>
      </c>
      <c r="P65" s="55" t="s">
        <v>1632</v>
      </c>
      <c r="Q65" s="52">
        <f t="shared" si="28"/>
        <v>-52</v>
      </c>
      <c r="R65" s="52">
        <f t="shared" si="29"/>
        <v>156</v>
      </c>
      <c r="S65" s="52">
        <f t="shared" si="30"/>
        <v>130</v>
      </c>
      <c r="T65" s="52">
        <f t="shared" si="31"/>
        <v>-1115.27</v>
      </c>
      <c r="U65" s="57">
        <f t="shared" si="32"/>
        <v>-0.97341432972864461</v>
      </c>
      <c r="V65" s="52">
        <f t="shared" si="8"/>
        <v>1093.73</v>
      </c>
      <c r="W65" s="130"/>
    </row>
    <row r="66" spans="1:23">
      <c r="A66" s="126">
        <v>64</v>
      </c>
      <c r="B66" s="53">
        <v>43505</v>
      </c>
      <c r="C66" s="52">
        <f t="shared" si="6"/>
        <v>1093.73</v>
      </c>
      <c r="D66" s="52"/>
      <c r="E66" s="52"/>
      <c r="F66" s="52">
        <f t="shared" si="27"/>
        <v>1093.73</v>
      </c>
      <c r="G66" s="52"/>
      <c r="H66" s="72">
        <f t="shared" si="7"/>
        <v>363.56192176870752</v>
      </c>
      <c r="I66" s="51" t="s">
        <v>1625</v>
      </c>
      <c r="J66" s="51" t="s">
        <v>1257</v>
      </c>
      <c r="K66" s="51" t="s">
        <v>2379</v>
      </c>
      <c r="L66" s="51">
        <v>1</v>
      </c>
      <c r="M66" s="129">
        <v>52</v>
      </c>
      <c r="N66" s="55">
        <v>2.56</v>
      </c>
      <c r="O66" s="54" t="s">
        <v>1627</v>
      </c>
      <c r="P66" s="55" t="s">
        <v>1632</v>
      </c>
      <c r="Q66" s="52">
        <f t="shared" si="28"/>
        <v>-52</v>
      </c>
      <c r="R66" s="52">
        <f t="shared" si="29"/>
        <v>208</v>
      </c>
      <c r="S66" s="52">
        <f t="shared" si="30"/>
        <v>78</v>
      </c>
      <c r="T66" s="52">
        <f t="shared" si="31"/>
        <v>-1167.27</v>
      </c>
      <c r="U66" s="57">
        <f t="shared" si="32"/>
        <v>-1.0672378009197883</v>
      </c>
      <c r="V66" s="52">
        <f t="shared" si="8"/>
        <v>1041.73</v>
      </c>
      <c r="W66" s="130"/>
    </row>
    <row r="67" spans="1:23">
      <c r="A67" s="126">
        <v>65</v>
      </c>
      <c r="B67" s="53">
        <v>43505</v>
      </c>
      <c r="C67" s="52">
        <f t="shared" si="6"/>
        <v>1041.73</v>
      </c>
      <c r="D67" s="52"/>
      <c r="E67" s="52"/>
      <c r="F67" s="52">
        <f t="shared" si="27"/>
        <v>1041.73</v>
      </c>
      <c r="G67" s="52"/>
      <c r="H67" s="72">
        <f t="shared" si="7"/>
        <v>311.56192176870752</v>
      </c>
      <c r="I67" s="51" t="s">
        <v>1625</v>
      </c>
      <c r="J67" s="51" t="s">
        <v>1737</v>
      </c>
      <c r="K67" s="51" t="s">
        <v>2380</v>
      </c>
      <c r="L67" s="51">
        <v>1</v>
      </c>
      <c r="M67" s="129">
        <v>52</v>
      </c>
      <c r="N67" s="55">
        <v>2.5299999999999998</v>
      </c>
      <c r="O67" s="54" t="s">
        <v>1627</v>
      </c>
      <c r="P67" s="55" t="s">
        <v>1628</v>
      </c>
      <c r="Q67" s="52">
        <f t="shared" si="28"/>
        <v>79.56</v>
      </c>
      <c r="R67" s="52">
        <f t="shared" si="29"/>
        <v>260</v>
      </c>
      <c r="S67" s="52">
        <f t="shared" si="30"/>
        <v>157.56</v>
      </c>
      <c r="T67" s="52">
        <f t="shared" si="31"/>
        <v>-1087.71</v>
      </c>
      <c r="U67" s="57">
        <f t="shared" si="32"/>
        <v>-1.0441381164025227</v>
      </c>
      <c r="V67" s="52">
        <f t="shared" si="8"/>
        <v>1121.29</v>
      </c>
      <c r="W67" s="130"/>
    </row>
    <row r="68" spans="1:23">
      <c r="A68" s="126">
        <v>66</v>
      </c>
      <c r="B68" s="53">
        <v>43505</v>
      </c>
      <c r="C68" s="52">
        <f t="shared" si="6"/>
        <v>1121.29</v>
      </c>
      <c r="D68" s="52"/>
      <c r="E68" s="52"/>
      <c r="F68" s="52">
        <f t="shared" si="27"/>
        <v>1121.29</v>
      </c>
      <c r="G68" s="52"/>
      <c r="H68" s="72">
        <f t="shared" si="7"/>
        <v>259.56192176870752</v>
      </c>
      <c r="I68" s="51" t="s">
        <v>1625</v>
      </c>
      <c r="J68" s="51" t="s">
        <v>1267</v>
      </c>
      <c r="K68" s="51" t="s">
        <v>2381</v>
      </c>
      <c r="L68" s="51">
        <v>1</v>
      </c>
      <c r="M68" s="129">
        <v>52</v>
      </c>
      <c r="N68" s="55">
        <v>2.36</v>
      </c>
      <c r="O68" s="54" t="s">
        <v>1627</v>
      </c>
      <c r="P68" s="55" t="s">
        <v>1628</v>
      </c>
      <c r="Q68" s="52">
        <f t="shared" si="28"/>
        <v>70.72</v>
      </c>
      <c r="R68" s="52">
        <f t="shared" si="29"/>
        <v>312</v>
      </c>
      <c r="S68" s="52">
        <f t="shared" si="30"/>
        <v>228.28</v>
      </c>
      <c r="T68" s="52">
        <f t="shared" si="31"/>
        <v>-1016.99</v>
      </c>
      <c r="U68" s="57">
        <f t="shared" si="32"/>
        <v>-0.90698213664618432</v>
      </c>
      <c r="V68" s="52">
        <f t="shared" si="8"/>
        <v>1192.01</v>
      </c>
      <c r="W68" s="130"/>
    </row>
    <row r="69" spans="1:23">
      <c r="A69" s="126">
        <v>67</v>
      </c>
      <c r="B69" s="53">
        <v>43505</v>
      </c>
      <c r="C69" s="52">
        <f t="shared" ref="C69:C70" si="33">+V68</f>
        <v>1192.01</v>
      </c>
      <c r="D69" s="52"/>
      <c r="E69" s="52"/>
      <c r="F69" s="52">
        <f t="shared" si="27"/>
        <v>1192.01</v>
      </c>
      <c r="G69" s="52"/>
      <c r="H69" s="72">
        <f t="shared" ref="H69:H70" si="34">IF(B69=B68,H68-M68,F69*$AB$3)</f>
        <v>207.56192176870752</v>
      </c>
      <c r="I69" s="51" t="s">
        <v>1625</v>
      </c>
      <c r="J69" s="51" t="s">
        <v>1266</v>
      </c>
      <c r="K69" s="51" t="s">
        <v>2382</v>
      </c>
      <c r="L69" s="51">
        <v>1</v>
      </c>
      <c r="M69" s="129">
        <v>52</v>
      </c>
      <c r="N69" s="55">
        <v>2.44</v>
      </c>
      <c r="O69" s="54" t="s">
        <v>1627</v>
      </c>
      <c r="P69" s="55" t="s">
        <v>1632</v>
      </c>
      <c r="Q69" s="52">
        <f t="shared" si="28"/>
        <v>-52</v>
      </c>
      <c r="R69" s="52">
        <f t="shared" si="29"/>
        <v>364</v>
      </c>
      <c r="S69" s="52">
        <f t="shared" si="30"/>
        <v>176.28</v>
      </c>
      <c r="T69" s="52">
        <f t="shared" si="31"/>
        <v>-1068.99</v>
      </c>
      <c r="U69" s="57">
        <f t="shared" si="32"/>
        <v>-0.89679616781738414</v>
      </c>
      <c r="V69" s="52">
        <f t="shared" ref="V69:V70" si="35">+F69+Q69</f>
        <v>1140.01</v>
      </c>
      <c r="W69" s="130"/>
    </row>
    <row r="70" spans="1:23">
      <c r="A70" s="126">
        <v>68</v>
      </c>
      <c r="B70" s="53">
        <v>43505</v>
      </c>
      <c r="C70" s="52">
        <f t="shared" si="33"/>
        <v>1140.01</v>
      </c>
      <c r="D70" s="52"/>
      <c r="E70" s="52"/>
      <c r="F70" s="52">
        <f t="shared" si="27"/>
        <v>1140.01</v>
      </c>
      <c r="G70" s="52"/>
      <c r="H70" s="72">
        <f t="shared" si="34"/>
        <v>155.56192176870752</v>
      </c>
      <c r="I70" s="51" t="s">
        <v>1625</v>
      </c>
      <c r="J70" s="51" t="s">
        <v>1692</v>
      </c>
      <c r="K70" s="51" t="s">
        <v>2383</v>
      </c>
      <c r="L70" s="51">
        <v>1</v>
      </c>
      <c r="M70" s="129">
        <v>52</v>
      </c>
      <c r="N70" s="55">
        <v>2.2200000000000002</v>
      </c>
      <c r="O70" s="54" t="s">
        <v>1627</v>
      </c>
      <c r="P70" s="55" t="s">
        <v>1632</v>
      </c>
      <c r="Q70" s="52">
        <f t="shared" si="28"/>
        <v>-52</v>
      </c>
      <c r="R70" s="52">
        <f t="shared" si="29"/>
        <v>416</v>
      </c>
      <c r="S70" s="52">
        <f t="shared" si="30"/>
        <v>124.28</v>
      </c>
      <c r="T70" s="52">
        <f t="shared" si="31"/>
        <v>-1120.99</v>
      </c>
      <c r="U70" s="57">
        <f t="shared" si="32"/>
        <v>-0.98331593582512433</v>
      </c>
      <c r="V70" s="52">
        <f t="shared" si="35"/>
        <v>1088.01</v>
      </c>
      <c r="W70" s="130"/>
    </row>
    <row r="71" spans="1:23">
      <c r="A71" s="126">
        <v>69</v>
      </c>
      <c r="B71" s="53">
        <v>43505</v>
      </c>
      <c r="C71" s="52">
        <f t="shared" ref="C71:C92" si="36">+V70</f>
        <v>1088.01</v>
      </c>
      <c r="D71" s="52"/>
      <c r="E71" s="52"/>
      <c r="F71" s="52">
        <f t="shared" ref="F71:F92" si="37">+C71+D71-E71</f>
        <v>1088.01</v>
      </c>
      <c r="G71" s="52"/>
      <c r="H71" s="72">
        <f t="shared" ref="H71:H92" si="38">IF(B71=B70,H70-M70,F71*$AB$3)</f>
        <v>103.56192176870752</v>
      </c>
      <c r="I71" s="51" t="s">
        <v>1625</v>
      </c>
      <c r="J71" s="51" t="s">
        <v>1847</v>
      </c>
      <c r="K71" s="51" t="s">
        <v>2384</v>
      </c>
      <c r="L71" s="51">
        <v>1</v>
      </c>
      <c r="M71" s="129">
        <v>52</v>
      </c>
      <c r="N71" s="55">
        <v>2.1800000000000002</v>
      </c>
      <c r="O71" s="54" t="s">
        <v>1627</v>
      </c>
      <c r="P71" s="55" t="s">
        <v>1632</v>
      </c>
      <c r="Q71" s="52">
        <f t="shared" ref="Q71:Q89" si="39">IF(P71="Win",(M71*N71)-M71,IF(P71="Refund",0,IF(P71="Loss",-M71)))</f>
        <v>-52</v>
      </c>
      <c r="R71" s="52">
        <f t="shared" ref="R71:R89" si="40">IF(B71=B70,M71+R70,M71)</f>
        <v>468</v>
      </c>
      <c r="S71" s="52">
        <f t="shared" ref="S71:S89" si="41">IF(B71=B70,+Q71+S70,Q71)</f>
        <v>72.28</v>
      </c>
      <c r="T71" s="52">
        <f t="shared" ref="T71:T89" si="42">IF(MONTH(B71)=MONTH(B70),T70+Q71,Q71)</f>
        <v>-1172.99</v>
      </c>
      <c r="U71" s="57">
        <f t="shared" ref="U71:U89" si="43">T71/F71</f>
        <v>-1.0781058997619508</v>
      </c>
      <c r="V71" s="52">
        <f t="shared" ref="V71:V89" si="44">+F71+Q71</f>
        <v>1036.01</v>
      </c>
      <c r="W71" s="130"/>
    </row>
    <row r="72" spans="1:23">
      <c r="A72" s="126">
        <v>70</v>
      </c>
      <c r="B72" s="53">
        <v>43505</v>
      </c>
      <c r="C72" s="52">
        <f t="shared" si="36"/>
        <v>1036.01</v>
      </c>
      <c r="D72" s="52"/>
      <c r="E72" s="52"/>
      <c r="F72" s="52">
        <f t="shared" si="37"/>
        <v>1036.01</v>
      </c>
      <c r="G72" s="52"/>
      <c r="H72" s="72">
        <f t="shared" si="38"/>
        <v>51.561921768707521</v>
      </c>
      <c r="I72" s="51" t="s">
        <v>1625</v>
      </c>
      <c r="J72" s="51" t="s">
        <v>1848</v>
      </c>
      <c r="K72" s="51" t="s">
        <v>2385</v>
      </c>
      <c r="L72" s="51">
        <v>1</v>
      </c>
      <c r="M72" s="129">
        <v>52</v>
      </c>
      <c r="N72" s="55">
        <v>2.1800000000000002</v>
      </c>
      <c r="O72" s="54" t="s">
        <v>1627</v>
      </c>
      <c r="P72" s="55" t="s">
        <v>1632</v>
      </c>
      <c r="Q72" s="52">
        <f t="shared" si="39"/>
        <v>-52</v>
      </c>
      <c r="R72" s="52">
        <f t="shared" si="40"/>
        <v>520</v>
      </c>
      <c r="S72" s="52">
        <f t="shared" si="41"/>
        <v>20.28</v>
      </c>
      <c r="T72" s="52">
        <f t="shared" si="42"/>
        <v>-1224.99</v>
      </c>
      <c r="U72" s="57">
        <f t="shared" si="43"/>
        <v>-1.1824113666856497</v>
      </c>
      <c r="V72" s="52">
        <f t="shared" si="44"/>
        <v>984.01</v>
      </c>
      <c r="W72" s="130"/>
    </row>
    <row r="73" spans="1:23">
      <c r="A73" s="126">
        <v>71</v>
      </c>
      <c r="B73" s="53">
        <v>43505</v>
      </c>
      <c r="C73" s="52">
        <f t="shared" si="36"/>
        <v>984.01</v>
      </c>
      <c r="D73" s="52"/>
      <c r="E73" s="52"/>
      <c r="F73" s="52">
        <f t="shared" si="37"/>
        <v>984.01</v>
      </c>
      <c r="G73" s="52"/>
      <c r="H73" s="72">
        <f t="shared" si="38"/>
        <v>-0.43807823129247936</v>
      </c>
      <c r="I73" s="51" t="s">
        <v>1625</v>
      </c>
      <c r="J73" s="51" t="s">
        <v>1267</v>
      </c>
      <c r="K73" s="51" t="s">
        <v>2386</v>
      </c>
      <c r="L73" s="51">
        <v>1</v>
      </c>
      <c r="M73" s="129">
        <v>52</v>
      </c>
      <c r="N73" s="55">
        <v>2.1</v>
      </c>
      <c r="O73" s="54" t="s">
        <v>1627</v>
      </c>
      <c r="P73" s="55" t="s">
        <v>1632</v>
      </c>
      <c r="Q73" s="52">
        <f t="shared" si="39"/>
        <v>-52</v>
      </c>
      <c r="R73" s="52">
        <f t="shared" si="40"/>
        <v>572</v>
      </c>
      <c r="S73" s="77">
        <f t="shared" si="41"/>
        <v>-31.72</v>
      </c>
      <c r="T73" s="52">
        <f t="shared" si="42"/>
        <v>-1276.99</v>
      </c>
      <c r="U73" s="57">
        <f t="shared" si="43"/>
        <v>-1.2977408766171075</v>
      </c>
      <c r="V73" s="52">
        <f t="shared" si="44"/>
        <v>932.01</v>
      </c>
      <c r="W73" s="130"/>
    </row>
    <row r="74" spans="1:23">
      <c r="A74" s="126">
        <v>72</v>
      </c>
      <c r="B74" s="128">
        <v>43506</v>
      </c>
      <c r="C74" s="77">
        <f t="shared" si="36"/>
        <v>932.01</v>
      </c>
      <c r="D74" s="77"/>
      <c r="E74" s="77"/>
      <c r="F74" s="77">
        <f t="shared" si="37"/>
        <v>932.01</v>
      </c>
      <c r="G74" s="77"/>
      <c r="H74" s="72">
        <f t="shared" si="38"/>
        <v>502.46117346938775</v>
      </c>
      <c r="I74" s="51" t="s">
        <v>1625</v>
      </c>
      <c r="J74" s="51" t="s">
        <v>1899</v>
      </c>
      <c r="K74" s="51" t="s">
        <v>2489</v>
      </c>
      <c r="L74" s="51">
        <v>1</v>
      </c>
      <c r="M74" s="129">
        <v>50</v>
      </c>
      <c r="N74" s="55">
        <v>4</v>
      </c>
      <c r="O74" s="54" t="s">
        <v>1627</v>
      </c>
      <c r="P74" s="55" t="s">
        <v>1632</v>
      </c>
      <c r="Q74" s="52">
        <f t="shared" si="39"/>
        <v>-50</v>
      </c>
      <c r="R74" s="52">
        <f t="shared" si="40"/>
        <v>50</v>
      </c>
      <c r="S74" s="52">
        <f t="shared" si="41"/>
        <v>-50</v>
      </c>
      <c r="T74" s="52">
        <f t="shared" si="42"/>
        <v>-1326.99</v>
      </c>
      <c r="U74" s="57">
        <f t="shared" si="43"/>
        <v>-1.4237937361187112</v>
      </c>
      <c r="V74" s="52">
        <f t="shared" si="44"/>
        <v>882.01</v>
      </c>
      <c r="W74" s="130"/>
    </row>
    <row r="75" spans="1:23">
      <c r="A75" s="126">
        <v>73</v>
      </c>
      <c r="B75" s="53">
        <v>43506</v>
      </c>
      <c r="C75" s="52">
        <f t="shared" si="36"/>
        <v>882.01</v>
      </c>
      <c r="D75" s="52"/>
      <c r="E75" s="52"/>
      <c r="F75" s="52">
        <f t="shared" si="37"/>
        <v>882.01</v>
      </c>
      <c r="G75" s="52"/>
      <c r="H75" s="72">
        <f t="shared" si="38"/>
        <v>452.46117346938775</v>
      </c>
      <c r="I75" s="51" t="s">
        <v>1625</v>
      </c>
      <c r="J75" s="51" t="s">
        <v>1261</v>
      </c>
      <c r="K75" s="51" t="s">
        <v>2490</v>
      </c>
      <c r="L75" s="51">
        <v>1</v>
      </c>
      <c r="M75" s="129">
        <v>50</v>
      </c>
      <c r="N75" s="55">
        <v>3.4</v>
      </c>
      <c r="O75" s="54" t="s">
        <v>1627</v>
      </c>
      <c r="P75" s="55" t="s">
        <v>1632</v>
      </c>
      <c r="Q75" s="52">
        <f t="shared" si="39"/>
        <v>-50</v>
      </c>
      <c r="R75" s="52">
        <f t="shared" si="40"/>
        <v>100</v>
      </c>
      <c r="S75" s="52">
        <f t="shared" si="41"/>
        <v>-100</v>
      </c>
      <c r="T75" s="52">
        <f t="shared" si="42"/>
        <v>-1376.99</v>
      </c>
      <c r="U75" s="57">
        <f t="shared" si="43"/>
        <v>-1.561195451298738</v>
      </c>
      <c r="V75" s="52">
        <f t="shared" si="44"/>
        <v>832.01</v>
      </c>
      <c r="W75" s="130"/>
    </row>
    <row r="76" spans="1:23">
      <c r="A76" s="126">
        <v>74</v>
      </c>
      <c r="B76" s="53">
        <v>43506</v>
      </c>
      <c r="C76" s="52">
        <f t="shared" si="36"/>
        <v>832.01</v>
      </c>
      <c r="D76" s="52"/>
      <c r="E76" s="52"/>
      <c r="F76" s="52">
        <f t="shared" si="37"/>
        <v>832.01</v>
      </c>
      <c r="G76" s="52"/>
      <c r="H76" s="72">
        <f t="shared" si="38"/>
        <v>402.46117346938775</v>
      </c>
      <c r="I76" s="51" t="s">
        <v>1625</v>
      </c>
      <c r="J76" s="51" t="s">
        <v>1899</v>
      </c>
      <c r="K76" s="51" t="s">
        <v>2491</v>
      </c>
      <c r="L76" s="51">
        <v>1</v>
      </c>
      <c r="M76" s="129">
        <v>50</v>
      </c>
      <c r="N76" s="55">
        <v>2.92</v>
      </c>
      <c r="O76" s="54" t="s">
        <v>1627</v>
      </c>
      <c r="P76" s="55" t="s">
        <v>1628</v>
      </c>
      <c r="Q76" s="52">
        <f t="shared" si="39"/>
        <v>96</v>
      </c>
      <c r="R76" s="52">
        <f t="shared" si="40"/>
        <v>150</v>
      </c>
      <c r="S76" s="52">
        <f t="shared" si="41"/>
        <v>-4</v>
      </c>
      <c r="T76" s="52">
        <f t="shared" si="42"/>
        <v>-1280.99</v>
      </c>
      <c r="U76" s="57">
        <f t="shared" si="43"/>
        <v>-1.5396329371041213</v>
      </c>
      <c r="V76" s="52">
        <f t="shared" si="44"/>
        <v>928.01</v>
      </c>
      <c r="W76" s="130"/>
    </row>
    <row r="77" spans="1:23">
      <c r="A77" s="126">
        <v>75</v>
      </c>
      <c r="B77" s="53">
        <v>43506</v>
      </c>
      <c r="C77" s="52">
        <f t="shared" si="36"/>
        <v>928.01</v>
      </c>
      <c r="D77" s="52"/>
      <c r="E77" s="52"/>
      <c r="F77" s="52">
        <f t="shared" si="37"/>
        <v>928.01</v>
      </c>
      <c r="G77" s="52"/>
      <c r="H77" s="72">
        <f t="shared" si="38"/>
        <v>352.46117346938775</v>
      </c>
      <c r="I77" s="51" t="s">
        <v>1625</v>
      </c>
      <c r="J77" s="51" t="s">
        <v>1261</v>
      </c>
      <c r="K77" s="51" t="s">
        <v>2492</v>
      </c>
      <c r="L77" s="51">
        <v>1</v>
      </c>
      <c r="M77" s="129">
        <v>50</v>
      </c>
      <c r="N77" s="55">
        <v>2.76</v>
      </c>
      <c r="O77" s="54" t="s">
        <v>1627</v>
      </c>
      <c r="P77" s="55" t="s">
        <v>1632</v>
      </c>
      <c r="Q77" s="52">
        <f t="shared" si="39"/>
        <v>-50</v>
      </c>
      <c r="R77" s="52">
        <f t="shared" si="40"/>
        <v>200</v>
      </c>
      <c r="S77" s="52">
        <f t="shared" si="41"/>
        <v>-54</v>
      </c>
      <c r="T77" s="52">
        <f t="shared" si="42"/>
        <v>-1330.99</v>
      </c>
      <c r="U77" s="57">
        <f t="shared" si="43"/>
        <v>-1.4342410103339405</v>
      </c>
      <c r="V77" s="52">
        <f t="shared" si="44"/>
        <v>878.01</v>
      </c>
      <c r="W77" s="130"/>
    </row>
    <row r="78" spans="1:23">
      <c r="A78" s="126">
        <v>76</v>
      </c>
      <c r="B78" s="53">
        <v>43506</v>
      </c>
      <c r="C78" s="52">
        <f t="shared" si="36"/>
        <v>878.01</v>
      </c>
      <c r="D78" s="52"/>
      <c r="E78" s="52"/>
      <c r="F78" s="52">
        <f t="shared" si="37"/>
        <v>878.01</v>
      </c>
      <c r="G78" s="52"/>
      <c r="H78" s="72">
        <f t="shared" si="38"/>
        <v>302.46117346938775</v>
      </c>
      <c r="I78" s="51" t="s">
        <v>1625</v>
      </c>
      <c r="J78" s="51" t="s">
        <v>1266</v>
      </c>
      <c r="K78" s="51" t="s">
        <v>2493</v>
      </c>
      <c r="L78" s="51">
        <v>1</v>
      </c>
      <c r="M78" s="129">
        <v>50</v>
      </c>
      <c r="N78" s="55">
        <v>2.6</v>
      </c>
      <c r="O78" s="54" t="s">
        <v>1627</v>
      </c>
      <c r="P78" s="55" t="s">
        <v>1628</v>
      </c>
      <c r="Q78" s="52">
        <f t="shared" si="39"/>
        <v>80</v>
      </c>
      <c r="R78" s="52">
        <f t="shared" si="40"/>
        <v>250</v>
      </c>
      <c r="S78" s="52">
        <f t="shared" si="41"/>
        <v>26</v>
      </c>
      <c r="T78" s="52">
        <f t="shared" si="42"/>
        <v>-1250.99</v>
      </c>
      <c r="U78" s="57">
        <f t="shared" si="43"/>
        <v>-1.4248015398457876</v>
      </c>
      <c r="V78" s="52">
        <f t="shared" si="44"/>
        <v>958.01</v>
      </c>
      <c r="W78" s="130"/>
    </row>
    <row r="79" spans="1:23">
      <c r="A79" s="126">
        <v>77</v>
      </c>
      <c r="B79" s="53">
        <v>43506</v>
      </c>
      <c r="C79" s="52">
        <f t="shared" si="36"/>
        <v>958.01</v>
      </c>
      <c r="D79" s="52"/>
      <c r="E79" s="52"/>
      <c r="F79" s="52">
        <f t="shared" si="37"/>
        <v>958.01</v>
      </c>
      <c r="G79" s="52"/>
      <c r="H79" s="72">
        <f t="shared" si="38"/>
        <v>252.46117346938775</v>
      </c>
      <c r="I79" s="51" t="s">
        <v>1625</v>
      </c>
      <c r="J79" s="51" t="s">
        <v>1264</v>
      </c>
      <c r="K79" s="51" t="s">
        <v>2494</v>
      </c>
      <c r="L79" s="51">
        <v>1</v>
      </c>
      <c r="M79" s="129">
        <v>50</v>
      </c>
      <c r="N79" s="55">
        <v>2.57</v>
      </c>
      <c r="O79" s="54" t="s">
        <v>1627</v>
      </c>
      <c r="P79" s="55" t="s">
        <v>1632</v>
      </c>
      <c r="Q79" s="52">
        <f t="shared" si="39"/>
        <v>-50</v>
      </c>
      <c r="R79" s="52">
        <f t="shared" si="40"/>
        <v>300</v>
      </c>
      <c r="S79" s="52">
        <f t="shared" si="41"/>
        <v>-24</v>
      </c>
      <c r="T79" s="52">
        <f t="shared" si="42"/>
        <v>-1300.99</v>
      </c>
      <c r="U79" s="57">
        <f t="shared" si="43"/>
        <v>-1.358012964374067</v>
      </c>
      <c r="V79" s="52">
        <f t="shared" si="44"/>
        <v>908.01</v>
      </c>
      <c r="W79" s="130"/>
    </row>
    <row r="80" spans="1:23">
      <c r="A80" s="126">
        <v>78</v>
      </c>
      <c r="B80" s="53">
        <v>43506</v>
      </c>
      <c r="C80" s="52">
        <f t="shared" si="36"/>
        <v>908.01</v>
      </c>
      <c r="D80" s="52"/>
      <c r="E80" s="52"/>
      <c r="F80" s="52">
        <f t="shared" si="37"/>
        <v>908.01</v>
      </c>
      <c r="G80" s="52"/>
      <c r="H80" s="72">
        <f t="shared" si="38"/>
        <v>202.46117346938775</v>
      </c>
      <c r="I80" s="51" t="s">
        <v>1625</v>
      </c>
      <c r="J80" s="51" t="s">
        <v>1261</v>
      </c>
      <c r="K80" s="51" t="s">
        <v>2495</v>
      </c>
      <c r="L80" s="51">
        <v>1</v>
      </c>
      <c r="M80" s="129">
        <v>50</v>
      </c>
      <c r="N80" s="55">
        <v>2.35</v>
      </c>
      <c r="O80" s="54" t="s">
        <v>1627</v>
      </c>
      <c r="P80" s="55" t="s">
        <v>1632</v>
      </c>
      <c r="Q80" s="52">
        <f t="shared" si="39"/>
        <v>-50</v>
      </c>
      <c r="R80" s="52">
        <f t="shared" si="40"/>
        <v>350</v>
      </c>
      <c r="S80" s="52">
        <f t="shared" si="41"/>
        <v>-74</v>
      </c>
      <c r="T80" s="52">
        <f t="shared" si="42"/>
        <v>-1350.99</v>
      </c>
      <c r="U80" s="57">
        <f t="shared" si="43"/>
        <v>-1.4878580632371889</v>
      </c>
      <c r="V80" s="52">
        <f t="shared" si="44"/>
        <v>858.01</v>
      </c>
      <c r="W80" s="130"/>
    </row>
    <row r="81" spans="1:23">
      <c r="A81" s="126">
        <v>79</v>
      </c>
      <c r="B81" s="53">
        <v>43506</v>
      </c>
      <c r="C81" s="52">
        <f t="shared" si="36"/>
        <v>858.01</v>
      </c>
      <c r="D81" s="52"/>
      <c r="E81" s="52"/>
      <c r="F81" s="52">
        <f t="shared" si="37"/>
        <v>858.01</v>
      </c>
      <c r="G81" s="52"/>
      <c r="H81" s="72">
        <f t="shared" si="38"/>
        <v>152.46117346938775</v>
      </c>
      <c r="I81" s="51" t="s">
        <v>1625</v>
      </c>
      <c r="J81" s="51" t="s">
        <v>1850</v>
      </c>
      <c r="K81" s="51" t="s">
        <v>2496</v>
      </c>
      <c r="L81" s="51">
        <v>1</v>
      </c>
      <c r="M81" s="129">
        <v>50</v>
      </c>
      <c r="N81" s="55">
        <v>2.2799999999999998</v>
      </c>
      <c r="O81" s="54" t="s">
        <v>1627</v>
      </c>
      <c r="P81" s="55" t="s">
        <v>1628</v>
      </c>
      <c r="Q81" s="52">
        <f t="shared" si="39"/>
        <v>63.999999999999986</v>
      </c>
      <c r="R81" s="52">
        <f t="shared" si="40"/>
        <v>400</v>
      </c>
      <c r="S81" s="52">
        <f t="shared" si="41"/>
        <v>-10.000000000000014</v>
      </c>
      <c r="T81" s="52">
        <f t="shared" si="42"/>
        <v>-1286.99</v>
      </c>
      <c r="U81" s="57">
        <f t="shared" si="43"/>
        <v>-1.4999708628104569</v>
      </c>
      <c r="V81" s="52">
        <f t="shared" si="44"/>
        <v>922.01</v>
      </c>
      <c r="W81" s="130"/>
    </row>
    <row r="82" spans="1:23">
      <c r="A82" s="126">
        <v>80</v>
      </c>
      <c r="B82" s="53">
        <v>43506</v>
      </c>
      <c r="C82" s="52">
        <f t="shared" si="36"/>
        <v>922.01</v>
      </c>
      <c r="D82" s="52"/>
      <c r="E82" s="52"/>
      <c r="F82" s="52">
        <f t="shared" si="37"/>
        <v>922.01</v>
      </c>
      <c r="G82" s="52"/>
      <c r="H82" s="72">
        <f t="shared" si="38"/>
        <v>102.46117346938775</v>
      </c>
      <c r="I82" s="51" t="s">
        <v>1625</v>
      </c>
      <c r="J82" s="51" t="s">
        <v>1898</v>
      </c>
      <c r="K82" s="51" t="s">
        <v>2497</v>
      </c>
      <c r="L82" s="51">
        <v>1</v>
      </c>
      <c r="M82" s="129">
        <v>50</v>
      </c>
      <c r="N82" s="55">
        <v>2.2999999999999998</v>
      </c>
      <c r="O82" s="54" t="s">
        <v>1627</v>
      </c>
      <c r="P82" s="55" t="s">
        <v>1632</v>
      </c>
      <c r="Q82" s="52">
        <f t="shared" si="39"/>
        <v>-50</v>
      </c>
      <c r="R82" s="52">
        <f t="shared" si="40"/>
        <v>450</v>
      </c>
      <c r="S82" s="52">
        <f t="shared" si="41"/>
        <v>-60.000000000000014</v>
      </c>
      <c r="T82" s="52">
        <f t="shared" si="42"/>
        <v>-1336.99</v>
      </c>
      <c r="U82" s="57">
        <f t="shared" si="43"/>
        <v>-1.4500818863135976</v>
      </c>
      <c r="V82" s="52">
        <f t="shared" si="44"/>
        <v>872.01</v>
      </c>
      <c r="W82" s="130"/>
    </row>
    <row r="83" spans="1:23">
      <c r="A83" s="126">
        <v>81</v>
      </c>
      <c r="B83" s="53">
        <v>43506</v>
      </c>
      <c r="C83" s="52">
        <f t="shared" si="36"/>
        <v>872.01</v>
      </c>
      <c r="D83" s="52"/>
      <c r="E83" s="52"/>
      <c r="F83" s="52">
        <f t="shared" si="37"/>
        <v>872.01</v>
      </c>
      <c r="G83" s="52"/>
      <c r="H83" s="72">
        <f t="shared" si="38"/>
        <v>52.461173469387745</v>
      </c>
      <c r="I83" s="51" t="s">
        <v>1625</v>
      </c>
      <c r="J83" s="51" t="s">
        <v>1692</v>
      </c>
      <c r="K83" s="51" t="s">
        <v>2498</v>
      </c>
      <c r="L83" s="51">
        <v>1</v>
      </c>
      <c r="M83" s="129">
        <v>50</v>
      </c>
      <c r="N83" s="55">
        <v>2.1800000000000002</v>
      </c>
      <c r="O83" s="54" t="s">
        <v>1627</v>
      </c>
      <c r="P83" s="55" t="s">
        <v>1632</v>
      </c>
      <c r="Q83" s="52">
        <f t="shared" si="39"/>
        <v>-50</v>
      </c>
      <c r="R83" s="52">
        <f t="shared" si="40"/>
        <v>500</v>
      </c>
      <c r="S83" s="52">
        <f t="shared" si="41"/>
        <v>-110.00000000000001</v>
      </c>
      <c r="T83" s="52">
        <f t="shared" si="42"/>
        <v>-1386.99</v>
      </c>
      <c r="U83" s="57">
        <f t="shared" si="43"/>
        <v>-1.5905666219424091</v>
      </c>
      <c r="V83" s="52">
        <f t="shared" si="44"/>
        <v>822.01</v>
      </c>
      <c r="W83" s="130"/>
    </row>
    <row r="84" spans="1:23">
      <c r="A84" s="126">
        <v>82</v>
      </c>
      <c r="B84" s="53">
        <v>43506</v>
      </c>
      <c r="C84" s="52">
        <f t="shared" si="36"/>
        <v>822.01</v>
      </c>
      <c r="D84" s="52"/>
      <c r="E84" s="52"/>
      <c r="F84" s="52">
        <f t="shared" si="37"/>
        <v>822.01</v>
      </c>
      <c r="G84" s="52"/>
      <c r="H84" s="72">
        <f t="shared" si="38"/>
        <v>2.4611734693877452</v>
      </c>
      <c r="I84" s="51" t="s">
        <v>1625</v>
      </c>
      <c r="J84" s="51" t="s">
        <v>1847</v>
      </c>
      <c r="K84" s="51" t="s">
        <v>2499</v>
      </c>
      <c r="L84" s="51">
        <v>1</v>
      </c>
      <c r="M84" s="129">
        <v>50</v>
      </c>
      <c r="N84" s="55">
        <v>2.1800000000000002</v>
      </c>
      <c r="O84" s="54" t="s">
        <v>1627</v>
      </c>
      <c r="P84" s="55" t="s">
        <v>1628</v>
      </c>
      <c r="Q84" s="52">
        <f t="shared" si="39"/>
        <v>59.000000000000014</v>
      </c>
      <c r="R84" s="52">
        <f t="shared" si="40"/>
        <v>550</v>
      </c>
      <c r="S84" s="77">
        <f t="shared" si="41"/>
        <v>-51</v>
      </c>
      <c r="T84" s="52">
        <f t="shared" si="42"/>
        <v>-1327.99</v>
      </c>
      <c r="U84" s="57">
        <f t="shared" si="43"/>
        <v>-1.6155399569348305</v>
      </c>
      <c r="V84" s="52">
        <f t="shared" si="44"/>
        <v>881.01</v>
      </c>
      <c r="W84" s="130"/>
    </row>
    <row r="85" spans="1:23">
      <c r="A85" s="126">
        <v>83</v>
      </c>
      <c r="B85" s="128">
        <v>43508</v>
      </c>
      <c r="C85" s="77">
        <f t="shared" si="36"/>
        <v>881.01</v>
      </c>
      <c r="D85" s="77"/>
      <c r="E85" s="77"/>
      <c r="F85" s="77">
        <f t="shared" si="37"/>
        <v>881.01</v>
      </c>
      <c r="G85" s="77"/>
      <c r="H85" s="72">
        <f t="shared" si="38"/>
        <v>474.96627551020407</v>
      </c>
      <c r="I85" s="51" t="s">
        <v>1625</v>
      </c>
      <c r="J85" s="51" t="s">
        <v>2515</v>
      </c>
      <c r="K85" s="51" t="s">
        <v>2527</v>
      </c>
      <c r="L85" s="51">
        <v>1</v>
      </c>
      <c r="M85" s="129">
        <v>248</v>
      </c>
      <c r="N85" s="55">
        <v>2.2999999999999998</v>
      </c>
      <c r="O85" s="54" t="s">
        <v>1627</v>
      </c>
      <c r="P85" s="175" t="s">
        <v>1632</v>
      </c>
      <c r="Q85" s="52">
        <f t="shared" si="39"/>
        <v>-248</v>
      </c>
      <c r="R85" s="52">
        <f t="shared" si="40"/>
        <v>248</v>
      </c>
      <c r="S85" s="52">
        <f t="shared" si="41"/>
        <v>-248</v>
      </c>
      <c r="T85" s="52">
        <f t="shared" si="42"/>
        <v>-1575.99</v>
      </c>
      <c r="U85" s="57">
        <f t="shared" si="43"/>
        <v>-1.7888446215139442</v>
      </c>
      <c r="V85" s="52">
        <f t="shared" si="44"/>
        <v>633.01</v>
      </c>
      <c r="W85" s="130"/>
    </row>
    <row r="86" spans="1:23">
      <c r="A86" s="126">
        <v>84</v>
      </c>
      <c r="B86" s="53">
        <v>43508</v>
      </c>
      <c r="C86" s="52">
        <f t="shared" si="36"/>
        <v>633.01</v>
      </c>
      <c r="D86" s="52"/>
      <c r="E86" s="52"/>
      <c r="F86" s="52">
        <f t="shared" si="37"/>
        <v>633.01</v>
      </c>
      <c r="G86" s="52"/>
      <c r="H86" s="72">
        <f t="shared" si="38"/>
        <v>226.96627551020407</v>
      </c>
      <c r="I86" s="51" t="s">
        <v>1625</v>
      </c>
      <c r="J86" s="51" t="s">
        <v>2515</v>
      </c>
      <c r="K86" s="51" t="s">
        <v>2528</v>
      </c>
      <c r="L86" s="51">
        <v>1</v>
      </c>
      <c r="M86" s="129">
        <v>248</v>
      </c>
      <c r="N86" s="55">
        <v>2.1</v>
      </c>
      <c r="O86" s="54" t="s">
        <v>1627</v>
      </c>
      <c r="P86" s="175" t="s">
        <v>1628</v>
      </c>
      <c r="Q86" s="52">
        <f t="shared" si="39"/>
        <v>272.80000000000007</v>
      </c>
      <c r="R86" s="52">
        <f t="shared" si="40"/>
        <v>496</v>
      </c>
      <c r="S86" s="77">
        <f t="shared" si="41"/>
        <v>24.800000000000068</v>
      </c>
      <c r="T86" s="52">
        <f t="shared" si="42"/>
        <v>-1303.19</v>
      </c>
      <c r="U86" s="57">
        <f t="shared" si="43"/>
        <v>-2.0587194515094551</v>
      </c>
      <c r="V86" s="52">
        <f t="shared" si="44"/>
        <v>905.81000000000006</v>
      </c>
      <c r="W86" s="130"/>
    </row>
    <row r="87" spans="1:23">
      <c r="A87" s="126">
        <v>85</v>
      </c>
      <c r="B87" s="128">
        <v>43509</v>
      </c>
      <c r="C87" s="77">
        <f t="shared" si="36"/>
        <v>905.81000000000006</v>
      </c>
      <c r="D87" s="77"/>
      <c r="E87" s="77"/>
      <c r="F87" s="77">
        <f t="shared" si="37"/>
        <v>905.81000000000006</v>
      </c>
      <c r="G87" s="77"/>
      <c r="H87" s="72">
        <f t="shared" si="38"/>
        <v>488.33634353741496</v>
      </c>
      <c r="I87" s="51" t="s">
        <v>1625</v>
      </c>
      <c r="J87" s="51" t="s">
        <v>1690</v>
      </c>
      <c r="K87" s="51" t="s">
        <v>2539</v>
      </c>
      <c r="L87" s="51">
        <v>1</v>
      </c>
      <c r="M87" s="129">
        <v>254</v>
      </c>
      <c r="N87" s="55">
        <v>3.05</v>
      </c>
      <c r="O87" s="54" t="s">
        <v>1627</v>
      </c>
      <c r="P87" s="55" t="s">
        <v>1632</v>
      </c>
      <c r="Q87" s="52">
        <f t="shared" si="39"/>
        <v>-254</v>
      </c>
      <c r="R87" s="52">
        <f t="shared" si="40"/>
        <v>254</v>
      </c>
      <c r="S87" s="52">
        <f t="shared" si="41"/>
        <v>-254</v>
      </c>
      <c r="T87" s="52">
        <f t="shared" si="42"/>
        <v>-1557.19</v>
      </c>
      <c r="U87" s="57">
        <f t="shared" si="43"/>
        <v>-1.7191132798268951</v>
      </c>
      <c r="V87" s="52">
        <f t="shared" si="44"/>
        <v>651.81000000000006</v>
      </c>
      <c r="W87" s="130"/>
    </row>
    <row r="88" spans="1:23">
      <c r="A88" s="126">
        <v>86</v>
      </c>
      <c r="B88" s="53">
        <v>43509</v>
      </c>
      <c r="C88" s="52">
        <f t="shared" si="36"/>
        <v>651.81000000000006</v>
      </c>
      <c r="D88" s="52"/>
      <c r="E88" s="52"/>
      <c r="F88" s="52">
        <f t="shared" si="37"/>
        <v>651.81000000000006</v>
      </c>
      <c r="G88" s="52"/>
      <c r="H88" s="72">
        <f t="shared" si="38"/>
        <v>234.33634353741496</v>
      </c>
      <c r="I88" s="51" t="s">
        <v>1625</v>
      </c>
      <c r="J88" s="51" t="s">
        <v>2515</v>
      </c>
      <c r="K88" s="51" t="s">
        <v>2540</v>
      </c>
      <c r="L88" s="51">
        <v>1</v>
      </c>
      <c r="M88" s="129">
        <v>254</v>
      </c>
      <c r="N88" s="55">
        <v>2.16</v>
      </c>
      <c r="O88" s="54" t="s">
        <v>1627</v>
      </c>
      <c r="P88" s="55" t="s">
        <v>1628</v>
      </c>
      <c r="Q88" s="52">
        <f t="shared" si="39"/>
        <v>294.64</v>
      </c>
      <c r="R88" s="52">
        <f t="shared" si="40"/>
        <v>508</v>
      </c>
      <c r="S88" s="77">
        <f t="shared" si="41"/>
        <v>40.639999999999986</v>
      </c>
      <c r="T88" s="52">
        <f t="shared" si="42"/>
        <v>-1262.5500000000002</v>
      </c>
      <c r="U88" s="57">
        <f t="shared" si="43"/>
        <v>-1.9369908408892162</v>
      </c>
      <c r="V88" s="52">
        <f t="shared" si="44"/>
        <v>946.45</v>
      </c>
      <c r="W88" s="130"/>
    </row>
    <row r="89" spans="1:23">
      <c r="A89" s="126">
        <v>87</v>
      </c>
      <c r="B89" s="128">
        <v>43510</v>
      </c>
      <c r="C89" s="77">
        <f t="shared" si="36"/>
        <v>946.45</v>
      </c>
      <c r="D89" s="77"/>
      <c r="E89" s="77"/>
      <c r="F89" s="77">
        <f t="shared" si="37"/>
        <v>946.45</v>
      </c>
      <c r="G89" s="77"/>
      <c r="H89" s="72">
        <f t="shared" si="38"/>
        <v>510.24600340136055</v>
      </c>
      <c r="I89" s="51" t="s">
        <v>1625</v>
      </c>
      <c r="J89" s="51" t="s">
        <v>1736</v>
      </c>
      <c r="K89" s="51" t="s">
        <v>2562</v>
      </c>
      <c r="L89" s="51">
        <v>1</v>
      </c>
      <c r="M89" s="129">
        <v>66</v>
      </c>
      <c r="N89" s="55">
        <v>3.9</v>
      </c>
      <c r="O89" s="54" t="s">
        <v>1627</v>
      </c>
      <c r="P89" s="55" t="s">
        <v>1632</v>
      </c>
      <c r="Q89" s="52">
        <f t="shared" si="39"/>
        <v>-66</v>
      </c>
      <c r="R89" s="52">
        <f t="shared" si="40"/>
        <v>66</v>
      </c>
      <c r="S89" s="52">
        <f t="shared" si="41"/>
        <v>-66</v>
      </c>
      <c r="T89" s="52">
        <f t="shared" si="42"/>
        <v>-1328.5500000000002</v>
      </c>
      <c r="U89" s="57">
        <f t="shared" si="43"/>
        <v>-1.4037191610755984</v>
      </c>
      <c r="V89" s="52">
        <f t="shared" si="44"/>
        <v>880.45</v>
      </c>
      <c r="W89" s="130"/>
    </row>
    <row r="90" spans="1:23">
      <c r="A90" s="126">
        <v>88</v>
      </c>
      <c r="B90" s="53">
        <v>43510</v>
      </c>
      <c r="C90" s="52">
        <f t="shared" si="36"/>
        <v>880.45</v>
      </c>
      <c r="D90" s="52"/>
      <c r="E90" s="52"/>
      <c r="F90" s="52">
        <f t="shared" si="37"/>
        <v>880.45</v>
      </c>
      <c r="G90" s="52"/>
      <c r="H90" s="72">
        <f t="shared" si="38"/>
        <v>444.24600340136055</v>
      </c>
      <c r="I90" s="51" t="s">
        <v>1625</v>
      </c>
      <c r="J90" s="51" t="s">
        <v>2516</v>
      </c>
      <c r="K90" s="51" t="s">
        <v>2563</v>
      </c>
      <c r="L90" s="51">
        <v>1</v>
      </c>
      <c r="M90" s="129">
        <v>66</v>
      </c>
      <c r="N90" s="55">
        <v>2.6</v>
      </c>
      <c r="O90" s="54" t="s">
        <v>1627</v>
      </c>
      <c r="P90" s="55" t="s">
        <v>1632</v>
      </c>
      <c r="Q90" s="52">
        <f t="shared" ref="Q90:Q106" si="45">IF(P90="Win",(M90*N90)-M90,IF(P90="Refund",0,IF(P90="Loss",-M90)))</f>
        <v>-66</v>
      </c>
      <c r="R90" s="52">
        <f t="shared" ref="R90:R106" si="46">IF(B90=B89,M90+R89,M90)</f>
        <v>132</v>
      </c>
      <c r="S90" s="52">
        <f t="shared" ref="S90:S106" si="47">IF(B90=B89,+Q90+S89,Q90)</f>
        <v>-132</v>
      </c>
      <c r="T90" s="52">
        <f t="shared" ref="T90:T106" si="48">IF(MONTH(B90)=MONTH(B89),T89+Q90,Q90)</f>
        <v>-1394.5500000000002</v>
      </c>
      <c r="U90" s="57">
        <f t="shared" ref="U90:U106" si="49">T90/F90</f>
        <v>-1.583905957180987</v>
      </c>
      <c r="V90" s="52">
        <f t="shared" ref="V90:V106" si="50">+F90+Q90</f>
        <v>814.45</v>
      </c>
      <c r="W90" s="130"/>
    </row>
    <row r="91" spans="1:23">
      <c r="A91" s="126">
        <v>89</v>
      </c>
      <c r="B91" s="53">
        <v>43510</v>
      </c>
      <c r="C91" s="52">
        <f t="shared" si="36"/>
        <v>814.45</v>
      </c>
      <c r="D91" s="52"/>
      <c r="E91" s="52"/>
      <c r="F91" s="52">
        <f t="shared" si="37"/>
        <v>814.45</v>
      </c>
      <c r="G91" s="52"/>
      <c r="H91" s="72">
        <f t="shared" si="38"/>
        <v>378.24600340136055</v>
      </c>
      <c r="I91" s="51" t="s">
        <v>1625</v>
      </c>
      <c r="J91" s="51" t="s">
        <v>2516</v>
      </c>
      <c r="K91" s="51" t="s">
        <v>2564</v>
      </c>
      <c r="L91" s="51">
        <v>1</v>
      </c>
      <c r="M91" s="129">
        <v>66</v>
      </c>
      <c r="N91" s="55">
        <v>2.35</v>
      </c>
      <c r="O91" s="54" t="s">
        <v>1627</v>
      </c>
      <c r="P91" s="55" t="s">
        <v>1632</v>
      </c>
      <c r="Q91" s="52">
        <f t="shared" si="45"/>
        <v>-66</v>
      </c>
      <c r="R91" s="52">
        <f t="shared" si="46"/>
        <v>198</v>
      </c>
      <c r="S91" s="52">
        <f t="shared" si="47"/>
        <v>-198</v>
      </c>
      <c r="T91" s="52">
        <f t="shared" si="48"/>
        <v>-1460.5500000000002</v>
      </c>
      <c r="U91" s="57">
        <f t="shared" si="49"/>
        <v>-1.793296089385475</v>
      </c>
      <c r="V91" s="52">
        <f t="shared" si="50"/>
        <v>748.45</v>
      </c>
      <c r="W91" s="130"/>
    </row>
    <row r="92" spans="1:23">
      <c r="A92" s="126">
        <v>90</v>
      </c>
      <c r="B92" s="53">
        <v>43510</v>
      </c>
      <c r="C92" s="52">
        <f t="shared" si="36"/>
        <v>748.45</v>
      </c>
      <c r="D92" s="52"/>
      <c r="E92" s="52"/>
      <c r="F92" s="52">
        <f t="shared" si="37"/>
        <v>748.45</v>
      </c>
      <c r="G92" s="52"/>
      <c r="H92" s="72">
        <f t="shared" si="38"/>
        <v>312.24600340136055</v>
      </c>
      <c r="I92" s="51" t="s">
        <v>1625</v>
      </c>
      <c r="J92" s="51" t="s">
        <v>2516</v>
      </c>
      <c r="K92" s="51" t="s">
        <v>2565</v>
      </c>
      <c r="L92" s="51">
        <v>1</v>
      </c>
      <c r="M92" s="129">
        <v>66</v>
      </c>
      <c r="N92" s="55">
        <v>2.35</v>
      </c>
      <c r="O92" s="54" t="s">
        <v>1627</v>
      </c>
      <c r="P92" s="55" t="s">
        <v>1632</v>
      </c>
      <c r="Q92" s="52">
        <f t="shared" si="45"/>
        <v>-66</v>
      </c>
      <c r="R92" s="52">
        <f t="shared" si="46"/>
        <v>264</v>
      </c>
      <c r="S92" s="52">
        <f t="shared" si="47"/>
        <v>-264</v>
      </c>
      <c r="T92" s="52">
        <f t="shared" si="48"/>
        <v>-1526.5500000000002</v>
      </c>
      <c r="U92" s="57">
        <f t="shared" si="49"/>
        <v>-2.039615204756497</v>
      </c>
      <c r="V92" s="52">
        <f t="shared" si="50"/>
        <v>682.45</v>
      </c>
      <c r="W92" s="130"/>
    </row>
    <row r="93" spans="1:23">
      <c r="A93" s="126">
        <v>91</v>
      </c>
      <c r="B93" s="53">
        <v>43510</v>
      </c>
      <c r="C93" s="52">
        <f t="shared" ref="C93:C106" si="51">+V92</f>
        <v>682.45</v>
      </c>
      <c r="D93" s="52"/>
      <c r="E93" s="52"/>
      <c r="F93" s="52">
        <f t="shared" ref="F93:F106" si="52">+C93+D93-E93</f>
        <v>682.45</v>
      </c>
      <c r="G93" s="52"/>
      <c r="H93" s="72">
        <f t="shared" ref="H93:H104" si="53">IF(B93=B92,H92-M92,F93*$AB$3)</f>
        <v>246.24600340136055</v>
      </c>
      <c r="I93" s="51" t="s">
        <v>1625</v>
      </c>
      <c r="J93" s="51" t="s">
        <v>2136</v>
      </c>
      <c r="K93" s="51" t="s">
        <v>2566</v>
      </c>
      <c r="L93" s="51">
        <v>1</v>
      </c>
      <c r="M93" s="129">
        <v>66</v>
      </c>
      <c r="N93" s="55">
        <v>2.2799999999999998</v>
      </c>
      <c r="O93" s="54" t="s">
        <v>1627</v>
      </c>
      <c r="P93" s="55" t="s">
        <v>1632</v>
      </c>
      <c r="Q93" s="52">
        <f t="shared" si="45"/>
        <v>-66</v>
      </c>
      <c r="R93" s="52">
        <f t="shared" si="46"/>
        <v>330</v>
      </c>
      <c r="S93" s="52">
        <f t="shared" si="47"/>
        <v>-330</v>
      </c>
      <c r="T93" s="52">
        <f t="shared" si="48"/>
        <v>-1592.5500000000002</v>
      </c>
      <c r="U93" s="57">
        <f t="shared" si="49"/>
        <v>-2.3335775514689723</v>
      </c>
      <c r="V93" s="52">
        <f t="shared" si="50"/>
        <v>616.45000000000005</v>
      </c>
      <c r="W93" s="130"/>
    </row>
    <row r="94" spans="1:23">
      <c r="A94" s="126">
        <v>92</v>
      </c>
      <c r="B94" s="53">
        <v>43510</v>
      </c>
      <c r="C94" s="52">
        <f t="shared" si="51"/>
        <v>616.45000000000005</v>
      </c>
      <c r="D94" s="52"/>
      <c r="E94" s="52"/>
      <c r="F94" s="52">
        <f t="shared" si="52"/>
        <v>616.45000000000005</v>
      </c>
      <c r="G94" s="52"/>
      <c r="H94" s="72">
        <f t="shared" si="53"/>
        <v>180.24600340136055</v>
      </c>
      <c r="I94" s="51" t="s">
        <v>1625</v>
      </c>
      <c r="J94" s="51" t="s">
        <v>2516</v>
      </c>
      <c r="K94" s="51" t="s">
        <v>2567</v>
      </c>
      <c r="L94" s="51">
        <v>1</v>
      </c>
      <c r="M94" s="129">
        <v>66</v>
      </c>
      <c r="N94" s="55">
        <v>2.25</v>
      </c>
      <c r="O94" s="54" t="s">
        <v>1627</v>
      </c>
      <c r="P94" s="55" t="s">
        <v>1632</v>
      </c>
      <c r="Q94" s="52">
        <f t="shared" si="45"/>
        <v>-66</v>
      </c>
      <c r="R94" s="52">
        <f t="shared" si="46"/>
        <v>396</v>
      </c>
      <c r="S94" s="52">
        <f t="shared" si="47"/>
        <v>-396</v>
      </c>
      <c r="T94" s="52">
        <f t="shared" si="48"/>
        <v>-1658.5500000000002</v>
      </c>
      <c r="U94" s="57">
        <f t="shared" si="49"/>
        <v>-2.6904858463784573</v>
      </c>
      <c r="V94" s="52">
        <f t="shared" si="50"/>
        <v>550.45000000000005</v>
      </c>
      <c r="W94" s="130"/>
    </row>
    <row r="95" spans="1:23">
      <c r="A95" s="126">
        <v>93</v>
      </c>
      <c r="B95" s="53">
        <v>43510</v>
      </c>
      <c r="C95" s="52">
        <f t="shared" si="51"/>
        <v>550.45000000000005</v>
      </c>
      <c r="D95" s="52"/>
      <c r="E95" s="52"/>
      <c r="F95" s="52">
        <f t="shared" si="52"/>
        <v>550.45000000000005</v>
      </c>
      <c r="G95" s="52"/>
      <c r="H95" s="72">
        <f t="shared" si="53"/>
        <v>114.24600340136055</v>
      </c>
      <c r="I95" s="51" t="s">
        <v>1625</v>
      </c>
      <c r="J95" s="51" t="s">
        <v>2516</v>
      </c>
      <c r="K95" s="51" t="s">
        <v>2568</v>
      </c>
      <c r="L95" s="51">
        <v>1</v>
      </c>
      <c r="M95" s="129">
        <v>66</v>
      </c>
      <c r="N95" s="55">
        <v>2.2000000000000002</v>
      </c>
      <c r="O95" s="54" t="s">
        <v>1627</v>
      </c>
      <c r="P95" s="55" t="s">
        <v>1632</v>
      </c>
      <c r="Q95" s="52">
        <f t="shared" si="45"/>
        <v>-66</v>
      </c>
      <c r="R95" s="52">
        <f t="shared" si="46"/>
        <v>462</v>
      </c>
      <c r="S95" s="52">
        <f t="shared" si="47"/>
        <v>-462</v>
      </c>
      <c r="T95" s="52">
        <f t="shared" si="48"/>
        <v>-1724.5500000000002</v>
      </c>
      <c r="U95" s="57">
        <f t="shared" si="49"/>
        <v>-3.1329821055500044</v>
      </c>
      <c r="V95" s="52">
        <f t="shared" si="50"/>
        <v>484.45000000000005</v>
      </c>
      <c r="W95" s="130"/>
    </row>
    <row r="96" spans="1:23">
      <c r="A96" s="126">
        <v>94</v>
      </c>
      <c r="B96" s="53">
        <v>43510</v>
      </c>
      <c r="C96" s="52">
        <f t="shared" si="51"/>
        <v>484.45000000000005</v>
      </c>
      <c r="D96" s="52"/>
      <c r="E96" s="52"/>
      <c r="F96" s="52">
        <f t="shared" si="52"/>
        <v>484.45000000000005</v>
      </c>
      <c r="G96" s="52"/>
      <c r="H96" s="72">
        <f t="shared" si="53"/>
        <v>48.246003401360554</v>
      </c>
      <c r="I96" s="51" t="s">
        <v>1625</v>
      </c>
      <c r="J96" s="51" t="s">
        <v>2516</v>
      </c>
      <c r="K96" s="51" t="s">
        <v>2569</v>
      </c>
      <c r="L96" s="51">
        <v>1</v>
      </c>
      <c r="M96" s="129">
        <v>66</v>
      </c>
      <c r="N96" s="55">
        <v>1.95</v>
      </c>
      <c r="O96" s="54" t="s">
        <v>1627</v>
      </c>
      <c r="P96" s="55" t="s">
        <v>1632</v>
      </c>
      <c r="Q96" s="52">
        <f t="shared" si="45"/>
        <v>-66</v>
      </c>
      <c r="R96" s="52">
        <f t="shared" si="46"/>
        <v>528</v>
      </c>
      <c r="S96" s="77">
        <f t="shared" si="47"/>
        <v>-528</v>
      </c>
      <c r="T96" s="52">
        <f t="shared" si="48"/>
        <v>-1790.5500000000002</v>
      </c>
      <c r="U96" s="57">
        <f t="shared" si="49"/>
        <v>-3.6960470636804623</v>
      </c>
      <c r="V96" s="52">
        <f t="shared" si="50"/>
        <v>418.45000000000005</v>
      </c>
      <c r="W96" s="130"/>
    </row>
    <row r="97" spans="1:23">
      <c r="A97" s="126">
        <v>95</v>
      </c>
      <c r="B97" s="128">
        <v>43511</v>
      </c>
      <c r="C97" s="77">
        <f t="shared" si="51"/>
        <v>418.45000000000005</v>
      </c>
      <c r="D97" s="77"/>
      <c r="E97" s="77"/>
      <c r="F97" s="77">
        <f t="shared" si="52"/>
        <v>418.45000000000005</v>
      </c>
      <c r="G97" s="77"/>
      <c r="H97" s="72">
        <f t="shared" si="53"/>
        <v>225.59294217687076</v>
      </c>
      <c r="I97" s="51" t="s">
        <v>1625</v>
      </c>
      <c r="J97" s="51" t="s">
        <v>1850</v>
      </c>
      <c r="K97" s="51" t="s">
        <v>2590</v>
      </c>
      <c r="L97" s="51">
        <v>1</v>
      </c>
      <c r="M97" s="129">
        <v>57</v>
      </c>
      <c r="N97" s="55">
        <v>3.55</v>
      </c>
      <c r="O97" s="54" t="s">
        <v>1627</v>
      </c>
      <c r="P97" s="55" t="s">
        <v>1632</v>
      </c>
      <c r="Q97" s="52">
        <f t="shared" si="45"/>
        <v>-57</v>
      </c>
      <c r="R97" s="52">
        <f t="shared" si="46"/>
        <v>57</v>
      </c>
      <c r="S97" s="52">
        <f t="shared" si="47"/>
        <v>-57</v>
      </c>
      <c r="T97" s="52">
        <f t="shared" si="48"/>
        <v>-1847.5500000000002</v>
      </c>
      <c r="U97" s="57">
        <f t="shared" si="49"/>
        <v>-4.4152228462181862</v>
      </c>
      <c r="V97" s="52">
        <f t="shared" si="50"/>
        <v>361.45000000000005</v>
      </c>
      <c r="W97" s="130"/>
    </row>
    <row r="98" spans="1:23">
      <c r="A98" s="126">
        <v>96</v>
      </c>
      <c r="B98" s="53">
        <v>43511</v>
      </c>
      <c r="C98" s="52">
        <f t="shared" si="51"/>
        <v>361.45000000000005</v>
      </c>
      <c r="D98" s="52"/>
      <c r="E98" s="52"/>
      <c r="F98" s="52">
        <f t="shared" si="52"/>
        <v>361.45000000000005</v>
      </c>
      <c r="G98" s="52"/>
      <c r="H98" s="72">
        <f t="shared" si="53"/>
        <v>168.59294217687076</v>
      </c>
      <c r="I98" s="51" t="s">
        <v>1625</v>
      </c>
      <c r="J98" s="51" t="s">
        <v>1693</v>
      </c>
      <c r="K98" s="51" t="s">
        <v>2591</v>
      </c>
      <c r="L98" s="51">
        <v>1</v>
      </c>
      <c r="M98" s="129">
        <v>57</v>
      </c>
      <c r="N98" s="55">
        <v>2.1800000000000002</v>
      </c>
      <c r="O98" s="54" t="s">
        <v>1627</v>
      </c>
      <c r="P98" s="55" t="s">
        <v>1632</v>
      </c>
      <c r="Q98" s="52">
        <f t="shared" si="45"/>
        <v>-57</v>
      </c>
      <c r="R98" s="52">
        <f t="shared" si="46"/>
        <v>114</v>
      </c>
      <c r="S98" s="52">
        <f t="shared" si="47"/>
        <v>-114</v>
      </c>
      <c r="T98" s="52">
        <f t="shared" si="48"/>
        <v>-1904.5500000000002</v>
      </c>
      <c r="U98" s="57">
        <f t="shared" si="49"/>
        <v>-5.2691935260755294</v>
      </c>
      <c r="V98" s="52">
        <f t="shared" si="50"/>
        <v>304.45000000000005</v>
      </c>
      <c r="W98" s="130"/>
    </row>
    <row r="99" spans="1:23">
      <c r="A99" s="126">
        <v>97</v>
      </c>
      <c r="B99" s="53">
        <v>43511</v>
      </c>
      <c r="C99" s="52">
        <f t="shared" si="51"/>
        <v>304.45000000000005</v>
      </c>
      <c r="D99" s="52"/>
      <c r="E99" s="52"/>
      <c r="F99" s="52">
        <f t="shared" si="52"/>
        <v>304.45000000000005</v>
      </c>
      <c r="G99" s="52"/>
      <c r="H99" s="72">
        <f t="shared" si="53"/>
        <v>111.59294217687076</v>
      </c>
      <c r="I99" s="51" t="s">
        <v>1625</v>
      </c>
      <c r="J99" s="51" t="s">
        <v>1847</v>
      </c>
      <c r="K99" s="51" t="s">
        <v>2592</v>
      </c>
      <c r="L99" s="51">
        <v>1</v>
      </c>
      <c r="M99" s="129">
        <v>57</v>
      </c>
      <c r="N99" s="55">
        <v>2.08</v>
      </c>
      <c r="O99" s="54" t="s">
        <v>1627</v>
      </c>
      <c r="P99" s="55" t="s">
        <v>1632</v>
      </c>
      <c r="Q99" s="52">
        <f t="shared" si="45"/>
        <v>-57</v>
      </c>
      <c r="R99" s="52">
        <f t="shared" si="46"/>
        <v>171</v>
      </c>
      <c r="S99" s="52">
        <f t="shared" si="47"/>
        <v>-171</v>
      </c>
      <c r="T99" s="52">
        <f t="shared" si="48"/>
        <v>-1961.5500000000002</v>
      </c>
      <c r="U99" s="57">
        <f t="shared" si="49"/>
        <v>-6.4429298735424529</v>
      </c>
      <c r="V99" s="52">
        <f t="shared" si="50"/>
        <v>247.45000000000005</v>
      </c>
      <c r="W99" s="130"/>
    </row>
    <row r="100" spans="1:23">
      <c r="A100" s="126">
        <v>98</v>
      </c>
      <c r="B100" s="53">
        <v>43511</v>
      </c>
      <c r="C100" s="52">
        <f t="shared" si="51"/>
        <v>247.45000000000005</v>
      </c>
      <c r="D100" s="52"/>
      <c r="E100" s="52"/>
      <c r="F100" s="52">
        <f t="shared" si="52"/>
        <v>247.45000000000005</v>
      </c>
      <c r="G100" s="52"/>
      <c r="H100" s="72">
        <f t="shared" si="53"/>
        <v>54.592942176870764</v>
      </c>
      <c r="I100" s="51" t="s">
        <v>1625</v>
      </c>
      <c r="J100" s="51" t="s">
        <v>1265</v>
      </c>
      <c r="K100" s="51" t="s">
        <v>2593</v>
      </c>
      <c r="L100" s="51">
        <v>1</v>
      </c>
      <c r="M100" s="129">
        <v>57</v>
      </c>
      <c r="N100" s="55">
        <v>2.04</v>
      </c>
      <c r="O100" s="54" t="s">
        <v>1627</v>
      </c>
      <c r="P100" s="55" t="s">
        <v>1632</v>
      </c>
      <c r="Q100" s="52">
        <f t="shared" si="45"/>
        <v>-57</v>
      </c>
      <c r="R100" s="52">
        <f t="shared" si="46"/>
        <v>228</v>
      </c>
      <c r="S100" s="77">
        <f t="shared" si="47"/>
        <v>-228</v>
      </c>
      <c r="T100" s="52">
        <f t="shared" si="48"/>
        <v>-2018.5500000000002</v>
      </c>
      <c r="U100" s="57">
        <f t="shared" si="49"/>
        <v>-8.1574055364720142</v>
      </c>
      <c r="V100" s="52">
        <f t="shared" si="50"/>
        <v>190.45000000000005</v>
      </c>
      <c r="W100" s="130"/>
    </row>
    <row r="101" spans="1:23">
      <c r="A101" s="126">
        <v>99</v>
      </c>
      <c r="B101" s="128">
        <v>43512</v>
      </c>
      <c r="C101" s="77">
        <f t="shared" si="51"/>
        <v>190.45000000000005</v>
      </c>
      <c r="D101" s="77">
        <v>60</v>
      </c>
      <c r="E101" s="77"/>
      <c r="F101" s="77">
        <f t="shared" si="52"/>
        <v>250.45000000000005</v>
      </c>
      <c r="G101" s="77"/>
      <c r="H101" s="72">
        <f t="shared" si="53"/>
        <v>135.02151360544221</v>
      </c>
      <c r="I101" s="51" t="s">
        <v>1625</v>
      </c>
      <c r="J101" s="51" t="s">
        <v>1264</v>
      </c>
      <c r="K101" s="51" t="s">
        <v>2628</v>
      </c>
      <c r="L101" s="51">
        <v>1</v>
      </c>
      <c r="M101" s="129">
        <v>50</v>
      </c>
      <c r="N101" s="55">
        <v>3.3</v>
      </c>
      <c r="O101" s="54" t="s">
        <v>1627</v>
      </c>
      <c r="P101" s="55" t="s">
        <v>1632</v>
      </c>
      <c r="Q101" s="52">
        <f t="shared" si="45"/>
        <v>-50</v>
      </c>
      <c r="R101" s="52">
        <f t="shared" si="46"/>
        <v>50</v>
      </c>
      <c r="S101" s="52">
        <f t="shared" si="47"/>
        <v>-50</v>
      </c>
      <c r="T101" s="52">
        <f t="shared" si="48"/>
        <v>-2068.5500000000002</v>
      </c>
      <c r="U101" s="57">
        <f t="shared" si="49"/>
        <v>-8.2593332002395687</v>
      </c>
      <c r="V101" s="52">
        <f t="shared" si="50"/>
        <v>200.45000000000005</v>
      </c>
      <c r="W101" s="130"/>
    </row>
    <row r="102" spans="1:23">
      <c r="A102" s="126">
        <v>100</v>
      </c>
      <c r="B102" s="53">
        <v>43512</v>
      </c>
      <c r="C102" s="52">
        <f t="shared" si="51"/>
        <v>200.45000000000005</v>
      </c>
      <c r="D102" s="52"/>
      <c r="E102" s="52"/>
      <c r="F102" s="52">
        <f t="shared" si="52"/>
        <v>200.45000000000005</v>
      </c>
      <c r="G102" s="52"/>
      <c r="H102" s="72">
        <f t="shared" si="53"/>
        <v>85.021513605442209</v>
      </c>
      <c r="I102" s="51" t="s">
        <v>1625</v>
      </c>
      <c r="J102" s="51" t="s">
        <v>1897</v>
      </c>
      <c r="K102" s="51" t="s">
        <v>2629</v>
      </c>
      <c r="L102" s="51">
        <v>1</v>
      </c>
      <c r="M102" s="129">
        <v>50</v>
      </c>
      <c r="N102" s="55">
        <v>3.2</v>
      </c>
      <c r="O102" s="54" t="s">
        <v>1627</v>
      </c>
      <c r="P102" s="55" t="s">
        <v>1632</v>
      </c>
      <c r="Q102" s="52">
        <f t="shared" si="45"/>
        <v>-50</v>
      </c>
      <c r="R102" s="52">
        <f t="shared" si="46"/>
        <v>100</v>
      </c>
      <c r="S102" s="77">
        <f t="shared" si="47"/>
        <v>-100</v>
      </c>
      <c r="T102" s="52">
        <f t="shared" si="48"/>
        <v>-2118.5500000000002</v>
      </c>
      <c r="U102" s="57">
        <f t="shared" si="49"/>
        <v>-10.568969817909702</v>
      </c>
      <c r="V102" s="52">
        <f t="shared" si="50"/>
        <v>150.45000000000005</v>
      </c>
      <c r="W102" s="130"/>
    </row>
    <row r="103" spans="1:23">
      <c r="A103" s="126">
        <v>101</v>
      </c>
      <c r="B103" s="53">
        <v>43512</v>
      </c>
      <c r="C103" s="77">
        <f t="shared" si="51"/>
        <v>150.45000000000005</v>
      </c>
      <c r="D103" s="77"/>
      <c r="E103" s="77"/>
      <c r="F103" s="52">
        <f t="shared" si="52"/>
        <v>150.45000000000005</v>
      </c>
      <c r="G103" s="52"/>
      <c r="H103" s="72">
        <f t="shared" si="53"/>
        <v>35.021513605442209</v>
      </c>
      <c r="I103" s="51" t="s">
        <v>1625</v>
      </c>
      <c r="J103" s="51" t="s">
        <v>1262</v>
      </c>
      <c r="K103" s="51" t="s">
        <v>2630</v>
      </c>
      <c r="L103" s="51">
        <v>1</v>
      </c>
      <c r="M103" s="129">
        <v>90</v>
      </c>
      <c r="N103" s="55">
        <v>28</v>
      </c>
      <c r="O103" s="54" t="s">
        <v>1627</v>
      </c>
      <c r="P103" s="55" t="s">
        <v>1632</v>
      </c>
      <c r="Q103" s="52">
        <f t="shared" si="45"/>
        <v>-90</v>
      </c>
      <c r="R103" s="52">
        <f t="shared" si="46"/>
        <v>190</v>
      </c>
      <c r="S103" s="52">
        <f t="shared" si="47"/>
        <v>-190</v>
      </c>
      <c r="T103" s="52">
        <f t="shared" si="48"/>
        <v>-2208.5500000000002</v>
      </c>
      <c r="U103" s="57">
        <f t="shared" si="49"/>
        <v>-14.679627783316713</v>
      </c>
      <c r="V103" s="52">
        <f t="shared" si="50"/>
        <v>60.450000000000045</v>
      </c>
      <c r="W103" s="130"/>
    </row>
    <row r="104" spans="1:23" ht="15.75" thickBot="1">
      <c r="A104" s="131">
        <v>102</v>
      </c>
      <c r="B104" s="132">
        <v>43512</v>
      </c>
      <c r="C104" s="133">
        <f t="shared" si="51"/>
        <v>60.450000000000045</v>
      </c>
      <c r="D104" s="133"/>
      <c r="E104" s="133"/>
      <c r="F104" s="133">
        <f t="shared" si="52"/>
        <v>60.450000000000045</v>
      </c>
      <c r="G104" s="133"/>
      <c r="H104" s="134">
        <f t="shared" si="53"/>
        <v>-54.978486394557791</v>
      </c>
      <c r="I104" s="135" t="s">
        <v>1625</v>
      </c>
      <c r="J104" s="135" t="s">
        <v>1262</v>
      </c>
      <c r="K104" s="135" t="s">
        <v>2630</v>
      </c>
      <c r="L104" s="135" t="s">
        <v>1626</v>
      </c>
      <c r="M104" s="136">
        <v>60</v>
      </c>
      <c r="N104" s="138">
        <v>12.5</v>
      </c>
      <c r="O104" s="137" t="s">
        <v>1627</v>
      </c>
      <c r="P104" s="138" t="s">
        <v>1632</v>
      </c>
      <c r="Q104" s="133">
        <f t="shared" si="45"/>
        <v>-60</v>
      </c>
      <c r="R104" s="133">
        <f t="shared" si="46"/>
        <v>250</v>
      </c>
      <c r="S104" s="176">
        <f t="shared" si="47"/>
        <v>-250</v>
      </c>
      <c r="T104" s="133">
        <f t="shared" si="48"/>
        <v>-2268.5500000000002</v>
      </c>
      <c r="U104" s="139">
        <f t="shared" si="49"/>
        <v>-37.527708850289471</v>
      </c>
      <c r="V104" s="133">
        <f t="shared" si="50"/>
        <v>0.45000000000004547</v>
      </c>
      <c r="W104" s="140"/>
    </row>
    <row r="105" spans="1:23">
      <c r="A105" s="51">
        <v>103</v>
      </c>
      <c r="B105" s="75">
        <v>43513</v>
      </c>
      <c r="C105" s="77">
        <f t="shared" si="51"/>
        <v>0.45000000000004547</v>
      </c>
      <c r="D105" s="76">
        <v>5000</v>
      </c>
      <c r="E105" s="76"/>
      <c r="F105" s="77">
        <f t="shared" si="52"/>
        <v>5000.45</v>
      </c>
      <c r="G105" s="185">
        <v>0.54433497536945807</v>
      </c>
      <c r="H105" s="72">
        <f>IF(B105=B104,H104-M104,F105*G105)</f>
        <v>2721.9198275862063</v>
      </c>
      <c r="I105" s="37" t="s">
        <v>1625</v>
      </c>
      <c r="J105" s="37" t="s">
        <v>1261</v>
      </c>
      <c r="K105" s="37" t="s">
        <v>2694</v>
      </c>
      <c r="L105" s="37">
        <v>1</v>
      </c>
      <c r="M105" s="69">
        <v>147</v>
      </c>
      <c r="N105" s="184">
        <v>6.1</v>
      </c>
      <c r="O105" s="46" t="s">
        <v>1627</v>
      </c>
      <c r="P105" s="184" t="s">
        <v>1632</v>
      </c>
      <c r="Q105" s="38">
        <f t="shared" si="45"/>
        <v>-147</v>
      </c>
      <c r="R105" s="38">
        <f t="shared" si="46"/>
        <v>147</v>
      </c>
      <c r="S105" s="38">
        <f t="shared" si="47"/>
        <v>-147</v>
      </c>
      <c r="T105" s="38">
        <f t="shared" si="48"/>
        <v>-2415.5500000000002</v>
      </c>
      <c r="U105" s="47">
        <f t="shared" si="49"/>
        <v>-0.48306652401283889</v>
      </c>
      <c r="V105" s="52">
        <f t="shared" si="50"/>
        <v>4853.45</v>
      </c>
      <c r="W105" s="169" t="s">
        <v>2631</v>
      </c>
    </row>
    <row r="106" spans="1:23">
      <c r="A106" s="51">
        <v>104</v>
      </c>
      <c r="B106" s="45">
        <v>43513</v>
      </c>
      <c r="C106" s="52">
        <f t="shared" si="51"/>
        <v>4853.45</v>
      </c>
      <c r="F106" s="52">
        <f t="shared" si="52"/>
        <v>4853.45</v>
      </c>
      <c r="G106" s="185">
        <v>0.54433497536945807</v>
      </c>
      <c r="H106" s="72">
        <f t="shared" ref="H106:H146" si="54">IF(B106=B105,H105-M105,F106*G106)</f>
        <v>2574.9198275862063</v>
      </c>
      <c r="I106" s="37" t="s">
        <v>1625</v>
      </c>
      <c r="J106" s="37" t="s">
        <v>1845</v>
      </c>
      <c r="K106" s="37" t="s">
        <v>2695</v>
      </c>
      <c r="L106" s="37">
        <v>1</v>
      </c>
      <c r="M106" s="69">
        <v>147</v>
      </c>
      <c r="N106" s="184">
        <v>2.4700000000000002</v>
      </c>
      <c r="O106" s="46" t="s">
        <v>1627</v>
      </c>
      <c r="P106" s="184" t="s">
        <v>1632</v>
      </c>
      <c r="Q106" s="38">
        <f t="shared" si="45"/>
        <v>-147</v>
      </c>
      <c r="R106" s="38">
        <f t="shared" si="46"/>
        <v>294</v>
      </c>
      <c r="S106" s="38">
        <f t="shared" si="47"/>
        <v>-294</v>
      </c>
      <c r="T106" s="38">
        <f t="shared" si="48"/>
        <v>-2562.5500000000002</v>
      </c>
      <c r="U106" s="47">
        <f t="shared" si="49"/>
        <v>-0.52798524760737209</v>
      </c>
      <c r="V106" s="52">
        <f t="shared" si="50"/>
        <v>4706.45</v>
      </c>
    </row>
    <row r="107" spans="1:23">
      <c r="A107" s="51">
        <v>105</v>
      </c>
      <c r="B107" s="45">
        <v>43513</v>
      </c>
      <c r="C107" s="52">
        <f t="shared" ref="C107:C121" si="55">+V106</f>
        <v>4706.45</v>
      </c>
      <c r="F107" s="52">
        <f t="shared" ref="F107:F121" si="56">+C107+D107-E107</f>
        <v>4706.45</v>
      </c>
      <c r="G107" s="185">
        <v>0.54433497536945807</v>
      </c>
      <c r="H107" s="72">
        <f t="shared" si="54"/>
        <v>2427.9198275862063</v>
      </c>
      <c r="I107" s="37" t="s">
        <v>1625</v>
      </c>
      <c r="J107" s="37" t="s">
        <v>1850</v>
      </c>
      <c r="K107" s="37" t="s">
        <v>2696</v>
      </c>
      <c r="L107" s="37">
        <v>1</v>
      </c>
      <c r="M107" s="69">
        <v>147</v>
      </c>
      <c r="N107" s="184">
        <v>2.37</v>
      </c>
      <c r="O107" s="46" t="s">
        <v>1627</v>
      </c>
      <c r="P107" s="184" t="s">
        <v>1628</v>
      </c>
      <c r="Q107" s="38">
        <f t="shared" ref="Q107:Q121" si="57">IF(P107="Win",(M107*N107)-M107,IF(P107="Refund",0,IF(P107="Loss",-M107)))</f>
        <v>201.39000000000004</v>
      </c>
      <c r="R107" s="38">
        <f t="shared" ref="R107:R121" si="58">IF(B107=B106,M107+R106,M107)</f>
        <v>441</v>
      </c>
      <c r="S107" s="38">
        <f t="shared" ref="S107:S121" si="59">IF(B107=B106,+Q107+S106,Q107)</f>
        <v>-92.609999999999957</v>
      </c>
      <c r="T107" s="38">
        <f t="shared" ref="T107:T121" si="60">IF(MONTH(B107)=MONTH(B106),T106+Q107,Q107)</f>
        <v>-2361.1600000000003</v>
      </c>
      <c r="U107" s="47">
        <f t="shared" ref="U107:U121" si="61">T107/F107</f>
        <v>-0.50168598412816467</v>
      </c>
      <c r="V107" s="52">
        <f t="shared" ref="V107:V121" si="62">+F107+Q107</f>
        <v>4907.84</v>
      </c>
    </row>
    <row r="108" spans="1:23">
      <c r="A108" s="51">
        <v>106</v>
      </c>
      <c r="B108" s="45">
        <v>43513</v>
      </c>
      <c r="C108" s="52">
        <f t="shared" si="55"/>
        <v>4907.84</v>
      </c>
      <c r="F108" s="52">
        <f t="shared" si="56"/>
        <v>4907.84</v>
      </c>
      <c r="G108" s="185">
        <v>0.54433497536945807</v>
      </c>
      <c r="H108" s="72">
        <f t="shared" si="54"/>
        <v>2280.9198275862063</v>
      </c>
      <c r="I108" s="37" t="s">
        <v>1625</v>
      </c>
      <c r="J108" s="37" t="s">
        <v>1847</v>
      </c>
      <c r="K108" s="37" t="s">
        <v>2697</v>
      </c>
      <c r="L108" s="37">
        <v>1</v>
      </c>
      <c r="M108" s="69">
        <v>147</v>
      </c>
      <c r="N108" s="184">
        <v>2.35</v>
      </c>
      <c r="O108" s="46" t="s">
        <v>1627</v>
      </c>
      <c r="P108" s="184" t="s">
        <v>1628</v>
      </c>
      <c r="Q108" s="38">
        <f t="shared" si="57"/>
        <v>198.45</v>
      </c>
      <c r="R108" s="38">
        <f t="shared" si="58"/>
        <v>588</v>
      </c>
      <c r="S108" s="38">
        <f t="shared" si="59"/>
        <v>105.84000000000003</v>
      </c>
      <c r="T108" s="38">
        <f t="shared" si="60"/>
        <v>-2162.7100000000005</v>
      </c>
      <c r="U108" s="47">
        <f t="shared" si="61"/>
        <v>-0.44066432483536555</v>
      </c>
      <c r="V108" s="52">
        <f t="shared" si="62"/>
        <v>5106.29</v>
      </c>
    </row>
    <row r="109" spans="1:23">
      <c r="A109" s="51">
        <v>107</v>
      </c>
      <c r="B109" s="45">
        <v>43513</v>
      </c>
      <c r="C109" s="52">
        <f t="shared" si="55"/>
        <v>5106.29</v>
      </c>
      <c r="F109" s="52">
        <f t="shared" si="56"/>
        <v>5106.29</v>
      </c>
      <c r="G109" s="185">
        <v>0.54433497536945807</v>
      </c>
      <c r="H109" s="72">
        <f t="shared" si="54"/>
        <v>2133.9198275862063</v>
      </c>
      <c r="I109" s="37" t="s">
        <v>1625</v>
      </c>
      <c r="J109" s="37" t="s">
        <v>1846</v>
      </c>
      <c r="K109" s="37" t="s">
        <v>2698</v>
      </c>
      <c r="L109" s="37">
        <v>1</v>
      </c>
      <c r="M109" s="69">
        <v>147</v>
      </c>
      <c r="N109" s="184">
        <v>2.2999999999999998</v>
      </c>
      <c r="O109" s="46" t="s">
        <v>1627</v>
      </c>
      <c r="P109" s="184" t="s">
        <v>1632</v>
      </c>
      <c r="Q109" s="38">
        <f t="shared" si="57"/>
        <v>-147</v>
      </c>
      <c r="R109" s="38">
        <f t="shared" si="58"/>
        <v>735</v>
      </c>
      <c r="S109" s="38">
        <f t="shared" si="59"/>
        <v>-41.159999999999968</v>
      </c>
      <c r="T109" s="38">
        <f t="shared" si="60"/>
        <v>-2309.7100000000005</v>
      </c>
      <c r="U109" s="47">
        <f t="shared" si="61"/>
        <v>-0.45232644444400932</v>
      </c>
      <c r="V109" s="52">
        <f t="shared" si="62"/>
        <v>4959.29</v>
      </c>
    </row>
    <row r="110" spans="1:23">
      <c r="A110" s="51">
        <v>108</v>
      </c>
      <c r="B110" s="45">
        <v>43513</v>
      </c>
      <c r="C110" s="52">
        <f t="shared" si="55"/>
        <v>4959.29</v>
      </c>
      <c r="F110" s="52">
        <f t="shared" si="56"/>
        <v>4959.29</v>
      </c>
      <c r="G110" s="185">
        <v>0.54433497536945807</v>
      </c>
      <c r="H110" s="72">
        <f t="shared" si="54"/>
        <v>1986.9198275862063</v>
      </c>
      <c r="I110" s="37" t="s">
        <v>1625</v>
      </c>
      <c r="J110" s="37" t="s">
        <v>1899</v>
      </c>
      <c r="K110" s="37" t="s">
        <v>2699</v>
      </c>
      <c r="L110" s="37">
        <v>1</v>
      </c>
      <c r="M110" s="69">
        <v>147</v>
      </c>
      <c r="N110" s="184">
        <v>2.27</v>
      </c>
      <c r="O110" s="46" t="s">
        <v>1627</v>
      </c>
      <c r="P110" s="184" t="s">
        <v>1632</v>
      </c>
      <c r="Q110" s="38">
        <f t="shared" si="57"/>
        <v>-147</v>
      </c>
      <c r="R110" s="38">
        <f t="shared" si="58"/>
        <v>882</v>
      </c>
      <c r="S110" s="38">
        <f t="shared" si="59"/>
        <v>-188.15999999999997</v>
      </c>
      <c r="T110" s="38">
        <f t="shared" si="60"/>
        <v>-2456.7100000000005</v>
      </c>
      <c r="U110" s="47">
        <f t="shared" si="61"/>
        <v>-0.49537534606768319</v>
      </c>
      <c r="V110" s="52">
        <f t="shared" si="62"/>
        <v>4812.29</v>
      </c>
    </row>
    <row r="111" spans="1:23">
      <c r="A111" s="51">
        <v>109</v>
      </c>
      <c r="B111" s="45">
        <v>43513</v>
      </c>
      <c r="C111" s="52">
        <f t="shared" si="55"/>
        <v>4812.29</v>
      </c>
      <c r="F111" s="52">
        <f t="shared" si="56"/>
        <v>4812.29</v>
      </c>
      <c r="G111" s="185">
        <v>0.54433497536945807</v>
      </c>
      <c r="H111" s="72">
        <f t="shared" si="54"/>
        <v>1839.9198275862063</v>
      </c>
      <c r="I111" s="37" t="s">
        <v>1625</v>
      </c>
      <c r="J111" s="37" t="s">
        <v>1848</v>
      </c>
      <c r="K111" s="37" t="s">
        <v>2700</v>
      </c>
      <c r="L111" s="37">
        <v>1</v>
      </c>
      <c r="M111" s="69">
        <v>147</v>
      </c>
      <c r="N111" s="184">
        <v>2.1800000000000002</v>
      </c>
      <c r="O111" s="46" t="s">
        <v>1627</v>
      </c>
      <c r="P111" s="184" t="s">
        <v>1628</v>
      </c>
      <c r="Q111" s="38">
        <f t="shared" si="57"/>
        <v>173.46000000000004</v>
      </c>
      <c r="R111" s="38">
        <f t="shared" si="58"/>
        <v>1029</v>
      </c>
      <c r="S111" s="38">
        <f t="shared" si="59"/>
        <v>-14.699999999999932</v>
      </c>
      <c r="T111" s="38">
        <f t="shared" si="60"/>
        <v>-2283.2500000000005</v>
      </c>
      <c r="U111" s="47">
        <f t="shared" si="61"/>
        <v>-0.47446226224936577</v>
      </c>
      <c r="V111" s="52">
        <f t="shared" si="62"/>
        <v>4985.75</v>
      </c>
    </row>
    <row r="112" spans="1:23">
      <c r="A112" s="51">
        <v>110</v>
      </c>
      <c r="B112" s="45">
        <v>43513</v>
      </c>
      <c r="C112" s="52">
        <f t="shared" si="55"/>
        <v>4985.75</v>
      </c>
      <c r="F112" s="52">
        <f t="shared" si="56"/>
        <v>4985.75</v>
      </c>
      <c r="G112" s="185">
        <v>0.54433497536945807</v>
      </c>
      <c r="H112" s="72">
        <f t="shared" si="54"/>
        <v>1692.9198275862063</v>
      </c>
      <c r="I112" s="37" t="s">
        <v>1625</v>
      </c>
      <c r="J112" s="37" t="s">
        <v>1242</v>
      </c>
      <c r="K112" s="37" t="s">
        <v>2701</v>
      </c>
      <c r="L112" s="37">
        <v>1</v>
      </c>
      <c r="M112" s="69">
        <v>147</v>
      </c>
      <c r="N112" s="184">
        <v>2.08</v>
      </c>
      <c r="O112" s="46" t="s">
        <v>1627</v>
      </c>
      <c r="P112" s="184" t="s">
        <v>1632</v>
      </c>
      <c r="Q112" s="38">
        <f t="shared" si="57"/>
        <v>-147</v>
      </c>
      <c r="R112" s="38">
        <f t="shared" si="58"/>
        <v>1176</v>
      </c>
      <c r="S112" s="38">
        <f t="shared" si="59"/>
        <v>-161.69999999999993</v>
      </c>
      <c r="T112" s="38">
        <f t="shared" si="60"/>
        <v>-2430.2500000000005</v>
      </c>
      <c r="U112" s="47">
        <f t="shared" si="61"/>
        <v>-0.48743920172491612</v>
      </c>
      <c r="V112" s="52">
        <f t="shared" si="62"/>
        <v>4838.75</v>
      </c>
    </row>
    <row r="113" spans="1:23">
      <c r="A113" s="51">
        <v>111</v>
      </c>
      <c r="B113" s="45">
        <v>43513</v>
      </c>
      <c r="C113" s="52">
        <f t="shared" si="55"/>
        <v>4838.75</v>
      </c>
      <c r="F113" s="52">
        <f t="shared" si="56"/>
        <v>4838.75</v>
      </c>
      <c r="G113" s="185">
        <v>0.54433497536945807</v>
      </c>
      <c r="H113" s="72">
        <f t="shared" si="54"/>
        <v>1545.9198275862063</v>
      </c>
      <c r="I113" s="37" t="s">
        <v>1625</v>
      </c>
      <c r="J113" s="37" t="s">
        <v>1736</v>
      </c>
      <c r="K113" s="37" t="s">
        <v>2702</v>
      </c>
      <c r="L113" s="37">
        <v>1</v>
      </c>
      <c r="M113" s="69">
        <v>147</v>
      </c>
      <c r="N113" s="184">
        <v>2.0699999999999998</v>
      </c>
      <c r="O113" s="46" t="s">
        <v>1627</v>
      </c>
      <c r="P113" s="184" t="s">
        <v>1632</v>
      </c>
      <c r="Q113" s="38">
        <f t="shared" si="57"/>
        <v>-147</v>
      </c>
      <c r="R113" s="38">
        <f t="shared" si="58"/>
        <v>1323</v>
      </c>
      <c r="S113" s="38">
        <f t="shared" si="59"/>
        <v>-308.69999999999993</v>
      </c>
      <c r="T113" s="38">
        <f t="shared" si="60"/>
        <v>-2577.2500000000005</v>
      </c>
      <c r="U113" s="47">
        <f t="shared" si="61"/>
        <v>-0.53262722810643259</v>
      </c>
      <c r="V113" s="52">
        <f t="shared" si="62"/>
        <v>4691.75</v>
      </c>
    </row>
    <row r="114" spans="1:23">
      <c r="A114" s="51">
        <v>112</v>
      </c>
      <c r="B114" s="45">
        <v>43513</v>
      </c>
      <c r="C114" s="52">
        <f t="shared" si="55"/>
        <v>4691.75</v>
      </c>
      <c r="F114" s="52">
        <f t="shared" si="56"/>
        <v>4691.75</v>
      </c>
      <c r="G114" s="185">
        <v>0.54433497536945807</v>
      </c>
      <c r="H114" s="72">
        <f t="shared" si="54"/>
        <v>1398.9198275862063</v>
      </c>
      <c r="I114" s="37" t="s">
        <v>1625</v>
      </c>
      <c r="J114" s="37" t="s">
        <v>2220</v>
      </c>
      <c r="K114" s="37" t="s">
        <v>2703</v>
      </c>
      <c r="L114" s="37">
        <v>1</v>
      </c>
      <c r="M114" s="69">
        <v>147</v>
      </c>
      <c r="N114" s="184">
        <v>2.02</v>
      </c>
      <c r="O114" s="46" t="s">
        <v>1627</v>
      </c>
      <c r="P114" s="184" t="s">
        <v>2709</v>
      </c>
      <c r="Q114" s="38">
        <f t="shared" si="57"/>
        <v>0</v>
      </c>
      <c r="R114" s="38">
        <f t="shared" si="58"/>
        <v>1470</v>
      </c>
      <c r="S114" s="38">
        <f t="shared" si="59"/>
        <v>-308.69999999999993</v>
      </c>
      <c r="T114" s="38">
        <f t="shared" si="60"/>
        <v>-2577.2500000000005</v>
      </c>
      <c r="U114" s="47">
        <f t="shared" si="61"/>
        <v>-0.54931528747269154</v>
      </c>
      <c r="V114" s="52">
        <f t="shared" si="62"/>
        <v>4691.75</v>
      </c>
    </row>
    <row r="115" spans="1:23">
      <c r="A115" s="51">
        <v>113</v>
      </c>
      <c r="B115" s="45">
        <v>43513</v>
      </c>
      <c r="C115" s="52">
        <f t="shared" si="55"/>
        <v>4691.75</v>
      </c>
      <c r="F115" s="52">
        <f t="shared" si="56"/>
        <v>4691.75</v>
      </c>
      <c r="G115" s="185">
        <v>0.54433497536945807</v>
      </c>
      <c r="H115" s="72">
        <f t="shared" si="54"/>
        <v>1251.9198275862063</v>
      </c>
      <c r="I115" s="37" t="s">
        <v>1625</v>
      </c>
      <c r="J115" s="37" t="s">
        <v>1261</v>
      </c>
      <c r="K115" s="37" t="s">
        <v>2704</v>
      </c>
      <c r="L115" s="37">
        <v>1</v>
      </c>
      <c r="M115" s="69">
        <v>147</v>
      </c>
      <c r="N115" s="184">
        <v>1.88</v>
      </c>
      <c r="O115" s="46" t="s">
        <v>1627</v>
      </c>
      <c r="P115" s="184" t="s">
        <v>1628</v>
      </c>
      <c r="Q115" s="38">
        <f t="shared" si="57"/>
        <v>129.35999999999996</v>
      </c>
      <c r="R115" s="38">
        <f t="shared" si="58"/>
        <v>1617</v>
      </c>
      <c r="S115" s="38">
        <f t="shared" si="59"/>
        <v>-179.33999999999997</v>
      </c>
      <c r="T115" s="38">
        <f t="shared" si="60"/>
        <v>-2447.8900000000003</v>
      </c>
      <c r="U115" s="47">
        <f t="shared" si="61"/>
        <v>-0.52174348590611186</v>
      </c>
      <c r="V115" s="52">
        <f t="shared" si="62"/>
        <v>4821.1099999999997</v>
      </c>
    </row>
    <row r="116" spans="1:23">
      <c r="A116" s="51">
        <v>114</v>
      </c>
      <c r="B116" s="45">
        <v>43513</v>
      </c>
      <c r="C116" s="52">
        <f t="shared" si="55"/>
        <v>4821.1099999999997</v>
      </c>
      <c r="F116" s="52">
        <f t="shared" si="56"/>
        <v>4821.1099999999997</v>
      </c>
      <c r="G116" s="185">
        <v>0.54433497536945807</v>
      </c>
      <c r="H116" s="72">
        <f t="shared" si="54"/>
        <v>1104.9198275862063</v>
      </c>
      <c r="I116" s="37" t="s">
        <v>1625</v>
      </c>
      <c r="J116" s="37" t="s">
        <v>1261</v>
      </c>
      <c r="K116" s="37" t="s">
        <v>2705</v>
      </c>
      <c r="L116" s="37">
        <v>1</v>
      </c>
      <c r="M116" s="69">
        <v>147</v>
      </c>
      <c r="N116" s="184">
        <v>1.87</v>
      </c>
      <c r="O116" s="46" t="s">
        <v>1627</v>
      </c>
      <c r="P116" s="184" t="s">
        <v>1632</v>
      </c>
      <c r="Q116" s="38">
        <f t="shared" si="57"/>
        <v>-147</v>
      </c>
      <c r="R116" s="38">
        <f t="shared" si="58"/>
        <v>1764</v>
      </c>
      <c r="S116" s="38">
        <f t="shared" si="59"/>
        <v>-326.33999999999997</v>
      </c>
      <c r="T116" s="38">
        <f t="shared" si="60"/>
        <v>-2594.8900000000003</v>
      </c>
      <c r="U116" s="47">
        <f t="shared" si="61"/>
        <v>-0.53823497078473637</v>
      </c>
      <c r="V116" s="52">
        <f t="shared" si="62"/>
        <v>4674.1099999999997</v>
      </c>
    </row>
    <row r="117" spans="1:23">
      <c r="A117" s="51">
        <v>115</v>
      </c>
      <c r="B117" s="45">
        <v>43513</v>
      </c>
      <c r="C117" s="52">
        <f t="shared" si="55"/>
        <v>4674.1099999999997</v>
      </c>
      <c r="F117" s="52">
        <f t="shared" si="56"/>
        <v>4674.1099999999997</v>
      </c>
      <c r="G117" s="185">
        <v>0.54433497536945807</v>
      </c>
      <c r="H117" s="72">
        <f t="shared" si="54"/>
        <v>957.91982758620634</v>
      </c>
      <c r="I117" s="37" t="s">
        <v>1625</v>
      </c>
      <c r="J117" s="37" t="s">
        <v>1242</v>
      </c>
      <c r="K117" s="37" t="s">
        <v>2706</v>
      </c>
      <c r="L117" s="37">
        <v>1</v>
      </c>
      <c r="M117" s="69">
        <v>147</v>
      </c>
      <c r="N117" s="184">
        <v>1.87</v>
      </c>
      <c r="O117" s="46" t="s">
        <v>1627</v>
      </c>
      <c r="P117" s="184" t="s">
        <v>1628</v>
      </c>
      <c r="Q117" s="38">
        <f t="shared" si="57"/>
        <v>127.89000000000004</v>
      </c>
      <c r="R117" s="38">
        <f t="shared" si="58"/>
        <v>1911</v>
      </c>
      <c r="S117" s="38">
        <f t="shared" si="59"/>
        <v>-198.44999999999993</v>
      </c>
      <c r="T117" s="38">
        <f t="shared" si="60"/>
        <v>-2467.0000000000005</v>
      </c>
      <c r="U117" s="47">
        <f t="shared" si="61"/>
        <v>-0.52780101452469042</v>
      </c>
      <c r="V117" s="52">
        <f t="shared" si="62"/>
        <v>4802</v>
      </c>
    </row>
    <row r="118" spans="1:23">
      <c r="A118" s="51">
        <v>116</v>
      </c>
      <c r="B118" s="45">
        <v>43513</v>
      </c>
      <c r="C118" s="52">
        <f t="shared" si="55"/>
        <v>4802</v>
      </c>
      <c r="F118" s="52">
        <f t="shared" si="56"/>
        <v>4802</v>
      </c>
      <c r="G118" s="185">
        <v>0.54433497536945807</v>
      </c>
      <c r="H118" s="72">
        <f t="shared" si="54"/>
        <v>810.91982758620634</v>
      </c>
      <c r="I118" s="37" t="s">
        <v>1625</v>
      </c>
      <c r="J118" s="37" t="s">
        <v>1850</v>
      </c>
      <c r="K118" s="37" t="s">
        <v>2707</v>
      </c>
      <c r="L118" s="37">
        <v>1</v>
      </c>
      <c r="M118" s="69">
        <v>147</v>
      </c>
      <c r="N118" s="184">
        <v>1.86</v>
      </c>
      <c r="O118" s="46" t="s">
        <v>1627</v>
      </c>
      <c r="P118" s="184" t="s">
        <v>1632</v>
      </c>
      <c r="Q118" s="38">
        <f t="shared" si="57"/>
        <v>-147</v>
      </c>
      <c r="R118" s="38">
        <f t="shared" si="58"/>
        <v>2058</v>
      </c>
      <c r="S118" s="76">
        <f t="shared" si="59"/>
        <v>-345.44999999999993</v>
      </c>
      <c r="T118" s="38">
        <f t="shared" si="60"/>
        <v>-2614.0000000000005</v>
      </c>
      <c r="U118" s="47">
        <f t="shared" si="61"/>
        <v>-0.54435651811745112</v>
      </c>
      <c r="V118" s="52">
        <f t="shared" si="62"/>
        <v>4655</v>
      </c>
    </row>
    <row r="119" spans="1:23">
      <c r="A119" s="51">
        <v>117</v>
      </c>
      <c r="B119" s="75">
        <v>43514</v>
      </c>
      <c r="C119" s="77">
        <f t="shared" si="55"/>
        <v>4655</v>
      </c>
      <c r="D119" s="76"/>
      <c r="E119" s="76"/>
      <c r="F119" s="77">
        <f t="shared" si="56"/>
        <v>4655</v>
      </c>
      <c r="G119" s="185">
        <v>0.54433497536945807</v>
      </c>
      <c r="H119" s="72">
        <f t="shared" si="54"/>
        <v>2533.8793103448274</v>
      </c>
      <c r="I119" s="37" t="s">
        <v>1625</v>
      </c>
      <c r="J119" s="37" t="s">
        <v>1847</v>
      </c>
      <c r="K119" s="37" t="s">
        <v>2719</v>
      </c>
      <c r="L119" s="37">
        <v>1</v>
      </c>
      <c r="M119" s="69">
        <v>138</v>
      </c>
      <c r="N119" s="184">
        <v>2.35</v>
      </c>
      <c r="O119" s="46" t="s">
        <v>1627</v>
      </c>
      <c r="P119" s="184" t="s">
        <v>1632</v>
      </c>
      <c r="Q119" s="38">
        <f t="shared" si="57"/>
        <v>-138</v>
      </c>
      <c r="R119" s="38">
        <f t="shared" si="58"/>
        <v>138</v>
      </c>
      <c r="S119" s="76">
        <f t="shared" si="59"/>
        <v>-138</v>
      </c>
      <c r="T119" s="38">
        <f t="shared" si="60"/>
        <v>-2752.0000000000005</v>
      </c>
      <c r="U119" s="47">
        <f t="shared" si="61"/>
        <v>-0.59119226638023636</v>
      </c>
      <c r="V119" s="52">
        <f t="shared" si="62"/>
        <v>4517</v>
      </c>
    </row>
    <row r="120" spans="1:23">
      <c r="A120" s="51">
        <v>118</v>
      </c>
      <c r="B120" s="75">
        <v>43515</v>
      </c>
      <c r="C120" s="77">
        <f t="shared" si="55"/>
        <v>4517</v>
      </c>
      <c r="D120" s="76"/>
      <c r="E120" s="76"/>
      <c r="F120" s="77">
        <f t="shared" si="56"/>
        <v>4517</v>
      </c>
      <c r="G120" s="185">
        <v>0.54433497536945807</v>
      </c>
      <c r="H120" s="72">
        <f t="shared" si="54"/>
        <v>2458.7610837438419</v>
      </c>
      <c r="I120" s="37" t="s">
        <v>1625</v>
      </c>
      <c r="J120" s="37" t="s">
        <v>2515</v>
      </c>
      <c r="K120" s="37" t="s">
        <v>2731</v>
      </c>
      <c r="L120" s="37">
        <v>1</v>
      </c>
      <c r="M120" s="69">
        <v>134</v>
      </c>
      <c r="N120" s="184">
        <v>2.17</v>
      </c>
      <c r="O120" s="46" t="s">
        <v>1627</v>
      </c>
      <c r="P120" s="184" t="s">
        <v>1632</v>
      </c>
      <c r="Q120" s="38">
        <f t="shared" si="57"/>
        <v>-134</v>
      </c>
      <c r="R120" s="38">
        <f t="shared" si="58"/>
        <v>134</v>
      </c>
      <c r="S120" s="76">
        <f t="shared" si="59"/>
        <v>-134</v>
      </c>
      <c r="T120" s="38">
        <f t="shared" si="60"/>
        <v>-2886.0000000000005</v>
      </c>
      <c r="U120" s="47">
        <f t="shared" si="61"/>
        <v>-0.63891963692716414</v>
      </c>
      <c r="V120" s="52">
        <f t="shared" si="62"/>
        <v>4383</v>
      </c>
    </row>
    <row r="121" spans="1:23">
      <c r="A121" s="51">
        <v>119</v>
      </c>
      <c r="B121" s="75">
        <v>43517</v>
      </c>
      <c r="C121" s="77">
        <f t="shared" si="55"/>
        <v>4383</v>
      </c>
      <c r="D121" s="76"/>
      <c r="E121" s="76"/>
      <c r="F121" s="77">
        <f t="shared" si="56"/>
        <v>4383</v>
      </c>
      <c r="G121" s="185">
        <v>0.54433497536945807</v>
      </c>
      <c r="H121" s="72">
        <f t="shared" si="54"/>
        <v>2385.8201970443347</v>
      </c>
      <c r="I121" s="37" t="s">
        <v>1625</v>
      </c>
      <c r="J121" s="37" t="s">
        <v>2136</v>
      </c>
      <c r="K121" s="37" t="s">
        <v>2761</v>
      </c>
      <c r="L121" s="37">
        <v>1</v>
      </c>
      <c r="M121" s="69">
        <v>130</v>
      </c>
      <c r="N121" s="184">
        <v>4.25</v>
      </c>
      <c r="O121" s="46" t="s">
        <v>1627</v>
      </c>
      <c r="P121" s="184" t="s">
        <v>1632</v>
      </c>
      <c r="Q121" s="38">
        <f t="shared" si="57"/>
        <v>-130</v>
      </c>
      <c r="R121" s="38">
        <f t="shared" si="58"/>
        <v>130</v>
      </c>
      <c r="S121" s="38">
        <f t="shared" si="59"/>
        <v>-130</v>
      </c>
      <c r="T121" s="38">
        <f t="shared" si="60"/>
        <v>-3016.0000000000005</v>
      </c>
      <c r="U121" s="47">
        <f t="shared" si="61"/>
        <v>-0.68811316449920157</v>
      </c>
      <c r="V121" s="52">
        <f t="shared" si="62"/>
        <v>4253</v>
      </c>
    </row>
    <row r="122" spans="1:23">
      <c r="A122" s="51">
        <v>120</v>
      </c>
      <c r="B122" s="45">
        <v>43517</v>
      </c>
      <c r="C122" s="52">
        <f t="shared" ref="C122:C146" si="63">+V121</f>
        <v>4253</v>
      </c>
      <c r="F122" s="52">
        <f t="shared" ref="F122:F146" si="64">+C122+D122-E122</f>
        <v>4253</v>
      </c>
      <c r="G122" s="185">
        <v>0.54433497536945807</v>
      </c>
      <c r="H122" s="72">
        <f t="shared" si="54"/>
        <v>2255.8201970443347</v>
      </c>
      <c r="I122" s="37" t="s">
        <v>1625</v>
      </c>
      <c r="J122" s="37" t="s">
        <v>2516</v>
      </c>
      <c r="K122" s="37" t="s">
        <v>2762</v>
      </c>
      <c r="L122" s="37">
        <v>1</v>
      </c>
      <c r="M122" s="69">
        <v>130</v>
      </c>
      <c r="N122" s="184">
        <v>2.2400000000000002</v>
      </c>
      <c r="O122" s="46" t="s">
        <v>1627</v>
      </c>
      <c r="P122" s="184" t="s">
        <v>1628</v>
      </c>
      <c r="Q122" s="38">
        <f t="shared" ref="Q122:Q146" si="65">IF(P122="Win",(M122*N122)-M122,IF(P122="Refund",0,IF(P122="Loss",-M122)))</f>
        <v>161.20000000000005</v>
      </c>
      <c r="R122" s="38">
        <f t="shared" ref="R122:R146" si="66">IF(B122=B121,M122+R121,M122)</f>
        <v>260</v>
      </c>
      <c r="S122" s="38">
        <f t="shared" ref="S122:S146" si="67">IF(B122=B121,+Q122+S121,Q122)</f>
        <v>31.200000000000045</v>
      </c>
      <c r="T122" s="38">
        <f t="shared" ref="T122:T146" si="68">IF(MONTH(B122)=MONTH(B121),T121+Q122,Q122)</f>
        <v>-2854.8</v>
      </c>
      <c r="U122" s="47">
        <f t="shared" ref="U122:U146" si="69">T122/F122</f>
        <v>-0.67124382788619807</v>
      </c>
      <c r="V122" s="52">
        <f t="shared" ref="V122:V146" si="70">+F122+Q122</f>
        <v>4414.2</v>
      </c>
    </row>
    <row r="123" spans="1:23">
      <c r="A123" s="51">
        <v>121</v>
      </c>
      <c r="B123" s="45">
        <v>43517</v>
      </c>
      <c r="C123" s="52">
        <f t="shared" si="63"/>
        <v>4414.2</v>
      </c>
      <c r="F123" s="52">
        <f t="shared" si="64"/>
        <v>4414.2</v>
      </c>
      <c r="G123" s="185">
        <v>0.54433497536945807</v>
      </c>
      <c r="H123" s="72">
        <f t="shared" si="54"/>
        <v>2125.8201970443347</v>
      </c>
      <c r="I123" s="37" t="s">
        <v>1625</v>
      </c>
      <c r="J123" s="37" t="s">
        <v>2516</v>
      </c>
      <c r="K123" s="37" t="s">
        <v>2763</v>
      </c>
      <c r="L123" s="37">
        <v>1</v>
      </c>
      <c r="M123" s="69">
        <v>130</v>
      </c>
      <c r="N123" s="184">
        <v>1.9</v>
      </c>
      <c r="O123" s="46" t="s">
        <v>1627</v>
      </c>
      <c r="P123" s="184" t="s">
        <v>1628</v>
      </c>
      <c r="Q123" s="38">
        <f t="shared" si="65"/>
        <v>117</v>
      </c>
      <c r="R123" s="38">
        <f t="shared" si="66"/>
        <v>390</v>
      </c>
      <c r="S123" s="38">
        <f t="shared" si="67"/>
        <v>148.20000000000005</v>
      </c>
      <c r="T123" s="38">
        <f t="shared" si="68"/>
        <v>-2737.8</v>
      </c>
      <c r="U123" s="47">
        <f t="shared" si="69"/>
        <v>-0.62022563544923204</v>
      </c>
      <c r="V123" s="52">
        <f t="shared" si="70"/>
        <v>4531.2</v>
      </c>
    </row>
    <row r="124" spans="1:23">
      <c r="A124" s="51">
        <v>122</v>
      </c>
      <c r="B124" s="45">
        <v>43517</v>
      </c>
      <c r="C124" s="52">
        <f t="shared" si="63"/>
        <v>4531.2</v>
      </c>
      <c r="F124" s="52">
        <f t="shared" si="64"/>
        <v>4531.2</v>
      </c>
      <c r="G124" s="185">
        <v>0.54433497536945807</v>
      </c>
      <c r="H124" s="72">
        <f t="shared" si="54"/>
        <v>1995.8201970443347</v>
      </c>
      <c r="I124" s="37" t="s">
        <v>1625</v>
      </c>
      <c r="J124" s="37" t="s">
        <v>2571</v>
      </c>
      <c r="K124" s="37" t="s">
        <v>2764</v>
      </c>
      <c r="L124" s="37">
        <v>1</v>
      </c>
      <c r="M124" s="69">
        <v>130</v>
      </c>
      <c r="N124" s="184">
        <v>1.88</v>
      </c>
      <c r="O124" s="46" t="s">
        <v>1627</v>
      </c>
      <c r="P124" s="184" t="s">
        <v>1628</v>
      </c>
      <c r="Q124" s="38">
        <f t="shared" si="65"/>
        <v>114.39999999999998</v>
      </c>
      <c r="R124" s="38">
        <f t="shared" si="66"/>
        <v>520</v>
      </c>
      <c r="S124" s="38">
        <f t="shared" si="67"/>
        <v>262.60000000000002</v>
      </c>
      <c r="T124" s="38">
        <f t="shared" si="68"/>
        <v>-2623.4</v>
      </c>
      <c r="U124" s="47">
        <f t="shared" si="69"/>
        <v>-0.57896362994350292</v>
      </c>
      <c r="V124" s="52">
        <f t="shared" si="70"/>
        <v>4645.5999999999995</v>
      </c>
    </row>
    <row r="125" spans="1:23">
      <c r="A125" s="51">
        <v>123</v>
      </c>
      <c r="B125" s="45">
        <v>43517</v>
      </c>
      <c r="C125" s="52">
        <f t="shared" si="63"/>
        <v>4645.5999999999995</v>
      </c>
      <c r="F125" s="52">
        <f t="shared" si="64"/>
        <v>4645.5999999999995</v>
      </c>
      <c r="G125" s="185">
        <v>0.54433497536945807</v>
      </c>
      <c r="H125" s="72">
        <f t="shared" si="54"/>
        <v>1865.8201970443347</v>
      </c>
      <c r="I125" s="37" t="s">
        <v>1625</v>
      </c>
      <c r="J125" s="37" t="s">
        <v>2516</v>
      </c>
      <c r="K125" s="37" t="s">
        <v>2765</v>
      </c>
      <c r="L125" s="37">
        <v>1</v>
      </c>
      <c r="M125" s="69">
        <v>130</v>
      </c>
      <c r="N125" s="184">
        <v>1.65</v>
      </c>
      <c r="O125" s="46" t="s">
        <v>1627</v>
      </c>
      <c r="P125" s="184" t="s">
        <v>1628</v>
      </c>
      <c r="Q125" s="38">
        <f t="shared" si="65"/>
        <v>84.5</v>
      </c>
      <c r="R125" s="38">
        <f t="shared" si="66"/>
        <v>650</v>
      </c>
      <c r="S125" s="76">
        <f t="shared" si="67"/>
        <v>347.1</v>
      </c>
      <c r="T125" s="38">
        <f t="shared" si="68"/>
        <v>-2538.9</v>
      </c>
      <c r="U125" s="47">
        <f t="shared" si="69"/>
        <v>-0.54651713449285355</v>
      </c>
      <c r="V125" s="52">
        <f t="shared" si="70"/>
        <v>4730.0999999999995</v>
      </c>
    </row>
    <row r="126" spans="1:23">
      <c r="A126" s="51">
        <v>124</v>
      </c>
      <c r="B126" s="75">
        <v>43518</v>
      </c>
      <c r="C126" s="77">
        <f t="shared" si="63"/>
        <v>4730.0999999999995</v>
      </c>
      <c r="D126" s="76"/>
      <c r="E126" s="76">
        <v>347</v>
      </c>
      <c r="F126" s="77">
        <f t="shared" si="64"/>
        <v>4383.0999999999995</v>
      </c>
      <c r="G126" s="185">
        <v>0.54433497536945807</v>
      </c>
      <c r="H126" s="72">
        <f t="shared" si="54"/>
        <v>2385.8746305418713</v>
      </c>
      <c r="I126" s="37" t="s">
        <v>1625</v>
      </c>
      <c r="J126" s="37" t="s">
        <v>1850</v>
      </c>
      <c r="K126" s="37" t="s">
        <v>2782</v>
      </c>
      <c r="L126" s="37">
        <v>1</v>
      </c>
      <c r="M126" s="69">
        <v>140</v>
      </c>
      <c r="N126" s="184">
        <v>2.37</v>
      </c>
      <c r="O126" s="46" t="s">
        <v>1627</v>
      </c>
      <c r="P126" s="184" t="s">
        <v>1632</v>
      </c>
      <c r="Q126" s="38">
        <f t="shared" si="65"/>
        <v>-140</v>
      </c>
      <c r="R126" s="38">
        <f t="shared" si="66"/>
        <v>140</v>
      </c>
      <c r="S126" s="38">
        <f t="shared" si="67"/>
        <v>-140</v>
      </c>
      <c r="T126" s="38">
        <f t="shared" si="68"/>
        <v>-2678.9</v>
      </c>
      <c r="U126" s="47">
        <f t="shared" si="69"/>
        <v>-0.61118842828135345</v>
      </c>
      <c r="V126" s="52">
        <f t="shared" si="70"/>
        <v>4243.0999999999995</v>
      </c>
    </row>
    <row r="127" spans="1:23">
      <c r="A127" s="51">
        <v>125</v>
      </c>
      <c r="B127" s="45">
        <v>43518</v>
      </c>
      <c r="C127" s="52">
        <f t="shared" si="63"/>
        <v>4243.0999999999995</v>
      </c>
      <c r="F127" s="52">
        <f t="shared" si="64"/>
        <v>4243.0999999999995</v>
      </c>
      <c r="G127" s="185">
        <v>0.54433497536945807</v>
      </c>
      <c r="H127" s="72">
        <f t="shared" si="54"/>
        <v>2245.8746305418713</v>
      </c>
      <c r="I127" s="37" t="s">
        <v>1625</v>
      </c>
      <c r="J127" s="37" t="s">
        <v>1257</v>
      </c>
      <c r="K127" s="37" t="s">
        <v>2783</v>
      </c>
      <c r="L127" s="37">
        <v>1</v>
      </c>
      <c r="M127" s="69">
        <v>140</v>
      </c>
      <c r="N127" s="184">
        <v>2.35</v>
      </c>
      <c r="O127" s="46" t="s">
        <v>1627</v>
      </c>
      <c r="P127" s="184" t="s">
        <v>1632</v>
      </c>
      <c r="Q127" s="38">
        <f t="shared" si="65"/>
        <v>-140</v>
      </c>
      <c r="R127" s="38">
        <f t="shared" si="66"/>
        <v>280</v>
      </c>
      <c r="S127" s="76">
        <f t="shared" si="67"/>
        <v>-280</v>
      </c>
      <c r="T127" s="38">
        <f t="shared" si="68"/>
        <v>-2818.9</v>
      </c>
      <c r="U127" s="47">
        <f t="shared" si="69"/>
        <v>-0.66434917866654108</v>
      </c>
      <c r="V127" s="52">
        <f t="shared" si="70"/>
        <v>4103.0999999999995</v>
      </c>
    </row>
    <row r="128" spans="1:23">
      <c r="A128" s="51">
        <v>126</v>
      </c>
      <c r="B128" s="75">
        <v>43519</v>
      </c>
      <c r="C128" s="77">
        <f t="shared" si="63"/>
        <v>4103.0999999999995</v>
      </c>
      <c r="D128" s="76"/>
      <c r="E128" s="76"/>
      <c r="F128" s="77">
        <f t="shared" si="64"/>
        <v>4103.0999999999995</v>
      </c>
      <c r="G128" s="185">
        <v>0.54285714285714282</v>
      </c>
      <c r="H128" s="72">
        <f t="shared" si="54"/>
        <v>2227.3971428571422</v>
      </c>
      <c r="I128" s="37" t="s">
        <v>1625</v>
      </c>
      <c r="J128" s="37" t="s">
        <v>2571</v>
      </c>
      <c r="K128" s="37" t="s">
        <v>2861</v>
      </c>
      <c r="L128" s="37">
        <v>1</v>
      </c>
      <c r="M128" s="69">
        <v>77</v>
      </c>
      <c r="N128" s="184">
        <v>6.1</v>
      </c>
      <c r="O128" s="46" t="s">
        <v>1627</v>
      </c>
      <c r="P128" s="184" t="s">
        <v>1628</v>
      </c>
      <c r="Q128" s="38">
        <f t="shared" si="65"/>
        <v>392.7</v>
      </c>
      <c r="R128" s="38">
        <f t="shared" si="66"/>
        <v>77</v>
      </c>
      <c r="S128" s="38">
        <f t="shared" si="67"/>
        <v>392.7</v>
      </c>
      <c r="T128" s="38">
        <f t="shared" si="68"/>
        <v>-2426.2000000000003</v>
      </c>
      <c r="U128" s="47">
        <f t="shared" si="69"/>
        <v>-0.59130901026053484</v>
      </c>
      <c r="V128" s="52">
        <f t="shared" si="70"/>
        <v>4495.7999999999993</v>
      </c>
      <c r="W128" s="194"/>
    </row>
    <row r="129" spans="1:23">
      <c r="A129" s="51">
        <v>127</v>
      </c>
      <c r="B129" s="45">
        <v>43519</v>
      </c>
      <c r="C129" s="52">
        <f t="shared" si="63"/>
        <v>4495.7999999999993</v>
      </c>
      <c r="F129" s="52">
        <f t="shared" si="64"/>
        <v>4495.7999999999993</v>
      </c>
      <c r="G129" s="185">
        <v>0.54285714285714282</v>
      </c>
      <c r="H129" s="72">
        <f t="shared" si="54"/>
        <v>2150.3971428571422</v>
      </c>
      <c r="I129" s="37" t="s">
        <v>1625</v>
      </c>
      <c r="J129" s="37" t="s">
        <v>1692</v>
      </c>
      <c r="K129" s="37" t="s">
        <v>2862</v>
      </c>
      <c r="L129" s="37">
        <v>1</v>
      </c>
      <c r="M129" s="69">
        <v>77</v>
      </c>
      <c r="N129" s="184">
        <v>4.5999999999999996</v>
      </c>
      <c r="O129" s="46" t="s">
        <v>1627</v>
      </c>
      <c r="P129" s="184" t="s">
        <v>1632</v>
      </c>
      <c r="Q129" s="38">
        <f t="shared" si="65"/>
        <v>-77</v>
      </c>
      <c r="R129" s="38">
        <f t="shared" si="66"/>
        <v>154</v>
      </c>
      <c r="S129" s="38">
        <f t="shared" si="67"/>
        <v>315.7</v>
      </c>
      <c r="T129" s="38">
        <f t="shared" si="68"/>
        <v>-2503.2000000000003</v>
      </c>
      <c r="U129" s="47">
        <f t="shared" si="69"/>
        <v>-0.556786333911651</v>
      </c>
      <c r="V129" s="52">
        <f t="shared" si="70"/>
        <v>4418.7999999999993</v>
      </c>
      <c r="W129" s="194"/>
    </row>
    <row r="130" spans="1:23">
      <c r="A130" s="51">
        <v>128</v>
      </c>
      <c r="B130" s="45">
        <v>43519</v>
      </c>
      <c r="C130" s="52">
        <f t="shared" si="63"/>
        <v>4418.7999999999993</v>
      </c>
      <c r="F130" s="52">
        <f t="shared" si="64"/>
        <v>4418.7999999999993</v>
      </c>
      <c r="G130" s="185">
        <v>0.54285714285714282</v>
      </c>
      <c r="H130" s="72">
        <f t="shared" si="54"/>
        <v>2073.3971428571422</v>
      </c>
      <c r="I130" s="37" t="s">
        <v>1625</v>
      </c>
      <c r="J130" s="37" t="s">
        <v>1257</v>
      </c>
      <c r="K130" s="37" t="s">
        <v>2863</v>
      </c>
      <c r="L130" s="37">
        <v>1</v>
      </c>
      <c r="M130" s="69">
        <v>77</v>
      </c>
      <c r="N130" s="184">
        <v>3.85</v>
      </c>
      <c r="O130" s="46" t="s">
        <v>1627</v>
      </c>
      <c r="P130" s="184" t="s">
        <v>1632</v>
      </c>
      <c r="Q130" s="38">
        <f t="shared" si="65"/>
        <v>-77</v>
      </c>
      <c r="R130" s="38">
        <f t="shared" si="66"/>
        <v>231</v>
      </c>
      <c r="S130" s="38">
        <f t="shared" si="67"/>
        <v>238.7</v>
      </c>
      <c r="T130" s="38">
        <f t="shared" si="68"/>
        <v>-2580.2000000000003</v>
      </c>
      <c r="U130" s="47">
        <f t="shared" si="69"/>
        <v>-0.58391418484656488</v>
      </c>
      <c r="V130" s="52">
        <f t="shared" si="70"/>
        <v>4341.7999999999993</v>
      </c>
      <c r="W130" s="194"/>
    </row>
    <row r="131" spans="1:23">
      <c r="A131" s="51">
        <v>129</v>
      </c>
      <c r="B131" s="45">
        <v>43519</v>
      </c>
      <c r="C131" s="52">
        <f t="shared" si="63"/>
        <v>4341.7999999999993</v>
      </c>
      <c r="F131" s="52">
        <f t="shared" si="64"/>
        <v>4341.7999999999993</v>
      </c>
      <c r="G131" s="185">
        <v>0.54285714285714282</v>
      </c>
      <c r="H131" s="72">
        <f t="shared" si="54"/>
        <v>1996.3971428571422</v>
      </c>
      <c r="I131" s="37" t="s">
        <v>1625</v>
      </c>
      <c r="J131" s="37" t="s">
        <v>1736</v>
      </c>
      <c r="K131" s="37" t="s">
        <v>2864</v>
      </c>
      <c r="L131" s="37">
        <v>1</v>
      </c>
      <c r="M131" s="69">
        <v>77</v>
      </c>
      <c r="N131" s="184">
        <v>3.55</v>
      </c>
      <c r="O131" s="46" t="s">
        <v>1627</v>
      </c>
      <c r="P131" s="184" t="s">
        <v>1632</v>
      </c>
      <c r="Q131" s="38">
        <f t="shared" si="65"/>
        <v>-77</v>
      </c>
      <c r="R131" s="38">
        <f t="shared" si="66"/>
        <v>308</v>
      </c>
      <c r="S131" s="38">
        <f t="shared" si="67"/>
        <v>161.69999999999999</v>
      </c>
      <c r="T131" s="38">
        <f t="shared" si="68"/>
        <v>-2657.2000000000003</v>
      </c>
      <c r="U131" s="47">
        <f t="shared" si="69"/>
        <v>-0.61200423787369307</v>
      </c>
      <c r="V131" s="52">
        <f t="shared" si="70"/>
        <v>4264.7999999999993</v>
      </c>
      <c r="W131" s="194"/>
    </row>
    <row r="132" spans="1:23">
      <c r="A132" s="51">
        <v>130</v>
      </c>
      <c r="B132" s="45">
        <v>43519</v>
      </c>
      <c r="C132" s="52">
        <f t="shared" si="63"/>
        <v>4264.7999999999993</v>
      </c>
      <c r="F132" s="52">
        <f t="shared" si="64"/>
        <v>4264.7999999999993</v>
      </c>
      <c r="G132" s="185">
        <v>0.54285714285714282</v>
      </c>
      <c r="H132" s="72">
        <f t="shared" si="54"/>
        <v>1919.3971428571422</v>
      </c>
      <c r="I132" s="37" t="s">
        <v>1625</v>
      </c>
      <c r="J132" s="37" t="s">
        <v>1846</v>
      </c>
      <c r="K132" s="37" t="s">
        <v>2865</v>
      </c>
      <c r="L132" s="37">
        <v>1</v>
      </c>
      <c r="M132" s="69">
        <v>77</v>
      </c>
      <c r="N132" s="184">
        <v>2.8</v>
      </c>
      <c r="O132" s="46" t="s">
        <v>1627</v>
      </c>
      <c r="P132" s="184" t="s">
        <v>1628</v>
      </c>
      <c r="Q132" s="38">
        <f t="shared" si="65"/>
        <v>138.6</v>
      </c>
      <c r="R132" s="38">
        <f t="shared" si="66"/>
        <v>385</v>
      </c>
      <c r="S132" s="38">
        <f t="shared" si="67"/>
        <v>300.29999999999995</v>
      </c>
      <c r="T132" s="38">
        <f t="shared" si="68"/>
        <v>-2518.6000000000004</v>
      </c>
      <c r="U132" s="47">
        <f t="shared" si="69"/>
        <v>-0.59055524291877715</v>
      </c>
      <c r="V132" s="52">
        <f t="shared" si="70"/>
        <v>4403.3999999999996</v>
      </c>
      <c r="W132" s="194"/>
    </row>
    <row r="133" spans="1:23">
      <c r="A133" s="51">
        <v>131</v>
      </c>
      <c r="B133" s="45">
        <v>43519</v>
      </c>
      <c r="C133" s="52">
        <f t="shared" si="63"/>
        <v>4403.3999999999996</v>
      </c>
      <c r="F133" s="52">
        <f t="shared" si="64"/>
        <v>4403.3999999999996</v>
      </c>
      <c r="G133" s="185">
        <v>0.54285714285714282</v>
      </c>
      <c r="H133" s="72">
        <f t="shared" si="54"/>
        <v>1842.3971428571422</v>
      </c>
      <c r="I133" s="37" t="s">
        <v>1625</v>
      </c>
      <c r="J133" s="37" t="s">
        <v>1848</v>
      </c>
      <c r="K133" s="37" t="s">
        <v>2866</v>
      </c>
      <c r="L133" s="37">
        <v>1</v>
      </c>
      <c r="M133" s="69">
        <v>77</v>
      </c>
      <c r="N133" s="184">
        <v>2.8</v>
      </c>
      <c r="O133" s="46" t="s">
        <v>1627</v>
      </c>
      <c r="P133" s="184" t="s">
        <v>1632</v>
      </c>
      <c r="Q133" s="38">
        <f t="shared" si="65"/>
        <v>-77</v>
      </c>
      <c r="R133" s="38">
        <f t="shared" si="66"/>
        <v>462</v>
      </c>
      <c r="S133" s="38">
        <f t="shared" si="67"/>
        <v>223.29999999999995</v>
      </c>
      <c r="T133" s="38">
        <f t="shared" si="68"/>
        <v>-2595.6000000000004</v>
      </c>
      <c r="U133" s="47">
        <f t="shared" si="69"/>
        <v>-0.5894536040332472</v>
      </c>
      <c r="V133" s="52">
        <f t="shared" si="70"/>
        <v>4326.3999999999996</v>
      </c>
      <c r="W133" s="194"/>
    </row>
    <row r="134" spans="1:23">
      <c r="A134" s="51">
        <v>132</v>
      </c>
      <c r="B134" s="45">
        <v>43519</v>
      </c>
      <c r="C134" s="52">
        <f t="shared" si="63"/>
        <v>4326.3999999999996</v>
      </c>
      <c r="F134" s="52">
        <f t="shared" si="64"/>
        <v>4326.3999999999996</v>
      </c>
      <c r="G134" s="185">
        <v>0.54285714285714282</v>
      </c>
      <c r="H134" s="72">
        <f t="shared" si="54"/>
        <v>1765.3971428571422</v>
      </c>
      <c r="I134" s="37" t="s">
        <v>1625</v>
      </c>
      <c r="J134" s="37" t="s">
        <v>1261</v>
      </c>
      <c r="K134" s="37" t="s">
        <v>2867</v>
      </c>
      <c r="L134" s="37">
        <v>1</v>
      </c>
      <c r="M134" s="69">
        <v>77</v>
      </c>
      <c r="N134" s="184">
        <v>2.68</v>
      </c>
      <c r="O134" s="46" t="s">
        <v>1627</v>
      </c>
      <c r="P134" s="184" t="s">
        <v>1628</v>
      </c>
      <c r="Q134" s="38">
        <f t="shared" si="65"/>
        <v>129.36000000000001</v>
      </c>
      <c r="R134" s="38">
        <f t="shared" si="66"/>
        <v>539</v>
      </c>
      <c r="S134" s="38">
        <f t="shared" si="67"/>
        <v>352.65999999999997</v>
      </c>
      <c r="T134" s="38">
        <f t="shared" si="68"/>
        <v>-2466.2400000000002</v>
      </c>
      <c r="U134" s="47">
        <f t="shared" si="69"/>
        <v>-0.570044378698225</v>
      </c>
      <c r="V134" s="52">
        <f t="shared" si="70"/>
        <v>4455.7599999999993</v>
      </c>
      <c r="W134" s="194"/>
    </row>
    <row r="135" spans="1:23">
      <c r="A135" s="51">
        <v>133</v>
      </c>
      <c r="B135" s="45">
        <v>43519</v>
      </c>
      <c r="C135" s="52">
        <f t="shared" si="63"/>
        <v>4455.7599999999993</v>
      </c>
      <c r="F135" s="52">
        <f t="shared" si="64"/>
        <v>4455.7599999999993</v>
      </c>
      <c r="G135" s="185">
        <v>0.54285714285714282</v>
      </c>
      <c r="H135" s="72">
        <f t="shared" si="54"/>
        <v>1688.3971428571422</v>
      </c>
      <c r="I135" s="37" t="s">
        <v>1625</v>
      </c>
      <c r="J135" s="37" t="s">
        <v>1736</v>
      </c>
      <c r="K135" s="37" t="s">
        <v>2868</v>
      </c>
      <c r="L135" s="37">
        <v>1</v>
      </c>
      <c r="M135" s="69">
        <v>77</v>
      </c>
      <c r="N135" s="184">
        <v>2.6</v>
      </c>
      <c r="O135" s="46" t="s">
        <v>1627</v>
      </c>
      <c r="P135" s="184" t="s">
        <v>1632</v>
      </c>
      <c r="Q135" s="38">
        <f t="shared" si="65"/>
        <v>-77</v>
      </c>
      <c r="R135" s="38">
        <f t="shared" si="66"/>
        <v>616</v>
      </c>
      <c r="S135" s="38">
        <f t="shared" si="67"/>
        <v>275.65999999999997</v>
      </c>
      <c r="T135" s="38">
        <f t="shared" si="68"/>
        <v>-2543.2400000000002</v>
      </c>
      <c r="U135" s="47">
        <f t="shared" si="69"/>
        <v>-0.57077580480097689</v>
      </c>
      <c r="V135" s="52">
        <f t="shared" si="70"/>
        <v>4378.7599999999993</v>
      </c>
      <c r="W135" s="194"/>
    </row>
    <row r="136" spans="1:23">
      <c r="A136" s="51">
        <v>134</v>
      </c>
      <c r="B136" s="45">
        <v>43519</v>
      </c>
      <c r="C136" s="52">
        <f t="shared" si="63"/>
        <v>4378.7599999999993</v>
      </c>
      <c r="F136" s="52">
        <f t="shared" si="64"/>
        <v>4378.7599999999993</v>
      </c>
      <c r="G136" s="185">
        <v>0.54285714285714282</v>
      </c>
      <c r="H136" s="72">
        <f t="shared" si="54"/>
        <v>1611.3971428571422</v>
      </c>
      <c r="I136" s="37" t="s">
        <v>1625</v>
      </c>
      <c r="J136" s="37" t="s">
        <v>1261</v>
      </c>
      <c r="K136" s="37" t="s">
        <v>2869</v>
      </c>
      <c r="L136" s="37">
        <v>1</v>
      </c>
      <c r="M136" s="69">
        <v>77</v>
      </c>
      <c r="N136" s="184">
        <v>2.54</v>
      </c>
      <c r="O136" s="46" t="s">
        <v>1627</v>
      </c>
      <c r="P136" s="184" t="s">
        <v>1628</v>
      </c>
      <c r="Q136" s="38">
        <f t="shared" si="65"/>
        <v>118.58000000000001</v>
      </c>
      <c r="R136" s="38">
        <f t="shared" si="66"/>
        <v>693</v>
      </c>
      <c r="S136" s="38">
        <f t="shared" si="67"/>
        <v>394.24</v>
      </c>
      <c r="T136" s="38">
        <f t="shared" si="68"/>
        <v>-2424.6600000000003</v>
      </c>
      <c r="U136" s="47">
        <f t="shared" si="69"/>
        <v>-0.55373210680649332</v>
      </c>
      <c r="V136" s="52">
        <f t="shared" si="70"/>
        <v>4497.3399999999992</v>
      </c>
      <c r="W136" s="194"/>
    </row>
    <row r="137" spans="1:23">
      <c r="A137" s="51">
        <v>135</v>
      </c>
      <c r="B137" s="45">
        <v>43519</v>
      </c>
      <c r="C137" s="52">
        <f t="shared" si="63"/>
        <v>4497.3399999999992</v>
      </c>
      <c r="F137" s="52">
        <f t="shared" si="64"/>
        <v>4497.3399999999992</v>
      </c>
      <c r="G137" s="185">
        <v>0.54285714285714282</v>
      </c>
      <c r="H137" s="72">
        <f t="shared" si="54"/>
        <v>1534.3971428571422</v>
      </c>
      <c r="I137" s="37" t="s">
        <v>1625</v>
      </c>
      <c r="J137" s="37" t="s">
        <v>1692</v>
      </c>
      <c r="K137" s="37" t="s">
        <v>2870</v>
      </c>
      <c r="L137" s="37">
        <v>1</v>
      </c>
      <c r="M137" s="69">
        <v>77</v>
      </c>
      <c r="N137" s="184">
        <v>2.5299999999999998</v>
      </c>
      <c r="O137" s="46" t="s">
        <v>1627</v>
      </c>
      <c r="P137" s="184" t="s">
        <v>1632</v>
      </c>
      <c r="Q137" s="38">
        <f t="shared" si="65"/>
        <v>-77</v>
      </c>
      <c r="R137" s="38">
        <f t="shared" si="66"/>
        <v>770</v>
      </c>
      <c r="S137" s="38">
        <f t="shared" si="67"/>
        <v>317.24</v>
      </c>
      <c r="T137" s="38">
        <f t="shared" si="68"/>
        <v>-2501.6600000000003</v>
      </c>
      <c r="U137" s="47">
        <f t="shared" si="69"/>
        <v>-0.5562532519222475</v>
      </c>
      <c r="V137" s="52">
        <f t="shared" si="70"/>
        <v>4420.3399999999992</v>
      </c>
      <c r="W137" s="194"/>
    </row>
    <row r="138" spans="1:23">
      <c r="A138" s="51">
        <v>136</v>
      </c>
      <c r="B138" s="45">
        <v>43519</v>
      </c>
      <c r="C138" s="52">
        <f t="shared" si="63"/>
        <v>4420.3399999999992</v>
      </c>
      <c r="F138" s="52">
        <f t="shared" si="64"/>
        <v>4420.3399999999992</v>
      </c>
      <c r="G138" s="185">
        <v>0.54285714285714282</v>
      </c>
      <c r="H138" s="72">
        <f t="shared" si="54"/>
        <v>1457.3971428571422</v>
      </c>
      <c r="I138" s="37" t="s">
        <v>1625</v>
      </c>
      <c r="J138" s="37" t="s">
        <v>1693</v>
      </c>
      <c r="K138" s="37" t="s">
        <v>2871</v>
      </c>
      <c r="L138" s="37">
        <v>1</v>
      </c>
      <c r="M138" s="69">
        <v>77</v>
      </c>
      <c r="N138" s="184">
        <v>2.4</v>
      </c>
      <c r="O138" s="46" t="s">
        <v>1627</v>
      </c>
      <c r="P138" s="184" t="s">
        <v>1628</v>
      </c>
      <c r="Q138" s="38">
        <f t="shared" si="65"/>
        <v>107.79999999999998</v>
      </c>
      <c r="R138" s="38">
        <f t="shared" si="66"/>
        <v>847</v>
      </c>
      <c r="S138" s="38">
        <f t="shared" si="67"/>
        <v>425.03999999999996</v>
      </c>
      <c r="T138" s="38">
        <f t="shared" si="68"/>
        <v>-2393.86</v>
      </c>
      <c r="U138" s="47">
        <f t="shared" si="69"/>
        <v>-0.54155562694272397</v>
      </c>
      <c r="V138" s="52">
        <f t="shared" si="70"/>
        <v>4528.1399999999994</v>
      </c>
      <c r="W138" s="194"/>
    </row>
    <row r="139" spans="1:23">
      <c r="A139" s="51">
        <v>137</v>
      </c>
      <c r="B139" s="45">
        <v>43519</v>
      </c>
      <c r="C139" s="52">
        <f t="shared" si="63"/>
        <v>4528.1399999999994</v>
      </c>
      <c r="F139" s="52">
        <f t="shared" si="64"/>
        <v>4528.1399999999994</v>
      </c>
      <c r="G139" s="185">
        <v>0.54285714285714282</v>
      </c>
      <c r="H139" s="72">
        <f t="shared" si="54"/>
        <v>1380.3971428571422</v>
      </c>
      <c r="I139" s="37" t="s">
        <v>1625</v>
      </c>
      <c r="J139" s="37" t="s">
        <v>1265</v>
      </c>
      <c r="K139" s="37" t="s">
        <v>2872</v>
      </c>
      <c r="L139" s="37">
        <v>1</v>
      </c>
      <c r="M139" s="69">
        <v>77</v>
      </c>
      <c r="N139" s="184">
        <v>2.2999999999999998</v>
      </c>
      <c r="O139" s="46" t="s">
        <v>1627</v>
      </c>
      <c r="P139" s="184" t="s">
        <v>1632</v>
      </c>
      <c r="Q139" s="38">
        <f t="shared" si="65"/>
        <v>-77</v>
      </c>
      <c r="R139" s="38">
        <f t="shared" si="66"/>
        <v>924</v>
      </c>
      <c r="S139" s="38">
        <f t="shared" si="67"/>
        <v>348.03999999999996</v>
      </c>
      <c r="T139" s="38">
        <f t="shared" si="68"/>
        <v>-2470.86</v>
      </c>
      <c r="U139" s="47">
        <f t="shared" si="69"/>
        <v>-0.5456677576223351</v>
      </c>
      <c r="V139" s="52">
        <f t="shared" si="70"/>
        <v>4451.1399999999994</v>
      </c>
      <c r="W139" s="194"/>
    </row>
    <row r="140" spans="1:23">
      <c r="A140" s="51">
        <v>138</v>
      </c>
      <c r="B140" s="45">
        <v>43519</v>
      </c>
      <c r="C140" s="52">
        <f t="shared" si="63"/>
        <v>4451.1399999999994</v>
      </c>
      <c r="F140" s="52">
        <f t="shared" si="64"/>
        <v>4451.1399999999994</v>
      </c>
      <c r="G140" s="185">
        <v>0.54285714285714282</v>
      </c>
      <c r="H140" s="72">
        <f t="shared" si="54"/>
        <v>1303.3971428571422</v>
      </c>
      <c r="I140" s="37" t="s">
        <v>1625</v>
      </c>
      <c r="J140" s="37" t="s">
        <v>2219</v>
      </c>
      <c r="K140" s="37" t="s">
        <v>2873</v>
      </c>
      <c r="L140" s="37">
        <v>1</v>
      </c>
      <c r="M140" s="69">
        <v>77</v>
      </c>
      <c r="N140" s="184">
        <v>2.25</v>
      </c>
      <c r="O140" s="46" t="s">
        <v>1627</v>
      </c>
      <c r="P140" s="184" t="s">
        <v>1632</v>
      </c>
      <c r="Q140" s="38">
        <f t="shared" si="65"/>
        <v>-77</v>
      </c>
      <c r="R140" s="38">
        <f t="shared" si="66"/>
        <v>1001</v>
      </c>
      <c r="S140" s="38">
        <f t="shared" si="67"/>
        <v>271.03999999999996</v>
      </c>
      <c r="T140" s="38">
        <f t="shared" si="68"/>
        <v>-2547.86</v>
      </c>
      <c r="U140" s="47">
        <f t="shared" si="69"/>
        <v>-0.57240617010473727</v>
      </c>
      <c r="V140" s="52">
        <f t="shared" si="70"/>
        <v>4374.1399999999994</v>
      </c>
      <c r="W140" s="194"/>
    </row>
    <row r="141" spans="1:23">
      <c r="A141" s="51">
        <v>139</v>
      </c>
      <c r="B141" s="45">
        <v>43519</v>
      </c>
      <c r="C141" s="52">
        <f t="shared" si="63"/>
        <v>4374.1399999999994</v>
      </c>
      <c r="F141" s="52">
        <f t="shared" si="64"/>
        <v>4374.1399999999994</v>
      </c>
      <c r="G141" s="185">
        <v>0.54285714285714282</v>
      </c>
      <c r="H141" s="72">
        <f t="shared" si="54"/>
        <v>1226.3971428571422</v>
      </c>
      <c r="I141" s="37" t="s">
        <v>1625</v>
      </c>
      <c r="J141" s="37" t="s">
        <v>1846</v>
      </c>
      <c r="K141" s="37" t="s">
        <v>2874</v>
      </c>
      <c r="L141" s="37">
        <v>1</v>
      </c>
      <c r="M141" s="69">
        <v>77</v>
      </c>
      <c r="N141" s="184">
        <v>2.1800000000000002</v>
      </c>
      <c r="O141" s="46" t="s">
        <v>1627</v>
      </c>
      <c r="P141" s="184" t="s">
        <v>1628</v>
      </c>
      <c r="Q141" s="38">
        <f t="shared" si="65"/>
        <v>90.860000000000014</v>
      </c>
      <c r="R141" s="38">
        <f t="shared" si="66"/>
        <v>1078</v>
      </c>
      <c r="S141" s="38">
        <f t="shared" si="67"/>
        <v>361.9</v>
      </c>
      <c r="T141" s="38">
        <f t="shared" si="68"/>
        <v>-2457</v>
      </c>
      <c r="U141" s="47">
        <f t="shared" si="69"/>
        <v>-0.56171041621895967</v>
      </c>
      <c r="V141" s="52">
        <f t="shared" si="70"/>
        <v>4464.9999999999991</v>
      </c>
      <c r="W141" s="194"/>
    </row>
    <row r="142" spans="1:23">
      <c r="A142" s="51">
        <v>140</v>
      </c>
      <c r="B142" s="45">
        <v>43519</v>
      </c>
      <c r="C142" s="52">
        <f t="shared" si="63"/>
        <v>4464.9999999999991</v>
      </c>
      <c r="F142" s="52">
        <f t="shared" si="64"/>
        <v>4464.9999999999991</v>
      </c>
      <c r="G142" s="185">
        <v>0.54285714285714282</v>
      </c>
      <c r="H142" s="72">
        <f t="shared" si="54"/>
        <v>1149.3971428571422</v>
      </c>
      <c r="I142" s="37" t="s">
        <v>1625</v>
      </c>
      <c r="J142" s="37" t="s">
        <v>1847</v>
      </c>
      <c r="K142" s="37" t="s">
        <v>2875</v>
      </c>
      <c r="L142" s="37">
        <v>1</v>
      </c>
      <c r="M142" s="69">
        <v>77</v>
      </c>
      <c r="N142" s="184">
        <v>2.1800000000000002</v>
      </c>
      <c r="O142" s="46" t="s">
        <v>1627</v>
      </c>
      <c r="P142" s="184" t="s">
        <v>1628</v>
      </c>
      <c r="Q142" s="38">
        <f t="shared" si="65"/>
        <v>90.860000000000014</v>
      </c>
      <c r="R142" s="38">
        <f t="shared" si="66"/>
        <v>1155</v>
      </c>
      <c r="S142" s="38">
        <f t="shared" si="67"/>
        <v>452.76</v>
      </c>
      <c r="T142" s="38">
        <f t="shared" si="68"/>
        <v>-2366.14</v>
      </c>
      <c r="U142" s="47">
        <f t="shared" si="69"/>
        <v>-0.52993057110862274</v>
      </c>
      <c r="V142" s="52">
        <f t="shared" si="70"/>
        <v>4555.8599999999988</v>
      </c>
      <c r="W142" s="194"/>
    </row>
    <row r="143" spans="1:23">
      <c r="A143" s="51">
        <v>141</v>
      </c>
      <c r="B143" s="45">
        <v>43519</v>
      </c>
      <c r="C143" s="52">
        <f t="shared" si="63"/>
        <v>4555.8599999999988</v>
      </c>
      <c r="F143" s="52">
        <f t="shared" si="64"/>
        <v>4555.8599999999988</v>
      </c>
      <c r="G143" s="185">
        <v>0.54285714285714282</v>
      </c>
      <c r="H143" s="72">
        <f t="shared" si="54"/>
        <v>1072.3971428571422</v>
      </c>
      <c r="I143" s="37" t="s">
        <v>1625</v>
      </c>
      <c r="J143" s="37" t="s">
        <v>1265</v>
      </c>
      <c r="K143" s="37" t="s">
        <v>2876</v>
      </c>
      <c r="L143" s="37">
        <v>1</v>
      </c>
      <c r="M143" s="69">
        <v>77</v>
      </c>
      <c r="N143" s="184">
        <v>2.1</v>
      </c>
      <c r="O143" s="46" t="s">
        <v>1627</v>
      </c>
      <c r="P143" s="184" t="s">
        <v>1628</v>
      </c>
      <c r="Q143" s="38">
        <f t="shared" si="65"/>
        <v>84.700000000000017</v>
      </c>
      <c r="R143" s="38">
        <f t="shared" si="66"/>
        <v>1232</v>
      </c>
      <c r="S143" s="38">
        <f t="shared" si="67"/>
        <v>537.46</v>
      </c>
      <c r="T143" s="38">
        <f t="shared" si="68"/>
        <v>-2281.44</v>
      </c>
      <c r="U143" s="47">
        <f t="shared" si="69"/>
        <v>-0.50077043631718288</v>
      </c>
      <c r="V143" s="52">
        <f t="shared" si="70"/>
        <v>4640.5599999999986</v>
      </c>
      <c r="W143" s="194"/>
    </row>
    <row r="144" spans="1:23">
      <c r="A144" s="51">
        <v>142</v>
      </c>
      <c r="B144" s="45">
        <v>43519</v>
      </c>
      <c r="C144" s="52">
        <f t="shared" si="63"/>
        <v>4640.5599999999986</v>
      </c>
      <c r="F144" s="52">
        <f t="shared" si="64"/>
        <v>4640.5599999999986</v>
      </c>
      <c r="G144" s="185">
        <v>0.54285714285714282</v>
      </c>
      <c r="H144" s="72">
        <f t="shared" si="54"/>
        <v>995.39714285714217</v>
      </c>
      <c r="I144" s="37" t="s">
        <v>1625</v>
      </c>
      <c r="J144" s="37" t="s">
        <v>1845</v>
      </c>
      <c r="K144" s="37" t="s">
        <v>2877</v>
      </c>
      <c r="L144" s="37">
        <v>1</v>
      </c>
      <c r="M144" s="69">
        <v>77</v>
      </c>
      <c r="N144" s="184">
        <v>2.0699999999999998</v>
      </c>
      <c r="O144" s="46" t="s">
        <v>1627</v>
      </c>
      <c r="P144" s="184" t="s">
        <v>1632</v>
      </c>
      <c r="Q144" s="38">
        <f t="shared" si="65"/>
        <v>-77</v>
      </c>
      <c r="R144" s="38">
        <f t="shared" si="66"/>
        <v>1309</v>
      </c>
      <c r="S144" s="38">
        <f t="shared" si="67"/>
        <v>460.46000000000004</v>
      </c>
      <c r="T144" s="38">
        <f t="shared" si="68"/>
        <v>-2358.44</v>
      </c>
      <c r="U144" s="47">
        <f t="shared" si="69"/>
        <v>-0.50822314548244196</v>
      </c>
      <c r="V144" s="52">
        <f t="shared" si="70"/>
        <v>4563.5599999999986</v>
      </c>
      <c r="W144" s="194"/>
    </row>
    <row r="145" spans="1:23">
      <c r="A145" s="51">
        <v>143</v>
      </c>
      <c r="B145" s="45">
        <v>43519</v>
      </c>
      <c r="C145" s="52">
        <f t="shared" si="63"/>
        <v>4563.5599999999986</v>
      </c>
      <c r="F145" s="52">
        <f t="shared" si="64"/>
        <v>4563.5599999999986</v>
      </c>
      <c r="G145" s="185">
        <v>0.54285714285714282</v>
      </c>
      <c r="H145" s="72">
        <f t="shared" si="54"/>
        <v>918.39714285714217</v>
      </c>
      <c r="I145" s="37" t="s">
        <v>1625</v>
      </c>
      <c r="J145" s="37" t="s">
        <v>1242</v>
      </c>
      <c r="K145" s="37" t="s">
        <v>2878</v>
      </c>
      <c r="L145" s="37">
        <v>1</v>
      </c>
      <c r="M145" s="69">
        <v>77</v>
      </c>
      <c r="N145" s="184">
        <v>2.06</v>
      </c>
      <c r="O145" s="46" t="s">
        <v>1627</v>
      </c>
      <c r="P145" s="184" t="s">
        <v>1632</v>
      </c>
      <c r="Q145" s="38">
        <f t="shared" si="65"/>
        <v>-77</v>
      </c>
      <c r="R145" s="38">
        <f t="shared" si="66"/>
        <v>1386</v>
      </c>
      <c r="S145" s="38">
        <f t="shared" si="67"/>
        <v>383.46000000000004</v>
      </c>
      <c r="T145" s="38">
        <f t="shared" si="68"/>
        <v>-2435.44</v>
      </c>
      <c r="U145" s="47">
        <f t="shared" si="69"/>
        <v>-0.53367108134877173</v>
      </c>
      <c r="V145" s="52">
        <f t="shared" si="70"/>
        <v>4486.5599999999986</v>
      </c>
      <c r="W145" s="194"/>
    </row>
    <row r="146" spans="1:23">
      <c r="A146" s="51">
        <v>144</v>
      </c>
      <c r="B146" s="45">
        <v>43519</v>
      </c>
      <c r="C146" s="52">
        <f t="shared" si="63"/>
        <v>4486.5599999999986</v>
      </c>
      <c r="F146" s="52">
        <f t="shared" si="64"/>
        <v>4486.5599999999986</v>
      </c>
      <c r="G146" s="185">
        <v>0.54285714285714282</v>
      </c>
      <c r="H146" s="72">
        <f t="shared" si="54"/>
        <v>841.39714285714217</v>
      </c>
      <c r="I146" s="37" t="s">
        <v>1625</v>
      </c>
      <c r="J146" s="37" t="s">
        <v>1266</v>
      </c>
      <c r="K146" s="37" t="s">
        <v>2879</v>
      </c>
      <c r="L146" s="37">
        <v>1</v>
      </c>
      <c r="M146" s="69">
        <v>77</v>
      </c>
      <c r="N146" s="184">
        <v>2.04</v>
      </c>
      <c r="O146" s="46" t="s">
        <v>1627</v>
      </c>
      <c r="P146" s="184" t="s">
        <v>1632</v>
      </c>
      <c r="Q146" s="38">
        <f t="shared" si="65"/>
        <v>-77</v>
      </c>
      <c r="R146" s="38">
        <f t="shared" si="66"/>
        <v>1463</v>
      </c>
      <c r="S146" s="38">
        <f t="shared" si="67"/>
        <v>306.46000000000004</v>
      </c>
      <c r="T146" s="38">
        <f t="shared" si="68"/>
        <v>-2512.44</v>
      </c>
      <c r="U146" s="47">
        <f t="shared" si="69"/>
        <v>-0.5599925109660856</v>
      </c>
      <c r="V146" s="52">
        <f t="shared" si="70"/>
        <v>4409.5599999999986</v>
      </c>
      <c r="W146" s="194"/>
    </row>
    <row r="147" spans="1:23">
      <c r="A147" s="51">
        <v>145</v>
      </c>
      <c r="B147" s="45">
        <v>43519</v>
      </c>
      <c r="C147" s="52">
        <f t="shared" ref="C147:C170" si="71">+V146</f>
        <v>4409.5599999999986</v>
      </c>
      <c r="F147" s="52">
        <f t="shared" ref="F147:F170" si="72">+C147+D147-E147</f>
        <v>4409.5599999999986</v>
      </c>
      <c r="G147" s="185">
        <v>0.54285714285714282</v>
      </c>
      <c r="H147" s="72">
        <f t="shared" ref="H147:H170" si="73">IF(B147=B146,H146-M146,F147*G147)</f>
        <v>764.39714285714217</v>
      </c>
      <c r="I147" s="37" t="s">
        <v>1625</v>
      </c>
      <c r="J147" s="37" t="s">
        <v>1847</v>
      </c>
      <c r="K147" s="37" t="s">
        <v>2880</v>
      </c>
      <c r="L147" s="37">
        <v>1</v>
      </c>
      <c r="M147" s="69">
        <v>77</v>
      </c>
      <c r="N147" s="184">
        <v>1.95</v>
      </c>
      <c r="O147" s="46" t="s">
        <v>1627</v>
      </c>
      <c r="P147" s="184" t="s">
        <v>1632</v>
      </c>
      <c r="Q147" s="38">
        <f t="shared" ref="Q147:Q170" si="74">IF(P147="Win",(M147*N147)-M147,IF(P147="Refund",0,IF(P147="Loss",-M147)))</f>
        <v>-77</v>
      </c>
      <c r="R147" s="38">
        <f t="shared" ref="R147:R170" si="75">IF(B147=B146,M147+R146,M147)</f>
        <v>1540</v>
      </c>
      <c r="S147" s="38">
        <f t="shared" ref="S147:S170" si="76">IF(B147=B146,+Q147+S146,Q147)</f>
        <v>229.46000000000004</v>
      </c>
      <c r="T147" s="38">
        <f t="shared" ref="T147:T170" si="77">IF(MONTH(B147)=MONTH(B146),T146+Q147,Q147)</f>
        <v>-2589.44</v>
      </c>
      <c r="U147" s="47">
        <f t="shared" ref="U147:U170" si="78">T147/F147</f>
        <v>-0.58723319333448254</v>
      </c>
      <c r="V147" s="52">
        <f t="shared" ref="V147:V170" si="79">+F147+Q147</f>
        <v>4332.5599999999986</v>
      </c>
      <c r="W147" s="194"/>
    </row>
    <row r="148" spans="1:23">
      <c r="A148" s="51">
        <v>146</v>
      </c>
      <c r="B148" s="45">
        <v>43519</v>
      </c>
      <c r="C148" s="52">
        <f t="shared" si="71"/>
        <v>4332.5599999999986</v>
      </c>
      <c r="F148" s="52">
        <f t="shared" si="72"/>
        <v>4332.5599999999986</v>
      </c>
      <c r="G148" s="185">
        <v>0.54285714285714282</v>
      </c>
      <c r="H148" s="72">
        <f t="shared" si="73"/>
        <v>687.39714285714217</v>
      </c>
      <c r="I148" s="37" t="s">
        <v>1625</v>
      </c>
      <c r="J148" s="37" t="s">
        <v>1847</v>
      </c>
      <c r="K148" s="37" t="s">
        <v>2881</v>
      </c>
      <c r="L148" s="37">
        <v>1</v>
      </c>
      <c r="M148" s="69">
        <v>77</v>
      </c>
      <c r="N148" s="184">
        <v>1.88</v>
      </c>
      <c r="O148" s="46" t="s">
        <v>1627</v>
      </c>
      <c r="P148" s="184" t="s">
        <v>1632</v>
      </c>
      <c r="Q148" s="38">
        <f t="shared" si="74"/>
        <v>-77</v>
      </c>
      <c r="R148" s="38">
        <f t="shared" si="75"/>
        <v>1617</v>
      </c>
      <c r="S148" s="38">
        <f t="shared" si="76"/>
        <v>152.46000000000004</v>
      </c>
      <c r="T148" s="38">
        <f t="shared" si="77"/>
        <v>-2666.44</v>
      </c>
      <c r="U148" s="47">
        <f t="shared" si="78"/>
        <v>-0.61544214044352552</v>
      </c>
      <c r="V148" s="52">
        <f t="shared" si="79"/>
        <v>4255.5599999999986</v>
      </c>
      <c r="W148" s="194"/>
    </row>
    <row r="149" spans="1:23">
      <c r="A149" s="51">
        <v>147</v>
      </c>
      <c r="B149" s="45">
        <v>43519</v>
      </c>
      <c r="C149" s="52">
        <f t="shared" si="71"/>
        <v>4255.5599999999986</v>
      </c>
      <c r="F149" s="52">
        <f t="shared" si="72"/>
        <v>4255.5599999999986</v>
      </c>
      <c r="G149" s="185">
        <v>0.54285714285714282</v>
      </c>
      <c r="H149" s="72">
        <f t="shared" si="73"/>
        <v>610.39714285714217</v>
      </c>
      <c r="I149" s="37" t="s">
        <v>1625</v>
      </c>
      <c r="J149" s="37" t="s">
        <v>1847</v>
      </c>
      <c r="K149" s="37" t="s">
        <v>2882</v>
      </c>
      <c r="L149" s="37">
        <v>1</v>
      </c>
      <c r="M149" s="69">
        <v>77</v>
      </c>
      <c r="N149" s="184">
        <v>1.88</v>
      </c>
      <c r="O149" s="46" t="s">
        <v>1627</v>
      </c>
      <c r="P149" s="184" t="s">
        <v>1632</v>
      </c>
      <c r="Q149" s="38">
        <f t="shared" si="74"/>
        <v>-77</v>
      </c>
      <c r="R149" s="38">
        <f t="shared" si="75"/>
        <v>1694</v>
      </c>
      <c r="S149" s="38">
        <f t="shared" si="76"/>
        <v>75.460000000000036</v>
      </c>
      <c r="T149" s="38">
        <f t="shared" si="77"/>
        <v>-2743.44</v>
      </c>
      <c r="U149" s="47">
        <f t="shared" si="78"/>
        <v>-0.64467191156980541</v>
      </c>
      <c r="V149" s="52">
        <f t="shared" si="79"/>
        <v>4178.5599999999986</v>
      </c>
      <c r="W149" s="194"/>
    </row>
    <row r="150" spans="1:23">
      <c r="A150" s="51">
        <v>148</v>
      </c>
      <c r="B150" s="45">
        <v>43519</v>
      </c>
      <c r="C150" s="52">
        <f t="shared" si="71"/>
        <v>4178.5599999999986</v>
      </c>
      <c r="F150" s="52">
        <f t="shared" si="72"/>
        <v>4178.5599999999986</v>
      </c>
      <c r="G150" s="185">
        <v>0.54285714285714282</v>
      </c>
      <c r="H150" s="72">
        <f t="shared" si="73"/>
        <v>533.39714285714217</v>
      </c>
      <c r="I150" s="37" t="s">
        <v>1625</v>
      </c>
      <c r="J150" s="37" t="s">
        <v>1267</v>
      </c>
      <c r="K150" s="37" t="s">
        <v>2883</v>
      </c>
      <c r="L150" s="37">
        <v>1</v>
      </c>
      <c r="M150" s="69">
        <v>77</v>
      </c>
      <c r="N150" s="184">
        <v>1.87</v>
      </c>
      <c r="O150" s="46" t="s">
        <v>1627</v>
      </c>
      <c r="P150" s="184" t="s">
        <v>1628</v>
      </c>
      <c r="Q150" s="38">
        <f t="shared" si="74"/>
        <v>66.990000000000009</v>
      </c>
      <c r="R150" s="38">
        <f t="shared" si="75"/>
        <v>1771</v>
      </c>
      <c r="S150" s="38">
        <f t="shared" si="76"/>
        <v>142.45000000000005</v>
      </c>
      <c r="T150" s="38">
        <f t="shared" si="77"/>
        <v>-2676.45</v>
      </c>
      <c r="U150" s="47">
        <f t="shared" si="78"/>
        <v>-0.6405197005667026</v>
      </c>
      <c r="V150" s="52">
        <f t="shared" si="79"/>
        <v>4245.5499999999984</v>
      </c>
      <c r="W150" s="194"/>
    </row>
    <row r="151" spans="1:23">
      <c r="A151" s="51">
        <v>149</v>
      </c>
      <c r="B151" s="45">
        <v>43519</v>
      </c>
      <c r="C151" s="52">
        <f t="shared" si="71"/>
        <v>4245.5499999999984</v>
      </c>
      <c r="F151" s="52">
        <f t="shared" si="72"/>
        <v>4245.5499999999984</v>
      </c>
      <c r="G151" s="185">
        <v>0.54285714285714282</v>
      </c>
      <c r="H151" s="72">
        <f t="shared" si="73"/>
        <v>456.39714285714217</v>
      </c>
      <c r="I151" s="37" t="s">
        <v>1625</v>
      </c>
      <c r="J151" s="37" t="s">
        <v>1846</v>
      </c>
      <c r="K151" s="37" t="s">
        <v>2884</v>
      </c>
      <c r="L151" s="37">
        <v>1</v>
      </c>
      <c r="M151" s="69">
        <v>77</v>
      </c>
      <c r="N151" s="184">
        <v>1.8</v>
      </c>
      <c r="O151" s="46" t="s">
        <v>1627</v>
      </c>
      <c r="P151" s="184" t="s">
        <v>1632</v>
      </c>
      <c r="Q151" s="38">
        <f t="shared" si="74"/>
        <v>-77</v>
      </c>
      <c r="R151" s="38">
        <f t="shared" si="75"/>
        <v>1848</v>
      </c>
      <c r="S151" s="38">
        <f t="shared" si="76"/>
        <v>65.450000000000045</v>
      </c>
      <c r="T151" s="38">
        <f t="shared" si="77"/>
        <v>-2753.45</v>
      </c>
      <c r="U151" s="47">
        <f t="shared" si="78"/>
        <v>-0.64854965787707153</v>
      </c>
      <c r="V151" s="52">
        <f t="shared" si="79"/>
        <v>4168.5499999999984</v>
      </c>
      <c r="W151" s="194"/>
    </row>
    <row r="152" spans="1:23">
      <c r="A152" s="51">
        <v>150</v>
      </c>
      <c r="B152" s="45">
        <v>43519</v>
      </c>
      <c r="C152" s="52">
        <f t="shared" si="71"/>
        <v>4168.5499999999984</v>
      </c>
      <c r="F152" s="52">
        <f t="shared" si="72"/>
        <v>4168.5499999999984</v>
      </c>
      <c r="G152" s="185">
        <v>0.54285714285714282</v>
      </c>
      <c r="H152" s="72">
        <f t="shared" si="73"/>
        <v>379.39714285714217</v>
      </c>
      <c r="I152" s="37" t="s">
        <v>1625</v>
      </c>
      <c r="J152" s="37" t="s">
        <v>1850</v>
      </c>
      <c r="K152" s="37" t="s">
        <v>2885</v>
      </c>
      <c r="L152" s="37">
        <v>1</v>
      </c>
      <c r="M152" s="69">
        <v>77</v>
      </c>
      <c r="N152" s="184">
        <v>1.77</v>
      </c>
      <c r="O152" s="46" t="s">
        <v>1627</v>
      </c>
      <c r="P152" s="184" t="s">
        <v>1628</v>
      </c>
      <c r="Q152" s="38">
        <f t="shared" si="74"/>
        <v>59.289999999999992</v>
      </c>
      <c r="R152" s="38">
        <f t="shared" si="75"/>
        <v>1925</v>
      </c>
      <c r="S152" s="38">
        <f t="shared" si="76"/>
        <v>124.74000000000004</v>
      </c>
      <c r="T152" s="38">
        <f t="shared" si="77"/>
        <v>-2694.16</v>
      </c>
      <c r="U152" s="47">
        <f t="shared" si="78"/>
        <v>-0.64630626956615633</v>
      </c>
      <c r="V152" s="52">
        <f t="shared" si="79"/>
        <v>4227.8399999999983</v>
      </c>
      <c r="W152" s="194"/>
    </row>
    <row r="153" spans="1:23">
      <c r="A153" s="51">
        <v>151</v>
      </c>
      <c r="B153" s="45">
        <v>43519</v>
      </c>
      <c r="C153" s="52">
        <f t="shared" si="71"/>
        <v>4227.8399999999983</v>
      </c>
      <c r="F153" s="52">
        <f t="shared" si="72"/>
        <v>4227.8399999999983</v>
      </c>
      <c r="G153" s="185">
        <v>0.54285714285714282</v>
      </c>
      <c r="H153" s="72">
        <f t="shared" si="73"/>
        <v>302.39714285714217</v>
      </c>
      <c r="I153" s="37" t="s">
        <v>1625</v>
      </c>
      <c r="J153" s="37" t="s">
        <v>1897</v>
      </c>
      <c r="K153" s="37" t="s">
        <v>2886</v>
      </c>
      <c r="L153" s="37">
        <v>1</v>
      </c>
      <c r="M153" s="69">
        <v>77</v>
      </c>
      <c r="N153" s="184">
        <v>1.76</v>
      </c>
      <c r="O153" s="46" t="s">
        <v>1627</v>
      </c>
      <c r="P153" s="184" t="s">
        <v>1632</v>
      </c>
      <c r="Q153" s="38">
        <f t="shared" si="74"/>
        <v>-77</v>
      </c>
      <c r="R153" s="38">
        <f t="shared" si="75"/>
        <v>2002</v>
      </c>
      <c r="S153" s="38">
        <f t="shared" si="76"/>
        <v>47.740000000000038</v>
      </c>
      <c r="T153" s="38">
        <f t="shared" si="77"/>
        <v>-2771.16</v>
      </c>
      <c r="U153" s="47">
        <f t="shared" si="78"/>
        <v>-0.65545526793823816</v>
      </c>
      <c r="V153" s="52">
        <f t="shared" si="79"/>
        <v>4150.8399999999983</v>
      </c>
      <c r="W153" s="194"/>
    </row>
    <row r="154" spans="1:23">
      <c r="A154" s="51">
        <v>152</v>
      </c>
      <c r="B154" s="45">
        <v>43519</v>
      </c>
      <c r="C154" s="52">
        <f t="shared" si="71"/>
        <v>4150.8399999999983</v>
      </c>
      <c r="F154" s="52">
        <f t="shared" si="72"/>
        <v>4150.8399999999983</v>
      </c>
      <c r="G154" s="185">
        <v>0.54285714285714282</v>
      </c>
      <c r="H154" s="72">
        <f t="shared" si="73"/>
        <v>225.39714285714217</v>
      </c>
      <c r="I154" s="37" t="s">
        <v>1625</v>
      </c>
      <c r="J154" s="37" t="s">
        <v>1846</v>
      </c>
      <c r="K154" s="37" t="s">
        <v>2887</v>
      </c>
      <c r="L154" s="37">
        <v>1</v>
      </c>
      <c r="M154" s="69">
        <v>77</v>
      </c>
      <c r="N154" s="184">
        <v>1.74</v>
      </c>
      <c r="O154" s="46" t="s">
        <v>1627</v>
      </c>
      <c r="P154" s="184" t="s">
        <v>2709</v>
      </c>
      <c r="Q154" s="38">
        <f t="shared" si="74"/>
        <v>0</v>
      </c>
      <c r="R154" s="38">
        <f t="shared" si="75"/>
        <v>2079</v>
      </c>
      <c r="S154" s="38">
        <f t="shared" si="76"/>
        <v>47.740000000000038</v>
      </c>
      <c r="T154" s="38">
        <f t="shared" si="77"/>
        <v>-2771.16</v>
      </c>
      <c r="U154" s="47">
        <f t="shared" si="78"/>
        <v>-0.66761426602808127</v>
      </c>
      <c r="V154" s="52">
        <f t="shared" si="79"/>
        <v>4150.8399999999983</v>
      </c>
      <c r="W154" s="194"/>
    </row>
    <row r="155" spans="1:23">
      <c r="A155" s="51">
        <v>153</v>
      </c>
      <c r="B155" s="45">
        <v>43519</v>
      </c>
      <c r="C155" s="52">
        <f t="shared" si="71"/>
        <v>4150.8399999999983</v>
      </c>
      <c r="F155" s="52">
        <f t="shared" si="72"/>
        <v>4150.8399999999983</v>
      </c>
      <c r="G155" s="185">
        <v>0.54285714285714282</v>
      </c>
      <c r="H155" s="72">
        <f t="shared" si="73"/>
        <v>148.39714285714217</v>
      </c>
      <c r="I155" s="37" t="s">
        <v>1625</v>
      </c>
      <c r="J155" s="37" t="s">
        <v>1737</v>
      </c>
      <c r="K155" s="37" t="s">
        <v>2888</v>
      </c>
      <c r="L155" s="37">
        <v>1</v>
      </c>
      <c r="M155" s="69">
        <v>77</v>
      </c>
      <c r="N155" s="184">
        <v>1.68</v>
      </c>
      <c r="O155" s="46" t="s">
        <v>1627</v>
      </c>
      <c r="P155" s="184" t="s">
        <v>1632</v>
      </c>
      <c r="Q155" s="38">
        <f t="shared" si="74"/>
        <v>-77</v>
      </c>
      <c r="R155" s="38">
        <f t="shared" si="75"/>
        <v>2156</v>
      </c>
      <c r="S155" s="38">
        <f t="shared" si="76"/>
        <v>-29.259999999999962</v>
      </c>
      <c r="T155" s="38">
        <f t="shared" si="77"/>
        <v>-2848.16</v>
      </c>
      <c r="U155" s="47">
        <f t="shared" si="78"/>
        <v>-0.68616472810322759</v>
      </c>
      <c r="V155" s="52">
        <f t="shared" si="79"/>
        <v>4073.8399999999983</v>
      </c>
      <c r="W155" s="194"/>
    </row>
    <row r="156" spans="1:23">
      <c r="A156" s="51">
        <v>154</v>
      </c>
      <c r="B156" s="45">
        <v>43519</v>
      </c>
      <c r="C156" s="52">
        <f t="shared" si="71"/>
        <v>4073.8399999999983</v>
      </c>
      <c r="F156" s="52">
        <f t="shared" si="72"/>
        <v>4073.8399999999983</v>
      </c>
      <c r="G156" s="185">
        <v>0.54285714285714282</v>
      </c>
      <c r="H156" s="72">
        <f t="shared" si="73"/>
        <v>71.397142857142171</v>
      </c>
      <c r="I156" s="37" t="s">
        <v>1625</v>
      </c>
      <c r="J156" s="37" t="s">
        <v>1264</v>
      </c>
      <c r="K156" s="37" t="s">
        <v>2889</v>
      </c>
      <c r="L156" s="37">
        <v>1</v>
      </c>
      <c r="M156" s="69">
        <v>77</v>
      </c>
      <c r="N156" s="184">
        <v>1.68</v>
      </c>
      <c r="O156" s="46" t="s">
        <v>1627</v>
      </c>
      <c r="P156" s="184" t="s">
        <v>1632</v>
      </c>
      <c r="Q156" s="38">
        <f t="shared" si="74"/>
        <v>-77</v>
      </c>
      <c r="R156" s="38">
        <f t="shared" si="75"/>
        <v>2233</v>
      </c>
      <c r="S156" s="38">
        <f t="shared" si="76"/>
        <v>-106.25999999999996</v>
      </c>
      <c r="T156" s="38">
        <f t="shared" si="77"/>
        <v>-2925.16</v>
      </c>
      <c r="U156" s="47">
        <f t="shared" si="78"/>
        <v>-0.71803507256053278</v>
      </c>
      <c r="V156" s="52">
        <f t="shared" si="79"/>
        <v>3996.8399999999983</v>
      </c>
      <c r="W156" s="194"/>
    </row>
    <row r="157" spans="1:23">
      <c r="A157" s="51">
        <v>155</v>
      </c>
      <c r="B157" s="45">
        <v>43519</v>
      </c>
      <c r="C157" s="52">
        <f t="shared" si="71"/>
        <v>3996.8399999999983</v>
      </c>
      <c r="F157" s="52">
        <f t="shared" si="72"/>
        <v>3996.8399999999983</v>
      </c>
      <c r="G157" s="185">
        <v>0.54285714285714282</v>
      </c>
      <c r="H157" s="72">
        <f t="shared" si="73"/>
        <v>-5.6028571428578289</v>
      </c>
      <c r="I157" s="37" t="s">
        <v>1625</v>
      </c>
      <c r="J157" s="37" t="s">
        <v>1266</v>
      </c>
      <c r="K157" s="37" t="s">
        <v>2890</v>
      </c>
      <c r="L157" s="37">
        <v>1</v>
      </c>
      <c r="M157" s="69">
        <v>77</v>
      </c>
      <c r="N157" s="184">
        <v>1.68</v>
      </c>
      <c r="O157" s="46" t="s">
        <v>1627</v>
      </c>
      <c r="P157" s="184" t="s">
        <v>1628</v>
      </c>
      <c r="Q157" s="38">
        <f t="shared" si="74"/>
        <v>52.359999999999985</v>
      </c>
      <c r="R157" s="38">
        <f t="shared" si="75"/>
        <v>2310</v>
      </c>
      <c r="S157" s="38">
        <f t="shared" si="76"/>
        <v>-53.899999999999977</v>
      </c>
      <c r="T157" s="38">
        <f t="shared" si="77"/>
        <v>-2872.7999999999997</v>
      </c>
      <c r="U157" s="47">
        <f t="shared" si="78"/>
        <v>-0.71876782658300076</v>
      </c>
      <c r="V157" s="52">
        <f t="shared" si="79"/>
        <v>4049.1999999999985</v>
      </c>
      <c r="W157" s="194"/>
    </row>
    <row r="158" spans="1:23">
      <c r="A158" s="51">
        <v>156</v>
      </c>
      <c r="B158" s="45">
        <v>43519</v>
      </c>
      <c r="C158" s="52">
        <f t="shared" si="71"/>
        <v>4049.1999999999985</v>
      </c>
      <c r="F158" s="52">
        <f t="shared" si="72"/>
        <v>4049.1999999999985</v>
      </c>
      <c r="G158" s="185">
        <v>0.54285714285714282</v>
      </c>
      <c r="H158" s="72">
        <f t="shared" si="73"/>
        <v>-82.602857142857829</v>
      </c>
      <c r="I158" s="37" t="s">
        <v>1625</v>
      </c>
      <c r="J158" s="37" t="s">
        <v>1850</v>
      </c>
      <c r="K158" s="37" t="s">
        <v>2891</v>
      </c>
      <c r="L158" s="37">
        <v>1</v>
      </c>
      <c r="M158" s="69">
        <v>77</v>
      </c>
      <c r="N158" s="184">
        <v>1.57</v>
      </c>
      <c r="O158" s="46" t="s">
        <v>1627</v>
      </c>
      <c r="P158" s="184" t="s">
        <v>1632</v>
      </c>
      <c r="Q158" s="38">
        <f t="shared" si="74"/>
        <v>-77</v>
      </c>
      <c r="R158" s="38">
        <f t="shared" si="75"/>
        <v>2387</v>
      </c>
      <c r="S158" s="76">
        <f t="shared" si="76"/>
        <v>-130.89999999999998</v>
      </c>
      <c r="T158" s="38">
        <f t="shared" si="77"/>
        <v>-2949.7999999999997</v>
      </c>
      <c r="U158" s="47">
        <f t="shared" si="78"/>
        <v>-0.7284895781882843</v>
      </c>
      <c r="V158" s="52">
        <f t="shared" si="79"/>
        <v>3972.1999999999985</v>
      </c>
      <c r="W158" s="194"/>
    </row>
    <row r="159" spans="1:23">
      <c r="A159" s="51">
        <v>157</v>
      </c>
      <c r="B159" s="75">
        <v>43520</v>
      </c>
      <c r="C159" s="77">
        <f t="shared" si="71"/>
        <v>3972.1999999999985</v>
      </c>
      <c r="D159" s="76"/>
      <c r="E159" s="76"/>
      <c r="F159" s="77">
        <f t="shared" si="72"/>
        <v>3972.1999999999985</v>
      </c>
      <c r="G159" s="185">
        <v>0.53347732181425489</v>
      </c>
      <c r="H159" s="72">
        <f t="shared" si="73"/>
        <v>2119.0786177105824</v>
      </c>
      <c r="I159" s="37" t="s">
        <v>1625</v>
      </c>
      <c r="J159" s="37" t="s">
        <v>1898</v>
      </c>
      <c r="K159" s="37" t="s">
        <v>2941</v>
      </c>
      <c r="L159" s="37">
        <v>1</v>
      </c>
      <c r="M159" s="69">
        <v>123</v>
      </c>
      <c r="N159" s="184">
        <v>3.4</v>
      </c>
      <c r="O159" s="46" t="s">
        <v>1627</v>
      </c>
      <c r="P159" s="184" t="s">
        <v>1632</v>
      </c>
      <c r="Q159" s="38">
        <f t="shared" si="74"/>
        <v>-123</v>
      </c>
      <c r="R159" s="38">
        <f t="shared" si="75"/>
        <v>123</v>
      </c>
      <c r="S159" s="38">
        <f t="shared" si="76"/>
        <v>-123</v>
      </c>
      <c r="T159" s="38">
        <f t="shared" si="77"/>
        <v>-3072.7999999999997</v>
      </c>
      <c r="U159" s="47">
        <f t="shared" si="78"/>
        <v>-0.77357635567192007</v>
      </c>
      <c r="V159" s="52">
        <f t="shared" si="79"/>
        <v>3849.1999999999985</v>
      </c>
      <c r="W159" s="194"/>
    </row>
    <row r="160" spans="1:23">
      <c r="A160" s="51">
        <v>158</v>
      </c>
      <c r="B160" s="45">
        <v>43520</v>
      </c>
      <c r="C160" s="52">
        <f t="shared" si="71"/>
        <v>3849.1999999999985</v>
      </c>
      <c r="F160" s="52">
        <f t="shared" si="72"/>
        <v>3849.1999999999985</v>
      </c>
      <c r="G160" s="185">
        <v>0.53347732181425489</v>
      </c>
      <c r="H160" s="72">
        <f t="shared" si="73"/>
        <v>1996.0786177105824</v>
      </c>
      <c r="I160" s="37" t="s">
        <v>1625</v>
      </c>
      <c r="J160" s="37" t="s">
        <v>1267</v>
      </c>
      <c r="K160" s="37" t="s">
        <v>2942</v>
      </c>
      <c r="L160" s="37">
        <v>1</v>
      </c>
      <c r="M160" s="69">
        <v>123</v>
      </c>
      <c r="N160" s="184">
        <v>3.15</v>
      </c>
      <c r="O160" s="46" t="s">
        <v>1627</v>
      </c>
      <c r="P160" s="184" t="s">
        <v>1632</v>
      </c>
      <c r="Q160" s="38">
        <f t="shared" si="74"/>
        <v>-123</v>
      </c>
      <c r="R160" s="38">
        <f t="shared" si="75"/>
        <v>246</v>
      </c>
      <c r="S160" s="38">
        <f t="shared" si="76"/>
        <v>-246</v>
      </c>
      <c r="T160" s="38">
        <f t="shared" si="77"/>
        <v>-3195.7999999999997</v>
      </c>
      <c r="U160" s="47">
        <f t="shared" si="78"/>
        <v>-0.83025044165021333</v>
      </c>
      <c r="V160" s="52">
        <f t="shared" si="79"/>
        <v>3726.1999999999985</v>
      </c>
      <c r="W160" s="194"/>
    </row>
    <row r="161" spans="1:23">
      <c r="A161" s="51">
        <v>159</v>
      </c>
      <c r="B161" s="45">
        <v>43520</v>
      </c>
      <c r="C161" s="52">
        <f t="shared" si="71"/>
        <v>3726.1999999999985</v>
      </c>
      <c r="F161" s="52">
        <f t="shared" si="72"/>
        <v>3726.1999999999985</v>
      </c>
      <c r="G161" s="185">
        <v>0.53347732181425489</v>
      </c>
      <c r="H161" s="72">
        <f t="shared" si="73"/>
        <v>1873.0786177105824</v>
      </c>
      <c r="I161" s="37" t="s">
        <v>1625</v>
      </c>
      <c r="J161" s="37" t="s">
        <v>1898</v>
      </c>
      <c r="K161" s="37" t="s">
        <v>2943</v>
      </c>
      <c r="L161" s="37">
        <v>1</v>
      </c>
      <c r="M161" s="69">
        <v>123</v>
      </c>
      <c r="N161" s="184">
        <v>2.92</v>
      </c>
      <c r="O161" s="46" t="s">
        <v>1627</v>
      </c>
      <c r="P161" s="184" t="s">
        <v>1632</v>
      </c>
      <c r="Q161" s="38">
        <f t="shared" si="74"/>
        <v>-123</v>
      </c>
      <c r="R161" s="38">
        <f t="shared" si="75"/>
        <v>369</v>
      </c>
      <c r="S161" s="38">
        <f t="shared" si="76"/>
        <v>-369</v>
      </c>
      <c r="T161" s="38">
        <f t="shared" si="77"/>
        <v>-3318.7999999999997</v>
      </c>
      <c r="U161" s="47">
        <f t="shared" si="78"/>
        <v>-0.89066609414416864</v>
      </c>
      <c r="V161" s="52">
        <f t="shared" si="79"/>
        <v>3603.1999999999985</v>
      </c>
      <c r="W161" s="194"/>
    </row>
    <row r="162" spans="1:23">
      <c r="A162" s="51">
        <v>160</v>
      </c>
      <c r="B162" s="45">
        <v>43520</v>
      </c>
      <c r="C162" s="52">
        <f t="shared" si="71"/>
        <v>3603.1999999999985</v>
      </c>
      <c r="F162" s="52">
        <f t="shared" si="72"/>
        <v>3603.1999999999985</v>
      </c>
      <c r="G162" s="185">
        <v>0.53347732181425489</v>
      </c>
      <c r="H162" s="72">
        <f t="shared" si="73"/>
        <v>1750.0786177105824</v>
      </c>
      <c r="I162" s="37" t="s">
        <v>1625</v>
      </c>
      <c r="J162" s="37" t="s">
        <v>2571</v>
      </c>
      <c r="K162" s="37" t="s">
        <v>2944</v>
      </c>
      <c r="L162" s="37">
        <v>1</v>
      </c>
      <c r="M162" s="69">
        <v>123</v>
      </c>
      <c r="N162" s="184">
        <v>2.44</v>
      </c>
      <c r="O162" s="46" t="s">
        <v>1627</v>
      </c>
      <c r="P162" s="184" t="s">
        <v>1628</v>
      </c>
      <c r="Q162" s="38">
        <f t="shared" si="74"/>
        <v>177.12</v>
      </c>
      <c r="R162" s="38">
        <f t="shared" si="75"/>
        <v>492</v>
      </c>
      <c r="S162" s="38">
        <f t="shared" si="76"/>
        <v>-191.88</v>
      </c>
      <c r="T162" s="38">
        <f t="shared" si="77"/>
        <v>-3141.68</v>
      </c>
      <c r="U162" s="47">
        <f t="shared" si="78"/>
        <v>-0.87191385435168767</v>
      </c>
      <c r="V162" s="52">
        <f t="shared" si="79"/>
        <v>3780.3199999999983</v>
      </c>
      <c r="W162" s="194"/>
    </row>
    <row r="163" spans="1:23">
      <c r="A163" s="51">
        <v>161</v>
      </c>
      <c r="B163" s="45">
        <v>43520</v>
      </c>
      <c r="C163" s="52">
        <f t="shared" si="71"/>
        <v>3780.3199999999983</v>
      </c>
      <c r="F163" s="52">
        <f t="shared" si="72"/>
        <v>3780.3199999999983</v>
      </c>
      <c r="G163" s="185">
        <v>0.53347732181425489</v>
      </c>
      <c r="H163" s="72">
        <f t="shared" si="73"/>
        <v>1627.0786177105824</v>
      </c>
      <c r="I163" s="37" t="s">
        <v>1625</v>
      </c>
      <c r="J163" s="37" t="s">
        <v>2766</v>
      </c>
      <c r="K163" s="37" t="s">
        <v>2945</v>
      </c>
      <c r="L163" s="37">
        <v>1</v>
      </c>
      <c r="M163" s="69">
        <v>123</v>
      </c>
      <c r="N163" s="184">
        <v>2.42</v>
      </c>
      <c r="O163" s="46" t="s">
        <v>1627</v>
      </c>
      <c r="P163" s="184" t="s">
        <v>1632</v>
      </c>
      <c r="Q163" s="38">
        <f t="shared" si="74"/>
        <v>-123</v>
      </c>
      <c r="R163" s="38">
        <f t="shared" si="75"/>
        <v>615</v>
      </c>
      <c r="S163" s="38">
        <f t="shared" si="76"/>
        <v>-314.88</v>
      </c>
      <c r="T163" s="38">
        <f t="shared" si="77"/>
        <v>-3264.68</v>
      </c>
      <c r="U163" s="47">
        <f t="shared" si="78"/>
        <v>-0.86359884877470727</v>
      </c>
      <c r="V163" s="52">
        <f t="shared" si="79"/>
        <v>3657.3199999999983</v>
      </c>
      <c r="W163" s="194"/>
    </row>
    <row r="164" spans="1:23">
      <c r="A164" s="51">
        <v>162</v>
      </c>
      <c r="B164" s="45">
        <v>43520</v>
      </c>
      <c r="C164" s="52">
        <f t="shared" si="71"/>
        <v>3657.3199999999983</v>
      </c>
      <c r="F164" s="52">
        <f t="shared" si="72"/>
        <v>3657.3199999999983</v>
      </c>
      <c r="G164" s="185">
        <v>0.53347732181425489</v>
      </c>
      <c r="H164" s="72">
        <f t="shared" si="73"/>
        <v>1504.0786177105824</v>
      </c>
      <c r="I164" s="37" t="s">
        <v>1625</v>
      </c>
      <c r="J164" s="37" t="s">
        <v>2892</v>
      </c>
      <c r="K164" s="37" t="s">
        <v>2946</v>
      </c>
      <c r="L164" s="37">
        <v>1</v>
      </c>
      <c r="M164" s="69">
        <v>123</v>
      </c>
      <c r="N164" s="184">
        <v>2.2999999999999998</v>
      </c>
      <c r="O164" s="46" t="s">
        <v>1627</v>
      </c>
      <c r="P164" s="184" t="s">
        <v>1628</v>
      </c>
      <c r="Q164" s="38">
        <f t="shared" si="74"/>
        <v>159.89999999999998</v>
      </c>
      <c r="R164" s="38">
        <f t="shared" si="75"/>
        <v>738</v>
      </c>
      <c r="S164" s="38">
        <f t="shared" si="76"/>
        <v>-154.98000000000002</v>
      </c>
      <c r="T164" s="38">
        <f t="shared" si="77"/>
        <v>-3104.7799999999997</v>
      </c>
      <c r="U164" s="47">
        <f t="shared" si="78"/>
        <v>-0.84892216158279865</v>
      </c>
      <c r="V164" s="52">
        <f t="shared" si="79"/>
        <v>3817.2199999999984</v>
      </c>
      <c r="W164" s="194"/>
    </row>
    <row r="165" spans="1:23">
      <c r="A165" s="51">
        <v>163</v>
      </c>
      <c r="B165" s="45">
        <v>43520</v>
      </c>
      <c r="C165" s="52">
        <f t="shared" si="71"/>
        <v>3817.2199999999984</v>
      </c>
      <c r="F165" s="52">
        <f t="shared" si="72"/>
        <v>3817.2199999999984</v>
      </c>
      <c r="G165" s="185">
        <v>0.53347732181425489</v>
      </c>
      <c r="H165" s="72">
        <f t="shared" si="73"/>
        <v>1381.0786177105824</v>
      </c>
      <c r="I165" s="37" t="s">
        <v>1625</v>
      </c>
      <c r="J165" s="37" t="s">
        <v>1693</v>
      </c>
      <c r="K165" s="37" t="s">
        <v>2947</v>
      </c>
      <c r="L165" s="37">
        <v>1</v>
      </c>
      <c r="M165" s="69">
        <v>123</v>
      </c>
      <c r="N165" s="184">
        <v>2.2200000000000002</v>
      </c>
      <c r="O165" s="46" t="s">
        <v>1627</v>
      </c>
      <c r="P165" s="184" t="s">
        <v>1632</v>
      </c>
      <c r="Q165" s="38">
        <f t="shared" si="74"/>
        <v>-123</v>
      </c>
      <c r="R165" s="38">
        <f t="shared" si="75"/>
        <v>861</v>
      </c>
      <c r="S165" s="38">
        <f t="shared" si="76"/>
        <v>-277.98</v>
      </c>
      <c r="T165" s="38">
        <f t="shared" si="77"/>
        <v>-3227.7799999999997</v>
      </c>
      <c r="U165" s="47">
        <f t="shared" si="78"/>
        <v>-0.84558395900681671</v>
      </c>
      <c r="V165" s="52">
        <f t="shared" si="79"/>
        <v>3694.2199999999984</v>
      </c>
      <c r="W165" s="194"/>
    </row>
    <row r="166" spans="1:23">
      <c r="A166" s="51">
        <v>164</v>
      </c>
      <c r="B166" s="45">
        <v>43520</v>
      </c>
      <c r="C166" s="52">
        <f t="shared" si="71"/>
        <v>3694.2199999999984</v>
      </c>
      <c r="F166" s="52">
        <f t="shared" si="72"/>
        <v>3694.2199999999984</v>
      </c>
      <c r="G166" s="185">
        <v>0.53347732181425489</v>
      </c>
      <c r="H166" s="72">
        <f t="shared" si="73"/>
        <v>1258.0786177105824</v>
      </c>
      <c r="I166" s="37" t="s">
        <v>1625</v>
      </c>
      <c r="J166" s="37" t="s">
        <v>1845</v>
      </c>
      <c r="K166" s="37" t="s">
        <v>2948</v>
      </c>
      <c r="L166" s="37">
        <v>1</v>
      </c>
      <c r="M166" s="69">
        <v>123</v>
      </c>
      <c r="N166" s="184">
        <v>2.1800000000000002</v>
      </c>
      <c r="O166" s="46" t="s">
        <v>1627</v>
      </c>
      <c r="P166" s="184" t="s">
        <v>1628</v>
      </c>
      <c r="Q166" s="38">
        <f t="shared" si="74"/>
        <v>145.14000000000004</v>
      </c>
      <c r="R166" s="38">
        <f t="shared" si="75"/>
        <v>984</v>
      </c>
      <c r="S166" s="38">
        <f t="shared" si="76"/>
        <v>-132.83999999999997</v>
      </c>
      <c r="T166" s="38">
        <f t="shared" si="77"/>
        <v>-3082.64</v>
      </c>
      <c r="U166" s="47">
        <f t="shared" si="78"/>
        <v>-0.83444949136759616</v>
      </c>
      <c r="V166" s="52">
        <f t="shared" si="79"/>
        <v>3839.3599999999983</v>
      </c>
      <c r="W166" s="194"/>
    </row>
    <row r="167" spans="1:23">
      <c r="A167" s="51">
        <v>165</v>
      </c>
      <c r="B167" s="45">
        <v>43520</v>
      </c>
      <c r="C167" s="52">
        <f t="shared" si="71"/>
        <v>3839.3599999999983</v>
      </c>
      <c r="F167" s="52">
        <f t="shared" si="72"/>
        <v>3839.3599999999983</v>
      </c>
      <c r="G167" s="185">
        <v>0.53347732181425489</v>
      </c>
      <c r="H167" s="72">
        <f t="shared" si="73"/>
        <v>1135.0786177105824</v>
      </c>
      <c r="I167" s="37" t="s">
        <v>1625</v>
      </c>
      <c r="J167" s="37" t="s">
        <v>1261</v>
      </c>
      <c r="K167" s="37" t="s">
        <v>2949</v>
      </c>
      <c r="L167" s="37">
        <v>1</v>
      </c>
      <c r="M167" s="69">
        <v>123</v>
      </c>
      <c r="N167" s="184">
        <v>2.14</v>
      </c>
      <c r="O167" s="46" t="s">
        <v>1627</v>
      </c>
      <c r="P167" s="184" t="s">
        <v>1628</v>
      </c>
      <c r="Q167" s="38">
        <f t="shared" si="74"/>
        <v>140.22000000000003</v>
      </c>
      <c r="R167" s="38">
        <f t="shared" si="75"/>
        <v>1107</v>
      </c>
      <c r="S167" s="38">
        <f t="shared" si="76"/>
        <v>7.3800000000000523</v>
      </c>
      <c r="T167" s="38">
        <f t="shared" si="77"/>
        <v>-2942.42</v>
      </c>
      <c r="U167" s="47">
        <f t="shared" si="78"/>
        <v>-0.76638293882313757</v>
      </c>
      <c r="V167" s="52">
        <f t="shared" si="79"/>
        <v>3979.5799999999981</v>
      </c>
      <c r="W167" s="194"/>
    </row>
    <row r="168" spans="1:23">
      <c r="A168" s="51">
        <v>166</v>
      </c>
      <c r="B168" s="45">
        <v>43520</v>
      </c>
      <c r="C168" s="52">
        <f t="shared" si="71"/>
        <v>3979.5799999999981</v>
      </c>
      <c r="F168" s="52">
        <f t="shared" si="72"/>
        <v>3979.5799999999981</v>
      </c>
      <c r="G168" s="185">
        <v>0.53347732181425489</v>
      </c>
      <c r="H168" s="72">
        <f t="shared" si="73"/>
        <v>1012.0786177105824</v>
      </c>
      <c r="I168" s="37" t="s">
        <v>1625</v>
      </c>
      <c r="J168" s="37" t="s">
        <v>1850</v>
      </c>
      <c r="K168" s="37" t="s">
        <v>2950</v>
      </c>
      <c r="L168" s="37">
        <v>1</v>
      </c>
      <c r="M168" s="69">
        <v>123</v>
      </c>
      <c r="N168" s="184">
        <v>2.13</v>
      </c>
      <c r="O168" s="46" t="s">
        <v>1627</v>
      </c>
      <c r="P168" s="184" t="s">
        <v>1632</v>
      </c>
      <c r="Q168" s="38">
        <f t="shared" si="74"/>
        <v>-123</v>
      </c>
      <c r="R168" s="38">
        <f t="shared" si="75"/>
        <v>1230</v>
      </c>
      <c r="S168" s="38">
        <f t="shared" si="76"/>
        <v>-115.61999999999995</v>
      </c>
      <c r="T168" s="38">
        <f t="shared" si="77"/>
        <v>-3065.42</v>
      </c>
      <c r="U168" s="47">
        <f t="shared" si="78"/>
        <v>-0.77028731675201945</v>
      </c>
      <c r="V168" s="52">
        <f t="shared" si="79"/>
        <v>3856.5799999999981</v>
      </c>
      <c r="W168" s="194"/>
    </row>
    <row r="169" spans="1:23">
      <c r="A169" s="51">
        <v>167</v>
      </c>
      <c r="B169" s="45">
        <v>43520</v>
      </c>
      <c r="C169" s="52">
        <f t="shared" si="71"/>
        <v>3856.5799999999981</v>
      </c>
      <c r="F169" s="52">
        <f t="shared" si="72"/>
        <v>3856.5799999999981</v>
      </c>
      <c r="G169" s="185">
        <v>0.53347732181425489</v>
      </c>
      <c r="H169" s="72">
        <f t="shared" si="73"/>
        <v>889.07861771058242</v>
      </c>
      <c r="I169" s="37" t="s">
        <v>1625</v>
      </c>
      <c r="J169" s="37" t="s">
        <v>1266</v>
      </c>
      <c r="K169" s="37" t="s">
        <v>2951</v>
      </c>
      <c r="L169" s="37">
        <v>1</v>
      </c>
      <c r="M169" s="69">
        <v>123</v>
      </c>
      <c r="N169" s="184">
        <v>2.1</v>
      </c>
      <c r="O169" s="46" t="s">
        <v>1627</v>
      </c>
      <c r="P169" s="184" t="s">
        <v>1628</v>
      </c>
      <c r="Q169" s="38">
        <f t="shared" si="74"/>
        <v>135.30000000000001</v>
      </c>
      <c r="R169" s="38">
        <f t="shared" si="75"/>
        <v>1353</v>
      </c>
      <c r="S169" s="38">
        <f t="shared" si="76"/>
        <v>19.680000000000064</v>
      </c>
      <c r="T169" s="38">
        <f t="shared" si="77"/>
        <v>-2930.12</v>
      </c>
      <c r="U169" s="47">
        <f t="shared" si="78"/>
        <v>-0.75977161111658553</v>
      </c>
      <c r="V169" s="52">
        <f t="shared" si="79"/>
        <v>3991.8799999999983</v>
      </c>
      <c r="W169" s="194"/>
    </row>
    <row r="170" spans="1:23">
      <c r="A170" s="51">
        <v>168</v>
      </c>
      <c r="B170" s="45">
        <v>43520</v>
      </c>
      <c r="C170" s="52">
        <f t="shared" si="71"/>
        <v>3991.8799999999983</v>
      </c>
      <c r="F170" s="52">
        <f t="shared" si="72"/>
        <v>3991.8799999999983</v>
      </c>
      <c r="G170" s="185">
        <v>0.53347732181425489</v>
      </c>
      <c r="H170" s="72">
        <f t="shared" si="73"/>
        <v>766.07861771058242</v>
      </c>
      <c r="I170" s="37" t="s">
        <v>1625</v>
      </c>
      <c r="J170" s="37" t="s">
        <v>1899</v>
      </c>
      <c r="K170" s="37" t="s">
        <v>2952</v>
      </c>
      <c r="L170" s="37">
        <v>1</v>
      </c>
      <c r="M170" s="69">
        <v>123</v>
      </c>
      <c r="N170" s="184">
        <v>2.06</v>
      </c>
      <c r="O170" s="46" t="s">
        <v>1627</v>
      </c>
      <c r="P170" s="184" t="s">
        <v>1632</v>
      </c>
      <c r="Q170" s="38">
        <f t="shared" si="74"/>
        <v>-123</v>
      </c>
      <c r="R170" s="38">
        <f t="shared" si="75"/>
        <v>1476</v>
      </c>
      <c r="S170" s="38">
        <f t="shared" si="76"/>
        <v>-103.31999999999994</v>
      </c>
      <c r="T170" s="38">
        <f t="shared" si="77"/>
        <v>-3053.12</v>
      </c>
      <c r="U170" s="47">
        <f t="shared" si="78"/>
        <v>-0.76483261019870363</v>
      </c>
      <c r="V170" s="52">
        <f t="shared" si="79"/>
        <v>3868.8799999999983</v>
      </c>
      <c r="W170" s="194"/>
    </row>
    <row r="171" spans="1:23">
      <c r="A171" s="51">
        <v>169</v>
      </c>
      <c r="B171" s="45">
        <v>43520</v>
      </c>
      <c r="C171" s="52">
        <f t="shared" ref="C171:C200" si="80">+V170</f>
        <v>3868.8799999999983</v>
      </c>
      <c r="F171" s="52">
        <f t="shared" ref="F171:F200" si="81">+C171+D171-E171</f>
        <v>3868.8799999999983</v>
      </c>
      <c r="G171" s="185">
        <v>0.53347732181425489</v>
      </c>
      <c r="H171" s="72">
        <f t="shared" ref="H171:H200" si="82">IF(B171=B170,H170-M170,F171*G171)</f>
        <v>643.07861771058242</v>
      </c>
      <c r="I171" s="37" t="s">
        <v>1625</v>
      </c>
      <c r="J171" s="37" t="s">
        <v>1266</v>
      </c>
      <c r="K171" s="37" t="s">
        <v>2953</v>
      </c>
      <c r="L171" s="37">
        <v>1</v>
      </c>
      <c r="M171" s="69">
        <v>123</v>
      </c>
      <c r="N171" s="184">
        <v>2</v>
      </c>
      <c r="O171" s="46" t="s">
        <v>1627</v>
      </c>
      <c r="P171" s="184" t="s">
        <v>1628</v>
      </c>
      <c r="Q171" s="38">
        <f t="shared" ref="Q171:Q200" si="83">IF(P171="Win",(M171*N171)-M171,IF(P171="Refund",0,IF(P171="Loss",-M171)))</f>
        <v>123</v>
      </c>
      <c r="R171" s="38">
        <f t="shared" ref="R171:R200" si="84">IF(B171=B170,M171+R170,M171)</f>
        <v>1599</v>
      </c>
      <c r="S171" s="38">
        <f t="shared" ref="S171:S200" si="85">IF(B171=B170,+Q171+S170,Q171)</f>
        <v>19.680000000000064</v>
      </c>
      <c r="T171" s="38">
        <f t="shared" ref="T171:T200" si="86">IF(MONTH(B171)=MONTH(B170),T170+Q171,Q171)</f>
        <v>-2930.12</v>
      </c>
      <c r="U171" s="47">
        <f t="shared" ref="U171:U200" si="87">T171/F171</f>
        <v>-0.75735613407497804</v>
      </c>
      <c r="V171" s="52">
        <f t="shared" ref="V171:V200" si="88">+F171+Q171</f>
        <v>3991.8799999999983</v>
      </c>
      <c r="W171" s="194"/>
    </row>
    <row r="172" spans="1:23">
      <c r="A172" s="51">
        <v>170</v>
      </c>
      <c r="B172" s="45">
        <v>43520</v>
      </c>
      <c r="C172" s="52">
        <f t="shared" si="80"/>
        <v>3991.8799999999983</v>
      </c>
      <c r="F172" s="52">
        <f t="shared" si="81"/>
        <v>3991.8799999999983</v>
      </c>
      <c r="G172" s="185">
        <v>0.53347732181425489</v>
      </c>
      <c r="H172" s="72">
        <f t="shared" si="82"/>
        <v>520.07861771058242</v>
      </c>
      <c r="I172" s="37" t="s">
        <v>1625</v>
      </c>
      <c r="J172" s="37" t="s">
        <v>1898</v>
      </c>
      <c r="K172" s="37" t="s">
        <v>2954</v>
      </c>
      <c r="L172" s="37">
        <v>1</v>
      </c>
      <c r="M172" s="69">
        <v>123</v>
      </c>
      <c r="N172" s="184">
        <v>1.98</v>
      </c>
      <c r="O172" s="46" t="s">
        <v>1627</v>
      </c>
      <c r="P172" s="184" t="s">
        <v>1632</v>
      </c>
      <c r="Q172" s="38">
        <f t="shared" si="83"/>
        <v>-123</v>
      </c>
      <c r="R172" s="38">
        <f t="shared" si="84"/>
        <v>1722</v>
      </c>
      <c r="S172" s="76">
        <f t="shared" si="85"/>
        <v>-103.31999999999994</v>
      </c>
      <c r="T172" s="38">
        <f t="shared" si="86"/>
        <v>-3053.12</v>
      </c>
      <c r="U172" s="47">
        <f t="shared" si="87"/>
        <v>-0.76483261019870363</v>
      </c>
      <c r="V172" s="52">
        <f t="shared" si="88"/>
        <v>3868.8799999999983</v>
      </c>
      <c r="W172" s="194"/>
    </row>
    <row r="173" spans="1:23">
      <c r="A173" s="51">
        <v>171</v>
      </c>
      <c r="B173" s="75">
        <v>43521</v>
      </c>
      <c r="C173" s="77">
        <f t="shared" si="80"/>
        <v>3868.8799999999983</v>
      </c>
      <c r="D173" s="76"/>
      <c r="E173" s="76"/>
      <c r="F173" s="77">
        <f t="shared" si="81"/>
        <v>3868.8799999999983</v>
      </c>
      <c r="G173" s="185">
        <v>0.53252032520325199</v>
      </c>
      <c r="H173" s="72">
        <f t="shared" si="82"/>
        <v>2060.2572357723566</v>
      </c>
      <c r="I173" s="37" t="s">
        <v>1625</v>
      </c>
      <c r="J173" s="37" t="s">
        <v>1265</v>
      </c>
      <c r="K173" s="37" t="s">
        <v>2977</v>
      </c>
      <c r="L173" s="37">
        <v>1</v>
      </c>
      <c r="M173" s="69">
        <v>110</v>
      </c>
      <c r="N173" s="184">
        <v>2.42</v>
      </c>
      <c r="O173" s="46" t="s">
        <v>1627</v>
      </c>
      <c r="P173" s="184" t="s">
        <v>1632</v>
      </c>
      <c r="Q173" s="38">
        <f t="shared" si="83"/>
        <v>-110</v>
      </c>
      <c r="R173" s="38">
        <f t="shared" si="84"/>
        <v>110</v>
      </c>
      <c r="S173" s="38">
        <f t="shared" si="85"/>
        <v>-110</v>
      </c>
      <c r="T173" s="38">
        <f t="shared" si="86"/>
        <v>-3163.12</v>
      </c>
      <c r="U173" s="47">
        <f t="shared" si="87"/>
        <v>-0.81758028163189378</v>
      </c>
      <c r="V173" s="52">
        <f t="shared" si="88"/>
        <v>3758.8799999999983</v>
      </c>
      <c r="W173" s="194"/>
    </row>
    <row r="174" spans="1:23">
      <c r="A174" s="51">
        <v>172</v>
      </c>
      <c r="B174" s="45">
        <v>43521</v>
      </c>
      <c r="C174" s="52">
        <f t="shared" si="80"/>
        <v>3758.8799999999983</v>
      </c>
      <c r="F174" s="52">
        <f t="shared" si="81"/>
        <v>3758.8799999999983</v>
      </c>
      <c r="G174" s="185">
        <v>0.53252032520325199</v>
      </c>
      <c r="H174" s="72">
        <f t="shared" si="82"/>
        <v>1950.2572357723566</v>
      </c>
      <c r="I174" s="37" t="s">
        <v>1625</v>
      </c>
      <c r="J174" s="37" t="s">
        <v>2571</v>
      </c>
      <c r="K174" s="37" t="s">
        <v>2978</v>
      </c>
      <c r="L174" s="37">
        <v>1</v>
      </c>
      <c r="M174" s="69">
        <v>110</v>
      </c>
      <c r="N174" s="184">
        <v>2.08</v>
      </c>
      <c r="O174" s="46" t="s">
        <v>1627</v>
      </c>
      <c r="P174" s="184" t="s">
        <v>1632</v>
      </c>
      <c r="Q174" s="38">
        <f t="shared" si="83"/>
        <v>-110</v>
      </c>
      <c r="R174" s="38">
        <f t="shared" si="84"/>
        <v>220</v>
      </c>
      <c r="S174" s="76">
        <f t="shared" si="85"/>
        <v>-220</v>
      </c>
      <c r="T174" s="38">
        <f t="shared" si="86"/>
        <v>-3273.12</v>
      </c>
      <c r="U174" s="47">
        <f t="shared" si="87"/>
        <v>-0.87077001660068998</v>
      </c>
      <c r="V174" s="52">
        <f t="shared" si="88"/>
        <v>3648.8799999999983</v>
      </c>
      <c r="W174" s="194"/>
    </row>
    <row r="175" spans="1:23">
      <c r="A175" s="51">
        <v>173</v>
      </c>
      <c r="B175" s="75">
        <v>43522</v>
      </c>
      <c r="C175" s="77">
        <f t="shared" si="80"/>
        <v>3648.8799999999983</v>
      </c>
      <c r="D175" s="76"/>
      <c r="E175" s="76"/>
      <c r="F175" s="77">
        <f t="shared" si="81"/>
        <v>3648.8799999999983</v>
      </c>
      <c r="G175" s="185">
        <v>0.52894211576846306</v>
      </c>
      <c r="H175" s="72">
        <f t="shared" si="82"/>
        <v>1930.0463073852286</v>
      </c>
      <c r="I175" s="37" t="s">
        <v>1625</v>
      </c>
      <c r="J175" s="37" t="s">
        <v>1847</v>
      </c>
      <c r="K175" s="37" t="s">
        <v>2991</v>
      </c>
      <c r="L175" s="37">
        <v>1</v>
      </c>
      <c r="M175" s="69">
        <v>102</v>
      </c>
      <c r="N175" s="184">
        <v>2.38</v>
      </c>
      <c r="O175" s="46" t="s">
        <v>1627</v>
      </c>
      <c r="P175" s="184" t="s">
        <v>1628</v>
      </c>
      <c r="Q175" s="38">
        <f t="shared" si="83"/>
        <v>140.76</v>
      </c>
      <c r="R175" s="38">
        <f t="shared" si="84"/>
        <v>102</v>
      </c>
      <c r="S175" s="38">
        <f t="shared" si="85"/>
        <v>140.76</v>
      </c>
      <c r="T175" s="38">
        <f t="shared" si="86"/>
        <v>-3132.3599999999997</v>
      </c>
      <c r="U175" s="47">
        <f t="shared" si="87"/>
        <v>-0.85844423494332533</v>
      </c>
      <c r="V175" s="52">
        <f t="shared" si="88"/>
        <v>3789.6399999999985</v>
      </c>
      <c r="W175" s="194"/>
    </row>
    <row r="176" spans="1:23">
      <c r="A176" s="51">
        <v>174</v>
      </c>
      <c r="B176" s="45">
        <v>43522</v>
      </c>
      <c r="C176" s="52">
        <f t="shared" si="80"/>
        <v>3789.6399999999985</v>
      </c>
      <c r="F176" s="52">
        <f t="shared" si="81"/>
        <v>3789.6399999999985</v>
      </c>
      <c r="G176" s="185">
        <v>0.52894211576846306</v>
      </c>
      <c r="H176" s="72">
        <f t="shared" si="82"/>
        <v>1828.0463073852286</v>
      </c>
      <c r="I176" s="37" t="s">
        <v>1625</v>
      </c>
      <c r="J176" s="37" t="s">
        <v>1847</v>
      </c>
      <c r="K176" s="37" t="s">
        <v>2992</v>
      </c>
      <c r="L176" s="37">
        <v>1</v>
      </c>
      <c r="M176" s="69">
        <v>102</v>
      </c>
      <c r="N176" s="184">
        <v>2.1800000000000002</v>
      </c>
      <c r="O176" s="46" t="s">
        <v>1627</v>
      </c>
      <c r="P176" s="184" t="s">
        <v>1628</v>
      </c>
      <c r="Q176" s="38">
        <f t="shared" si="83"/>
        <v>120.36000000000001</v>
      </c>
      <c r="R176" s="38">
        <f t="shared" si="84"/>
        <v>204</v>
      </c>
      <c r="S176" s="76">
        <f t="shared" si="85"/>
        <v>261.12</v>
      </c>
      <c r="T176" s="38">
        <f t="shared" si="86"/>
        <v>-3011.9999999999995</v>
      </c>
      <c r="U176" s="47">
        <f t="shared" si="87"/>
        <v>-0.79479845051244991</v>
      </c>
      <c r="V176" s="52">
        <f t="shared" si="88"/>
        <v>3909.9999999999986</v>
      </c>
    </row>
    <row r="177" spans="1:23">
      <c r="A177" s="51">
        <v>175</v>
      </c>
      <c r="B177" s="75">
        <v>43523</v>
      </c>
      <c r="C177" s="77">
        <f t="shared" si="80"/>
        <v>3909.9999999999986</v>
      </c>
      <c r="D177" s="76"/>
      <c r="E177" s="76">
        <v>261</v>
      </c>
      <c r="F177" s="77">
        <f t="shared" si="81"/>
        <v>3648.9999999999986</v>
      </c>
      <c r="G177" s="185">
        <v>0.52894211576846306</v>
      </c>
      <c r="H177" s="72">
        <f t="shared" si="82"/>
        <v>1930.1097804391211</v>
      </c>
      <c r="I177" s="37" t="s">
        <v>1625</v>
      </c>
      <c r="J177" s="37" t="s">
        <v>2994</v>
      </c>
      <c r="K177" s="37" t="s">
        <v>3011</v>
      </c>
      <c r="L177" s="37">
        <v>1</v>
      </c>
      <c r="M177" s="69">
        <v>103</v>
      </c>
      <c r="N177" s="184">
        <v>3.55</v>
      </c>
      <c r="O177" s="46" t="s">
        <v>1627</v>
      </c>
      <c r="P177" s="184" t="s">
        <v>1632</v>
      </c>
      <c r="Q177" s="38">
        <f t="shared" si="83"/>
        <v>-103</v>
      </c>
      <c r="R177" s="38">
        <f t="shared" si="84"/>
        <v>103</v>
      </c>
      <c r="S177" s="38">
        <f t="shared" si="85"/>
        <v>-103</v>
      </c>
      <c r="T177" s="38">
        <f t="shared" si="86"/>
        <v>-3114.9999999999995</v>
      </c>
      <c r="U177" s="47">
        <f t="shared" si="87"/>
        <v>-0.85365853658536606</v>
      </c>
      <c r="V177" s="52">
        <f t="shared" si="88"/>
        <v>3545.9999999999986</v>
      </c>
      <c r="W177" s="194"/>
    </row>
    <row r="178" spans="1:23">
      <c r="A178" s="51">
        <v>176</v>
      </c>
      <c r="B178" s="45">
        <v>43523</v>
      </c>
      <c r="C178" s="52">
        <f t="shared" si="80"/>
        <v>3545.9999999999986</v>
      </c>
      <c r="F178" s="52">
        <f t="shared" si="81"/>
        <v>3545.9999999999986</v>
      </c>
      <c r="G178" s="185">
        <v>0.52894211576846306</v>
      </c>
      <c r="H178" s="72">
        <f t="shared" si="82"/>
        <v>1827.1097804391211</v>
      </c>
      <c r="I178" s="37" t="s">
        <v>1625</v>
      </c>
      <c r="J178" s="37" t="s">
        <v>1847</v>
      </c>
      <c r="K178" s="37" t="s">
        <v>3012</v>
      </c>
      <c r="L178" s="37">
        <v>1</v>
      </c>
      <c r="M178" s="69">
        <v>103</v>
      </c>
      <c r="N178" s="184">
        <v>2.63</v>
      </c>
      <c r="O178" s="46" t="s">
        <v>1627</v>
      </c>
      <c r="P178" s="184" t="s">
        <v>1632</v>
      </c>
      <c r="Q178" s="38">
        <f t="shared" si="83"/>
        <v>-103</v>
      </c>
      <c r="R178" s="38">
        <f t="shared" si="84"/>
        <v>206</v>
      </c>
      <c r="S178" s="38">
        <f t="shared" si="85"/>
        <v>-206</v>
      </c>
      <c r="T178" s="38">
        <f t="shared" si="86"/>
        <v>-3217.9999999999995</v>
      </c>
      <c r="U178" s="47">
        <f t="shared" si="87"/>
        <v>-0.90750141003948137</v>
      </c>
      <c r="V178" s="52">
        <f t="shared" si="88"/>
        <v>3442.9999999999986</v>
      </c>
      <c r="W178" s="194"/>
    </row>
    <row r="179" spans="1:23">
      <c r="A179" s="51">
        <v>177</v>
      </c>
      <c r="B179" s="45">
        <v>43523</v>
      </c>
      <c r="C179" s="52">
        <f t="shared" si="80"/>
        <v>3442.9999999999986</v>
      </c>
      <c r="F179" s="52">
        <f t="shared" si="81"/>
        <v>3442.9999999999986</v>
      </c>
      <c r="G179" s="185">
        <v>0.52894211576846306</v>
      </c>
      <c r="H179" s="72">
        <f t="shared" si="82"/>
        <v>1724.1097804391211</v>
      </c>
      <c r="I179" s="37" t="s">
        <v>1625</v>
      </c>
      <c r="J179" s="37" t="s">
        <v>1690</v>
      </c>
      <c r="K179" s="37" t="s">
        <v>3013</v>
      </c>
      <c r="L179" s="37">
        <v>1</v>
      </c>
      <c r="M179" s="69">
        <v>103</v>
      </c>
      <c r="N179" s="184">
        <v>2.62</v>
      </c>
      <c r="O179" s="46" t="s">
        <v>1627</v>
      </c>
      <c r="P179" s="184" t="s">
        <v>1628</v>
      </c>
      <c r="Q179" s="38">
        <f t="shared" si="83"/>
        <v>166.86</v>
      </c>
      <c r="R179" s="38">
        <f t="shared" si="84"/>
        <v>309</v>
      </c>
      <c r="S179" s="38">
        <f t="shared" si="85"/>
        <v>-39.139999999999986</v>
      </c>
      <c r="T179" s="38">
        <f t="shared" si="86"/>
        <v>-3051.1399999999994</v>
      </c>
      <c r="U179" s="47">
        <f t="shared" si="87"/>
        <v>-0.88618646529189682</v>
      </c>
      <c r="V179" s="52">
        <f t="shared" si="88"/>
        <v>3609.8599999999988</v>
      </c>
      <c r="W179" s="194"/>
    </row>
    <row r="180" spans="1:23">
      <c r="A180" s="51">
        <v>178</v>
      </c>
      <c r="B180" s="45">
        <v>43523</v>
      </c>
      <c r="C180" s="52">
        <f t="shared" si="80"/>
        <v>3609.8599999999988</v>
      </c>
      <c r="F180" s="52">
        <f t="shared" si="81"/>
        <v>3609.8599999999988</v>
      </c>
      <c r="G180" s="185">
        <v>0.52894211576846306</v>
      </c>
      <c r="H180" s="72">
        <f t="shared" si="82"/>
        <v>1621.1097804391211</v>
      </c>
      <c r="I180" s="37" t="s">
        <v>1625</v>
      </c>
      <c r="J180" s="37" t="s">
        <v>2136</v>
      </c>
      <c r="K180" s="37" t="s">
        <v>3014</v>
      </c>
      <c r="L180" s="37">
        <v>1</v>
      </c>
      <c r="M180" s="69">
        <v>103</v>
      </c>
      <c r="N180" s="184">
        <v>2.2200000000000002</v>
      </c>
      <c r="O180" s="46" t="s">
        <v>1627</v>
      </c>
      <c r="P180" s="184" t="s">
        <v>1632</v>
      </c>
      <c r="Q180" s="38">
        <f t="shared" si="83"/>
        <v>-103</v>
      </c>
      <c r="R180" s="38">
        <f t="shared" si="84"/>
        <v>412</v>
      </c>
      <c r="S180" s="38">
        <f t="shared" si="85"/>
        <v>-142.13999999999999</v>
      </c>
      <c r="T180" s="38">
        <f t="shared" si="86"/>
        <v>-3154.1399999999994</v>
      </c>
      <c r="U180" s="47">
        <f t="shared" si="87"/>
        <v>-0.87375687699800009</v>
      </c>
      <c r="V180" s="52">
        <f t="shared" si="88"/>
        <v>3506.8599999999988</v>
      </c>
      <c r="W180" s="194"/>
    </row>
    <row r="181" spans="1:23">
      <c r="A181" s="51">
        <v>179</v>
      </c>
      <c r="B181" s="45">
        <v>43523</v>
      </c>
      <c r="C181" s="52">
        <f t="shared" si="80"/>
        <v>3506.8599999999988</v>
      </c>
      <c r="F181" s="52">
        <f t="shared" si="81"/>
        <v>3506.8599999999988</v>
      </c>
      <c r="G181" s="185">
        <v>0.52894211576846306</v>
      </c>
      <c r="H181" s="72">
        <f t="shared" si="82"/>
        <v>1518.1097804391211</v>
      </c>
      <c r="I181" s="37" t="s">
        <v>1625</v>
      </c>
      <c r="J181" s="37" t="s">
        <v>1267</v>
      </c>
      <c r="K181" s="37" t="s">
        <v>3015</v>
      </c>
      <c r="L181" s="37">
        <v>1</v>
      </c>
      <c r="M181" s="69">
        <v>103</v>
      </c>
      <c r="N181" s="184">
        <v>1.9</v>
      </c>
      <c r="O181" s="46" t="s">
        <v>1627</v>
      </c>
      <c r="P181" s="184" t="s">
        <v>1628</v>
      </c>
      <c r="Q181" s="38">
        <f t="shared" si="83"/>
        <v>92.699999999999989</v>
      </c>
      <c r="R181" s="38">
        <f t="shared" si="84"/>
        <v>515</v>
      </c>
      <c r="S181" s="38">
        <f t="shared" si="85"/>
        <v>-49.44</v>
      </c>
      <c r="T181" s="38">
        <f t="shared" si="86"/>
        <v>-3061.4399999999996</v>
      </c>
      <c r="U181" s="47">
        <f t="shared" si="87"/>
        <v>-0.87298609012050687</v>
      </c>
      <c r="V181" s="52">
        <f t="shared" si="88"/>
        <v>3599.5599999999986</v>
      </c>
      <c r="W181" s="194"/>
    </row>
    <row r="182" spans="1:23">
      <c r="A182" s="51">
        <v>180</v>
      </c>
      <c r="B182" s="45">
        <v>43523</v>
      </c>
      <c r="C182" s="52">
        <f t="shared" si="80"/>
        <v>3599.5599999999986</v>
      </c>
      <c r="F182" s="52">
        <f t="shared" si="81"/>
        <v>3599.5599999999986</v>
      </c>
      <c r="G182" s="185">
        <v>0.52894211576846306</v>
      </c>
      <c r="H182" s="72">
        <f t="shared" si="82"/>
        <v>1415.1097804391211</v>
      </c>
      <c r="I182" s="37" t="s">
        <v>1625</v>
      </c>
      <c r="J182" s="37" t="s">
        <v>1847</v>
      </c>
      <c r="K182" s="37" t="s">
        <v>3016</v>
      </c>
      <c r="L182" s="37">
        <v>1</v>
      </c>
      <c r="M182" s="69">
        <v>103</v>
      </c>
      <c r="N182" s="184">
        <v>1.84</v>
      </c>
      <c r="O182" s="46" t="s">
        <v>1627</v>
      </c>
      <c r="P182" s="184" t="s">
        <v>1628</v>
      </c>
      <c r="Q182" s="38">
        <f t="shared" si="83"/>
        <v>86.52000000000001</v>
      </c>
      <c r="R182" s="38">
        <f t="shared" si="84"/>
        <v>618</v>
      </c>
      <c r="S182" s="76">
        <f t="shared" si="85"/>
        <v>37.080000000000013</v>
      </c>
      <c r="T182" s="38">
        <f t="shared" si="86"/>
        <v>-2974.9199999999996</v>
      </c>
      <c r="U182" s="47">
        <f t="shared" si="87"/>
        <v>-0.82646767938303589</v>
      </c>
      <c r="V182" s="52">
        <f t="shared" si="88"/>
        <v>3686.0799999999986</v>
      </c>
      <c r="W182" s="194"/>
    </row>
    <row r="183" spans="1:23">
      <c r="A183" s="51">
        <v>181</v>
      </c>
      <c r="B183" s="75">
        <v>43524</v>
      </c>
      <c r="C183" s="77">
        <f t="shared" si="80"/>
        <v>3686.0799999999986</v>
      </c>
      <c r="D183" s="76"/>
      <c r="E183" s="76">
        <v>37</v>
      </c>
      <c r="F183" s="77">
        <f t="shared" si="81"/>
        <v>3649.0799999999986</v>
      </c>
      <c r="G183" s="185">
        <v>0.53510436432637576</v>
      </c>
      <c r="H183" s="72">
        <f t="shared" si="82"/>
        <v>1952.6386337760905</v>
      </c>
      <c r="I183" s="37" t="s">
        <v>1625</v>
      </c>
      <c r="J183" s="37" t="s">
        <v>2136</v>
      </c>
      <c r="K183" s="37" t="s">
        <v>3022</v>
      </c>
      <c r="L183" s="37">
        <v>1</v>
      </c>
      <c r="M183" s="69">
        <v>104</v>
      </c>
      <c r="N183" s="184">
        <v>2.63</v>
      </c>
      <c r="O183" s="46" t="s">
        <v>1627</v>
      </c>
      <c r="P183" s="184" t="s">
        <v>1632</v>
      </c>
      <c r="Q183" s="38">
        <f t="shared" si="83"/>
        <v>-104</v>
      </c>
      <c r="R183" s="38">
        <f t="shared" si="84"/>
        <v>104</v>
      </c>
      <c r="S183" s="38">
        <f t="shared" si="85"/>
        <v>-104</v>
      </c>
      <c r="T183" s="38">
        <f t="shared" si="86"/>
        <v>-3078.9199999999996</v>
      </c>
      <c r="U183" s="47">
        <f t="shared" si="87"/>
        <v>-0.84375239786466749</v>
      </c>
      <c r="V183" s="52">
        <f t="shared" si="88"/>
        <v>3545.0799999999986</v>
      </c>
      <c r="W183" s="194"/>
    </row>
    <row r="184" spans="1:23">
      <c r="A184" s="51">
        <v>182</v>
      </c>
      <c r="B184" s="45">
        <v>43524</v>
      </c>
      <c r="C184" s="52">
        <f t="shared" si="80"/>
        <v>3545.0799999999986</v>
      </c>
      <c r="F184" s="52">
        <f t="shared" si="81"/>
        <v>3545.0799999999986</v>
      </c>
      <c r="G184" s="185">
        <v>0.53510436432637576</v>
      </c>
      <c r="H184" s="72">
        <f t="shared" si="82"/>
        <v>1848.6386337760905</v>
      </c>
      <c r="I184" s="37" t="s">
        <v>1625</v>
      </c>
      <c r="J184" s="37" t="s">
        <v>1692</v>
      </c>
      <c r="K184" s="37" t="s">
        <v>3023</v>
      </c>
      <c r="L184" s="37">
        <v>1</v>
      </c>
      <c r="M184" s="69">
        <v>104</v>
      </c>
      <c r="N184" s="184">
        <v>2.23</v>
      </c>
      <c r="O184" s="46" t="s">
        <v>1627</v>
      </c>
      <c r="P184" s="184" t="s">
        <v>1632</v>
      </c>
      <c r="Q184" s="38">
        <f t="shared" si="83"/>
        <v>-104</v>
      </c>
      <c r="R184" s="38">
        <f t="shared" si="84"/>
        <v>208</v>
      </c>
      <c r="S184" s="76">
        <f t="shared" si="85"/>
        <v>-208</v>
      </c>
      <c r="T184" s="38">
        <f t="shared" si="86"/>
        <v>-3182.9199999999996</v>
      </c>
      <c r="U184" s="47">
        <f t="shared" si="87"/>
        <v>-0.89784151556523428</v>
      </c>
      <c r="V184" s="52">
        <f t="shared" si="88"/>
        <v>3441.0799999999986</v>
      </c>
    </row>
    <row r="185" spans="1:23">
      <c r="A185" s="51">
        <v>183</v>
      </c>
      <c r="B185" s="75">
        <v>43525</v>
      </c>
      <c r="C185" s="77">
        <f t="shared" si="80"/>
        <v>3441.0799999999986</v>
      </c>
      <c r="D185" s="76"/>
      <c r="E185" s="76"/>
      <c r="F185" s="77">
        <f t="shared" si="81"/>
        <v>3441.0799999999986</v>
      </c>
      <c r="G185" s="185">
        <v>0.53658536585365857</v>
      </c>
      <c r="H185" s="72">
        <f t="shared" si="82"/>
        <v>1846.4331707317067</v>
      </c>
      <c r="I185" s="37" t="s">
        <v>1625</v>
      </c>
      <c r="J185" s="37" t="s">
        <v>1847</v>
      </c>
      <c r="K185" s="37" t="s">
        <v>3035</v>
      </c>
      <c r="L185" s="37">
        <v>1</v>
      </c>
      <c r="M185" s="69">
        <v>99</v>
      </c>
      <c r="N185" s="184">
        <v>2.4</v>
      </c>
      <c r="O185" s="46" t="s">
        <v>1627</v>
      </c>
      <c r="P185" s="184" t="s">
        <v>1628</v>
      </c>
      <c r="Q185" s="38">
        <f t="shared" si="83"/>
        <v>138.6</v>
      </c>
      <c r="R185" s="38">
        <f t="shared" si="84"/>
        <v>99</v>
      </c>
      <c r="S185" s="38">
        <f t="shared" si="85"/>
        <v>138.6</v>
      </c>
      <c r="T185" s="38">
        <f t="shared" si="86"/>
        <v>138.6</v>
      </c>
      <c r="U185" s="47">
        <f t="shared" si="87"/>
        <v>4.027805223941322E-2</v>
      </c>
      <c r="V185" s="52">
        <f t="shared" si="88"/>
        <v>3579.6799999999985</v>
      </c>
      <c r="W185" s="194"/>
    </row>
    <row r="186" spans="1:23">
      <c r="A186" s="51">
        <v>184</v>
      </c>
      <c r="B186" s="45">
        <v>43525</v>
      </c>
      <c r="C186" s="52">
        <f t="shared" si="80"/>
        <v>3579.6799999999985</v>
      </c>
      <c r="F186" s="52">
        <f t="shared" si="81"/>
        <v>3579.6799999999985</v>
      </c>
      <c r="G186" s="185">
        <v>0.53658536585365857</v>
      </c>
      <c r="H186" s="72">
        <f t="shared" si="82"/>
        <v>1747.4331707317067</v>
      </c>
      <c r="I186" s="37" t="s">
        <v>1625</v>
      </c>
      <c r="J186" s="37" t="s">
        <v>1848</v>
      </c>
      <c r="K186" s="37" t="s">
        <v>3036</v>
      </c>
      <c r="L186" s="37">
        <v>1</v>
      </c>
      <c r="M186" s="69">
        <v>99</v>
      </c>
      <c r="N186" s="184">
        <v>2.35</v>
      </c>
      <c r="O186" s="46" t="s">
        <v>1627</v>
      </c>
      <c r="P186" s="184" t="s">
        <v>1632</v>
      </c>
      <c r="Q186" s="38">
        <f t="shared" si="83"/>
        <v>-99</v>
      </c>
      <c r="R186" s="38">
        <f t="shared" si="84"/>
        <v>198</v>
      </c>
      <c r="S186" s="38">
        <f t="shared" si="85"/>
        <v>39.599999999999994</v>
      </c>
      <c r="T186" s="38">
        <f t="shared" si="86"/>
        <v>39.599999999999994</v>
      </c>
      <c r="U186" s="47">
        <f t="shared" si="87"/>
        <v>1.1062441335538376E-2</v>
      </c>
      <c r="V186" s="52">
        <f t="shared" si="88"/>
        <v>3480.6799999999985</v>
      </c>
    </row>
    <row r="187" spans="1:23">
      <c r="A187" s="51">
        <v>185</v>
      </c>
      <c r="B187" s="45">
        <v>43525</v>
      </c>
      <c r="C187" s="52">
        <f t="shared" si="80"/>
        <v>3480.6799999999985</v>
      </c>
      <c r="F187" s="52">
        <f t="shared" si="81"/>
        <v>3480.6799999999985</v>
      </c>
      <c r="G187" s="185">
        <v>0.53658536585365857</v>
      </c>
      <c r="H187" s="72">
        <f t="shared" si="82"/>
        <v>1648.4331707317067</v>
      </c>
      <c r="I187" s="37" t="s">
        <v>1625</v>
      </c>
      <c r="J187" s="37" t="s">
        <v>1265</v>
      </c>
      <c r="K187" s="37" t="s">
        <v>3037</v>
      </c>
      <c r="L187" s="37">
        <v>1</v>
      </c>
      <c r="M187" s="69">
        <v>99</v>
      </c>
      <c r="N187" s="184">
        <v>2.2000000000000002</v>
      </c>
      <c r="O187" s="46" t="s">
        <v>1627</v>
      </c>
      <c r="P187" s="184" t="s">
        <v>1632</v>
      </c>
      <c r="Q187" s="38">
        <f t="shared" si="83"/>
        <v>-99</v>
      </c>
      <c r="R187" s="38">
        <f t="shared" si="84"/>
        <v>297</v>
      </c>
      <c r="S187" s="38">
        <f t="shared" si="85"/>
        <v>-59.400000000000006</v>
      </c>
      <c r="T187" s="38">
        <f t="shared" si="86"/>
        <v>-59.400000000000006</v>
      </c>
      <c r="U187" s="47">
        <f t="shared" si="87"/>
        <v>-1.7065630853741232E-2</v>
      </c>
      <c r="V187" s="52">
        <f t="shared" si="88"/>
        <v>3381.6799999999985</v>
      </c>
    </row>
    <row r="188" spans="1:23">
      <c r="A188" s="51">
        <v>186</v>
      </c>
      <c r="B188" s="45">
        <v>43525</v>
      </c>
      <c r="C188" s="52">
        <f t="shared" si="80"/>
        <v>3381.6799999999985</v>
      </c>
      <c r="F188" s="52">
        <f t="shared" si="81"/>
        <v>3381.6799999999985</v>
      </c>
      <c r="G188" s="185">
        <v>0.53658536585365857</v>
      </c>
      <c r="H188" s="72">
        <f t="shared" si="82"/>
        <v>1549.4331707317067</v>
      </c>
      <c r="I188" s="37" t="s">
        <v>1625</v>
      </c>
      <c r="J188" s="37" t="s">
        <v>1736</v>
      </c>
      <c r="K188" s="37" t="s">
        <v>3038</v>
      </c>
      <c r="L188" s="37">
        <v>1</v>
      </c>
      <c r="M188" s="69">
        <v>99</v>
      </c>
      <c r="N188" s="184">
        <v>2.13</v>
      </c>
      <c r="O188" s="46" t="s">
        <v>1627</v>
      </c>
      <c r="P188" s="184" t="s">
        <v>1632</v>
      </c>
      <c r="Q188" s="38">
        <f t="shared" si="83"/>
        <v>-99</v>
      </c>
      <c r="R188" s="38">
        <f t="shared" si="84"/>
        <v>396</v>
      </c>
      <c r="S188" s="38">
        <f t="shared" si="85"/>
        <v>-158.4</v>
      </c>
      <c r="T188" s="38">
        <f t="shared" si="86"/>
        <v>-158.4</v>
      </c>
      <c r="U188" s="47">
        <f t="shared" si="87"/>
        <v>-4.6840623595372735E-2</v>
      </c>
      <c r="V188" s="52">
        <f t="shared" si="88"/>
        <v>3282.6799999999985</v>
      </c>
    </row>
    <row r="189" spans="1:23">
      <c r="A189" s="51">
        <v>187</v>
      </c>
      <c r="B189" s="45">
        <v>43525</v>
      </c>
      <c r="C189" s="52">
        <f t="shared" si="80"/>
        <v>3282.6799999999985</v>
      </c>
      <c r="F189" s="52">
        <f t="shared" si="81"/>
        <v>3282.6799999999985</v>
      </c>
      <c r="G189" s="185">
        <v>0.53658536585365857</v>
      </c>
      <c r="H189" s="72">
        <f t="shared" si="82"/>
        <v>1450.4331707317067</v>
      </c>
      <c r="I189" s="37" t="s">
        <v>1625</v>
      </c>
      <c r="J189" s="37" t="s">
        <v>1242</v>
      </c>
      <c r="K189" s="37" t="s">
        <v>3039</v>
      </c>
      <c r="L189" s="37">
        <v>1</v>
      </c>
      <c r="M189" s="69">
        <v>99</v>
      </c>
      <c r="N189" s="184">
        <v>2.1</v>
      </c>
      <c r="O189" s="46" t="s">
        <v>1627</v>
      </c>
      <c r="P189" s="184" t="s">
        <v>1628</v>
      </c>
      <c r="Q189" s="38">
        <f t="shared" si="83"/>
        <v>108.9</v>
      </c>
      <c r="R189" s="38">
        <f t="shared" si="84"/>
        <v>495</v>
      </c>
      <c r="S189" s="76">
        <f t="shared" si="85"/>
        <v>-49.5</v>
      </c>
      <c r="T189" s="38">
        <f t="shared" si="86"/>
        <v>-49.5</v>
      </c>
      <c r="U189" s="47">
        <f t="shared" si="87"/>
        <v>-1.5079142651735784E-2</v>
      </c>
      <c r="V189" s="52">
        <f t="shared" si="88"/>
        <v>3391.5799999999986</v>
      </c>
    </row>
    <row r="190" spans="1:23">
      <c r="A190" s="51">
        <v>188</v>
      </c>
      <c r="B190" s="75">
        <v>43526</v>
      </c>
      <c r="C190" s="77">
        <f t="shared" si="80"/>
        <v>3391.5799999999986</v>
      </c>
      <c r="D190" s="76"/>
      <c r="E190" s="76"/>
      <c r="F190" s="77">
        <f t="shared" si="81"/>
        <v>3391.5799999999986</v>
      </c>
      <c r="G190" s="185">
        <v>0.53321033210332103</v>
      </c>
      <c r="H190" s="72">
        <f t="shared" si="82"/>
        <v>1808.4254981549807</v>
      </c>
      <c r="I190" s="37" t="s">
        <v>1625</v>
      </c>
      <c r="J190" s="37" t="s">
        <v>1899</v>
      </c>
      <c r="K190" s="37" t="s">
        <v>3088</v>
      </c>
      <c r="L190" s="37">
        <v>1</v>
      </c>
      <c r="M190" s="69">
        <v>96</v>
      </c>
      <c r="N190" s="184">
        <v>2.98</v>
      </c>
      <c r="O190" s="46" t="s">
        <v>1627</v>
      </c>
      <c r="P190" s="184" t="s">
        <v>1632</v>
      </c>
      <c r="Q190" s="38">
        <f t="shared" si="83"/>
        <v>-96</v>
      </c>
      <c r="R190" s="38">
        <f t="shared" si="84"/>
        <v>96</v>
      </c>
      <c r="S190" s="38">
        <f t="shared" si="85"/>
        <v>-96</v>
      </c>
      <c r="T190" s="38">
        <f t="shared" si="86"/>
        <v>-145.5</v>
      </c>
      <c r="U190" s="47">
        <f t="shared" si="87"/>
        <v>-4.2900359124655785E-2</v>
      </c>
      <c r="V190" s="52">
        <f t="shared" si="88"/>
        <v>3295.5799999999986</v>
      </c>
      <c r="W190" s="194"/>
    </row>
    <row r="191" spans="1:23">
      <c r="A191" s="51">
        <v>189</v>
      </c>
      <c r="B191" s="45">
        <v>43526</v>
      </c>
      <c r="C191" s="52">
        <f t="shared" si="80"/>
        <v>3295.5799999999986</v>
      </c>
      <c r="F191" s="52">
        <f t="shared" si="81"/>
        <v>3295.5799999999986</v>
      </c>
      <c r="G191" s="185">
        <v>0.53321033210332103</v>
      </c>
      <c r="H191" s="72">
        <f t="shared" si="82"/>
        <v>1712.4254981549807</v>
      </c>
      <c r="I191" s="37" t="s">
        <v>1625</v>
      </c>
      <c r="J191" s="37" t="s">
        <v>2219</v>
      </c>
      <c r="K191" s="37" t="s">
        <v>3089</v>
      </c>
      <c r="L191" s="37">
        <v>1</v>
      </c>
      <c r="M191" s="69">
        <v>96</v>
      </c>
      <c r="N191" s="184">
        <v>2.8</v>
      </c>
      <c r="O191" s="46" t="s">
        <v>1627</v>
      </c>
      <c r="P191" s="184" t="s">
        <v>1632</v>
      </c>
      <c r="Q191" s="38">
        <f t="shared" si="83"/>
        <v>-96</v>
      </c>
      <c r="R191" s="38">
        <f t="shared" si="84"/>
        <v>192</v>
      </c>
      <c r="S191" s="38">
        <f t="shared" si="85"/>
        <v>-192</v>
      </c>
      <c r="T191" s="38">
        <f t="shared" si="86"/>
        <v>-241.5</v>
      </c>
      <c r="U191" s="47">
        <f t="shared" si="87"/>
        <v>-7.3279968928079461E-2</v>
      </c>
      <c r="V191" s="52">
        <f t="shared" si="88"/>
        <v>3199.5799999999986</v>
      </c>
      <c r="W191" s="194"/>
    </row>
    <row r="192" spans="1:23">
      <c r="A192" s="51">
        <v>190</v>
      </c>
      <c r="B192" s="45">
        <v>43526</v>
      </c>
      <c r="C192" s="52">
        <f t="shared" si="80"/>
        <v>3199.5799999999986</v>
      </c>
      <c r="F192" s="52">
        <f t="shared" si="81"/>
        <v>3199.5799999999986</v>
      </c>
      <c r="G192" s="185">
        <v>0.53321033210332103</v>
      </c>
      <c r="H192" s="72">
        <f t="shared" si="82"/>
        <v>1616.4254981549807</v>
      </c>
      <c r="I192" s="37" t="s">
        <v>1625</v>
      </c>
      <c r="J192" s="37" t="s">
        <v>1264</v>
      </c>
      <c r="K192" s="37" t="s">
        <v>3090</v>
      </c>
      <c r="L192" s="37">
        <v>1</v>
      </c>
      <c r="M192" s="69">
        <v>96</v>
      </c>
      <c r="N192" s="184">
        <v>2.58</v>
      </c>
      <c r="O192" s="46" t="s">
        <v>1627</v>
      </c>
      <c r="P192" s="184" t="s">
        <v>1628</v>
      </c>
      <c r="Q192" s="38">
        <f t="shared" si="83"/>
        <v>151.68</v>
      </c>
      <c r="R192" s="38">
        <f t="shared" si="84"/>
        <v>288</v>
      </c>
      <c r="S192" s="38">
        <f t="shared" si="85"/>
        <v>-40.319999999999993</v>
      </c>
      <c r="T192" s="38">
        <f t="shared" si="86"/>
        <v>-89.82</v>
      </c>
      <c r="U192" s="47">
        <f t="shared" si="87"/>
        <v>-2.8072434507029058E-2</v>
      </c>
      <c r="V192" s="52">
        <f t="shared" si="88"/>
        <v>3351.2599999999984</v>
      </c>
      <c r="W192" s="194"/>
    </row>
    <row r="193" spans="1:23">
      <c r="A193" s="51">
        <v>191</v>
      </c>
      <c r="B193" s="45">
        <v>43526</v>
      </c>
      <c r="C193" s="52">
        <f t="shared" si="80"/>
        <v>3351.2599999999984</v>
      </c>
      <c r="F193" s="52">
        <f t="shared" si="81"/>
        <v>3351.2599999999984</v>
      </c>
      <c r="G193" s="185">
        <v>0.53321033210332103</v>
      </c>
      <c r="H193" s="72">
        <f t="shared" si="82"/>
        <v>1520.4254981549807</v>
      </c>
      <c r="I193" s="37" t="s">
        <v>1625</v>
      </c>
      <c r="J193" s="37" t="s">
        <v>1847</v>
      </c>
      <c r="K193" s="37" t="s">
        <v>3091</v>
      </c>
      <c r="L193" s="37">
        <v>1</v>
      </c>
      <c r="M193" s="69">
        <v>96</v>
      </c>
      <c r="N193" s="184">
        <v>2.54</v>
      </c>
      <c r="O193" s="46" t="s">
        <v>1627</v>
      </c>
      <c r="P193" s="184" t="s">
        <v>1632</v>
      </c>
      <c r="Q193" s="38">
        <f t="shared" si="83"/>
        <v>-96</v>
      </c>
      <c r="R193" s="38">
        <f t="shared" si="84"/>
        <v>384</v>
      </c>
      <c r="S193" s="38">
        <f t="shared" si="85"/>
        <v>-136.32</v>
      </c>
      <c r="T193" s="38">
        <f t="shared" si="86"/>
        <v>-185.82</v>
      </c>
      <c r="U193" s="47">
        <f t="shared" si="87"/>
        <v>-5.5447801722337292E-2</v>
      </c>
      <c r="V193" s="52">
        <f t="shared" si="88"/>
        <v>3255.2599999999984</v>
      </c>
      <c r="W193" s="194"/>
    </row>
    <row r="194" spans="1:23">
      <c r="A194" s="51">
        <v>192</v>
      </c>
      <c r="B194" s="45">
        <v>43526</v>
      </c>
      <c r="C194" s="52">
        <f t="shared" si="80"/>
        <v>3255.2599999999984</v>
      </c>
      <c r="F194" s="52">
        <f t="shared" si="81"/>
        <v>3255.2599999999984</v>
      </c>
      <c r="G194" s="185">
        <v>0.53321033210332103</v>
      </c>
      <c r="H194" s="72">
        <f t="shared" si="82"/>
        <v>1424.4254981549807</v>
      </c>
      <c r="I194" s="37" t="s">
        <v>1625</v>
      </c>
      <c r="J194" s="37" t="s">
        <v>1897</v>
      </c>
      <c r="K194" s="37" t="s">
        <v>3092</v>
      </c>
      <c r="L194" s="37">
        <v>1</v>
      </c>
      <c r="M194" s="69">
        <v>96</v>
      </c>
      <c r="N194" s="184">
        <v>2.44</v>
      </c>
      <c r="O194" s="46" t="s">
        <v>1627</v>
      </c>
      <c r="P194" s="184" t="s">
        <v>1628</v>
      </c>
      <c r="Q194" s="38">
        <f t="shared" si="83"/>
        <v>138.24</v>
      </c>
      <c r="R194" s="38">
        <f t="shared" si="84"/>
        <v>480</v>
      </c>
      <c r="S194" s="38">
        <f t="shared" si="85"/>
        <v>1.9200000000000159</v>
      </c>
      <c r="T194" s="38">
        <f t="shared" si="86"/>
        <v>-47.579999999999984</v>
      </c>
      <c r="U194" s="47">
        <f t="shared" si="87"/>
        <v>-1.4616344009387884E-2</v>
      </c>
      <c r="V194" s="52">
        <f t="shared" si="88"/>
        <v>3393.4999999999982</v>
      </c>
      <c r="W194" s="194"/>
    </row>
    <row r="195" spans="1:23">
      <c r="A195" s="51">
        <v>193</v>
      </c>
      <c r="B195" s="45">
        <v>43526</v>
      </c>
      <c r="C195" s="52">
        <f t="shared" si="80"/>
        <v>3393.4999999999982</v>
      </c>
      <c r="F195" s="52">
        <f t="shared" si="81"/>
        <v>3393.4999999999982</v>
      </c>
      <c r="G195" s="185">
        <v>0.53321033210332103</v>
      </c>
      <c r="H195" s="72">
        <f t="shared" si="82"/>
        <v>1328.4254981549807</v>
      </c>
      <c r="I195" s="37" t="s">
        <v>1625</v>
      </c>
      <c r="J195" s="37" t="s">
        <v>2220</v>
      </c>
      <c r="K195" s="37" t="s">
        <v>3093</v>
      </c>
      <c r="L195" s="37">
        <v>1</v>
      </c>
      <c r="M195" s="69">
        <v>96</v>
      </c>
      <c r="N195" s="184">
        <v>2.3199999999999998</v>
      </c>
      <c r="O195" s="46" t="s">
        <v>1627</v>
      </c>
      <c r="P195" s="184" t="s">
        <v>1628</v>
      </c>
      <c r="Q195" s="38">
        <f t="shared" si="83"/>
        <v>126.71999999999997</v>
      </c>
      <c r="R195" s="38">
        <f t="shared" si="84"/>
        <v>576</v>
      </c>
      <c r="S195" s="38">
        <f t="shared" si="85"/>
        <v>128.63999999999999</v>
      </c>
      <c r="T195" s="38">
        <f t="shared" si="86"/>
        <v>79.139999999999986</v>
      </c>
      <c r="U195" s="47">
        <f t="shared" si="87"/>
        <v>2.3321054958007965E-2</v>
      </c>
      <c r="V195" s="52">
        <f t="shared" si="88"/>
        <v>3520.219999999998</v>
      </c>
      <c r="W195" s="194"/>
    </row>
    <row r="196" spans="1:23">
      <c r="A196" s="51">
        <v>194</v>
      </c>
      <c r="B196" s="45">
        <v>43526</v>
      </c>
      <c r="C196" s="52">
        <f t="shared" si="80"/>
        <v>3520.219999999998</v>
      </c>
      <c r="F196" s="52">
        <f t="shared" si="81"/>
        <v>3520.219999999998</v>
      </c>
      <c r="G196" s="185">
        <v>0.53321033210332103</v>
      </c>
      <c r="H196" s="72">
        <f t="shared" si="82"/>
        <v>1232.4254981549807</v>
      </c>
      <c r="I196" s="37" t="s">
        <v>1625</v>
      </c>
      <c r="J196" s="37" t="s">
        <v>1693</v>
      </c>
      <c r="K196" s="37" t="s">
        <v>3094</v>
      </c>
      <c r="L196" s="37">
        <v>1</v>
      </c>
      <c r="M196" s="69">
        <v>96</v>
      </c>
      <c r="N196" s="184">
        <v>2.2799999999999998</v>
      </c>
      <c r="O196" s="46" t="s">
        <v>1627</v>
      </c>
      <c r="P196" s="184" t="s">
        <v>1632</v>
      </c>
      <c r="Q196" s="38">
        <f t="shared" si="83"/>
        <v>-96</v>
      </c>
      <c r="R196" s="38">
        <f t="shared" si="84"/>
        <v>672</v>
      </c>
      <c r="S196" s="38">
        <f t="shared" si="85"/>
        <v>32.639999999999986</v>
      </c>
      <c r="T196" s="38">
        <f t="shared" si="86"/>
        <v>-16.860000000000014</v>
      </c>
      <c r="U196" s="47">
        <f t="shared" si="87"/>
        <v>-4.7894733851861597E-3</v>
      </c>
      <c r="V196" s="52">
        <f t="shared" si="88"/>
        <v>3424.219999999998</v>
      </c>
      <c r="W196" s="194"/>
    </row>
    <row r="197" spans="1:23">
      <c r="A197" s="51">
        <v>195</v>
      </c>
      <c r="B197" s="45">
        <v>43526</v>
      </c>
      <c r="C197" s="52">
        <f t="shared" si="80"/>
        <v>3424.219999999998</v>
      </c>
      <c r="F197" s="52">
        <f t="shared" si="81"/>
        <v>3424.219999999998</v>
      </c>
      <c r="G197" s="185">
        <v>0.53321033210332103</v>
      </c>
      <c r="H197" s="72">
        <f t="shared" si="82"/>
        <v>1136.4254981549807</v>
      </c>
      <c r="I197" s="37" t="s">
        <v>1625</v>
      </c>
      <c r="J197" s="37" t="s">
        <v>1736</v>
      </c>
      <c r="K197" s="37" t="s">
        <v>3095</v>
      </c>
      <c r="L197" s="37">
        <v>1</v>
      </c>
      <c r="M197" s="69">
        <v>96</v>
      </c>
      <c r="N197" s="184">
        <v>2.17</v>
      </c>
      <c r="O197" s="46" t="s">
        <v>1627</v>
      </c>
      <c r="P197" s="184" t="s">
        <v>1632</v>
      </c>
      <c r="Q197" s="38">
        <f t="shared" si="83"/>
        <v>-96</v>
      </c>
      <c r="R197" s="38">
        <f t="shared" si="84"/>
        <v>768</v>
      </c>
      <c r="S197" s="38">
        <f t="shared" si="85"/>
        <v>-63.360000000000014</v>
      </c>
      <c r="T197" s="38">
        <f t="shared" si="86"/>
        <v>-112.86000000000001</v>
      </c>
      <c r="U197" s="47">
        <f t="shared" si="87"/>
        <v>-3.2959330884113777E-2</v>
      </c>
      <c r="V197" s="52">
        <f t="shared" si="88"/>
        <v>3328.219999999998</v>
      </c>
      <c r="W197" s="194"/>
    </row>
    <row r="198" spans="1:23">
      <c r="A198" s="51">
        <v>196</v>
      </c>
      <c r="B198" s="45">
        <v>43526</v>
      </c>
      <c r="C198" s="52">
        <f t="shared" si="80"/>
        <v>3328.219999999998</v>
      </c>
      <c r="F198" s="52">
        <f t="shared" si="81"/>
        <v>3328.219999999998</v>
      </c>
      <c r="G198" s="185">
        <v>0.53321033210332103</v>
      </c>
      <c r="H198" s="72">
        <f t="shared" si="82"/>
        <v>1040.4254981549807</v>
      </c>
      <c r="I198" s="37" t="s">
        <v>1625</v>
      </c>
      <c r="J198" s="37" t="s">
        <v>1264</v>
      </c>
      <c r="K198" s="37" t="s">
        <v>3096</v>
      </c>
      <c r="L198" s="37">
        <v>1</v>
      </c>
      <c r="M198" s="69">
        <v>96</v>
      </c>
      <c r="N198" s="184">
        <v>2.12</v>
      </c>
      <c r="O198" s="46" t="s">
        <v>1627</v>
      </c>
      <c r="P198" s="184" t="s">
        <v>1632</v>
      </c>
      <c r="Q198" s="38">
        <f t="shared" si="83"/>
        <v>-96</v>
      </c>
      <c r="R198" s="38">
        <f t="shared" si="84"/>
        <v>864</v>
      </c>
      <c r="S198" s="38">
        <f t="shared" si="85"/>
        <v>-159.36000000000001</v>
      </c>
      <c r="T198" s="38">
        <f t="shared" si="86"/>
        <v>-208.86</v>
      </c>
      <c r="U198" s="47">
        <f t="shared" si="87"/>
        <v>-6.275426504257535E-2</v>
      </c>
      <c r="V198" s="52">
        <f t="shared" si="88"/>
        <v>3232.219999999998</v>
      </c>
      <c r="W198" s="194"/>
    </row>
    <row r="199" spans="1:23">
      <c r="A199" s="51">
        <v>197</v>
      </c>
      <c r="B199" s="45">
        <v>43526</v>
      </c>
      <c r="C199" s="52">
        <f t="shared" si="80"/>
        <v>3232.219999999998</v>
      </c>
      <c r="F199" s="52">
        <f t="shared" si="81"/>
        <v>3232.219999999998</v>
      </c>
      <c r="G199" s="185">
        <v>0.53321033210332103</v>
      </c>
      <c r="H199" s="72">
        <f t="shared" si="82"/>
        <v>944.42549815498069</v>
      </c>
      <c r="I199" s="37" t="s">
        <v>1625</v>
      </c>
      <c r="J199" s="37" t="s">
        <v>1266</v>
      </c>
      <c r="K199" s="37" t="s">
        <v>3097</v>
      </c>
      <c r="L199" s="37">
        <v>1</v>
      </c>
      <c r="M199" s="69">
        <v>96</v>
      </c>
      <c r="N199" s="184">
        <v>2.1</v>
      </c>
      <c r="O199" s="46" t="s">
        <v>1627</v>
      </c>
      <c r="P199" s="184" t="s">
        <v>1628</v>
      </c>
      <c r="Q199" s="38">
        <f t="shared" si="83"/>
        <v>105.60000000000002</v>
      </c>
      <c r="R199" s="38">
        <f t="shared" si="84"/>
        <v>960</v>
      </c>
      <c r="S199" s="38">
        <f t="shared" si="85"/>
        <v>-53.759999999999991</v>
      </c>
      <c r="T199" s="38">
        <f t="shared" si="86"/>
        <v>-103.25999999999999</v>
      </c>
      <c r="U199" s="47">
        <f t="shared" si="87"/>
        <v>-3.1947082809957263E-2</v>
      </c>
      <c r="V199" s="52">
        <f t="shared" si="88"/>
        <v>3337.8199999999979</v>
      </c>
      <c r="W199" s="194"/>
    </row>
    <row r="200" spans="1:23">
      <c r="A200" s="51">
        <v>198</v>
      </c>
      <c r="B200" s="45">
        <v>43526</v>
      </c>
      <c r="C200" s="52">
        <f t="shared" si="80"/>
        <v>3337.8199999999979</v>
      </c>
      <c r="F200" s="52">
        <f t="shared" si="81"/>
        <v>3337.8199999999979</v>
      </c>
      <c r="G200" s="185">
        <v>0.53321033210332103</v>
      </c>
      <c r="H200" s="72">
        <f t="shared" si="82"/>
        <v>848.42549815498069</v>
      </c>
      <c r="I200" s="37" t="s">
        <v>1625</v>
      </c>
      <c r="J200" s="37" t="s">
        <v>1267</v>
      </c>
      <c r="K200" s="37" t="s">
        <v>3098</v>
      </c>
      <c r="L200" s="37">
        <v>1</v>
      </c>
      <c r="M200" s="69">
        <v>96</v>
      </c>
      <c r="N200" s="184">
        <v>2.0699999999999998</v>
      </c>
      <c r="O200" s="46" t="s">
        <v>1627</v>
      </c>
      <c r="P200" s="184" t="s">
        <v>1632</v>
      </c>
      <c r="Q200" s="38">
        <f t="shared" si="83"/>
        <v>-96</v>
      </c>
      <c r="R200" s="38">
        <f t="shared" si="84"/>
        <v>1056</v>
      </c>
      <c r="S200" s="38">
        <f t="shared" si="85"/>
        <v>-149.76</v>
      </c>
      <c r="T200" s="38">
        <f t="shared" si="86"/>
        <v>-199.26</v>
      </c>
      <c r="U200" s="47">
        <f t="shared" si="87"/>
        <v>-5.9697646967182209E-2</v>
      </c>
      <c r="V200" s="52">
        <f t="shared" si="88"/>
        <v>3241.8199999999979</v>
      </c>
      <c r="W200" s="194"/>
    </row>
    <row r="201" spans="1:23">
      <c r="A201" s="51">
        <v>199</v>
      </c>
      <c r="B201" s="45">
        <v>43526</v>
      </c>
      <c r="C201" s="52">
        <f t="shared" ref="C201:C250" si="89">+V200</f>
        <v>3241.8199999999979</v>
      </c>
      <c r="F201" s="52">
        <f t="shared" ref="F201:F250" si="90">+C201+D201-E201</f>
        <v>3241.8199999999979</v>
      </c>
      <c r="G201" s="185">
        <v>0.53321033210332103</v>
      </c>
      <c r="H201" s="72">
        <f t="shared" ref="H201:H250" si="91">IF(B201=B200,H200-M200,F201*G201)</f>
        <v>752.42549815498069</v>
      </c>
      <c r="I201" s="37" t="s">
        <v>1625</v>
      </c>
      <c r="J201" s="37" t="s">
        <v>1693</v>
      </c>
      <c r="K201" s="37" t="s">
        <v>3099</v>
      </c>
      <c r="L201" s="37">
        <v>1</v>
      </c>
      <c r="M201" s="69">
        <v>96</v>
      </c>
      <c r="N201" s="184">
        <v>2.02</v>
      </c>
      <c r="O201" s="46" t="s">
        <v>1627</v>
      </c>
      <c r="P201" s="184" t="s">
        <v>1632</v>
      </c>
      <c r="Q201" s="38">
        <f t="shared" ref="Q201:Q250" si="92">IF(P201="Win",(M201*N201)-M201,IF(P201="Refund",0,IF(P201="Loss",-M201)))</f>
        <v>-96</v>
      </c>
      <c r="R201" s="38">
        <f t="shared" ref="R201:R250" si="93">IF(B201=B200,M201+R200,M201)</f>
        <v>1152</v>
      </c>
      <c r="S201" s="38">
        <f t="shared" ref="S201:S250" si="94">IF(B201=B200,+Q201+S200,Q201)</f>
        <v>-245.76</v>
      </c>
      <c r="T201" s="38">
        <f t="shared" ref="T201:T250" si="95">IF(MONTH(B201)=MONTH(B200),T200+Q201,Q201)</f>
        <v>-295.26</v>
      </c>
      <c r="U201" s="47">
        <f t="shared" ref="U201:U250" si="96">T201/F201</f>
        <v>-9.1078468267824925E-2</v>
      </c>
      <c r="V201" s="52">
        <f t="shared" ref="V201:V250" si="97">+F201+Q201</f>
        <v>3145.8199999999979</v>
      </c>
      <c r="W201" s="194"/>
    </row>
    <row r="202" spans="1:23">
      <c r="A202" s="51">
        <v>200</v>
      </c>
      <c r="B202" s="45">
        <v>43526</v>
      </c>
      <c r="C202" s="52">
        <f t="shared" si="89"/>
        <v>3145.8199999999979</v>
      </c>
      <c r="F202" s="52">
        <f t="shared" si="90"/>
        <v>3145.8199999999979</v>
      </c>
      <c r="G202" s="185">
        <v>0.53321033210332103</v>
      </c>
      <c r="H202" s="72">
        <f t="shared" si="91"/>
        <v>656.42549815498069</v>
      </c>
      <c r="I202" s="37" t="s">
        <v>1625</v>
      </c>
      <c r="J202" s="37" t="s">
        <v>1850</v>
      </c>
      <c r="K202" s="37" t="s">
        <v>3100</v>
      </c>
      <c r="L202" s="37">
        <v>1</v>
      </c>
      <c r="M202" s="69">
        <v>96</v>
      </c>
      <c r="N202" s="184">
        <v>2.02</v>
      </c>
      <c r="O202" s="46" t="s">
        <v>1627</v>
      </c>
      <c r="P202" s="184" t="s">
        <v>1628</v>
      </c>
      <c r="Q202" s="38">
        <f t="shared" si="92"/>
        <v>97.920000000000016</v>
      </c>
      <c r="R202" s="38">
        <f t="shared" si="93"/>
        <v>1248</v>
      </c>
      <c r="S202" s="38">
        <f t="shared" si="94"/>
        <v>-147.83999999999997</v>
      </c>
      <c r="T202" s="38">
        <f t="shared" si="95"/>
        <v>-197.33999999999997</v>
      </c>
      <c r="U202" s="47">
        <f t="shared" si="96"/>
        <v>-6.2730861905639895E-2</v>
      </c>
      <c r="V202" s="52">
        <f t="shared" si="97"/>
        <v>3243.739999999998</v>
      </c>
      <c r="W202" s="194"/>
    </row>
    <row r="203" spans="1:23">
      <c r="A203" s="51">
        <v>201</v>
      </c>
      <c r="B203" s="45">
        <v>43526</v>
      </c>
      <c r="C203" s="52">
        <f t="shared" si="89"/>
        <v>3243.739999999998</v>
      </c>
      <c r="F203" s="52">
        <f t="shared" si="90"/>
        <v>3243.739999999998</v>
      </c>
      <c r="G203" s="185">
        <v>0.53321033210332103</v>
      </c>
      <c r="H203" s="72">
        <f t="shared" si="91"/>
        <v>560.42549815498069</v>
      </c>
      <c r="I203" s="37" t="s">
        <v>1625</v>
      </c>
      <c r="J203" s="37" t="s">
        <v>1847</v>
      </c>
      <c r="K203" s="37" t="s">
        <v>3101</v>
      </c>
      <c r="L203" s="37">
        <v>1</v>
      </c>
      <c r="M203" s="69">
        <v>96</v>
      </c>
      <c r="N203" s="184">
        <v>2</v>
      </c>
      <c r="O203" s="46" t="s">
        <v>1627</v>
      </c>
      <c r="P203" s="184" t="s">
        <v>1628</v>
      </c>
      <c r="Q203" s="38">
        <f t="shared" si="92"/>
        <v>96</v>
      </c>
      <c r="R203" s="38">
        <f t="shared" si="93"/>
        <v>1344</v>
      </c>
      <c r="S203" s="76">
        <f t="shared" si="94"/>
        <v>-51.839999999999975</v>
      </c>
      <c r="T203" s="38">
        <f t="shared" si="95"/>
        <v>-101.33999999999997</v>
      </c>
      <c r="U203" s="47">
        <f t="shared" si="96"/>
        <v>-3.1241714810681508E-2</v>
      </c>
      <c r="V203" s="52">
        <f t="shared" si="97"/>
        <v>3339.739999999998</v>
      </c>
      <c r="W203" s="194"/>
    </row>
    <row r="204" spans="1:23">
      <c r="A204" s="51">
        <v>202</v>
      </c>
      <c r="B204" s="75">
        <v>43527</v>
      </c>
      <c r="C204" s="77">
        <f t="shared" si="89"/>
        <v>3339.739999999998</v>
      </c>
      <c r="D204" s="76"/>
      <c r="E204" s="76"/>
      <c r="F204" s="77">
        <f t="shared" si="90"/>
        <v>3339.739999999998</v>
      </c>
      <c r="G204" s="185">
        <f t="shared" ref="G204:G250" si="98">+$AB$3</f>
        <v>0.53911564625850339</v>
      </c>
      <c r="H204" s="72">
        <f t="shared" si="91"/>
        <v>1800.5060884353729</v>
      </c>
      <c r="I204" s="37" t="s">
        <v>1625</v>
      </c>
      <c r="O204" s="46" t="s">
        <v>1627</v>
      </c>
      <c r="P204" s="37" t="s">
        <v>1632</v>
      </c>
      <c r="Q204" s="38">
        <f t="shared" si="92"/>
        <v>0</v>
      </c>
      <c r="R204" s="38">
        <f t="shared" si="93"/>
        <v>0</v>
      </c>
      <c r="S204" s="38">
        <f t="shared" si="94"/>
        <v>0</v>
      </c>
      <c r="T204" s="38">
        <f t="shared" si="95"/>
        <v>-101.33999999999997</v>
      </c>
      <c r="U204" s="47">
        <f t="shared" si="96"/>
        <v>-3.034367944810076E-2</v>
      </c>
      <c r="V204" s="52">
        <f t="shared" si="97"/>
        <v>3339.739999999998</v>
      </c>
      <c r="W204" s="194">
        <f>+H204/10*G204</f>
        <v>97.068100345920612</v>
      </c>
    </row>
    <row r="205" spans="1:23">
      <c r="A205" s="51">
        <v>203</v>
      </c>
      <c r="B205" s="45"/>
      <c r="C205" s="52">
        <f t="shared" si="89"/>
        <v>3339.739999999998</v>
      </c>
      <c r="F205" s="52">
        <f t="shared" si="90"/>
        <v>3339.739999999998</v>
      </c>
      <c r="G205" s="185">
        <f t="shared" si="98"/>
        <v>0.53911564625850339</v>
      </c>
      <c r="H205" s="72">
        <f t="shared" si="91"/>
        <v>1800.5060884353729</v>
      </c>
      <c r="I205" s="37" t="s">
        <v>1625</v>
      </c>
      <c r="O205" s="46" t="s">
        <v>1627</v>
      </c>
      <c r="P205" s="37" t="s">
        <v>1632</v>
      </c>
      <c r="Q205" s="38">
        <f t="shared" si="92"/>
        <v>0</v>
      </c>
      <c r="R205" s="38">
        <f t="shared" si="93"/>
        <v>0</v>
      </c>
      <c r="S205" s="38">
        <f t="shared" si="94"/>
        <v>0</v>
      </c>
      <c r="T205" s="38">
        <f t="shared" si="95"/>
        <v>0</v>
      </c>
      <c r="U205" s="47">
        <f t="shared" si="96"/>
        <v>0</v>
      </c>
      <c r="V205" s="52">
        <f t="shared" si="97"/>
        <v>3339.739999999998</v>
      </c>
    </row>
    <row r="206" spans="1:23">
      <c r="A206" s="51">
        <v>204</v>
      </c>
      <c r="B206" s="45"/>
      <c r="C206" s="52">
        <f t="shared" si="89"/>
        <v>3339.739999999998</v>
      </c>
      <c r="F206" s="52">
        <f t="shared" si="90"/>
        <v>3339.739999999998</v>
      </c>
      <c r="G206" s="185">
        <f t="shared" si="98"/>
        <v>0.53911564625850339</v>
      </c>
      <c r="H206" s="72">
        <f t="shared" si="91"/>
        <v>1800.5060884353729</v>
      </c>
      <c r="I206" s="37" t="s">
        <v>1625</v>
      </c>
      <c r="O206" s="46" t="s">
        <v>1627</v>
      </c>
      <c r="P206" s="37" t="s">
        <v>1632</v>
      </c>
      <c r="Q206" s="38">
        <f t="shared" si="92"/>
        <v>0</v>
      </c>
      <c r="R206" s="38">
        <f t="shared" si="93"/>
        <v>0</v>
      </c>
      <c r="S206" s="38">
        <f t="shared" si="94"/>
        <v>0</v>
      </c>
      <c r="T206" s="38">
        <f t="shared" si="95"/>
        <v>0</v>
      </c>
      <c r="U206" s="47">
        <f t="shared" si="96"/>
        <v>0</v>
      </c>
      <c r="V206" s="52">
        <f t="shared" si="97"/>
        <v>3339.739999999998</v>
      </c>
    </row>
    <row r="207" spans="1:23">
      <c r="A207" s="51">
        <v>205</v>
      </c>
      <c r="B207" s="45"/>
      <c r="C207" s="52">
        <f t="shared" si="89"/>
        <v>3339.739999999998</v>
      </c>
      <c r="F207" s="52">
        <f t="shared" si="90"/>
        <v>3339.739999999998</v>
      </c>
      <c r="G207" s="185">
        <f t="shared" si="98"/>
        <v>0.53911564625850339</v>
      </c>
      <c r="H207" s="72">
        <f t="shared" si="91"/>
        <v>1800.5060884353729</v>
      </c>
      <c r="I207" s="37" t="s">
        <v>1625</v>
      </c>
      <c r="O207" s="46" t="s">
        <v>1627</v>
      </c>
      <c r="P207" s="37" t="s">
        <v>1632</v>
      </c>
      <c r="Q207" s="38">
        <f t="shared" si="92"/>
        <v>0</v>
      </c>
      <c r="R207" s="38">
        <f t="shared" si="93"/>
        <v>0</v>
      </c>
      <c r="S207" s="38">
        <f t="shared" si="94"/>
        <v>0</v>
      </c>
      <c r="T207" s="38">
        <f t="shared" si="95"/>
        <v>0</v>
      </c>
      <c r="U207" s="47">
        <f t="shared" si="96"/>
        <v>0</v>
      </c>
      <c r="V207" s="52">
        <f t="shared" si="97"/>
        <v>3339.739999999998</v>
      </c>
    </row>
    <row r="208" spans="1:23">
      <c r="A208" s="51">
        <v>206</v>
      </c>
      <c r="B208" s="45"/>
      <c r="C208" s="52">
        <f t="shared" si="89"/>
        <v>3339.739999999998</v>
      </c>
      <c r="F208" s="52">
        <f t="shared" si="90"/>
        <v>3339.739999999998</v>
      </c>
      <c r="G208" s="185">
        <f t="shared" si="98"/>
        <v>0.53911564625850339</v>
      </c>
      <c r="H208" s="72">
        <f t="shared" si="91"/>
        <v>1800.5060884353729</v>
      </c>
      <c r="I208" s="37" t="s">
        <v>1625</v>
      </c>
      <c r="O208" s="46" t="s">
        <v>1627</v>
      </c>
      <c r="P208" s="37" t="s">
        <v>1632</v>
      </c>
      <c r="Q208" s="38">
        <f t="shared" si="92"/>
        <v>0</v>
      </c>
      <c r="R208" s="38">
        <f t="shared" si="93"/>
        <v>0</v>
      </c>
      <c r="S208" s="38">
        <f t="shared" si="94"/>
        <v>0</v>
      </c>
      <c r="T208" s="38">
        <f t="shared" si="95"/>
        <v>0</v>
      </c>
      <c r="U208" s="47">
        <f t="shared" si="96"/>
        <v>0</v>
      </c>
      <c r="V208" s="52">
        <f t="shared" si="97"/>
        <v>3339.739999999998</v>
      </c>
    </row>
    <row r="209" spans="1:22">
      <c r="A209" s="51">
        <v>207</v>
      </c>
      <c r="B209" s="45"/>
      <c r="C209" s="52">
        <f t="shared" si="89"/>
        <v>3339.739999999998</v>
      </c>
      <c r="F209" s="52">
        <f t="shared" si="90"/>
        <v>3339.739999999998</v>
      </c>
      <c r="G209" s="185">
        <f t="shared" si="98"/>
        <v>0.53911564625850339</v>
      </c>
      <c r="H209" s="72">
        <f t="shared" si="91"/>
        <v>1800.5060884353729</v>
      </c>
      <c r="I209" s="37" t="s">
        <v>1625</v>
      </c>
      <c r="O209" s="46" t="s">
        <v>1627</v>
      </c>
      <c r="P209" s="37" t="s">
        <v>1632</v>
      </c>
      <c r="Q209" s="38">
        <f t="shared" si="92"/>
        <v>0</v>
      </c>
      <c r="R209" s="38">
        <f t="shared" si="93"/>
        <v>0</v>
      </c>
      <c r="S209" s="38">
        <f t="shared" si="94"/>
        <v>0</v>
      </c>
      <c r="T209" s="38">
        <f t="shared" si="95"/>
        <v>0</v>
      </c>
      <c r="U209" s="47">
        <f t="shared" si="96"/>
        <v>0</v>
      </c>
      <c r="V209" s="52">
        <f t="shared" si="97"/>
        <v>3339.739999999998</v>
      </c>
    </row>
    <row r="210" spans="1:22">
      <c r="A210" s="51">
        <v>208</v>
      </c>
      <c r="B210" s="45"/>
      <c r="C210" s="52">
        <f t="shared" si="89"/>
        <v>3339.739999999998</v>
      </c>
      <c r="F210" s="52">
        <f t="shared" si="90"/>
        <v>3339.739999999998</v>
      </c>
      <c r="G210" s="185">
        <f t="shared" si="98"/>
        <v>0.53911564625850339</v>
      </c>
      <c r="H210" s="72">
        <f t="shared" si="91"/>
        <v>1800.5060884353729</v>
      </c>
      <c r="I210" s="37" t="s">
        <v>1625</v>
      </c>
      <c r="O210" s="46" t="s">
        <v>1627</v>
      </c>
      <c r="P210" s="37" t="s">
        <v>1632</v>
      </c>
      <c r="Q210" s="38">
        <f t="shared" si="92"/>
        <v>0</v>
      </c>
      <c r="R210" s="38">
        <f t="shared" si="93"/>
        <v>0</v>
      </c>
      <c r="S210" s="38">
        <f t="shared" si="94"/>
        <v>0</v>
      </c>
      <c r="T210" s="38">
        <f t="shared" si="95"/>
        <v>0</v>
      </c>
      <c r="U210" s="47">
        <f t="shared" si="96"/>
        <v>0</v>
      </c>
      <c r="V210" s="52">
        <f t="shared" si="97"/>
        <v>3339.739999999998</v>
      </c>
    </row>
    <row r="211" spans="1:22">
      <c r="A211" s="51">
        <v>209</v>
      </c>
      <c r="B211" s="45"/>
      <c r="C211" s="52">
        <f t="shared" si="89"/>
        <v>3339.739999999998</v>
      </c>
      <c r="F211" s="52">
        <f t="shared" si="90"/>
        <v>3339.739999999998</v>
      </c>
      <c r="G211" s="185">
        <f t="shared" si="98"/>
        <v>0.53911564625850339</v>
      </c>
      <c r="H211" s="72">
        <f t="shared" si="91"/>
        <v>1800.5060884353729</v>
      </c>
      <c r="I211" s="37" t="s">
        <v>1625</v>
      </c>
      <c r="O211" s="46" t="s">
        <v>1627</v>
      </c>
      <c r="P211" s="37" t="s">
        <v>1632</v>
      </c>
      <c r="Q211" s="38">
        <f t="shared" si="92"/>
        <v>0</v>
      </c>
      <c r="R211" s="38">
        <f t="shared" si="93"/>
        <v>0</v>
      </c>
      <c r="S211" s="38">
        <f t="shared" si="94"/>
        <v>0</v>
      </c>
      <c r="T211" s="38">
        <f t="shared" si="95"/>
        <v>0</v>
      </c>
      <c r="U211" s="47">
        <f t="shared" si="96"/>
        <v>0</v>
      </c>
      <c r="V211" s="52">
        <f t="shared" si="97"/>
        <v>3339.739999999998</v>
      </c>
    </row>
    <row r="212" spans="1:22">
      <c r="A212" s="51">
        <v>210</v>
      </c>
      <c r="B212" s="45"/>
      <c r="C212" s="52">
        <f t="shared" si="89"/>
        <v>3339.739999999998</v>
      </c>
      <c r="F212" s="52">
        <f t="shared" si="90"/>
        <v>3339.739999999998</v>
      </c>
      <c r="G212" s="185">
        <f t="shared" si="98"/>
        <v>0.53911564625850339</v>
      </c>
      <c r="H212" s="72">
        <f t="shared" si="91"/>
        <v>1800.5060884353729</v>
      </c>
      <c r="I212" s="37" t="s">
        <v>1625</v>
      </c>
      <c r="O212" s="46" t="s">
        <v>1627</v>
      </c>
      <c r="P212" s="37" t="s">
        <v>1632</v>
      </c>
      <c r="Q212" s="38">
        <f t="shared" si="92"/>
        <v>0</v>
      </c>
      <c r="R212" s="38">
        <f t="shared" si="93"/>
        <v>0</v>
      </c>
      <c r="S212" s="38">
        <f t="shared" si="94"/>
        <v>0</v>
      </c>
      <c r="T212" s="38">
        <f t="shared" si="95"/>
        <v>0</v>
      </c>
      <c r="U212" s="47">
        <f t="shared" si="96"/>
        <v>0</v>
      </c>
      <c r="V212" s="52">
        <f t="shared" si="97"/>
        <v>3339.739999999998</v>
      </c>
    </row>
    <row r="213" spans="1:22">
      <c r="A213" s="51">
        <v>211</v>
      </c>
      <c r="B213" s="45"/>
      <c r="C213" s="52">
        <f t="shared" si="89"/>
        <v>3339.739999999998</v>
      </c>
      <c r="F213" s="52">
        <f t="shared" si="90"/>
        <v>3339.739999999998</v>
      </c>
      <c r="G213" s="185">
        <f t="shared" si="98"/>
        <v>0.53911564625850339</v>
      </c>
      <c r="H213" s="72">
        <f t="shared" si="91"/>
        <v>1800.5060884353729</v>
      </c>
      <c r="I213" s="37" t="s">
        <v>1625</v>
      </c>
      <c r="O213" s="46" t="s">
        <v>1627</v>
      </c>
      <c r="P213" s="37" t="s">
        <v>1632</v>
      </c>
      <c r="Q213" s="38">
        <f t="shared" si="92"/>
        <v>0</v>
      </c>
      <c r="R213" s="38">
        <f t="shared" si="93"/>
        <v>0</v>
      </c>
      <c r="S213" s="38">
        <f t="shared" si="94"/>
        <v>0</v>
      </c>
      <c r="T213" s="38">
        <f t="shared" si="95"/>
        <v>0</v>
      </c>
      <c r="U213" s="47">
        <f t="shared" si="96"/>
        <v>0</v>
      </c>
      <c r="V213" s="52">
        <f t="shared" si="97"/>
        <v>3339.739999999998</v>
      </c>
    </row>
    <row r="214" spans="1:22">
      <c r="A214" s="51">
        <v>212</v>
      </c>
      <c r="B214" s="45"/>
      <c r="C214" s="52">
        <f t="shared" si="89"/>
        <v>3339.739999999998</v>
      </c>
      <c r="F214" s="52">
        <f t="shared" si="90"/>
        <v>3339.739999999998</v>
      </c>
      <c r="G214" s="185">
        <f t="shared" si="98"/>
        <v>0.53911564625850339</v>
      </c>
      <c r="H214" s="72">
        <f t="shared" si="91"/>
        <v>1800.5060884353729</v>
      </c>
      <c r="I214" s="37" t="s">
        <v>1625</v>
      </c>
      <c r="O214" s="46" t="s">
        <v>1627</v>
      </c>
      <c r="P214" s="37" t="s">
        <v>1632</v>
      </c>
      <c r="Q214" s="38">
        <f t="shared" si="92"/>
        <v>0</v>
      </c>
      <c r="R214" s="38">
        <f t="shared" si="93"/>
        <v>0</v>
      </c>
      <c r="S214" s="38">
        <f t="shared" si="94"/>
        <v>0</v>
      </c>
      <c r="T214" s="38">
        <f t="shared" si="95"/>
        <v>0</v>
      </c>
      <c r="U214" s="47">
        <f t="shared" si="96"/>
        <v>0</v>
      </c>
      <c r="V214" s="52">
        <f t="shared" si="97"/>
        <v>3339.739999999998</v>
      </c>
    </row>
    <row r="215" spans="1:22">
      <c r="A215" s="51">
        <v>213</v>
      </c>
      <c r="B215" s="45"/>
      <c r="C215" s="52">
        <f t="shared" si="89"/>
        <v>3339.739999999998</v>
      </c>
      <c r="F215" s="52">
        <f t="shared" si="90"/>
        <v>3339.739999999998</v>
      </c>
      <c r="G215" s="185">
        <f t="shared" si="98"/>
        <v>0.53911564625850339</v>
      </c>
      <c r="H215" s="72">
        <f t="shared" si="91"/>
        <v>1800.5060884353729</v>
      </c>
      <c r="I215" s="37" t="s">
        <v>1625</v>
      </c>
      <c r="O215" s="46" t="s">
        <v>1627</v>
      </c>
      <c r="P215" s="37" t="s">
        <v>1632</v>
      </c>
      <c r="Q215" s="38">
        <f t="shared" si="92"/>
        <v>0</v>
      </c>
      <c r="R215" s="38">
        <f t="shared" si="93"/>
        <v>0</v>
      </c>
      <c r="S215" s="38">
        <f t="shared" si="94"/>
        <v>0</v>
      </c>
      <c r="T215" s="38">
        <f t="shared" si="95"/>
        <v>0</v>
      </c>
      <c r="U215" s="47">
        <f t="shared" si="96"/>
        <v>0</v>
      </c>
      <c r="V215" s="52">
        <f t="shared" si="97"/>
        <v>3339.739999999998</v>
      </c>
    </row>
    <row r="216" spans="1:22">
      <c r="A216" s="51">
        <v>214</v>
      </c>
      <c r="B216" s="45"/>
      <c r="C216" s="52">
        <f t="shared" si="89"/>
        <v>3339.739999999998</v>
      </c>
      <c r="F216" s="52">
        <f t="shared" si="90"/>
        <v>3339.739999999998</v>
      </c>
      <c r="G216" s="185">
        <f t="shared" si="98"/>
        <v>0.53911564625850339</v>
      </c>
      <c r="H216" s="72">
        <f t="shared" si="91"/>
        <v>1800.5060884353729</v>
      </c>
      <c r="I216" s="37" t="s">
        <v>1625</v>
      </c>
      <c r="O216" s="46" t="s">
        <v>1627</v>
      </c>
      <c r="P216" s="37" t="s">
        <v>1632</v>
      </c>
      <c r="Q216" s="38">
        <f t="shared" si="92"/>
        <v>0</v>
      </c>
      <c r="R216" s="38">
        <f t="shared" si="93"/>
        <v>0</v>
      </c>
      <c r="S216" s="38">
        <f t="shared" si="94"/>
        <v>0</v>
      </c>
      <c r="T216" s="38">
        <f t="shared" si="95"/>
        <v>0</v>
      </c>
      <c r="U216" s="47">
        <f t="shared" si="96"/>
        <v>0</v>
      </c>
      <c r="V216" s="52">
        <f t="shared" si="97"/>
        <v>3339.739999999998</v>
      </c>
    </row>
    <row r="217" spans="1:22">
      <c r="A217" s="51">
        <v>215</v>
      </c>
      <c r="B217" s="45"/>
      <c r="C217" s="52">
        <f t="shared" si="89"/>
        <v>3339.739999999998</v>
      </c>
      <c r="F217" s="52">
        <f t="shared" si="90"/>
        <v>3339.739999999998</v>
      </c>
      <c r="G217" s="185">
        <f t="shared" si="98"/>
        <v>0.53911564625850339</v>
      </c>
      <c r="H217" s="72">
        <f t="shared" si="91"/>
        <v>1800.5060884353729</v>
      </c>
      <c r="I217" s="37" t="s">
        <v>1625</v>
      </c>
      <c r="O217" s="46" t="s">
        <v>1627</v>
      </c>
      <c r="P217" s="37" t="s">
        <v>1632</v>
      </c>
      <c r="Q217" s="38">
        <f t="shared" si="92"/>
        <v>0</v>
      </c>
      <c r="R217" s="38">
        <f t="shared" si="93"/>
        <v>0</v>
      </c>
      <c r="S217" s="38">
        <f t="shared" si="94"/>
        <v>0</v>
      </c>
      <c r="T217" s="38">
        <f t="shared" si="95"/>
        <v>0</v>
      </c>
      <c r="U217" s="47">
        <f t="shared" si="96"/>
        <v>0</v>
      </c>
      <c r="V217" s="52">
        <f t="shared" si="97"/>
        <v>3339.739999999998</v>
      </c>
    </row>
    <row r="218" spans="1:22">
      <c r="A218" s="51">
        <v>216</v>
      </c>
      <c r="B218" s="45"/>
      <c r="C218" s="52">
        <f t="shared" si="89"/>
        <v>3339.739999999998</v>
      </c>
      <c r="F218" s="52">
        <f t="shared" si="90"/>
        <v>3339.739999999998</v>
      </c>
      <c r="G218" s="185">
        <f t="shared" si="98"/>
        <v>0.53911564625850339</v>
      </c>
      <c r="H218" s="72">
        <f t="shared" si="91"/>
        <v>1800.5060884353729</v>
      </c>
      <c r="I218" s="37" t="s">
        <v>1625</v>
      </c>
      <c r="O218" s="46" t="s">
        <v>1627</v>
      </c>
      <c r="P218" s="37" t="s">
        <v>1632</v>
      </c>
      <c r="Q218" s="38">
        <f t="shared" si="92"/>
        <v>0</v>
      </c>
      <c r="R218" s="38">
        <f t="shared" si="93"/>
        <v>0</v>
      </c>
      <c r="S218" s="38">
        <f t="shared" si="94"/>
        <v>0</v>
      </c>
      <c r="T218" s="38">
        <f t="shared" si="95"/>
        <v>0</v>
      </c>
      <c r="U218" s="47">
        <f t="shared" si="96"/>
        <v>0</v>
      </c>
      <c r="V218" s="52">
        <f t="shared" si="97"/>
        <v>3339.739999999998</v>
      </c>
    </row>
    <row r="219" spans="1:22">
      <c r="A219" s="51">
        <v>217</v>
      </c>
      <c r="B219" s="45"/>
      <c r="C219" s="52">
        <f t="shared" si="89"/>
        <v>3339.739999999998</v>
      </c>
      <c r="F219" s="52">
        <f t="shared" si="90"/>
        <v>3339.739999999998</v>
      </c>
      <c r="G219" s="185">
        <f t="shared" si="98"/>
        <v>0.53911564625850339</v>
      </c>
      <c r="H219" s="72">
        <f t="shared" si="91"/>
        <v>1800.5060884353729</v>
      </c>
      <c r="I219" s="37" t="s">
        <v>1625</v>
      </c>
      <c r="O219" s="46" t="s">
        <v>1627</v>
      </c>
      <c r="P219" s="37" t="s">
        <v>1632</v>
      </c>
      <c r="Q219" s="38">
        <f t="shared" si="92"/>
        <v>0</v>
      </c>
      <c r="R219" s="38">
        <f t="shared" si="93"/>
        <v>0</v>
      </c>
      <c r="S219" s="38">
        <f t="shared" si="94"/>
        <v>0</v>
      </c>
      <c r="T219" s="38">
        <f t="shared" si="95"/>
        <v>0</v>
      </c>
      <c r="U219" s="47">
        <f t="shared" si="96"/>
        <v>0</v>
      </c>
      <c r="V219" s="52">
        <f t="shared" si="97"/>
        <v>3339.739999999998</v>
      </c>
    </row>
    <row r="220" spans="1:22">
      <c r="A220" s="51">
        <v>218</v>
      </c>
      <c r="B220" s="45"/>
      <c r="C220" s="52">
        <f t="shared" si="89"/>
        <v>3339.739999999998</v>
      </c>
      <c r="F220" s="52">
        <f t="shared" si="90"/>
        <v>3339.739999999998</v>
      </c>
      <c r="G220" s="185">
        <f t="shared" si="98"/>
        <v>0.53911564625850339</v>
      </c>
      <c r="H220" s="72">
        <f t="shared" si="91"/>
        <v>1800.5060884353729</v>
      </c>
      <c r="I220" s="37" t="s">
        <v>1625</v>
      </c>
      <c r="O220" s="46" t="s">
        <v>1627</v>
      </c>
      <c r="P220" s="37" t="s">
        <v>1632</v>
      </c>
      <c r="Q220" s="38">
        <f t="shared" si="92"/>
        <v>0</v>
      </c>
      <c r="R220" s="38">
        <f t="shared" si="93"/>
        <v>0</v>
      </c>
      <c r="S220" s="38">
        <f t="shared" si="94"/>
        <v>0</v>
      </c>
      <c r="T220" s="38">
        <f t="shared" si="95"/>
        <v>0</v>
      </c>
      <c r="U220" s="47">
        <f t="shared" si="96"/>
        <v>0</v>
      </c>
      <c r="V220" s="52">
        <f t="shared" si="97"/>
        <v>3339.739999999998</v>
      </c>
    </row>
    <row r="221" spans="1:22">
      <c r="A221" s="51">
        <v>219</v>
      </c>
      <c r="B221" s="45"/>
      <c r="C221" s="52">
        <f t="shared" si="89"/>
        <v>3339.739999999998</v>
      </c>
      <c r="F221" s="52">
        <f t="shared" si="90"/>
        <v>3339.739999999998</v>
      </c>
      <c r="G221" s="185">
        <f t="shared" si="98"/>
        <v>0.53911564625850339</v>
      </c>
      <c r="H221" s="72">
        <f t="shared" si="91"/>
        <v>1800.5060884353729</v>
      </c>
      <c r="I221" s="37" t="s">
        <v>1625</v>
      </c>
      <c r="O221" s="46" t="s">
        <v>1627</v>
      </c>
      <c r="P221" s="37" t="s">
        <v>1632</v>
      </c>
      <c r="Q221" s="38">
        <f t="shared" si="92"/>
        <v>0</v>
      </c>
      <c r="R221" s="38">
        <f t="shared" si="93"/>
        <v>0</v>
      </c>
      <c r="S221" s="38">
        <f t="shared" si="94"/>
        <v>0</v>
      </c>
      <c r="T221" s="38">
        <f t="shared" si="95"/>
        <v>0</v>
      </c>
      <c r="U221" s="47">
        <f t="shared" si="96"/>
        <v>0</v>
      </c>
      <c r="V221" s="52">
        <f t="shared" si="97"/>
        <v>3339.739999999998</v>
      </c>
    </row>
    <row r="222" spans="1:22">
      <c r="A222" s="51">
        <v>220</v>
      </c>
      <c r="B222" s="45"/>
      <c r="C222" s="52">
        <f t="shared" si="89"/>
        <v>3339.739999999998</v>
      </c>
      <c r="F222" s="52">
        <f t="shared" si="90"/>
        <v>3339.739999999998</v>
      </c>
      <c r="G222" s="185">
        <f t="shared" si="98"/>
        <v>0.53911564625850339</v>
      </c>
      <c r="H222" s="72">
        <f t="shared" si="91"/>
        <v>1800.5060884353729</v>
      </c>
      <c r="I222" s="37" t="s">
        <v>1625</v>
      </c>
      <c r="O222" s="46" t="s">
        <v>1627</v>
      </c>
      <c r="P222" s="37" t="s">
        <v>1632</v>
      </c>
      <c r="Q222" s="38">
        <f t="shared" si="92"/>
        <v>0</v>
      </c>
      <c r="R222" s="38">
        <f t="shared" si="93"/>
        <v>0</v>
      </c>
      <c r="S222" s="38">
        <f t="shared" si="94"/>
        <v>0</v>
      </c>
      <c r="T222" s="38">
        <f t="shared" si="95"/>
        <v>0</v>
      </c>
      <c r="U222" s="47">
        <f t="shared" si="96"/>
        <v>0</v>
      </c>
      <c r="V222" s="52">
        <f t="shared" si="97"/>
        <v>3339.739999999998</v>
      </c>
    </row>
    <row r="223" spans="1:22">
      <c r="A223" s="51">
        <v>221</v>
      </c>
      <c r="B223" s="45"/>
      <c r="C223" s="52">
        <f t="shared" si="89"/>
        <v>3339.739999999998</v>
      </c>
      <c r="F223" s="52">
        <f t="shared" si="90"/>
        <v>3339.739999999998</v>
      </c>
      <c r="G223" s="185">
        <f t="shared" si="98"/>
        <v>0.53911564625850339</v>
      </c>
      <c r="H223" s="72">
        <f t="shared" si="91"/>
        <v>1800.5060884353729</v>
      </c>
      <c r="I223" s="37" t="s">
        <v>1625</v>
      </c>
      <c r="O223" s="46" t="s">
        <v>1627</v>
      </c>
      <c r="P223" s="37" t="s">
        <v>1632</v>
      </c>
      <c r="Q223" s="38">
        <f t="shared" si="92"/>
        <v>0</v>
      </c>
      <c r="R223" s="38">
        <f t="shared" si="93"/>
        <v>0</v>
      </c>
      <c r="S223" s="38">
        <f t="shared" si="94"/>
        <v>0</v>
      </c>
      <c r="T223" s="38">
        <f t="shared" si="95"/>
        <v>0</v>
      </c>
      <c r="U223" s="47">
        <f t="shared" si="96"/>
        <v>0</v>
      </c>
      <c r="V223" s="52">
        <f t="shared" si="97"/>
        <v>3339.739999999998</v>
      </c>
    </row>
    <row r="224" spans="1:22">
      <c r="A224" s="51">
        <v>222</v>
      </c>
      <c r="B224" s="45"/>
      <c r="C224" s="52">
        <f t="shared" si="89"/>
        <v>3339.739999999998</v>
      </c>
      <c r="F224" s="52">
        <f t="shared" si="90"/>
        <v>3339.739999999998</v>
      </c>
      <c r="G224" s="185">
        <f t="shared" si="98"/>
        <v>0.53911564625850339</v>
      </c>
      <c r="H224" s="72">
        <f t="shared" si="91"/>
        <v>1800.5060884353729</v>
      </c>
      <c r="I224" s="37" t="s">
        <v>1625</v>
      </c>
      <c r="O224" s="46" t="s">
        <v>1627</v>
      </c>
      <c r="P224" s="37" t="s">
        <v>1632</v>
      </c>
      <c r="Q224" s="38">
        <f t="shared" si="92"/>
        <v>0</v>
      </c>
      <c r="R224" s="38">
        <f t="shared" si="93"/>
        <v>0</v>
      </c>
      <c r="S224" s="38">
        <f t="shared" si="94"/>
        <v>0</v>
      </c>
      <c r="T224" s="38">
        <f t="shared" si="95"/>
        <v>0</v>
      </c>
      <c r="U224" s="47">
        <f t="shared" si="96"/>
        <v>0</v>
      </c>
      <c r="V224" s="52">
        <f t="shared" si="97"/>
        <v>3339.739999999998</v>
      </c>
    </row>
    <row r="225" spans="1:22">
      <c r="A225" s="51">
        <v>223</v>
      </c>
      <c r="B225" s="45"/>
      <c r="C225" s="52">
        <f t="shared" si="89"/>
        <v>3339.739999999998</v>
      </c>
      <c r="F225" s="52">
        <f t="shared" si="90"/>
        <v>3339.739999999998</v>
      </c>
      <c r="G225" s="185">
        <f t="shared" si="98"/>
        <v>0.53911564625850339</v>
      </c>
      <c r="H225" s="72">
        <f t="shared" si="91"/>
        <v>1800.5060884353729</v>
      </c>
      <c r="I225" s="37" t="s">
        <v>1625</v>
      </c>
      <c r="O225" s="46" t="s">
        <v>1627</v>
      </c>
      <c r="P225" s="37" t="s">
        <v>1632</v>
      </c>
      <c r="Q225" s="38">
        <f t="shared" si="92"/>
        <v>0</v>
      </c>
      <c r="R225" s="38">
        <f t="shared" si="93"/>
        <v>0</v>
      </c>
      <c r="S225" s="38">
        <f t="shared" si="94"/>
        <v>0</v>
      </c>
      <c r="T225" s="38">
        <f t="shared" si="95"/>
        <v>0</v>
      </c>
      <c r="U225" s="47">
        <f t="shared" si="96"/>
        <v>0</v>
      </c>
      <c r="V225" s="52">
        <f t="shared" si="97"/>
        <v>3339.739999999998</v>
      </c>
    </row>
    <row r="226" spans="1:22">
      <c r="A226" s="51">
        <v>224</v>
      </c>
      <c r="B226" s="45"/>
      <c r="C226" s="52">
        <f t="shared" si="89"/>
        <v>3339.739999999998</v>
      </c>
      <c r="F226" s="52">
        <f t="shared" si="90"/>
        <v>3339.739999999998</v>
      </c>
      <c r="G226" s="185">
        <f t="shared" si="98"/>
        <v>0.53911564625850339</v>
      </c>
      <c r="H226" s="72">
        <f t="shared" si="91"/>
        <v>1800.5060884353729</v>
      </c>
      <c r="I226" s="37" t="s">
        <v>1625</v>
      </c>
      <c r="O226" s="46" t="s">
        <v>1627</v>
      </c>
      <c r="P226" s="37" t="s">
        <v>1632</v>
      </c>
      <c r="Q226" s="38">
        <f t="shared" si="92"/>
        <v>0</v>
      </c>
      <c r="R226" s="38">
        <f t="shared" si="93"/>
        <v>0</v>
      </c>
      <c r="S226" s="38">
        <f t="shared" si="94"/>
        <v>0</v>
      </c>
      <c r="T226" s="38">
        <f t="shared" si="95"/>
        <v>0</v>
      </c>
      <c r="U226" s="47">
        <f t="shared" si="96"/>
        <v>0</v>
      </c>
      <c r="V226" s="52">
        <f t="shared" si="97"/>
        <v>3339.739999999998</v>
      </c>
    </row>
    <row r="227" spans="1:22">
      <c r="A227" s="51">
        <v>225</v>
      </c>
      <c r="B227" s="45"/>
      <c r="C227" s="52">
        <f t="shared" si="89"/>
        <v>3339.739999999998</v>
      </c>
      <c r="F227" s="52">
        <f t="shared" si="90"/>
        <v>3339.739999999998</v>
      </c>
      <c r="G227" s="185">
        <f t="shared" si="98"/>
        <v>0.53911564625850339</v>
      </c>
      <c r="H227" s="72">
        <f t="shared" si="91"/>
        <v>1800.5060884353729</v>
      </c>
      <c r="I227" s="37" t="s">
        <v>1625</v>
      </c>
      <c r="O227" s="46" t="s">
        <v>1627</v>
      </c>
      <c r="P227" s="37" t="s">
        <v>1632</v>
      </c>
      <c r="Q227" s="38">
        <f t="shared" si="92"/>
        <v>0</v>
      </c>
      <c r="R227" s="38">
        <f t="shared" si="93"/>
        <v>0</v>
      </c>
      <c r="S227" s="38">
        <f t="shared" si="94"/>
        <v>0</v>
      </c>
      <c r="T227" s="38">
        <f t="shared" si="95"/>
        <v>0</v>
      </c>
      <c r="U227" s="47">
        <f t="shared" si="96"/>
        <v>0</v>
      </c>
      <c r="V227" s="52">
        <f t="shared" si="97"/>
        <v>3339.739999999998</v>
      </c>
    </row>
    <row r="228" spans="1:22">
      <c r="A228" s="51">
        <v>226</v>
      </c>
      <c r="B228" s="45"/>
      <c r="C228" s="52">
        <f t="shared" si="89"/>
        <v>3339.739999999998</v>
      </c>
      <c r="F228" s="52">
        <f t="shared" si="90"/>
        <v>3339.739999999998</v>
      </c>
      <c r="G228" s="185">
        <f t="shared" si="98"/>
        <v>0.53911564625850339</v>
      </c>
      <c r="H228" s="72">
        <f t="shared" si="91"/>
        <v>1800.5060884353729</v>
      </c>
      <c r="I228" s="37" t="s">
        <v>1625</v>
      </c>
      <c r="O228" s="46" t="s">
        <v>1627</v>
      </c>
      <c r="P228" s="37" t="s">
        <v>1632</v>
      </c>
      <c r="Q228" s="38">
        <f t="shared" si="92"/>
        <v>0</v>
      </c>
      <c r="R228" s="38">
        <f t="shared" si="93"/>
        <v>0</v>
      </c>
      <c r="S228" s="38">
        <f t="shared" si="94"/>
        <v>0</v>
      </c>
      <c r="T228" s="38">
        <f t="shared" si="95"/>
        <v>0</v>
      </c>
      <c r="U228" s="47">
        <f t="shared" si="96"/>
        <v>0</v>
      </c>
      <c r="V228" s="52">
        <f t="shared" si="97"/>
        <v>3339.739999999998</v>
      </c>
    </row>
    <row r="229" spans="1:22">
      <c r="A229" s="51">
        <v>227</v>
      </c>
      <c r="B229" s="45"/>
      <c r="C229" s="52">
        <f t="shared" si="89"/>
        <v>3339.739999999998</v>
      </c>
      <c r="F229" s="52">
        <f t="shared" si="90"/>
        <v>3339.739999999998</v>
      </c>
      <c r="G229" s="185">
        <f t="shared" si="98"/>
        <v>0.53911564625850339</v>
      </c>
      <c r="H229" s="72">
        <f t="shared" si="91"/>
        <v>1800.5060884353729</v>
      </c>
      <c r="I229" s="37" t="s">
        <v>1625</v>
      </c>
      <c r="O229" s="46" t="s">
        <v>1627</v>
      </c>
      <c r="P229" s="37" t="s">
        <v>1632</v>
      </c>
      <c r="Q229" s="38">
        <f t="shared" si="92"/>
        <v>0</v>
      </c>
      <c r="R229" s="38">
        <f t="shared" si="93"/>
        <v>0</v>
      </c>
      <c r="S229" s="38">
        <f t="shared" si="94"/>
        <v>0</v>
      </c>
      <c r="T229" s="38">
        <f t="shared" si="95"/>
        <v>0</v>
      </c>
      <c r="U229" s="47">
        <f t="shared" si="96"/>
        <v>0</v>
      </c>
      <c r="V229" s="52">
        <f t="shared" si="97"/>
        <v>3339.739999999998</v>
      </c>
    </row>
    <row r="230" spans="1:22">
      <c r="A230" s="51">
        <v>228</v>
      </c>
      <c r="B230" s="45"/>
      <c r="C230" s="52">
        <f t="shared" si="89"/>
        <v>3339.739999999998</v>
      </c>
      <c r="F230" s="52">
        <f t="shared" si="90"/>
        <v>3339.739999999998</v>
      </c>
      <c r="G230" s="185">
        <f t="shared" si="98"/>
        <v>0.53911564625850339</v>
      </c>
      <c r="H230" s="72">
        <f t="shared" si="91"/>
        <v>1800.5060884353729</v>
      </c>
      <c r="I230" s="37" t="s">
        <v>1625</v>
      </c>
      <c r="O230" s="46" t="s">
        <v>1627</v>
      </c>
      <c r="P230" s="37" t="s">
        <v>1632</v>
      </c>
      <c r="Q230" s="38">
        <f t="shared" si="92"/>
        <v>0</v>
      </c>
      <c r="R230" s="38">
        <f t="shared" si="93"/>
        <v>0</v>
      </c>
      <c r="S230" s="38">
        <f t="shared" si="94"/>
        <v>0</v>
      </c>
      <c r="T230" s="38">
        <f t="shared" si="95"/>
        <v>0</v>
      </c>
      <c r="U230" s="47">
        <f t="shared" si="96"/>
        <v>0</v>
      </c>
      <c r="V230" s="52">
        <f t="shared" si="97"/>
        <v>3339.739999999998</v>
      </c>
    </row>
    <row r="231" spans="1:22">
      <c r="A231" s="51">
        <v>229</v>
      </c>
      <c r="B231" s="45"/>
      <c r="C231" s="52">
        <f t="shared" si="89"/>
        <v>3339.739999999998</v>
      </c>
      <c r="F231" s="52">
        <f t="shared" si="90"/>
        <v>3339.739999999998</v>
      </c>
      <c r="G231" s="185">
        <f t="shared" si="98"/>
        <v>0.53911564625850339</v>
      </c>
      <c r="H231" s="72">
        <f t="shared" si="91"/>
        <v>1800.5060884353729</v>
      </c>
      <c r="I231" s="37" t="s">
        <v>1625</v>
      </c>
      <c r="O231" s="46" t="s">
        <v>1627</v>
      </c>
      <c r="P231" s="37" t="s">
        <v>1632</v>
      </c>
      <c r="Q231" s="38">
        <f t="shared" si="92"/>
        <v>0</v>
      </c>
      <c r="R231" s="38">
        <f t="shared" si="93"/>
        <v>0</v>
      </c>
      <c r="S231" s="38">
        <f t="shared" si="94"/>
        <v>0</v>
      </c>
      <c r="T231" s="38">
        <f t="shared" si="95"/>
        <v>0</v>
      </c>
      <c r="U231" s="47">
        <f t="shared" si="96"/>
        <v>0</v>
      </c>
      <c r="V231" s="52">
        <f t="shared" si="97"/>
        <v>3339.739999999998</v>
      </c>
    </row>
    <row r="232" spans="1:22">
      <c r="A232" s="51">
        <v>230</v>
      </c>
      <c r="B232" s="45"/>
      <c r="C232" s="52">
        <f t="shared" si="89"/>
        <v>3339.739999999998</v>
      </c>
      <c r="F232" s="52">
        <f t="shared" si="90"/>
        <v>3339.739999999998</v>
      </c>
      <c r="G232" s="185">
        <f t="shared" si="98"/>
        <v>0.53911564625850339</v>
      </c>
      <c r="H232" s="72">
        <f t="shared" si="91"/>
        <v>1800.5060884353729</v>
      </c>
      <c r="I232" s="37" t="s">
        <v>1625</v>
      </c>
      <c r="O232" s="46" t="s">
        <v>1627</v>
      </c>
      <c r="P232" s="37" t="s">
        <v>1632</v>
      </c>
      <c r="Q232" s="38">
        <f t="shared" si="92"/>
        <v>0</v>
      </c>
      <c r="R232" s="38">
        <f t="shared" si="93"/>
        <v>0</v>
      </c>
      <c r="S232" s="38">
        <f t="shared" si="94"/>
        <v>0</v>
      </c>
      <c r="T232" s="38">
        <f t="shared" si="95"/>
        <v>0</v>
      </c>
      <c r="U232" s="47">
        <f t="shared" si="96"/>
        <v>0</v>
      </c>
      <c r="V232" s="52">
        <f t="shared" si="97"/>
        <v>3339.739999999998</v>
      </c>
    </row>
    <row r="233" spans="1:22">
      <c r="A233" s="51">
        <v>231</v>
      </c>
      <c r="B233" s="45"/>
      <c r="C233" s="52">
        <f t="shared" si="89"/>
        <v>3339.739999999998</v>
      </c>
      <c r="F233" s="52">
        <f t="shared" si="90"/>
        <v>3339.739999999998</v>
      </c>
      <c r="G233" s="185">
        <f t="shared" si="98"/>
        <v>0.53911564625850339</v>
      </c>
      <c r="H233" s="72">
        <f t="shared" si="91"/>
        <v>1800.5060884353729</v>
      </c>
      <c r="I233" s="37" t="s">
        <v>1625</v>
      </c>
      <c r="O233" s="46" t="s">
        <v>1627</v>
      </c>
      <c r="P233" s="37" t="s">
        <v>1632</v>
      </c>
      <c r="Q233" s="38">
        <f t="shared" si="92"/>
        <v>0</v>
      </c>
      <c r="R233" s="38">
        <f t="shared" si="93"/>
        <v>0</v>
      </c>
      <c r="S233" s="38">
        <f t="shared" si="94"/>
        <v>0</v>
      </c>
      <c r="T233" s="38">
        <f t="shared" si="95"/>
        <v>0</v>
      </c>
      <c r="U233" s="47">
        <f t="shared" si="96"/>
        <v>0</v>
      </c>
      <c r="V233" s="52">
        <f t="shared" si="97"/>
        <v>3339.739999999998</v>
      </c>
    </row>
    <row r="234" spans="1:22">
      <c r="A234" s="51">
        <v>232</v>
      </c>
      <c r="B234" s="45"/>
      <c r="C234" s="52">
        <f t="shared" si="89"/>
        <v>3339.739999999998</v>
      </c>
      <c r="F234" s="52">
        <f t="shared" si="90"/>
        <v>3339.739999999998</v>
      </c>
      <c r="G234" s="185">
        <f t="shared" si="98"/>
        <v>0.53911564625850339</v>
      </c>
      <c r="H234" s="72">
        <f t="shared" si="91"/>
        <v>1800.5060884353729</v>
      </c>
      <c r="I234" s="37" t="s">
        <v>1625</v>
      </c>
      <c r="O234" s="46" t="s">
        <v>1627</v>
      </c>
      <c r="P234" s="37" t="s">
        <v>1632</v>
      </c>
      <c r="Q234" s="38">
        <f t="shared" si="92"/>
        <v>0</v>
      </c>
      <c r="R234" s="38">
        <f t="shared" si="93"/>
        <v>0</v>
      </c>
      <c r="S234" s="38">
        <f t="shared" si="94"/>
        <v>0</v>
      </c>
      <c r="T234" s="38">
        <f t="shared" si="95"/>
        <v>0</v>
      </c>
      <c r="U234" s="47">
        <f t="shared" si="96"/>
        <v>0</v>
      </c>
      <c r="V234" s="52">
        <f t="shared" si="97"/>
        <v>3339.739999999998</v>
      </c>
    </row>
    <row r="235" spans="1:22">
      <c r="A235" s="51">
        <v>233</v>
      </c>
      <c r="B235" s="45"/>
      <c r="C235" s="52">
        <f t="shared" si="89"/>
        <v>3339.739999999998</v>
      </c>
      <c r="F235" s="52">
        <f t="shared" si="90"/>
        <v>3339.739999999998</v>
      </c>
      <c r="G235" s="185">
        <f t="shared" si="98"/>
        <v>0.53911564625850339</v>
      </c>
      <c r="H235" s="72">
        <f t="shared" si="91"/>
        <v>1800.5060884353729</v>
      </c>
      <c r="I235" s="37" t="s">
        <v>1625</v>
      </c>
      <c r="O235" s="46" t="s">
        <v>1627</v>
      </c>
      <c r="P235" s="37" t="s">
        <v>1632</v>
      </c>
      <c r="Q235" s="38">
        <f t="shared" si="92"/>
        <v>0</v>
      </c>
      <c r="R235" s="38">
        <f t="shared" si="93"/>
        <v>0</v>
      </c>
      <c r="S235" s="38">
        <f t="shared" si="94"/>
        <v>0</v>
      </c>
      <c r="T235" s="38">
        <f t="shared" si="95"/>
        <v>0</v>
      </c>
      <c r="U235" s="47">
        <f t="shared" si="96"/>
        <v>0</v>
      </c>
      <c r="V235" s="52">
        <f t="shared" si="97"/>
        <v>3339.739999999998</v>
      </c>
    </row>
    <row r="236" spans="1:22">
      <c r="A236" s="51">
        <v>234</v>
      </c>
      <c r="B236" s="45"/>
      <c r="C236" s="52">
        <f t="shared" si="89"/>
        <v>3339.739999999998</v>
      </c>
      <c r="F236" s="52">
        <f t="shared" si="90"/>
        <v>3339.739999999998</v>
      </c>
      <c r="G236" s="185">
        <f t="shared" si="98"/>
        <v>0.53911564625850339</v>
      </c>
      <c r="H236" s="72">
        <f t="shared" si="91"/>
        <v>1800.5060884353729</v>
      </c>
      <c r="I236" s="37" t="s">
        <v>1625</v>
      </c>
      <c r="O236" s="46" t="s">
        <v>1627</v>
      </c>
      <c r="P236" s="37" t="s">
        <v>1632</v>
      </c>
      <c r="Q236" s="38">
        <f t="shared" si="92"/>
        <v>0</v>
      </c>
      <c r="R236" s="38">
        <f t="shared" si="93"/>
        <v>0</v>
      </c>
      <c r="S236" s="38">
        <f t="shared" si="94"/>
        <v>0</v>
      </c>
      <c r="T236" s="38">
        <f t="shared" si="95"/>
        <v>0</v>
      </c>
      <c r="U236" s="47">
        <f t="shared" si="96"/>
        <v>0</v>
      </c>
      <c r="V236" s="52">
        <f t="shared" si="97"/>
        <v>3339.739999999998</v>
      </c>
    </row>
    <row r="237" spans="1:22">
      <c r="A237" s="51">
        <v>235</v>
      </c>
      <c r="B237" s="45"/>
      <c r="C237" s="52">
        <f t="shared" si="89"/>
        <v>3339.739999999998</v>
      </c>
      <c r="F237" s="52">
        <f t="shared" si="90"/>
        <v>3339.739999999998</v>
      </c>
      <c r="G237" s="185">
        <f t="shared" si="98"/>
        <v>0.53911564625850339</v>
      </c>
      <c r="H237" s="72">
        <f t="shared" si="91"/>
        <v>1800.5060884353729</v>
      </c>
      <c r="I237" s="37" t="s">
        <v>1625</v>
      </c>
      <c r="O237" s="46" t="s">
        <v>1627</v>
      </c>
      <c r="P237" s="37" t="s">
        <v>1632</v>
      </c>
      <c r="Q237" s="38">
        <f t="shared" si="92"/>
        <v>0</v>
      </c>
      <c r="R237" s="38">
        <f t="shared" si="93"/>
        <v>0</v>
      </c>
      <c r="S237" s="38">
        <f t="shared" si="94"/>
        <v>0</v>
      </c>
      <c r="T237" s="38">
        <f t="shared" si="95"/>
        <v>0</v>
      </c>
      <c r="U237" s="47">
        <f t="shared" si="96"/>
        <v>0</v>
      </c>
      <c r="V237" s="52">
        <f t="shared" si="97"/>
        <v>3339.739999999998</v>
      </c>
    </row>
    <row r="238" spans="1:22">
      <c r="A238" s="51">
        <v>236</v>
      </c>
      <c r="B238" s="45"/>
      <c r="C238" s="52">
        <f t="shared" si="89"/>
        <v>3339.739999999998</v>
      </c>
      <c r="F238" s="52">
        <f t="shared" si="90"/>
        <v>3339.739999999998</v>
      </c>
      <c r="G238" s="185">
        <f t="shared" si="98"/>
        <v>0.53911564625850339</v>
      </c>
      <c r="H238" s="72">
        <f t="shared" si="91"/>
        <v>1800.5060884353729</v>
      </c>
      <c r="I238" s="37" t="s">
        <v>1625</v>
      </c>
      <c r="O238" s="46" t="s">
        <v>1627</v>
      </c>
      <c r="P238" s="37" t="s">
        <v>1632</v>
      </c>
      <c r="Q238" s="38">
        <f t="shared" si="92"/>
        <v>0</v>
      </c>
      <c r="R238" s="38">
        <f t="shared" si="93"/>
        <v>0</v>
      </c>
      <c r="S238" s="38">
        <f t="shared" si="94"/>
        <v>0</v>
      </c>
      <c r="T238" s="38">
        <f t="shared" si="95"/>
        <v>0</v>
      </c>
      <c r="U238" s="47">
        <f t="shared" si="96"/>
        <v>0</v>
      </c>
      <c r="V238" s="52">
        <f t="shared" si="97"/>
        <v>3339.739999999998</v>
      </c>
    </row>
    <row r="239" spans="1:22">
      <c r="A239" s="51">
        <v>237</v>
      </c>
      <c r="B239" s="45"/>
      <c r="C239" s="52">
        <f t="shared" si="89"/>
        <v>3339.739999999998</v>
      </c>
      <c r="F239" s="52">
        <f t="shared" si="90"/>
        <v>3339.739999999998</v>
      </c>
      <c r="G239" s="185">
        <f t="shared" si="98"/>
        <v>0.53911564625850339</v>
      </c>
      <c r="H239" s="72">
        <f t="shared" si="91"/>
        <v>1800.5060884353729</v>
      </c>
      <c r="I239" s="37" t="s">
        <v>1625</v>
      </c>
      <c r="O239" s="46" t="s">
        <v>1627</v>
      </c>
      <c r="P239" s="37" t="s">
        <v>1632</v>
      </c>
      <c r="Q239" s="38">
        <f t="shared" si="92"/>
        <v>0</v>
      </c>
      <c r="R239" s="38">
        <f t="shared" si="93"/>
        <v>0</v>
      </c>
      <c r="S239" s="38">
        <f t="shared" si="94"/>
        <v>0</v>
      </c>
      <c r="T239" s="38">
        <f t="shared" si="95"/>
        <v>0</v>
      </c>
      <c r="U239" s="47">
        <f t="shared" si="96"/>
        <v>0</v>
      </c>
      <c r="V239" s="52">
        <f t="shared" si="97"/>
        <v>3339.739999999998</v>
      </c>
    </row>
    <row r="240" spans="1:22">
      <c r="A240" s="51">
        <v>238</v>
      </c>
      <c r="B240" s="45"/>
      <c r="C240" s="52">
        <f t="shared" si="89"/>
        <v>3339.739999999998</v>
      </c>
      <c r="F240" s="52">
        <f t="shared" si="90"/>
        <v>3339.739999999998</v>
      </c>
      <c r="G240" s="185">
        <f t="shared" si="98"/>
        <v>0.53911564625850339</v>
      </c>
      <c r="H240" s="72">
        <f t="shared" si="91"/>
        <v>1800.5060884353729</v>
      </c>
      <c r="I240" s="37" t="s">
        <v>1625</v>
      </c>
      <c r="O240" s="46" t="s">
        <v>1627</v>
      </c>
      <c r="P240" s="37" t="s">
        <v>1632</v>
      </c>
      <c r="Q240" s="38">
        <f t="shared" si="92"/>
        <v>0</v>
      </c>
      <c r="R240" s="38">
        <f t="shared" si="93"/>
        <v>0</v>
      </c>
      <c r="S240" s="38">
        <f t="shared" si="94"/>
        <v>0</v>
      </c>
      <c r="T240" s="38">
        <f t="shared" si="95"/>
        <v>0</v>
      </c>
      <c r="U240" s="47">
        <f t="shared" si="96"/>
        <v>0</v>
      </c>
      <c r="V240" s="52">
        <f t="shared" si="97"/>
        <v>3339.739999999998</v>
      </c>
    </row>
    <row r="241" spans="1:22">
      <c r="A241" s="51">
        <v>239</v>
      </c>
      <c r="B241" s="45"/>
      <c r="C241" s="52">
        <f t="shared" si="89"/>
        <v>3339.739999999998</v>
      </c>
      <c r="F241" s="52">
        <f t="shared" si="90"/>
        <v>3339.739999999998</v>
      </c>
      <c r="G241" s="185">
        <f t="shared" si="98"/>
        <v>0.53911564625850339</v>
      </c>
      <c r="H241" s="72">
        <f t="shared" si="91"/>
        <v>1800.5060884353729</v>
      </c>
      <c r="I241" s="37" t="s">
        <v>1625</v>
      </c>
      <c r="O241" s="46" t="s">
        <v>1627</v>
      </c>
      <c r="P241" s="37" t="s">
        <v>1632</v>
      </c>
      <c r="Q241" s="38">
        <f t="shared" si="92"/>
        <v>0</v>
      </c>
      <c r="R241" s="38">
        <f t="shared" si="93"/>
        <v>0</v>
      </c>
      <c r="S241" s="38">
        <f t="shared" si="94"/>
        <v>0</v>
      </c>
      <c r="T241" s="38">
        <f t="shared" si="95"/>
        <v>0</v>
      </c>
      <c r="U241" s="47">
        <f t="shared" si="96"/>
        <v>0</v>
      </c>
      <c r="V241" s="52">
        <f t="shared" si="97"/>
        <v>3339.739999999998</v>
      </c>
    </row>
    <row r="242" spans="1:22">
      <c r="A242" s="51">
        <v>240</v>
      </c>
      <c r="B242" s="45"/>
      <c r="C242" s="52">
        <f t="shared" si="89"/>
        <v>3339.739999999998</v>
      </c>
      <c r="F242" s="52">
        <f t="shared" si="90"/>
        <v>3339.739999999998</v>
      </c>
      <c r="G242" s="185">
        <f t="shared" si="98"/>
        <v>0.53911564625850339</v>
      </c>
      <c r="H242" s="72">
        <f t="shared" si="91"/>
        <v>1800.5060884353729</v>
      </c>
      <c r="I242" s="37" t="s">
        <v>1625</v>
      </c>
      <c r="O242" s="46" t="s">
        <v>1627</v>
      </c>
      <c r="P242" s="37" t="s">
        <v>1632</v>
      </c>
      <c r="Q242" s="38">
        <f t="shared" si="92"/>
        <v>0</v>
      </c>
      <c r="R242" s="38">
        <f t="shared" si="93"/>
        <v>0</v>
      </c>
      <c r="S242" s="38">
        <f t="shared" si="94"/>
        <v>0</v>
      </c>
      <c r="T242" s="38">
        <f t="shared" si="95"/>
        <v>0</v>
      </c>
      <c r="U242" s="47">
        <f t="shared" si="96"/>
        <v>0</v>
      </c>
      <c r="V242" s="52">
        <f t="shared" si="97"/>
        <v>3339.739999999998</v>
      </c>
    </row>
    <row r="243" spans="1:22">
      <c r="A243" s="51">
        <v>241</v>
      </c>
      <c r="B243" s="45"/>
      <c r="C243" s="52">
        <f t="shared" si="89"/>
        <v>3339.739999999998</v>
      </c>
      <c r="F243" s="52">
        <f t="shared" si="90"/>
        <v>3339.739999999998</v>
      </c>
      <c r="G243" s="185">
        <f t="shared" si="98"/>
        <v>0.53911564625850339</v>
      </c>
      <c r="H243" s="72">
        <f t="shared" si="91"/>
        <v>1800.5060884353729</v>
      </c>
      <c r="I243" s="37" t="s">
        <v>1625</v>
      </c>
      <c r="O243" s="46" t="s">
        <v>1627</v>
      </c>
      <c r="P243" s="37" t="s">
        <v>1632</v>
      </c>
      <c r="Q243" s="38">
        <f t="shared" si="92"/>
        <v>0</v>
      </c>
      <c r="R243" s="38">
        <f t="shared" si="93"/>
        <v>0</v>
      </c>
      <c r="S243" s="38">
        <f t="shared" si="94"/>
        <v>0</v>
      </c>
      <c r="T243" s="38">
        <f t="shared" si="95"/>
        <v>0</v>
      </c>
      <c r="U243" s="47">
        <f t="shared" si="96"/>
        <v>0</v>
      </c>
      <c r="V243" s="52">
        <f t="shared" si="97"/>
        <v>3339.739999999998</v>
      </c>
    </row>
    <row r="244" spans="1:22">
      <c r="A244" s="51">
        <v>242</v>
      </c>
      <c r="B244" s="45"/>
      <c r="C244" s="52">
        <f t="shared" si="89"/>
        <v>3339.739999999998</v>
      </c>
      <c r="F244" s="52">
        <f t="shared" si="90"/>
        <v>3339.739999999998</v>
      </c>
      <c r="G244" s="185">
        <f t="shared" si="98"/>
        <v>0.53911564625850339</v>
      </c>
      <c r="H244" s="72">
        <f t="shared" si="91"/>
        <v>1800.5060884353729</v>
      </c>
      <c r="I244" s="37" t="s">
        <v>1625</v>
      </c>
      <c r="O244" s="46" t="s">
        <v>1627</v>
      </c>
      <c r="P244" s="37" t="s">
        <v>1632</v>
      </c>
      <c r="Q244" s="38">
        <f t="shared" si="92"/>
        <v>0</v>
      </c>
      <c r="R244" s="38">
        <f t="shared" si="93"/>
        <v>0</v>
      </c>
      <c r="S244" s="38">
        <f t="shared" si="94"/>
        <v>0</v>
      </c>
      <c r="T244" s="38">
        <f t="shared" si="95"/>
        <v>0</v>
      </c>
      <c r="U244" s="47">
        <f t="shared" si="96"/>
        <v>0</v>
      </c>
      <c r="V244" s="52">
        <f t="shared" si="97"/>
        <v>3339.739999999998</v>
      </c>
    </row>
    <row r="245" spans="1:22">
      <c r="A245" s="51">
        <v>243</v>
      </c>
      <c r="B245" s="45"/>
      <c r="C245" s="52">
        <f t="shared" si="89"/>
        <v>3339.739999999998</v>
      </c>
      <c r="F245" s="52">
        <f t="shared" si="90"/>
        <v>3339.739999999998</v>
      </c>
      <c r="G245" s="185">
        <f t="shared" si="98"/>
        <v>0.53911564625850339</v>
      </c>
      <c r="H245" s="72">
        <f t="shared" si="91"/>
        <v>1800.5060884353729</v>
      </c>
      <c r="I245" s="37" t="s">
        <v>1625</v>
      </c>
      <c r="O245" s="46" t="s">
        <v>1627</v>
      </c>
      <c r="P245" s="37" t="s">
        <v>1632</v>
      </c>
      <c r="Q245" s="38">
        <f t="shared" si="92"/>
        <v>0</v>
      </c>
      <c r="R245" s="38">
        <f t="shared" si="93"/>
        <v>0</v>
      </c>
      <c r="S245" s="38">
        <f t="shared" si="94"/>
        <v>0</v>
      </c>
      <c r="T245" s="38">
        <f t="shared" si="95"/>
        <v>0</v>
      </c>
      <c r="U245" s="47">
        <f t="shared" si="96"/>
        <v>0</v>
      </c>
      <c r="V245" s="52">
        <f t="shared" si="97"/>
        <v>3339.739999999998</v>
      </c>
    </row>
    <row r="246" spans="1:22">
      <c r="A246" s="51">
        <v>244</v>
      </c>
      <c r="B246" s="45"/>
      <c r="C246" s="52">
        <f t="shared" si="89"/>
        <v>3339.739999999998</v>
      </c>
      <c r="F246" s="52">
        <f t="shared" si="90"/>
        <v>3339.739999999998</v>
      </c>
      <c r="G246" s="185">
        <f t="shared" si="98"/>
        <v>0.53911564625850339</v>
      </c>
      <c r="H246" s="72">
        <f t="shared" si="91"/>
        <v>1800.5060884353729</v>
      </c>
      <c r="I246" s="37" t="s">
        <v>1625</v>
      </c>
      <c r="O246" s="46" t="s">
        <v>1627</v>
      </c>
      <c r="P246" s="37" t="s">
        <v>1632</v>
      </c>
      <c r="Q246" s="38">
        <f t="shared" si="92"/>
        <v>0</v>
      </c>
      <c r="R246" s="38">
        <f t="shared" si="93"/>
        <v>0</v>
      </c>
      <c r="S246" s="38">
        <f t="shared" si="94"/>
        <v>0</v>
      </c>
      <c r="T246" s="38">
        <f t="shared" si="95"/>
        <v>0</v>
      </c>
      <c r="U246" s="47">
        <f t="shared" si="96"/>
        <v>0</v>
      </c>
      <c r="V246" s="52">
        <f t="shared" si="97"/>
        <v>3339.739999999998</v>
      </c>
    </row>
    <row r="247" spans="1:22">
      <c r="A247" s="51">
        <v>245</v>
      </c>
      <c r="B247" s="45"/>
      <c r="C247" s="52">
        <f t="shared" si="89"/>
        <v>3339.739999999998</v>
      </c>
      <c r="F247" s="52">
        <f t="shared" si="90"/>
        <v>3339.739999999998</v>
      </c>
      <c r="G247" s="185">
        <f t="shared" si="98"/>
        <v>0.53911564625850339</v>
      </c>
      <c r="H247" s="72">
        <f t="shared" si="91"/>
        <v>1800.5060884353729</v>
      </c>
      <c r="I247" s="37" t="s">
        <v>1625</v>
      </c>
      <c r="O247" s="46" t="s">
        <v>1627</v>
      </c>
      <c r="P247" s="37" t="s">
        <v>1632</v>
      </c>
      <c r="Q247" s="38">
        <f t="shared" si="92"/>
        <v>0</v>
      </c>
      <c r="R247" s="38">
        <f t="shared" si="93"/>
        <v>0</v>
      </c>
      <c r="S247" s="38">
        <f t="shared" si="94"/>
        <v>0</v>
      </c>
      <c r="T247" s="38">
        <f t="shared" si="95"/>
        <v>0</v>
      </c>
      <c r="U247" s="47">
        <f t="shared" si="96"/>
        <v>0</v>
      </c>
      <c r="V247" s="52">
        <f t="shared" si="97"/>
        <v>3339.739999999998</v>
      </c>
    </row>
    <row r="248" spans="1:22">
      <c r="A248" s="51">
        <v>246</v>
      </c>
      <c r="B248" s="45"/>
      <c r="C248" s="52">
        <f t="shared" si="89"/>
        <v>3339.739999999998</v>
      </c>
      <c r="F248" s="52">
        <f t="shared" si="90"/>
        <v>3339.739999999998</v>
      </c>
      <c r="G248" s="185">
        <f t="shared" si="98"/>
        <v>0.53911564625850339</v>
      </c>
      <c r="H248" s="72">
        <f t="shared" si="91"/>
        <v>1800.5060884353729</v>
      </c>
      <c r="I248" s="37" t="s">
        <v>1625</v>
      </c>
      <c r="O248" s="46" t="s">
        <v>1627</v>
      </c>
      <c r="P248" s="37" t="s">
        <v>1632</v>
      </c>
      <c r="Q248" s="38">
        <f t="shared" si="92"/>
        <v>0</v>
      </c>
      <c r="R248" s="38">
        <f t="shared" si="93"/>
        <v>0</v>
      </c>
      <c r="S248" s="38">
        <f t="shared" si="94"/>
        <v>0</v>
      </c>
      <c r="T248" s="38">
        <f t="shared" si="95"/>
        <v>0</v>
      </c>
      <c r="U248" s="47">
        <f t="shared" si="96"/>
        <v>0</v>
      </c>
      <c r="V248" s="52">
        <f t="shared" si="97"/>
        <v>3339.739999999998</v>
      </c>
    </row>
    <row r="249" spans="1:22">
      <c r="A249" s="51">
        <v>247</v>
      </c>
      <c r="B249" s="45"/>
      <c r="C249" s="52">
        <f t="shared" si="89"/>
        <v>3339.739999999998</v>
      </c>
      <c r="F249" s="52">
        <f t="shared" si="90"/>
        <v>3339.739999999998</v>
      </c>
      <c r="G249" s="185">
        <f t="shared" si="98"/>
        <v>0.53911564625850339</v>
      </c>
      <c r="H249" s="72">
        <f t="shared" si="91"/>
        <v>1800.5060884353729</v>
      </c>
      <c r="I249" s="37" t="s">
        <v>1625</v>
      </c>
      <c r="O249" s="46" t="s">
        <v>1627</v>
      </c>
      <c r="P249" s="37" t="s">
        <v>1632</v>
      </c>
      <c r="Q249" s="38">
        <f t="shared" si="92"/>
        <v>0</v>
      </c>
      <c r="R249" s="38">
        <f t="shared" si="93"/>
        <v>0</v>
      </c>
      <c r="S249" s="38">
        <f t="shared" si="94"/>
        <v>0</v>
      </c>
      <c r="T249" s="38">
        <f t="shared" si="95"/>
        <v>0</v>
      </c>
      <c r="U249" s="47">
        <f t="shared" si="96"/>
        <v>0</v>
      </c>
      <c r="V249" s="52">
        <f t="shared" si="97"/>
        <v>3339.739999999998</v>
      </c>
    </row>
    <row r="250" spans="1:22">
      <c r="A250" s="51">
        <v>248</v>
      </c>
      <c r="B250" s="45"/>
      <c r="C250" s="52">
        <f t="shared" si="89"/>
        <v>3339.739999999998</v>
      </c>
      <c r="F250" s="52">
        <f t="shared" si="90"/>
        <v>3339.739999999998</v>
      </c>
      <c r="G250" s="185">
        <f t="shared" si="98"/>
        <v>0.53911564625850339</v>
      </c>
      <c r="H250" s="72">
        <f t="shared" si="91"/>
        <v>1800.5060884353729</v>
      </c>
      <c r="I250" s="37" t="s">
        <v>1625</v>
      </c>
      <c r="O250" s="46" t="s">
        <v>1627</v>
      </c>
      <c r="P250" s="37" t="s">
        <v>1632</v>
      </c>
      <c r="Q250" s="38">
        <f t="shared" si="92"/>
        <v>0</v>
      </c>
      <c r="R250" s="38">
        <f t="shared" si="93"/>
        <v>0</v>
      </c>
      <c r="S250" s="38">
        <f t="shared" si="94"/>
        <v>0</v>
      </c>
      <c r="T250" s="38">
        <f t="shared" si="95"/>
        <v>0</v>
      </c>
      <c r="U250" s="47">
        <f t="shared" si="96"/>
        <v>0</v>
      </c>
      <c r="V250" s="52">
        <f t="shared" si="97"/>
        <v>3339.739999999998</v>
      </c>
    </row>
  </sheetData>
  <autoFilter ref="A2:AA170"/>
  <conditionalFormatting sqref="Q3:Q250 T3:U250">
    <cfRule type="cellIs" dxfId="2" priority="4" operator="equal">
      <formula>0</formula>
    </cfRule>
    <cfRule type="cellIs" dxfId="1" priority="5" operator="lessThan">
      <formula>0</formula>
    </cfRule>
    <cfRule type="cellIs" dxfId="0" priority="6" operator="greaterThan">
      <formula>0</formula>
    </cfRule>
  </conditionalFormatting>
  <dataValidations count="1">
    <dataValidation type="list" allowBlank="1" showInputMessage="1" showErrorMessage="1" sqref="P3:P250">
      <formula1>"Win, Loss, Refund"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ules">
                <anchor moveWithCells="1">
                  <from>
                    <xdr:col>0</xdr:col>
                    <xdr:colOff>228600</xdr:colOff>
                    <xdr:row>0</xdr:row>
                    <xdr:rowOff>0</xdr:rowOff>
                  </from>
                  <to>
                    <xdr:col>5</xdr:col>
                    <xdr:colOff>238125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ack">
                <anchor moveWithCells="1" sizeWithCells="1">
                  <from>
                    <xdr:col>24</xdr:col>
                    <xdr:colOff>28575</xdr:colOff>
                    <xdr:row>0</xdr:row>
                    <xdr:rowOff>28575</xdr:rowOff>
                  </from>
                  <to>
                    <xdr:col>24</xdr:col>
                    <xdr:colOff>838200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mpanies">
                <anchor moveWithCells="1" sizeWithCells="1">
                  <from>
                    <xdr:col>7</xdr:col>
                    <xdr:colOff>371475</xdr:colOff>
                    <xdr:row>0</xdr:row>
                    <xdr:rowOff>19050</xdr:rowOff>
                  </from>
                  <to>
                    <xdr:col>9</xdr:col>
                    <xdr:colOff>381000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Back">
                <anchor moveWithCells="1" sizeWithCells="1">
                  <from>
                    <xdr:col>26</xdr:col>
                    <xdr:colOff>28575</xdr:colOff>
                    <xdr:row>0</xdr:row>
                    <xdr:rowOff>28575</xdr:rowOff>
                  </from>
                  <to>
                    <xdr:col>26</xdr:col>
                    <xdr:colOff>790575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Parameters">
                <anchor moveWithCells="1" sizeWithCells="1">
                  <from>
                    <xdr:col>9</xdr:col>
                    <xdr:colOff>838200</xdr:colOff>
                    <xdr:row>0</xdr:row>
                    <xdr:rowOff>0</xdr:rowOff>
                  </from>
                  <to>
                    <xdr:col>10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Back">
                <anchor moveWithCells="1" sizeWithCells="1">
                  <from>
                    <xdr:col>28</xdr:col>
                    <xdr:colOff>0</xdr:colOff>
                    <xdr:row>0</xdr:row>
                    <xdr:rowOff>28575</xdr:rowOff>
                  </from>
                  <to>
                    <xdr:col>28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Archive</vt:lpstr>
      <vt:lpstr>Current</vt:lpstr>
      <vt:lpstr>TFT-Tips</vt:lpstr>
      <vt:lpstr>Pivot</vt:lpstr>
      <vt:lpstr>Logic</vt:lpstr>
      <vt:lpstr>BT Filter</vt:lpstr>
      <vt:lpstr>Betting Tips 1X2</vt:lpstr>
      <vt:lpstr>TFT-Current</vt:lpstr>
      <vt:lpstr>TFT-Archive</vt:lpstr>
      <vt:lpstr>Results</vt:lpstr>
      <vt:lpstr>Bets</vt:lpstr>
      <vt:lpstr>'Betting Tips 1X2'!_20190305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2019-01-06T12:11:45Z</dcterms:created>
  <dcterms:modified xsi:type="dcterms:W3CDTF">2019-05-24T08:33:54Z</dcterms:modified>
</cp:coreProperties>
</file>